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190" documentId="11_7BDB933259A26DFF1BBD2F1C821EDD5CF6CDFE08" xr6:coauthVersionLast="47" xr6:coauthVersionMax="47" xr10:uidLastSave="{134ABF7B-754D-4007-84CE-FAF2386F9C1A}"/>
  <bookViews>
    <workbookView xWindow="0" yWindow="0" windowWidth="0" windowHeight="0" firstSheet="1" activeTab="5" xr2:uid="{00000000-000D-0000-FFFF-FFFF00000000}"/>
  </bookViews>
  <sheets>
    <sheet name="shortage_onc" sheetId="1" r:id="rId1"/>
    <sheet name="Data" sheetId="3" r:id="rId2"/>
    <sheet name="ndc_onc" sheetId="2" r:id="rId3"/>
    <sheet name="Inputs" sheetId="4" r:id="rId4"/>
    <sheet name="Model" sheetId="5" r:id="rId5"/>
    <sheet name="Outpu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 a="1"/>
  <c r="C4" i="6"/>
  <c r="B4" i="6" a="1"/>
  <c r="B4" i="6"/>
  <c r="A4" i="6" a="1"/>
  <c r="A4" i="6"/>
  <c r="A1" i="6"/>
  <c r="G3" i="5"/>
  <c r="G4" i="5"/>
  <c r="G5" i="5"/>
  <c r="G6" i="5"/>
  <c r="G7" i="5"/>
  <c r="G8" i="5"/>
  <c r="G2" i="5"/>
  <c r="H2" i="5" s="1"/>
  <c r="F3" i="5"/>
  <c r="F4" i="5"/>
  <c r="F5" i="5"/>
  <c r="F6" i="5"/>
  <c r="F7" i="5"/>
  <c r="F8" i="5"/>
  <c r="F2" i="5"/>
  <c r="E3" i="5"/>
  <c r="E4" i="5"/>
  <c r="E5" i="5"/>
  <c r="E6" i="5"/>
  <c r="E7" i="5"/>
  <c r="E8" i="5"/>
  <c r="E2" i="5"/>
  <c r="D3" i="5"/>
  <c r="D4" i="5"/>
  <c r="D5" i="5"/>
  <c r="D6" i="5"/>
  <c r="D7" i="5"/>
  <c r="D8" i="5"/>
  <c r="D2" i="5"/>
  <c r="C3" i="5"/>
  <c r="C4" i="5"/>
  <c r="C5" i="5"/>
  <c r="C6" i="5"/>
  <c r="C7" i="5"/>
  <c r="C8" i="5"/>
  <c r="C2" i="5"/>
  <c r="B3" i="5"/>
  <c r="B4" i="5"/>
  <c r="B5" i="5"/>
  <c r="B6" i="5"/>
  <c r="B7" i="5"/>
  <c r="B8" i="5"/>
  <c r="B2" i="5"/>
  <c r="A2" i="5" a="1"/>
  <c r="A2" i="5"/>
  <c r="C7" i="4"/>
  <c r="B7" i="4"/>
  <c r="L3" i="3"/>
  <c r="L4" i="3"/>
  <c r="L5" i="3"/>
  <c r="L6" i="3"/>
  <c r="L7" i="3"/>
  <c r="L8" i="3"/>
  <c r="L9" i="3"/>
  <c r="L2" i="3"/>
  <c r="K3" i="3" a="1"/>
  <c r="K3" i="3"/>
  <c r="K4" i="3" a="1"/>
  <c r="K4" i="3"/>
  <c r="K5" i="3" a="1"/>
  <c r="K5" i="3"/>
  <c r="K6" i="3" a="1"/>
  <c r="K6" i="3"/>
  <c r="K7" i="3" a="1"/>
  <c r="K7" i="3"/>
  <c r="K8" i="3" a="1"/>
  <c r="K8" i="3"/>
  <c r="K9" i="3" a="1"/>
  <c r="K9" i="3"/>
  <c r="K2" i="3" a="1"/>
  <c r="K2" i="3"/>
  <c r="J3" i="3" a="1"/>
  <c r="J3" i="3"/>
  <c r="J4" i="3" a="1"/>
  <c r="J4" i="3"/>
  <c r="J5" i="3" a="1"/>
  <c r="J5" i="3"/>
  <c r="J6" i="3" a="1"/>
  <c r="J6" i="3"/>
  <c r="J7" i="3" a="1"/>
  <c r="J7" i="3"/>
  <c r="J8" i="3" a="1"/>
  <c r="J8" i="3"/>
  <c r="J9" i="3" a="1"/>
  <c r="J9" i="3"/>
  <c r="J2" i="3" a="1"/>
  <c r="J2" i="3"/>
  <c r="I3" i="3" a="1"/>
  <c r="I3" i="3"/>
  <c r="I4" i="3" a="1"/>
  <c r="I4" i="3"/>
  <c r="I5" i="3" a="1"/>
  <c r="I5" i="3"/>
  <c r="I6" i="3" a="1"/>
  <c r="I6" i="3"/>
  <c r="I7" i="3" a="1"/>
  <c r="I7" i="3"/>
  <c r="I8" i="3" a="1"/>
  <c r="I8" i="3"/>
  <c r="I9" i="3" a="1"/>
  <c r="I9" i="3"/>
  <c r="I2" i="3" a="1"/>
  <c r="I2" i="3"/>
  <c r="H3" i="3" a="1"/>
  <c r="H3" i="3"/>
  <c r="H4" i="3" a="1"/>
  <c r="H4" i="3"/>
  <c r="H5" i="3" a="1"/>
  <c r="H5" i="3"/>
  <c r="H6" i="3" a="1"/>
  <c r="H6" i="3"/>
  <c r="H7" i="3" a="1"/>
  <c r="H7" i="3"/>
  <c r="H8" i="3" a="1"/>
  <c r="H8" i="3"/>
  <c r="H9" i="3" a="1"/>
  <c r="H9" i="3"/>
  <c r="H2" i="3" a="1"/>
  <c r="H2" i="3"/>
  <c r="G3" i="3"/>
  <c r="G4" i="3"/>
  <c r="G5" i="3"/>
  <c r="G6" i="3"/>
  <c r="G7" i="3"/>
  <c r="G8" i="3"/>
  <c r="G9" i="3"/>
  <c r="G2" i="3"/>
  <c r="F3" i="3"/>
  <c r="F4" i="3"/>
  <c r="F5" i="3"/>
  <c r="F6" i="3"/>
  <c r="F7" i="3"/>
  <c r="F8" i="3"/>
  <c r="F9" i="3"/>
  <c r="F2" i="3"/>
  <c r="E3" i="3" a="1"/>
  <c r="E3" i="3"/>
  <c r="E4" i="3" a="1"/>
  <c r="E4" i="3"/>
  <c r="E5" i="3" a="1"/>
  <c r="E5" i="3"/>
  <c r="E6" i="3" a="1"/>
  <c r="E6" i="3"/>
  <c r="E7" i="3" a="1"/>
  <c r="E7" i="3"/>
  <c r="E8" i="3" a="1"/>
  <c r="E8" i="3"/>
  <c r="E9" i="3" a="1"/>
  <c r="E9" i="3"/>
  <c r="E2" i="3" a="1"/>
  <c r="E2" i="3"/>
  <c r="D3" i="3"/>
  <c r="D4" i="3"/>
  <c r="D5" i="3"/>
  <c r="D6" i="3"/>
  <c r="D7" i="3"/>
  <c r="D8" i="3"/>
  <c r="D9" i="3"/>
  <c r="D2" i="3"/>
  <c r="C3" i="3"/>
  <c r="C4" i="3"/>
  <c r="C5" i="3"/>
  <c r="C6" i="3"/>
  <c r="C7" i="3"/>
  <c r="C8" i="3"/>
  <c r="C9" i="3"/>
  <c r="C2" i="3"/>
  <c r="B3" i="3"/>
  <c r="B4" i="3"/>
  <c r="B5" i="3"/>
  <c r="B6" i="3"/>
  <c r="B7" i="3"/>
  <c r="B8" i="3"/>
  <c r="B9" i="3"/>
  <c r="B2" i="3"/>
  <c r="A2" i="3" a="1"/>
  <c r="A2" i="3"/>
  <c r="H8" i="5" l="1"/>
  <c r="H7" i="5"/>
  <c r="H6" i="5"/>
  <c r="H5" i="5"/>
  <c r="H4" i="5"/>
  <c r="H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<sst xmlns="http://schemas.openxmlformats.org/spreadsheetml/2006/main" count="3139" uniqueCount="684">
  <si>
    <t>Drug</t>
  </si>
  <si>
    <t>Company</t>
  </si>
  <si>
    <t>Presentation</t>
  </si>
  <si>
    <t>Availability</t>
  </si>
  <si>
    <t>Reason</t>
  </si>
  <si>
    <t>Initial Posting Date</t>
  </si>
  <si>
    <t>Date of Update</t>
  </si>
  <si>
    <t>Therapeutic Category</t>
  </si>
  <si>
    <t>Azacitidine Injection</t>
  </si>
  <si>
    <t>Accord Healthcare Inc.</t>
  </si>
  <si>
    <t>Azacitidine, Injection, 100 mg (NDC 16729-306-10)</t>
  </si>
  <si>
    <t>Available</t>
  </si>
  <si>
    <t>Not stated</t>
  </si>
  <si>
    <t>Oncology</t>
  </si>
  <si>
    <t>Armas Pharmaceuticals Inc</t>
  </si>
  <si>
    <t>Azacitidine, Injection, 100 mg (NDC 72485-201-01)</t>
  </si>
  <si>
    <t>Limited Availability</t>
  </si>
  <si>
    <t>Other</t>
  </si>
  <si>
    <t>Bristol Myers Squibb Co.</t>
  </si>
  <si>
    <t>Vidaza, Injection, 100 mg (NDC 59572-102-01)</t>
  </si>
  <si>
    <t>Dr. Reddy's Laboratories, Inc.</t>
  </si>
  <si>
    <t>Azacitidine, Injection, 100 mg (NDC 43598-305-62)</t>
  </si>
  <si>
    <t>Eugia US LLC</t>
  </si>
  <si>
    <t>Azacitidine, Injection, 100 mg/4 mL (NDC 55150-393-01)</t>
  </si>
  <si>
    <t>Unavailable</t>
  </si>
  <si>
    <t>Demand increase for the drug</t>
  </si>
  <si>
    <t>Fresenius Kabi USA, LLC</t>
  </si>
  <si>
    <t>Azacitidine, Injection, 100 mg/30 mL (NDC 63323-771-39)</t>
  </si>
  <si>
    <t>Discontinuation of the manufacture of the drug</t>
  </si>
  <si>
    <t>Hikma Pharmaceuticals USA, Inc.</t>
  </si>
  <si>
    <t>Azacitidine, Injection, 100 mg/ Vial (NDC 0143-9606-01)</t>
  </si>
  <si>
    <t>Meitheal Pharmaceuticals, Inc.</t>
  </si>
  <si>
    <t>Azacitidine, Injection, 100 mg/30 mL (NDC 71288-115-30)</t>
  </si>
  <si>
    <t>Teva Pharmaceuticals USA, Inc.</t>
  </si>
  <si>
    <t>Azacitidine, Injection, 100 mg (NDC 68001-313-56)</t>
  </si>
  <si>
    <t>Carboplatin Injection</t>
  </si>
  <si>
    <t>Carboplatin, Injection, 10 mg/1 mL (NDC 16729-295-12)</t>
  </si>
  <si>
    <t>Carboplatin, Injection, 10 mg/1 mL (NDC 16729-295-31)</t>
  </si>
  <si>
    <t>Carboplatin, Injection, 10 mg/1 mL (NDC 16729-295-33)</t>
  </si>
  <si>
    <t>Carboplatin, Injection, 10 mg/1 mL (NDC 16729-295-34)</t>
  </si>
  <si>
    <t>Avyxa Pharma, LLC</t>
  </si>
  <si>
    <t>Kyxata, Injection, 500 mg/50 mL (10 mg/mL) (NDC 83831-142-50)</t>
  </si>
  <si>
    <t>Kyxata, Injection, 80 mg/8 mL (10 mg/mL) (NDC 83831-141-08)</t>
  </si>
  <si>
    <t>Carboplatin, Injection, 450 mg/45 mL (NDC 55150-335-01)</t>
  </si>
  <si>
    <t>Carboplatin, Injection, 600 mg/60 mL (NDC 55150-386-01)</t>
  </si>
  <si>
    <t>Carboplatin, Injection, 10 mg/1 mL (NDC 63323-172-60)</t>
  </si>
  <si>
    <t>Delay in shipping of the drug</t>
  </si>
  <si>
    <t>Gland Pharma Limited</t>
  </si>
  <si>
    <t>Carboplatin, Injection, 150mg/15mL (NDC 54288-165-01)</t>
  </si>
  <si>
    <t>Carboplatin, Injection, 450mg/45mL (NDC 54288-166-01)</t>
  </si>
  <si>
    <t>Carboplatin, Injection, 50mg/5mL (NDC 54288-164-01)</t>
  </si>
  <si>
    <t>Carboplatin, Injection, 600 mg/65 mL (NDC 54288-167-01)</t>
  </si>
  <si>
    <t>Hospira, Inc., a Pfizer Company</t>
  </si>
  <si>
    <t>Carboplatin, Injection, 150 mg/15 mL (10 mg/mL) (NDC 61703-150-05)</t>
  </si>
  <si>
    <t>Carboplatin, Injection, 150 mg/15 mL (10 mg/mL) (NDC 61703-339-22)</t>
  </si>
  <si>
    <t>Carboplatin, Injection, 450 mg/45 mL (10 mg/mL) (NDC 61703-262-05)</t>
  </si>
  <si>
    <t>Carboplatin, Injection, 450 mg/45 mL (10 mg/mL) (NDC 61703-339-50)</t>
  </si>
  <si>
    <t>Carboplatin, Injection, 50 mg/5 mL (10 mg/mL) (NDC 61703-339-18)</t>
  </si>
  <si>
    <t>Carboplatin, Injection, 50 mg/5 mL (10 mg/mL) (NDC 61703-360-18)</t>
  </si>
  <si>
    <t>Carboplatin, Injection, 600 mg/60 mL (10 mg/mL) (NDC 61703-339-56)</t>
  </si>
  <si>
    <t>Carboplatin, Injection, 600 mg/60 mL (10 mg/mL) (NDC 61703-600-05)</t>
  </si>
  <si>
    <t>Carboplatin, Injection, 10 mg/1 mL (NDC 0703-4239-01)</t>
  </si>
  <si>
    <t>Carboplatin, Injection, 10 mg/1 mL (NDC 0703-4244-01)</t>
  </si>
  <si>
    <t>Carboplatin, Injection, 10 mg/1 mL (NDC 0703-4246-01)</t>
  </si>
  <si>
    <t>Carboplatin, Injection, 10 mg/1 mL (NDC 0703-4248-01)</t>
  </si>
  <si>
    <t>Teyro Labs</t>
  </si>
  <si>
    <t>Carboplatin, Injection, 150 mg/15 mL (NDC 69339-365-15)</t>
  </si>
  <si>
    <t>Carboplatin, Injection, 450 mg/45 mL (NDC 69339-366-45)</t>
  </si>
  <si>
    <t>Carboplatin, Injection, 50 mg/5 mL (NDC 69339-364-05)</t>
  </si>
  <si>
    <t>Carboplatin, Injection, 600 mg/60 mL (NDC 69339-367-60)</t>
  </si>
  <si>
    <t>Dexamethasone Sodium Phosphate Injection</t>
  </si>
  <si>
    <t>Dexamethasone Sodium Phosphate, Injection, 10 mg/1 mL (NDC 55150-304-25)</t>
  </si>
  <si>
    <t>Dermatology; Endocrinology/Metabolism; Gastroenterology; Hematology; Neurology; Oncology; Ophthalmology; Other; Pulmonary/Allergy; Rheumatology</t>
  </si>
  <si>
    <t>Dexamethasone Sodium Phosphate Preservative Free, Injection, 10 mg/1 mL (NDC 63323-506-01)</t>
  </si>
  <si>
    <t>Dexamethasone Sodium Phosphate, Injection, 10 mg/1 mL (NDC 63323-516-10)</t>
  </si>
  <si>
    <t>Dexamethasone Sodium Phosphate, Injection, 10 mg/1 mL (NDC 76045-0212-10)</t>
  </si>
  <si>
    <t>Dexamethasone Sodium Phosphate, Injection, 10 mg/1 mL (NDC 76045-212-10)</t>
  </si>
  <si>
    <t>Dexamethasone Sodium Phosphate, Injection, 4 mg/1 mL (NDC 63323-165-01)</t>
  </si>
  <si>
    <t>Dexamethasone Sodium Phosphate, Injection, 4 mg/1 mL (NDC 63323-165-05)</t>
  </si>
  <si>
    <t>Dexamethasone Sodium Phosphate, Injection, 4 mg/1 mL (NDC 63323-165-30)</t>
  </si>
  <si>
    <t>Dexamethasone Sodium Phosphate, Injection, 4 mg/1 mL (NDC 76045-0210-10)</t>
  </si>
  <si>
    <t>Dexamethasone Sodium Phosphate, Injection, 4 mg/1 mL (NDC 76045-210-10)</t>
  </si>
  <si>
    <t>Dexamethasone Sodium Phosphate, Injection, 10 mg/1 mL (NDC 0641-0367-25)</t>
  </si>
  <si>
    <t>Dexamethasone Sodium Phosphate, Injection, 4 mg/1 mL (NDC 0641-6145-25)</t>
  </si>
  <si>
    <t>Dexamethasone Sodium Phosphate, Injection, 4 mg/1 mL (NDC 0641-6146-25)</t>
  </si>
  <si>
    <t>Mylan Institutional, a Viatris Company</t>
  </si>
  <si>
    <t>Dexamethasone Sodium Phosphate, Injection, 10 mg/1 mL (NDC 67457-420-10)</t>
  </si>
  <si>
    <t>Dexamethasone Sodium Phosphate, Injection, 4 mg/1 mL (NDC 67457-421-30)</t>
  </si>
  <si>
    <t>Dexamethasone Sodium Phosphate, Injection, 4 mg/1 mL (NDC 67457-422-54)</t>
  </si>
  <si>
    <t>Dexamethasone Sodium Phosphate, Injection, 4 mg/1 mL (NDC 67457-423-12)</t>
  </si>
  <si>
    <t>Somerset Therapeutics, LLC</t>
  </si>
  <si>
    <t>Dexamethasone Sodium Phosphate Preservative Free, Injection, 10 mg/1 mL (NDC 70069-021-25)</t>
  </si>
  <si>
    <t>Dexamethasone Sodium Phosphate, Injection, 10 mg/1 mL (NDC 70069-025-10)</t>
  </si>
  <si>
    <t>Flurazepam Hydrochloride Capsule</t>
  </si>
  <si>
    <t>Chartwell Molecular Holdings LLC</t>
  </si>
  <si>
    <t>Flurazepam Hydrochloride, Capsule, 15 mg (NDC 62135-736-90)</t>
  </si>
  <si>
    <t>Oncology; Other</t>
  </si>
  <si>
    <t>Ifosfamide Injection</t>
  </si>
  <si>
    <t>Baxter Healthcare</t>
  </si>
  <si>
    <t>IFEX, Injection, 1 g/20 mL (NDC 0338-3991-01)</t>
  </si>
  <si>
    <t>Oncology; Pediatric</t>
  </si>
  <si>
    <t>IFEX, Injection, 3 g/60 mL (NDC 0338-3993-01)</t>
  </si>
  <si>
    <t>Requirements related to complying with good manufacturing practices</t>
  </si>
  <si>
    <t>Ifosfamide, Injection, 1 g/20 mL (NDC 10019-925-01)</t>
  </si>
  <si>
    <t>Ifosfamide, Injection, 3 g/60 mL (NDC 10019-926-02)</t>
  </si>
  <si>
    <t>Ifosfamide, Injection, 1 g/1 (NDC 63323-142-10)</t>
  </si>
  <si>
    <t>Ifosfamide, Injection, 50 mg/1 mL (NDC 0143-9530-01)</t>
  </si>
  <si>
    <t>Ifosfamide, Injection, 50 mg/1 mL (NDC 0143-9531-01)</t>
  </si>
  <si>
    <t>SteriMax, Inc.</t>
  </si>
  <si>
    <t>Ifosfamide, Injection, 1 g/1 (NDC 21586-211-02)</t>
  </si>
  <si>
    <t>Methotrexate Sodium Injection</t>
  </si>
  <si>
    <t>Methotrexate Sodium Preservative Free, Injection, 25 mg/1 mL (NDC 16729-277-30)</t>
  </si>
  <si>
    <t>Rheumatology; Oncology</t>
  </si>
  <si>
    <t>Methotrexate Sodium Preservative Free, Injection, 25 mg/1 mL (NDC 16729-277-35)</t>
  </si>
  <si>
    <t>Methotrexate Preservative Free, Injection, 1 g (NDC 63323-122-50)</t>
  </si>
  <si>
    <t>Methotrexate Sodium, Injection, 25 mg/1 mL (NDC 63323-123-10)</t>
  </si>
  <si>
    <t>Methotrexate, Preservative Free, Injection, 1 g (NDC 0143-9830-01)</t>
  </si>
  <si>
    <t>Methotrexate, Preservative Free, Injection, 25 mg/1 mL (NDC 0143-9519-10)</t>
  </si>
  <si>
    <t>Methotrexate Sodium, Injection, 1 g/40 mL (25 mg/mL) (NDC 61703-124-40)</t>
  </si>
  <si>
    <t>Methotrexate Sodium, Injection, 1 g/40 mL (25 mg/mL) (NDC 61703-408-25)</t>
  </si>
  <si>
    <t>Methotrexate Sodium, Injection, 1 g/40 mL (25 mg/mL) (NDC 61703-408-41)</t>
  </si>
  <si>
    <t>Methotrexate Sodium, Injection, 50 mg/2 mL  (25 mg/mL) (NDC 61703-350-10)</t>
  </si>
  <si>
    <t>Methotrexate Sodium, Injection, 50 mg/2 mL (25 mg/mL) (NDC 61703-350-38)</t>
  </si>
  <si>
    <t>Methotrexate Sodium Preservative Free, Injection, 25 mg/1 mL (NDC 0703-3671-01)</t>
  </si>
  <si>
    <t>Methotrexate Sodium Preservative Free, Injection, 25 mg/1 mL (NDC 0703-3675-01)</t>
  </si>
  <si>
    <t>Methotrexate Sodium Preservative Free, Injection, 25 mg/1 mL (NDC 0703-3678-01)</t>
  </si>
  <si>
    <t>Pentostatin Injection</t>
  </si>
  <si>
    <t>Nipent, Injection, 10 mg, single dose vial (NDC 0409-0801-01)</t>
  </si>
  <si>
    <t>Streptozocin Powder, For Solution</t>
  </si>
  <si>
    <t>ESTEVE PHARMACEUTICALS, S.A.</t>
  </si>
  <si>
    <t>Zanosar, Powder, For Solution, 1 g/10 mL (NDC 68118-100-01)</t>
  </si>
  <si>
    <t>Zanosar, Powder, For Solution, 100 mg/1 mL (NDC 0703-4636-01)</t>
  </si>
  <si>
    <t xml:space="preserve">	Shortage records</t>
  </si>
  <si>
    <t>Unavailable records</t>
  </si>
  <si>
    <t>% unavailable</t>
  </si>
  <si>
    <t>Companies in shortage</t>
  </si>
  <si>
    <t>First posted</t>
  </si>
  <si>
    <t>Years in Shortage</t>
  </si>
  <si>
    <t>NDC products</t>
  </si>
  <si>
    <t>Marketing companies</t>
  </si>
  <si>
    <t>Generic approvals (ANDA)</t>
  </si>
  <si>
    <t>Top company share</t>
  </si>
  <si>
    <t>In scope</t>
  </si>
  <si>
    <t>PRODUCTNDC</t>
  </si>
  <si>
    <t>PROPRIETARYNAME</t>
  </si>
  <si>
    <t>NONPROPRIETARYNAME</t>
  </si>
  <si>
    <t>DOSAGEFORMNAME</t>
  </si>
  <si>
    <t>MARKETINGCATEGORYNAME</t>
  </si>
  <si>
    <t>APPLICATIONNUMBER</t>
  </si>
  <si>
    <t>LABELERNAME</t>
  </si>
  <si>
    <t>SUBSTANCENAME</t>
  </si>
  <si>
    <t>ACTIVE_NUMERATOR_STRENGTH</t>
  </si>
  <si>
    <t>ACTIVE_INGRED_UNIT</t>
  </si>
  <si>
    <t>STARTMARKETINGDATE</t>
  </si>
  <si>
    <t>16729-306</t>
  </si>
  <si>
    <t>Azacitidine</t>
  </si>
  <si>
    <t>INJECTION, POWDER, LYOPHILIZED, FOR SOLUTION</t>
  </si>
  <si>
    <t>ANDA</t>
  </si>
  <si>
    <t>ANDA207475</t>
  </si>
  <si>
    <t>AZACITIDINE</t>
  </si>
  <si>
    <t>100</t>
  </si>
  <si>
    <t>mg/1</t>
  </si>
  <si>
    <t>20190109</t>
  </si>
  <si>
    <t>70121-1237</t>
  </si>
  <si>
    <t>ANDA211549</t>
  </si>
  <si>
    <t>Amneal Pharmaceuticals LLC</t>
  </si>
  <si>
    <t>20220209</t>
  </si>
  <si>
    <t>60505-6271</t>
  </si>
  <si>
    <t>azacitidine</t>
  </si>
  <si>
    <t>ANDA215905</t>
  </si>
  <si>
    <t>Apotex Corp</t>
  </si>
  <si>
    <t>20240123</t>
  </si>
  <si>
    <t>72485-201</t>
  </si>
  <si>
    <t>ANDA207518</t>
  </si>
  <si>
    <t>Armas Pharmaceuticals Inc.</t>
  </si>
  <si>
    <t>20180910</t>
  </si>
  <si>
    <t>68001-313</t>
  </si>
  <si>
    <t>NDA</t>
  </si>
  <si>
    <t>NDA208216</t>
  </si>
  <si>
    <t>BluePoint Laboratories</t>
  </si>
  <si>
    <t>20170701</t>
  </si>
  <si>
    <t>68001-620</t>
  </si>
  <si>
    <t>ANDA201537</t>
  </si>
  <si>
    <t>BluePoint Laboratories.</t>
  </si>
  <si>
    <t>20250110</t>
  </si>
  <si>
    <t>31722-365</t>
  </si>
  <si>
    <t>ANDA215765</t>
  </si>
  <si>
    <t>Camber Pharmaceuticals, Inc.</t>
  </si>
  <si>
    <t>20241015</t>
  </si>
  <si>
    <t>59572-102</t>
  </si>
  <si>
    <t>VIDAZA</t>
  </si>
  <si>
    <t>NDA050794</t>
  </si>
  <si>
    <t>Celgene Corporation</t>
  </si>
  <si>
    <t>20040705</t>
  </si>
  <si>
    <t>72572-020</t>
  </si>
  <si>
    <t>ANDA212580</t>
  </si>
  <si>
    <t>Civica, Inc.</t>
  </si>
  <si>
    <t>20240516</t>
  </si>
  <si>
    <t>43598-305</t>
  </si>
  <si>
    <t>Dr. Reddy's Laboratories Inc.</t>
  </si>
  <si>
    <t>20130919</t>
  </si>
  <si>
    <t>43598-465</t>
  </si>
  <si>
    <t>20150619</t>
  </si>
  <si>
    <t>43598-678</t>
  </si>
  <si>
    <t>20171213</t>
  </si>
  <si>
    <t>75907-225</t>
  </si>
  <si>
    <t>20250301</t>
  </si>
  <si>
    <t>55150-393</t>
  </si>
  <si>
    <t>ANDA215066</t>
  </si>
  <si>
    <t>mg/4mL</t>
  </si>
  <si>
    <t>20230103</t>
  </si>
  <si>
    <t>63323-771</t>
  </si>
  <si>
    <t>mg/30mL</t>
  </si>
  <si>
    <t>20170316</t>
  </si>
  <si>
    <t>0143-9606</t>
  </si>
  <si>
    <t>ANDA209337</t>
  </si>
  <si>
    <t>Hikma Pharmaceuticals USA Inc.</t>
  </si>
  <si>
    <t>20200608</t>
  </si>
  <si>
    <t>69539-112</t>
  </si>
  <si>
    <t>MSN LABORATORIES PRIVATE LIMITED</t>
  </si>
  <si>
    <t>71288-115</t>
  </si>
  <si>
    <t>ANDA212128</t>
  </si>
  <si>
    <t>Meitheal Pharmaceuticals Inc.</t>
  </si>
  <si>
    <t>20201102</t>
  </si>
  <si>
    <t>71288-153</t>
  </si>
  <si>
    <t>16714-927</t>
  </si>
  <si>
    <t>NorthStar RxLLC</t>
  </si>
  <si>
    <t>20190508</t>
  </si>
  <si>
    <t>43817-906</t>
  </si>
  <si>
    <t>ANDA207234</t>
  </si>
  <si>
    <t>Panacea Biotec Limited</t>
  </si>
  <si>
    <t>mg/50mL</t>
  </si>
  <si>
    <t>20190506</t>
  </si>
  <si>
    <t>83774-102</t>
  </si>
  <si>
    <t>azacitidine for</t>
  </si>
  <si>
    <t>Pilnova Pharma Inc</t>
  </si>
  <si>
    <t>20240314</t>
  </si>
  <si>
    <t>58458-002</t>
  </si>
  <si>
    <t>ANDA217453</t>
  </si>
  <si>
    <t>Reliance Life Sciences Private Limited</t>
  </si>
  <si>
    <t>20250730</t>
  </si>
  <si>
    <t>0781-3491</t>
  </si>
  <si>
    <t>Sandoz Inc</t>
  </si>
  <si>
    <t>70069-857</t>
  </si>
  <si>
    <t>Somerset Therapeutics LLC</t>
  </si>
  <si>
    <t>20250829</t>
  </si>
  <si>
    <t>16729-295</t>
  </si>
  <si>
    <t>Carboplatin</t>
  </si>
  <si>
    <t>INJECTION</t>
  </si>
  <si>
    <t>ANDA206775</t>
  </si>
  <si>
    <t>Accord Healthcare, Inc.</t>
  </si>
  <si>
    <t>CARBOPLATIN</t>
  </si>
  <si>
    <t>10</t>
  </si>
  <si>
    <t>mg/mL</t>
  </si>
  <si>
    <t>20170919</t>
  </si>
  <si>
    <t>60505-6282</t>
  </si>
  <si>
    <t>INJECTION, SOLUTION</t>
  </si>
  <si>
    <t>ANDA077861</t>
  </si>
  <si>
    <t>Apotex Corp.</t>
  </si>
  <si>
    <t>20070118</t>
  </si>
  <si>
    <t>83831-141</t>
  </si>
  <si>
    <t>KYXATA</t>
  </si>
  <si>
    <t>CARBOplatin</t>
  </si>
  <si>
    <t>NDA219921</t>
  </si>
  <si>
    <t>80</t>
  </si>
  <si>
    <t>mg/8mL</t>
  </si>
  <si>
    <t>20250910</t>
  </si>
  <si>
    <t>83831-142</t>
  </si>
  <si>
    <t>500</t>
  </si>
  <si>
    <t>54288-164</t>
  </si>
  <si>
    <t>ANDA207324</t>
  </si>
  <si>
    <t>BPI Labs LLC</t>
  </si>
  <si>
    <t>20230731</t>
  </si>
  <si>
    <t>54288-165</t>
  </si>
  <si>
    <t>54288-166</t>
  </si>
  <si>
    <t>54288-167</t>
  </si>
  <si>
    <t>55150-333</t>
  </si>
  <si>
    <t>ANDA205487</t>
  </si>
  <si>
    <t>50</t>
  </si>
  <si>
    <t>mg/5mL</t>
  </si>
  <si>
    <t>20160929</t>
  </si>
  <si>
    <t>55150-334</t>
  </si>
  <si>
    <t>150</t>
  </si>
  <si>
    <t>mg/15mL</t>
  </si>
  <si>
    <t>55150-335</t>
  </si>
  <si>
    <t>450</t>
  </si>
  <si>
    <t>mg/45mL</t>
  </si>
  <si>
    <t>55150-386</t>
  </si>
  <si>
    <t>600</t>
  </si>
  <si>
    <t>mg/60mL</t>
  </si>
  <si>
    <t>20200803</t>
  </si>
  <si>
    <t>63323-172</t>
  </si>
  <si>
    <t>ANDA077266</t>
  </si>
  <si>
    <t>20091211</t>
  </si>
  <si>
    <t>68083-190</t>
  </si>
  <si>
    <t>20170220</t>
  </si>
  <si>
    <t>68083-191</t>
  </si>
  <si>
    <t>68083-192</t>
  </si>
  <si>
    <t>68083-193</t>
  </si>
  <si>
    <t>61703-150</t>
  </si>
  <si>
    <t>ANDA076517</t>
  </si>
  <si>
    <t>Hospira, Inc.</t>
  </si>
  <si>
    <t>20220523</t>
  </si>
  <si>
    <t>61703-262</t>
  </si>
  <si>
    <t>61703-339</t>
  </si>
  <si>
    <t>20041014</t>
  </si>
  <si>
    <t>61703-360</t>
  </si>
  <si>
    <t>61703-600</t>
  </si>
  <si>
    <t>ANDA077059</t>
  </si>
  <si>
    <t>69339-364</t>
  </si>
  <si>
    <t>Natco Pharma USA LLC</t>
  </si>
  <si>
    <t>20260702</t>
  </si>
  <si>
    <t>69339-365</t>
  </si>
  <si>
    <t>69339-366</t>
  </si>
  <si>
    <t>69339-367</t>
  </si>
  <si>
    <t>0703-4239</t>
  </si>
  <si>
    <t>ANDA077269</t>
  </si>
  <si>
    <t>Teva Parenteral Medicines, Inc.</t>
  </si>
  <si>
    <t>20160119</t>
  </si>
  <si>
    <t>20141023</t>
  </si>
  <si>
    <t>0703-4244</t>
  </si>
  <si>
    <t>20160115</t>
  </si>
  <si>
    <t>20060504</t>
  </si>
  <si>
    <t>0703-4246</t>
  </si>
  <si>
    <t>20151125</t>
  </si>
  <si>
    <t>20060501</t>
  </si>
  <si>
    <t>0703-4248</t>
  </si>
  <si>
    <t>20151209</t>
  </si>
  <si>
    <t>20060201</t>
  </si>
  <si>
    <t>82511-003</t>
  </si>
  <si>
    <t>Teyro Labs Private Limited</t>
  </si>
  <si>
    <t>82511-004</t>
  </si>
  <si>
    <t>82511-005</t>
  </si>
  <si>
    <t>82511-006</t>
  </si>
  <si>
    <t>20230824</t>
  </si>
  <si>
    <t>50090-0414</t>
  </si>
  <si>
    <t>Dexamethasone Sodium Phosphate</t>
  </si>
  <si>
    <t>DEXAMETHASONE SODIUM PHOSPHATE</t>
  </si>
  <si>
    <t>ANDA084916</t>
  </si>
  <si>
    <t>A-S Medication Solutions</t>
  </si>
  <si>
    <t>4</t>
  </si>
  <si>
    <t>20000907</t>
  </si>
  <si>
    <t>50090-1922</t>
  </si>
  <si>
    <t>ANDA040803</t>
  </si>
  <si>
    <t>20110511</t>
  </si>
  <si>
    <t>50090-2313</t>
  </si>
  <si>
    <t>50090-3300</t>
  </si>
  <si>
    <t>ANDA206781</t>
  </si>
  <si>
    <t>20151201</t>
  </si>
  <si>
    <t>50090-3541</t>
  </si>
  <si>
    <t>ANDA087702</t>
  </si>
  <si>
    <t>19820907</t>
  </si>
  <si>
    <t>87063-289</t>
  </si>
  <si>
    <t>ANDA084282</t>
  </si>
  <si>
    <t>ASCLEMED USA INC.</t>
  </si>
  <si>
    <t>19750715</t>
  </si>
  <si>
    <t>87063-290</t>
  </si>
  <si>
    <t>80425-0261</t>
  </si>
  <si>
    <t>ANDA207442</t>
  </si>
  <si>
    <t>Advanced Rx Pharmacy of Tennessee, LLC</t>
  </si>
  <si>
    <t>20230216</t>
  </si>
  <si>
    <t>80425-0556</t>
  </si>
  <si>
    <t>DMT SUIK</t>
  </si>
  <si>
    <t>UNAPPROVED DRUG OTHER</t>
  </si>
  <si>
    <t>Advanced Rx of Tennessee, LLC</t>
  </si>
  <si>
    <t>20251107</t>
  </si>
  <si>
    <t>70121-1399</t>
  </si>
  <si>
    <t>ANDA208690</t>
  </si>
  <si>
    <t>20180826</t>
  </si>
  <si>
    <t>70121-1450</t>
  </si>
  <si>
    <t>ANDA208689</t>
  </si>
  <si>
    <t>20180827</t>
  </si>
  <si>
    <t>70121-1451</t>
  </si>
  <si>
    <t>70121-1452</t>
  </si>
  <si>
    <t>72485-118</t>
  </si>
  <si>
    <t>ANDA217797</t>
  </si>
  <si>
    <t>Armas Pharmaceuticals</t>
  </si>
  <si>
    <t>20250422</t>
  </si>
  <si>
    <t>76420-077</t>
  </si>
  <si>
    <t>Asclemed USA, Inc.</t>
  </si>
  <si>
    <t>20200211</t>
  </si>
  <si>
    <t>76420-185</t>
  </si>
  <si>
    <t>76420-270</t>
  </si>
  <si>
    <t>20030529</t>
  </si>
  <si>
    <t>76420-396</t>
  </si>
  <si>
    <t>76420-397</t>
  </si>
  <si>
    <t>76420-398</t>
  </si>
  <si>
    <t>76420-399</t>
  </si>
  <si>
    <t>ANDA040802</t>
  </si>
  <si>
    <t>76420-555</t>
  </si>
  <si>
    <t>55154-5118</t>
  </si>
  <si>
    <t>Cardinal Health 107, LLC</t>
  </si>
  <si>
    <t>55154-9364</t>
  </si>
  <si>
    <t>72572-120</t>
  </si>
  <si>
    <t>20191113</t>
  </si>
  <si>
    <t>72572-122</t>
  </si>
  <si>
    <t>55150-237</t>
  </si>
  <si>
    <t>55150-238</t>
  </si>
  <si>
    <t>55150-239</t>
  </si>
  <si>
    <t>55150-304</t>
  </si>
  <si>
    <t>ANDA210966</t>
  </si>
  <si>
    <t>20200605</t>
  </si>
  <si>
    <t>55150-305</t>
  </si>
  <si>
    <t>ANDA210967</t>
  </si>
  <si>
    <t>mg/10mL</t>
  </si>
  <si>
    <t>20190607</t>
  </si>
  <si>
    <t>63323-165</t>
  </si>
  <si>
    <t>63323-506</t>
  </si>
  <si>
    <t>ANDA040491</t>
  </si>
  <si>
    <t>63323-516</t>
  </si>
  <si>
    <t>ANDA040572</t>
  </si>
  <si>
    <t>20050405</t>
  </si>
  <si>
    <t>76045-106</t>
  </si>
  <si>
    <t>ANDA203129</t>
  </si>
  <si>
    <t>20151030</t>
  </si>
  <si>
    <t>76045-109</t>
  </si>
  <si>
    <t>INJECTION, EMULSION</t>
  </si>
  <si>
    <t>ANDA209192</t>
  </si>
  <si>
    <t>20180706</t>
  </si>
  <si>
    <t>76045-210</t>
  </si>
  <si>
    <t>20201130</t>
  </si>
  <si>
    <t>76045-212</t>
  </si>
  <si>
    <t>20240221</t>
  </si>
  <si>
    <t>68083-473</t>
  </si>
  <si>
    <t>ANDA215654</t>
  </si>
  <si>
    <t>20210804</t>
  </si>
  <si>
    <t>68083-474</t>
  </si>
  <si>
    <t>68083-607</t>
  </si>
  <si>
    <t>20230925</t>
  </si>
  <si>
    <t>51662-1297</t>
  </si>
  <si>
    <t>HF Acquisition Co LLC, DBA HealthFirst</t>
  </si>
  <si>
    <t>20190721</t>
  </si>
  <si>
    <t>51662-1343</t>
  </si>
  <si>
    <t>20181222</t>
  </si>
  <si>
    <t>51662-1370</t>
  </si>
  <si>
    <t>20191013</t>
  </si>
  <si>
    <t>51662-1391</t>
  </si>
  <si>
    <t>20191008</t>
  </si>
  <si>
    <t>51662-1432</t>
  </si>
  <si>
    <t>20191221</t>
  </si>
  <si>
    <t>51662-1541</t>
  </si>
  <si>
    <t>20220520</t>
  </si>
  <si>
    <t>51662-1660</t>
  </si>
  <si>
    <t>0404-9795</t>
  </si>
  <si>
    <t>Henry Schein, Inc.</t>
  </si>
  <si>
    <t>20250206</t>
  </si>
  <si>
    <t>0404-9805</t>
  </si>
  <si>
    <t>20241209</t>
  </si>
  <si>
    <t>0404-9842</t>
  </si>
  <si>
    <t>20220109</t>
  </si>
  <si>
    <t>0641-0367</t>
  </si>
  <si>
    <t>0641-6145</t>
  </si>
  <si>
    <t>0641-6146</t>
  </si>
  <si>
    <t>71872-7021</t>
  </si>
  <si>
    <t>Medical Purchasing Solutions, LLC</t>
  </si>
  <si>
    <t>71872-7090</t>
  </si>
  <si>
    <t>71872-7091</t>
  </si>
  <si>
    <t>71872-7092</t>
  </si>
  <si>
    <t>71872-7128</t>
  </si>
  <si>
    <t>71872-7147</t>
  </si>
  <si>
    <t>71872-7153</t>
  </si>
  <si>
    <t>71872-7157</t>
  </si>
  <si>
    <t>71872-7164</t>
  </si>
  <si>
    <t>71872-7171</t>
  </si>
  <si>
    <t>71872-7205</t>
  </si>
  <si>
    <t>ANDA211036</t>
  </si>
  <si>
    <t>20190611</t>
  </si>
  <si>
    <t>71872-7239</t>
  </si>
  <si>
    <t>71872-7347</t>
  </si>
  <si>
    <t>Medical Purchasing Solutions, LLC.</t>
  </si>
  <si>
    <t>20241201</t>
  </si>
  <si>
    <t>42571-432</t>
  </si>
  <si>
    <t>Dexamethasone sodium phosphate</t>
  </si>
  <si>
    <t>Micro Labs Limited</t>
  </si>
  <si>
    <t>20240601</t>
  </si>
  <si>
    <t>67457-418</t>
  </si>
  <si>
    <t>Mylan Institutional LLC</t>
  </si>
  <si>
    <t>20200415</t>
  </si>
  <si>
    <t>67457-420</t>
  </si>
  <si>
    <t>67457-421</t>
  </si>
  <si>
    <t>67457-422</t>
  </si>
  <si>
    <t>67457-423</t>
  </si>
  <si>
    <t>67457-483</t>
  </si>
  <si>
    <t>67457-484</t>
  </si>
  <si>
    <t>81565-202</t>
  </si>
  <si>
    <t>Phlow Corporation</t>
  </si>
  <si>
    <t>20211215</t>
  </si>
  <si>
    <t>84549-421</t>
  </si>
  <si>
    <t>ProPharma Distribution</t>
  </si>
  <si>
    <t>84549-422</t>
  </si>
  <si>
    <t>70518-0532</t>
  </si>
  <si>
    <t>REMEDYREPACK INC.</t>
  </si>
  <si>
    <t>20170517</t>
  </si>
  <si>
    <t>70518-3724</t>
  </si>
  <si>
    <t>20230425</t>
  </si>
  <si>
    <t>70518-4372</t>
  </si>
  <si>
    <t>20250625</t>
  </si>
  <si>
    <t>25021-052</t>
  </si>
  <si>
    <t>Sagent Pharmaceuticals</t>
  </si>
  <si>
    <t>25021-053</t>
  </si>
  <si>
    <t>70069-021</t>
  </si>
  <si>
    <t>20180419</t>
  </si>
  <si>
    <t>70069-022</t>
  </si>
  <si>
    <t>ANDA207521</t>
  </si>
  <si>
    <t>20180608</t>
  </si>
  <si>
    <t>70069-023</t>
  </si>
  <si>
    <t>70069-024</t>
  </si>
  <si>
    <t>70069-025</t>
  </si>
  <si>
    <t>85766-071</t>
  </si>
  <si>
    <t>Sportpharm LLC</t>
  </si>
  <si>
    <t>85766-186</t>
  </si>
  <si>
    <t>85766-214</t>
  </si>
  <si>
    <t>85766-215</t>
  </si>
  <si>
    <t>85766-216</t>
  </si>
  <si>
    <t>85766-217</t>
  </si>
  <si>
    <t>85766-269</t>
  </si>
  <si>
    <t>62135-736</t>
  </si>
  <si>
    <t>Flurazepam Hydrochloride</t>
  </si>
  <si>
    <t>CAPSULE</t>
  </si>
  <si>
    <t>ANDA072368</t>
  </si>
  <si>
    <t>Chartwell RX, LLC</t>
  </si>
  <si>
    <t>FLURAZEPAM HYDROCHLORIDE</t>
  </si>
  <si>
    <t>15</t>
  </si>
  <si>
    <t>19890330</t>
  </si>
  <si>
    <t>62135-737</t>
  </si>
  <si>
    <t>ANDA072369</t>
  </si>
  <si>
    <t>30</t>
  </si>
  <si>
    <t>10019-925</t>
  </si>
  <si>
    <t>IFOSFAMIDE</t>
  </si>
  <si>
    <t>INJECTION, POWDER, FOR SOLUTION</t>
  </si>
  <si>
    <t>NDA019763</t>
  </si>
  <si>
    <t>Baxter Healthcare Company</t>
  </si>
  <si>
    <t>1</t>
  </si>
  <si>
    <t>g/20mL</t>
  </si>
  <si>
    <t>19881230</t>
  </si>
  <si>
    <t>10019-926</t>
  </si>
  <si>
    <t>3</t>
  </si>
  <si>
    <t>g/60mL</t>
  </si>
  <si>
    <t>10019-927</t>
  </si>
  <si>
    <t>ifosfamide</t>
  </si>
  <si>
    <t>10019-929</t>
  </si>
  <si>
    <t>0338-3991</t>
  </si>
  <si>
    <t>IFEX</t>
  </si>
  <si>
    <t>Baxter Healthcare Corporation</t>
  </si>
  <si>
    <t>0338-3993</t>
  </si>
  <si>
    <t>63323-142</t>
  </si>
  <si>
    <t>Ifosfamide</t>
  </si>
  <si>
    <t>ANDA076078</t>
  </si>
  <si>
    <t>g/1</t>
  </si>
  <si>
    <t>20030128</t>
  </si>
  <si>
    <t>0143-9530</t>
  </si>
  <si>
    <t>ANDA076619</t>
  </si>
  <si>
    <t>20170610</t>
  </si>
  <si>
    <t>0143-9531</t>
  </si>
  <si>
    <t>71288-180</t>
  </si>
  <si>
    <t>ANDA076657</t>
  </si>
  <si>
    <t>Meitheal Pharmaceutical Inc.</t>
  </si>
  <si>
    <t>20070726</t>
  </si>
  <si>
    <t>71288-181</t>
  </si>
  <si>
    <t>21586-211</t>
  </si>
  <si>
    <t>Ifosfamide for Injection</t>
  </si>
  <si>
    <t>POWDER, FOR SOLUTION</t>
  </si>
  <si>
    <t>UNAPPROVED DRUG FOR USE IN DRUG SHORTAGE</t>
  </si>
  <si>
    <t>SteriMax Inc.</t>
  </si>
  <si>
    <t>20260904</t>
  </si>
  <si>
    <t>16729-277</t>
  </si>
  <si>
    <t>Methotrexate</t>
  </si>
  <si>
    <t>ANDA040716</t>
  </si>
  <si>
    <t>METHOTREXATE</t>
  </si>
  <si>
    <t>25</t>
  </si>
  <si>
    <t>20140307</t>
  </si>
  <si>
    <t>62332-711</t>
  </si>
  <si>
    <t>methotrexate</t>
  </si>
  <si>
    <t>ANDA220225</t>
  </si>
  <si>
    <t>Alembic Pharmaceuticals Inc.</t>
  </si>
  <si>
    <t>METHOTREXATE SODIUM</t>
  </si>
  <si>
    <t>20260415</t>
  </si>
  <si>
    <t>62332-712</t>
  </si>
  <si>
    <t>46708-711</t>
  </si>
  <si>
    <t>Alembic Pharmaceuticals Limited</t>
  </si>
  <si>
    <t>46708-712</t>
  </si>
  <si>
    <t>54436-010</t>
  </si>
  <si>
    <t>Otrexup</t>
  </si>
  <si>
    <t>NDA204824</t>
  </si>
  <si>
    <t>Antares Pharma, Inc.</t>
  </si>
  <si>
    <t>mg/.4mL</t>
  </si>
  <si>
    <t>20131011</t>
  </si>
  <si>
    <t>54436-012</t>
  </si>
  <si>
    <t>12.5</t>
  </si>
  <si>
    <t>54436-015</t>
  </si>
  <si>
    <t>54436-017</t>
  </si>
  <si>
    <t>17.5</t>
  </si>
  <si>
    <t>54436-020</t>
  </si>
  <si>
    <t>20</t>
  </si>
  <si>
    <t>54436-022</t>
  </si>
  <si>
    <t>22.5</t>
  </si>
  <si>
    <t>54436-025</t>
  </si>
  <si>
    <t>55150-510</t>
  </si>
  <si>
    <t>ANDA201529</t>
  </si>
  <si>
    <t>mg/2mL</t>
  </si>
  <si>
    <t>20240911</t>
  </si>
  <si>
    <t>55150-511</t>
  </si>
  <si>
    <t>55150-512</t>
  </si>
  <si>
    <t>200</t>
  </si>
  <si>
    <t>55150-513</t>
  </si>
  <si>
    <t>250</t>
  </si>
  <si>
    <t>63323-122</t>
  </si>
  <si>
    <t>ANDA040266</t>
  </si>
  <si>
    <t>20000122</t>
  </si>
  <si>
    <t>63323-123</t>
  </si>
  <si>
    <t>ANDA040263</t>
  </si>
  <si>
    <t>20010910</t>
  </si>
  <si>
    <t>0143-9367</t>
  </si>
  <si>
    <t>ANDA040632</t>
  </si>
  <si>
    <t>20050906</t>
  </si>
  <si>
    <t>0143-9830</t>
  </si>
  <si>
    <t>61703-124</t>
  </si>
  <si>
    <t>NDA011719</t>
  </si>
  <si>
    <t>20221017</t>
  </si>
  <si>
    <t>61703-161</t>
  </si>
  <si>
    <t>20241104</t>
  </si>
  <si>
    <t>61703-350</t>
  </si>
  <si>
    <t>20140925</t>
  </si>
  <si>
    <t>20050727</t>
  </si>
  <si>
    <t>61703-408</t>
  </si>
  <si>
    <t>20131111</t>
  </si>
  <si>
    <t>20010226</t>
  </si>
  <si>
    <t>59137-505</t>
  </si>
  <si>
    <t>Rasuvo</t>
  </si>
  <si>
    <t>NDA205776</t>
  </si>
  <si>
    <t>Medexus Pharma Inc.</t>
  </si>
  <si>
    <t>7.5</t>
  </si>
  <si>
    <t>mg/.15mL</t>
  </si>
  <si>
    <t>20140710</t>
  </si>
  <si>
    <t>59137-510</t>
  </si>
  <si>
    <t>mg/.2mL</t>
  </si>
  <si>
    <t>59137-515</t>
  </si>
  <si>
    <t>mg/.25mL</t>
  </si>
  <si>
    <t>59137-520</t>
  </si>
  <si>
    <t>mg/.3mL</t>
  </si>
  <si>
    <t>59137-525</t>
  </si>
  <si>
    <t>mg/.35mL</t>
  </si>
  <si>
    <t>59137-530</t>
  </si>
  <si>
    <t>59137-535</t>
  </si>
  <si>
    <t>mg/.45mL</t>
  </si>
  <si>
    <t>59137-540</t>
  </si>
  <si>
    <t>mg/.5mL</t>
  </si>
  <si>
    <t>59137-550</t>
  </si>
  <si>
    <t>mg/.6mL</t>
  </si>
  <si>
    <t>0703-3671</t>
  </si>
  <si>
    <t>ANDA040843</t>
  </si>
  <si>
    <t>20120731</t>
  </si>
  <si>
    <t>0703-3675</t>
  </si>
  <si>
    <t>20120801</t>
  </si>
  <si>
    <t>0703-3678</t>
  </si>
  <si>
    <t>0409-0801</t>
  </si>
  <si>
    <t>Nipent</t>
  </si>
  <si>
    <t>PENTOSTATIN</t>
  </si>
  <si>
    <t>NDA020122</t>
  </si>
  <si>
    <t>2</t>
  </si>
  <si>
    <t>20070815</t>
  </si>
  <si>
    <t>68118-500</t>
  </si>
  <si>
    <t>Zanosar</t>
  </si>
  <si>
    <t>Streptozocin</t>
  </si>
  <si>
    <t>STREPTOZOCIN</t>
  </si>
  <si>
    <t>g/10mL</t>
  </si>
  <si>
    <t>20250710</t>
  </si>
  <si>
    <t>Model inputs</t>
  </si>
  <si>
    <t>Measure</t>
  </si>
  <si>
    <t>Patient risk</t>
  </si>
  <si>
    <t>Market entry</t>
  </si>
  <si>
    <t>Severity: share of products unavailable</t>
  </si>
  <si>
    <t>Persistence: years in shortage</t>
  </si>
  <si>
    <t>Few generic competitors (ANDA approvals)</t>
  </si>
  <si>
    <t>Total</t>
  </si>
  <si>
    <t>Selected view</t>
  </si>
  <si>
    <t>Severity</t>
  </si>
  <si>
    <t>Persistence</t>
  </si>
  <si>
    <t>Few competitors</t>
  </si>
  <si>
    <t>Patient risk score</t>
  </si>
  <si>
    <t>Market entry score</t>
  </si>
  <si>
    <t>Selected score</t>
  </si>
  <si>
    <t>Rank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</si>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</sst>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Oncology drugs in US shortage: selected view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Output!$C$3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Output!$B$4:$B$10</c:f>
              <c:strCache>
                <c:ptCount val="7"/>
                <c:pt idx="0">
                  <c:v>Pentostatin Injection</c:v>
                </c:pt>
                <c:pt idx="1">
                  <c:v>Streptozocin Powder, For Solution</c:v>
                </c:pt>
                <c:pt idx="2">
                  <c:v>Azacitidine Injection</c:v>
                </c:pt>
                <c:pt idx="3">
                  <c:v>Carboplatin Injection</c:v>
                </c:pt>
                <c:pt idx="4">
                  <c:v>Ifosfamide Injection</c:v>
                </c:pt>
                <c:pt idx="5">
                  <c:v>Methotrexate Sodium Injection</c:v>
                </c:pt>
                <c:pt idx="6">
                  <c:v>Dexamethasone Sodium Phosphate Injection</c:v>
                </c:pt>
              </c:strCache>
            </c:strRef>
          </c:cat>
          <c:val>
            <c:numRef>
              <c:f>Output!$C$4:$C$10</c:f>
              <c:numCache>
                <c:formatCode>0.00</c:formatCode>
                <c:ptCount val="7"/>
                <c:pt idx="0">
                  <c:v>0.75</c:v>
                </c:pt>
                <c:pt idx="1">
                  <c:v>0.57008830022075063</c:v>
                </c:pt>
                <c:pt idx="2">
                  <c:v>0.42866400733253296</c:v>
                </c:pt>
                <c:pt idx="3">
                  <c:v>0.38373737495142285</c:v>
                </c:pt>
                <c:pt idx="4">
                  <c:v>0.32164662484024631</c:v>
                </c:pt>
                <c:pt idx="5">
                  <c:v>0.32008332088499392</c:v>
                </c:pt>
                <c:pt idx="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0-4995-BCDB-E9AA2EEBC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3118088"/>
        <c:axId val="159536648"/>
      </c:barChart>
      <c:catAx>
        <c:axId val="363118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36648"/>
        <c:crosses val="autoZero"/>
        <c:auto val="1"/>
        <c:lblAlgn val="ctr"/>
        <c:lblOffset val="100"/>
        <c:noMultiLvlLbl val="0"/>
      </c:catAx>
      <c:valAx>
        <c:axId val="159536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18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8</xdr:col>
      <xdr:colOff>19050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6E49F1-8406-6A7F-0D5C-31B9F80F8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44186</v>
      </c>
      <c r="G2" s="2">
        <v>46312</v>
      </c>
      <c r="H2" t="s">
        <v>13</v>
      </c>
    </row>
    <row r="3" spans="1:8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2">
        <v>44183</v>
      </c>
      <c r="G3" s="2">
        <v>46181</v>
      </c>
      <c r="H3" t="s">
        <v>13</v>
      </c>
    </row>
    <row r="4" spans="1:8">
      <c r="A4" t="s">
        <v>8</v>
      </c>
      <c r="B4" t="s">
        <v>18</v>
      </c>
      <c r="C4" t="s">
        <v>19</v>
      </c>
      <c r="D4" t="s">
        <v>11</v>
      </c>
      <c r="E4" t="s">
        <v>12</v>
      </c>
      <c r="F4" s="2">
        <v>44183</v>
      </c>
      <c r="G4" s="2">
        <v>46310</v>
      </c>
      <c r="H4" t="s">
        <v>13</v>
      </c>
    </row>
    <row r="5" spans="1:8">
      <c r="A5" t="s">
        <v>8</v>
      </c>
      <c r="B5" t="s">
        <v>20</v>
      </c>
      <c r="C5" t="s">
        <v>21</v>
      </c>
      <c r="D5" t="s">
        <v>11</v>
      </c>
      <c r="E5" t="s">
        <v>12</v>
      </c>
      <c r="F5" s="2">
        <v>44183</v>
      </c>
      <c r="G5" s="2">
        <v>46315</v>
      </c>
      <c r="H5" t="s">
        <v>13</v>
      </c>
    </row>
    <row r="6" spans="1:8">
      <c r="A6" t="s">
        <v>8</v>
      </c>
      <c r="B6" t="s">
        <v>22</v>
      </c>
      <c r="C6" t="s">
        <v>23</v>
      </c>
      <c r="D6" t="s">
        <v>24</v>
      </c>
      <c r="E6" t="s">
        <v>25</v>
      </c>
      <c r="F6" s="2">
        <v>44187</v>
      </c>
      <c r="G6" s="2">
        <v>46314</v>
      </c>
      <c r="H6" t="s">
        <v>13</v>
      </c>
    </row>
    <row r="7" spans="1:8">
      <c r="A7" t="s">
        <v>8</v>
      </c>
      <c r="B7" t="s">
        <v>26</v>
      </c>
      <c r="C7" t="s">
        <v>27</v>
      </c>
      <c r="D7" t="s">
        <v>24</v>
      </c>
      <c r="E7" t="s">
        <v>28</v>
      </c>
      <c r="F7" s="2">
        <v>44183</v>
      </c>
      <c r="G7" s="2">
        <v>46310</v>
      </c>
      <c r="H7" t="s">
        <v>13</v>
      </c>
    </row>
    <row r="8" spans="1:8">
      <c r="A8" t="s">
        <v>8</v>
      </c>
      <c r="B8" t="s">
        <v>29</v>
      </c>
      <c r="C8" t="s">
        <v>30</v>
      </c>
      <c r="D8" t="s">
        <v>24</v>
      </c>
      <c r="E8" t="s">
        <v>25</v>
      </c>
      <c r="F8" s="2">
        <v>44183</v>
      </c>
      <c r="G8" s="2">
        <v>46309</v>
      </c>
      <c r="H8" t="s">
        <v>13</v>
      </c>
    </row>
    <row r="9" spans="1:8">
      <c r="A9" t="s">
        <v>8</v>
      </c>
      <c r="B9" t="s">
        <v>31</v>
      </c>
      <c r="C9" t="s">
        <v>32</v>
      </c>
      <c r="D9" t="s">
        <v>11</v>
      </c>
      <c r="E9" t="s">
        <v>12</v>
      </c>
      <c r="F9" s="2">
        <v>44183</v>
      </c>
      <c r="G9" s="2">
        <v>46261</v>
      </c>
      <c r="H9" t="s">
        <v>13</v>
      </c>
    </row>
    <row r="10" spans="1:8">
      <c r="A10" t="s">
        <v>8</v>
      </c>
      <c r="B10" t="s">
        <v>33</v>
      </c>
      <c r="C10" t="s">
        <v>34</v>
      </c>
      <c r="D10" t="s">
        <v>24</v>
      </c>
      <c r="E10" t="s">
        <v>17</v>
      </c>
      <c r="F10" s="2">
        <v>44187</v>
      </c>
      <c r="G10" s="2">
        <v>46310</v>
      </c>
      <c r="H10" t="s">
        <v>13</v>
      </c>
    </row>
    <row r="11" spans="1:8">
      <c r="A11" t="s">
        <v>35</v>
      </c>
      <c r="B11" t="s">
        <v>9</v>
      </c>
      <c r="C11" t="s">
        <v>36</v>
      </c>
      <c r="D11" t="s">
        <v>24</v>
      </c>
      <c r="E11" t="s">
        <v>25</v>
      </c>
      <c r="F11" s="2">
        <v>45044</v>
      </c>
      <c r="G11" s="2">
        <v>46312</v>
      </c>
      <c r="H11" t="s">
        <v>13</v>
      </c>
    </row>
    <row r="12" spans="1:8">
      <c r="A12" t="s">
        <v>35</v>
      </c>
      <c r="B12" t="s">
        <v>9</v>
      </c>
      <c r="C12" t="s">
        <v>37</v>
      </c>
      <c r="D12" t="s">
        <v>24</v>
      </c>
      <c r="E12" t="s">
        <v>25</v>
      </c>
      <c r="F12" s="2">
        <v>45044</v>
      </c>
      <c r="G12" s="2">
        <v>46312</v>
      </c>
      <c r="H12" t="s">
        <v>13</v>
      </c>
    </row>
    <row r="13" spans="1:8">
      <c r="A13" t="s">
        <v>35</v>
      </c>
      <c r="B13" t="s">
        <v>9</v>
      </c>
      <c r="C13" t="s">
        <v>38</v>
      </c>
      <c r="D13" t="s">
        <v>24</v>
      </c>
      <c r="E13" t="s">
        <v>25</v>
      </c>
      <c r="F13" s="2">
        <v>45044</v>
      </c>
      <c r="G13" s="2">
        <v>46312</v>
      </c>
      <c r="H13" t="s">
        <v>13</v>
      </c>
    </row>
    <row r="14" spans="1:8">
      <c r="A14" t="s">
        <v>35</v>
      </c>
      <c r="B14" t="s">
        <v>9</v>
      </c>
      <c r="C14" t="s">
        <v>39</v>
      </c>
      <c r="D14" t="s">
        <v>24</v>
      </c>
      <c r="E14" t="s">
        <v>25</v>
      </c>
      <c r="F14" s="2">
        <v>45044</v>
      </c>
      <c r="G14" s="2">
        <v>46312</v>
      </c>
      <c r="H14" t="s">
        <v>13</v>
      </c>
    </row>
    <row r="15" spans="1:8">
      <c r="A15" t="s">
        <v>35</v>
      </c>
      <c r="B15" t="s">
        <v>40</v>
      </c>
      <c r="C15" t="s">
        <v>41</v>
      </c>
      <c r="D15" t="s">
        <v>11</v>
      </c>
      <c r="E15" t="s">
        <v>12</v>
      </c>
      <c r="F15" s="2">
        <v>45044</v>
      </c>
      <c r="G15" s="2">
        <v>46266</v>
      </c>
      <c r="H15" t="s">
        <v>13</v>
      </c>
    </row>
    <row r="16" spans="1:8">
      <c r="A16" t="s">
        <v>35</v>
      </c>
      <c r="B16" t="s">
        <v>40</v>
      </c>
      <c r="C16" t="s">
        <v>42</v>
      </c>
      <c r="D16" t="s">
        <v>11</v>
      </c>
      <c r="E16" t="s">
        <v>12</v>
      </c>
      <c r="F16" s="2">
        <v>45044</v>
      </c>
      <c r="G16" s="2">
        <v>46266</v>
      </c>
      <c r="H16" t="s">
        <v>13</v>
      </c>
    </row>
    <row r="17" spans="1:8">
      <c r="A17" t="s">
        <v>35</v>
      </c>
      <c r="B17" t="s">
        <v>22</v>
      </c>
      <c r="C17" t="s">
        <v>43</v>
      </c>
      <c r="D17" t="s">
        <v>24</v>
      </c>
      <c r="E17" t="s">
        <v>25</v>
      </c>
      <c r="F17" s="2">
        <v>45044</v>
      </c>
      <c r="G17" s="2">
        <v>46314</v>
      </c>
      <c r="H17" t="s">
        <v>13</v>
      </c>
    </row>
    <row r="18" spans="1:8">
      <c r="A18" t="s">
        <v>35</v>
      </c>
      <c r="B18" t="s">
        <v>22</v>
      </c>
      <c r="C18" t="s">
        <v>44</v>
      </c>
      <c r="D18" t="s">
        <v>11</v>
      </c>
      <c r="E18" t="s">
        <v>12</v>
      </c>
      <c r="F18" s="2">
        <v>45044</v>
      </c>
      <c r="G18" s="2">
        <v>46314</v>
      </c>
      <c r="H18" t="s">
        <v>13</v>
      </c>
    </row>
    <row r="19" spans="1:8">
      <c r="A19" t="s">
        <v>35</v>
      </c>
      <c r="B19" t="s">
        <v>26</v>
      </c>
      <c r="C19" t="s">
        <v>45</v>
      </c>
      <c r="D19" t="s">
        <v>24</v>
      </c>
      <c r="E19" t="s">
        <v>46</v>
      </c>
      <c r="F19" s="2">
        <v>45044</v>
      </c>
      <c r="G19" s="2">
        <v>46310</v>
      </c>
      <c r="H19" t="s">
        <v>13</v>
      </c>
    </row>
    <row r="20" spans="1:8">
      <c r="A20" t="s">
        <v>35</v>
      </c>
      <c r="B20" t="s">
        <v>47</v>
      </c>
      <c r="C20" t="s">
        <v>48</v>
      </c>
      <c r="D20" t="s">
        <v>11</v>
      </c>
      <c r="E20" t="s">
        <v>12</v>
      </c>
      <c r="F20" s="2">
        <v>45044</v>
      </c>
      <c r="G20" s="2">
        <v>46316</v>
      </c>
      <c r="H20" t="s">
        <v>13</v>
      </c>
    </row>
    <row r="21" spans="1:8">
      <c r="A21" t="s">
        <v>35</v>
      </c>
      <c r="B21" t="s">
        <v>47</v>
      </c>
      <c r="C21" t="s">
        <v>49</v>
      </c>
      <c r="D21" t="s">
        <v>16</v>
      </c>
      <c r="E21" t="s">
        <v>25</v>
      </c>
      <c r="F21" s="2">
        <v>45044</v>
      </c>
      <c r="G21" s="2">
        <v>46316</v>
      </c>
      <c r="H21" t="s">
        <v>13</v>
      </c>
    </row>
    <row r="22" spans="1:8">
      <c r="A22" t="s">
        <v>35</v>
      </c>
      <c r="B22" t="s">
        <v>47</v>
      </c>
      <c r="C22" t="s">
        <v>50</v>
      </c>
      <c r="D22" t="s">
        <v>24</v>
      </c>
      <c r="E22" t="s">
        <v>28</v>
      </c>
      <c r="F22" s="2">
        <v>45044</v>
      </c>
      <c r="G22" s="2">
        <v>46316</v>
      </c>
      <c r="H22" t="s">
        <v>13</v>
      </c>
    </row>
    <row r="23" spans="1:8">
      <c r="A23" t="s">
        <v>35</v>
      </c>
      <c r="B23" t="s">
        <v>47</v>
      </c>
      <c r="C23" t="s">
        <v>51</v>
      </c>
      <c r="D23" t="s">
        <v>16</v>
      </c>
      <c r="E23" t="s">
        <v>25</v>
      </c>
      <c r="F23" s="2">
        <v>45044</v>
      </c>
      <c r="G23" s="2">
        <v>46316</v>
      </c>
      <c r="H23" t="s">
        <v>13</v>
      </c>
    </row>
    <row r="24" spans="1:8">
      <c r="A24" t="s">
        <v>35</v>
      </c>
      <c r="B24" t="s">
        <v>52</v>
      </c>
      <c r="C24" t="s">
        <v>53</v>
      </c>
      <c r="D24" t="s">
        <v>24</v>
      </c>
      <c r="E24" t="s">
        <v>17</v>
      </c>
      <c r="F24" s="2">
        <v>45044</v>
      </c>
      <c r="G24" s="2">
        <v>46316</v>
      </c>
      <c r="H24" t="s">
        <v>13</v>
      </c>
    </row>
    <row r="25" spans="1:8">
      <c r="A25" t="s">
        <v>35</v>
      </c>
      <c r="B25" t="s">
        <v>52</v>
      </c>
      <c r="C25" t="s">
        <v>54</v>
      </c>
      <c r="D25" t="s">
        <v>16</v>
      </c>
      <c r="E25" t="s">
        <v>17</v>
      </c>
      <c r="F25" s="2">
        <v>45044</v>
      </c>
      <c r="G25" s="2">
        <v>46316</v>
      </c>
      <c r="H25" t="s">
        <v>13</v>
      </c>
    </row>
    <row r="26" spans="1:8">
      <c r="A26" t="s">
        <v>35</v>
      </c>
      <c r="B26" t="s">
        <v>52</v>
      </c>
      <c r="C26" t="s">
        <v>55</v>
      </c>
      <c r="D26" t="s">
        <v>24</v>
      </c>
      <c r="E26" t="s">
        <v>17</v>
      </c>
      <c r="F26" s="2">
        <v>45044</v>
      </c>
      <c r="G26" s="2">
        <v>46316</v>
      </c>
      <c r="H26" t="s">
        <v>13</v>
      </c>
    </row>
    <row r="27" spans="1:8">
      <c r="A27" t="s">
        <v>35</v>
      </c>
      <c r="B27" t="s">
        <v>52</v>
      </c>
      <c r="C27" t="s">
        <v>56</v>
      </c>
      <c r="D27" t="s">
        <v>16</v>
      </c>
      <c r="E27" t="s">
        <v>17</v>
      </c>
      <c r="F27" s="2">
        <v>45044</v>
      </c>
      <c r="G27" s="2">
        <v>46316</v>
      </c>
      <c r="H27" t="s">
        <v>13</v>
      </c>
    </row>
    <row r="28" spans="1:8">
      <c r="A28" t="s">
        <v>35</v>
      </c>
      <c r="B28" t="s">
        <v>52</v>
      </c>
      <c r="C28" t="s">
        <v>57</v>
      </c>
      <c r="D28" t="s">
        <v>16</v>
      </c>
      <c r="E28" t="s">
        <v>25</v>
      </c>
      <c r="F28" s="2">
        <v>45044</v>
      </c>
      <c r="G28" s="2">
        <v>46316</v>
      </c>
      <c r="H28" t="s">
        <v>13</v>
      </c>
    </row>
    <row r="29" spans="1:8">
      <c r="A29" t="s">
        <v>35</v>
      </c>
      <c r="B29" t="s">
        <v>52</v>
      </c>
      <c r="C29" t="s">
        <v>58</v>
      </c>
      <c r="D29" t="s">
        <v>24</v>
      </c>
      <c r="E29" t="s">
        <v>17</v>
      </c>
      <c r="F29" s="2">
        <v>45044</v>
      </c>
      <c r="G29" s="2">
        <v>46316</v>
      </c>
      <c r="H29" t="s">
        <v>13</v>
      </c>
    </row>
    <row r="30" spans="1:8">
      <c r="A30" t="s">
        <v>35</v>
      </c>
      <c r="B30" t="s">
        <v>52</v>
      </c>
      <c r="C30" t="s">
        <v>59</v>
      </c>
      <c r="D30" t="s">
        <v>16</v>
      </c>
      <c r="E30" t="s">
        <v>17</v>
      </c>
      <c r="F30" s="2">
        <v>45044</v>
      </c>
      <c r="G30" s="2">
        <v>46316</v>
      </c>
      <c r="H30" t="s">
        <v>13</v>
      </c>
    </row>
    <row r="31" spans="1:8">
      <c r="A31" t="s">
        <v>35</v>
      </c>
      <c r="B31" t="s">
        <v>52</v>
      </c>
      <c r="C31" t="s">
        <v>60</v>
      </c>
      <c r="D31" t="s">
        <v>24</v>
      </c>
      <c r="E31" t="s">
        <v>17</v>
      </c>
      <c r="F31" s="2">
        <v>45044</v>
      </c>
      <c r="G31" s="2">
        <v>46316</v>
      </c>
      <c r="H31" t="s">
        <v>13</v>
      </c>
    </row>
    <row r="32" spans="1:8">
      <c r="A32" t="s">
        <v>35</v>
      </c>
      <c r="B32" t="s">
        <v>33</v>
      </c>
      <c r="C32" t="s">
        <v>61</v>
      </c>
      <c r="D32" t="s">
        <v>16</v>
      </c>
      <c r="E32" t="s">
        <v>17</v>
      </c>
      <c r="F32" s="2">
        <v>45044</v>
      </c>
      <c r="G32" s="2">
        <v>46310</v>
      </c>
      <c r="H32" t="s">
        <v>13</v>
      </c>
    </row>
    <row r="33" spans="1:8">
      <c r="A33" t="s">
        <v>35</v>
      </c>
      <c r="B33" t="s">
        <v>33</v>
      </c>
      <c r="C33" t="s">
        <v>62</v>
      </c>
      <c r="D33" t="s">
        <v>24</v>
      </c>
      <c r="E33" t="s">
        <v>17</v>
      </c>
      <c r="F33" s="2">
        <v>45044</v>
      </c>
      <c r="G33" s="2">
        <v>46310</v>
      </c>
      <c r="H33" t="s">
        <v>13</v>
      </c>
    </row>
    <row r="34" spans="1:8">
      <c r="A34" t="s">
        <v>35</v>
      </c>
      <c r="B34" t="s">
        <v>33</v>
      </c>
      <c r="C34" t="s">
        <v>63</v>
      </c>
      <c r="D34" t="s">
        <v>11</v>
      </c>
      <c r="E34" t="s">
        <v>12</v>
      </c>
      <c r="F34" s="2">
        <v>45044</v>
      </c>
      <c r="G34" s="2">
        <v>46310</v>
      </c>
      <c r="H34" t="s">
        <v>13</v>
      </c>
    </row>
    <row r="35" spans="1:8">
      <c r="A35" t="s">
        <v>35</v>
      </c>
      <c r="B35" t="s">
        <v>33</v>
      </c>
      <c r="C35" t="s">
        <v>64</v>
      </c>
      <c r="D35" t="s">
        <v>16</v>
      </c>
      <c r="E35" t="s">
        <v>17</v>
      </c>
      <c r="F35" s="2">
        <v>45044</v>
      </c>
      <c r="G35" s="2">
        <v>46310</v>
      </c>
      <c r="H35" t="s">
        <v>13</v>
      </c>
    </row>
    <row r="36" spans="1:8">
      <c r="A36" t="s">
        <v>35</v>
      </c>
      <c r="B36" t="s">
        <v>65</v>
      </c>
      <c r="C36" t="s">
        <v>66</v>
      </c>
      <c r="D36" t="s">
        <v>11</v>
      </c>
      <c r="E36" t="s">
        <v>12</v>
      </c>
      <c r="F36" s="2">
        <v>45044</v>
      </c>
      <c r="G36" s="2">
        <v>46315</v>
      </c>
      <c r="H36" t="s">
        <v>13</v>
      </c>
    </row>
    <row r="37" spans="1:8">
      <c r="A37" t="s">
        <v>35</v>
      </c>
      <c r="B37" t="s">
        <v>65</v>
      </c>
      <c r="C37" t="s">
        <v>67</v>
      </c>
      <c r="D37" t="s">
        <v>11</v>
      </c>
      <c r="E37" t="s">
        <v>12</v>
      </c>
      <c r="F37" s="2">
        <v>45044</v>
      </c>
      <c r="G37" s="2">
        <v>46315</v>
      </c>
      <c r="H37" t="s">
        <v>13</v>
      </c>
    </row>
    <row r="38" spans="1:8">
      <c r="A38" t="s">
        <v>35</v>
      </c>
      <c r="B38" t="s">
        <v>65</v>
      </c>
      <c r="C38" t="s">
        <v>68</v>
      </c>
      <c r="D38" t="s">
        <v>11</v>
      </c>
      <c r="E38" t="s">
        <v>12</v>
      </c>
      <c r="F38" s="2">
        <v>45044</v>
      </c>
      <c r="G38" s="2">
        <v>46315</v>
      </c>
      <c r="H38" t="s">
        <v>13</v>
      </c>
    </row>
    <row r="39" spans="1:8">
      <c r="A39" t="s">
        <v>35</v>
      </c>
      <c r="B39" t="s">
        <v>65</v>
      </c>
      <c r="C39" t="s">
        <v>69</v>
      </c>
      <c r="D39" t="s">
        <v>11</v>
      </c>
      <c r="E39" t="s">
        <v>12</v>
      </c>
      <c r="F39" s="2">
        <v>45044</v>
      </c>
      <c r="G39" s="2">
        <v>46315</v>
      </c>
      <c r="H39" t="s">
        <v>13</v>
      </c>
    </row>
    <row r="40" spans="1:8">
      <c r="A40" t="s">
        <v>70</v>
      </c>
      <c r="B40" t="s">
        <v>22</v>
      </c>
      <c r="C40" t="s">
        <v>71</v>
      </c>
      <c r="D40" t="s">
        <v>11</v>
      </c>
      <c r="E40" t="s">
        <v>12</v>
      </c>
      <c r="F40" s="2">
        <v>43504</v>
      </c>
      <c r="G40" s="2">
        <v>46314</v>
      </c>
      <c r="H40" t="s">
        <v>72</v>
      </c>
    </row>
    <row r="41" spans="1:8">
      <c r="A41" t="s">
        <v>70</v>
      </c>
      <c r="B41" t="s">
        <v>26</v>
      </c>
      <c r="C41" t="s">
        <v>73</v>
      </c>
      <c r="D41" t="s">
        <v>11</v>
      </c>
      <c r="E41" t="s">
        <v>12</v>
      </c>
      <c r="F41" s="2">
        <v>43504</v>
      </c>
      <c r="G41" s="2">
        <v>46310</v>
      </c>
      <c r="H41" t="s">
        <v>72</v>
      </c>
    </row>
    <row r="42" spans="1:8">
      <c r="A42" t="s">
        <v>70</v>
      </c>
      <c r="B42" t="s">
        <v>26</v>
      </c>
      <c r="C42" t="s">
        <v>74</v>
      </c>
      <c r="D42" t="s">
        <v>11</v>
      </c>
      <c r="E42" t="s">
        <v>12</v>
      </c>
      <c r="F42" s="2">
        <v>43504</v>
      </c>
      <c r="G42" s="2">
        <v>46310</v>
      </c>
      <c r="H42" t="s">
        <v>72</v>
      </c>
    </row>
    <row r="43" spans="1:8">
      <c r="A43" t="s">
        <v>70</v>
      </c>
      <c r="B43" t="s">
        <v>26</v>
      </c>
      <c r="C43" t="s">
        <v>75</v>
      </c>
      <c r="D43" t="s">
        <v>24</v>
      </c>
      <c r="E43" t="s">
        <v>25</v>
      </c>
      <c r="F43" s="2">
        <v>43504</v>
      </c>
      <c r="G43" s="2">
        <v>46310</v>
      </c>
      <c r="H43" t="s">
        <v>72</v>
      </c>
    </row>
    <row r="44" spans="1:8">
      <c r="A44" t="s">
        <v>70</v>
      </c>
      <c r="B44" t="s">
        <v>26</v>
      </c>
      <c r="C44" t="s">
        <v>76</v>
      </c>
      <c r="D44" t="s">
        <v>24</v>
      </c>
      <c r="E44" t="s">
        <v>25</v>
      </c>
      <c r="F44" s="2">
        <v>43504</v>
      </c>
      <c r="G44" s="2">
        <v>46310</v>
      </c>
      <c r="H44" t="s">
        <v>72</v>
      </c>
    </row>
    <row r="45" spans="1:8">
      <c r="A45" t="s">
        <v>70</v>
      </c>
      <c r="B45" t="s">
        <v>26</v>
      </c>
      <c r="C45" t="s">
        <v>77</v>
      </c>
      <c r="D45" t="s">
        <v>24</v>
      </c>
      <c r="E45" t="s">
        <v>25</v>
      </c>
      <c r="F45" s="2">
        <v>43504</v>
      </c>
      <c r="G45" s="2">
        <v>46310</v>
      </c>
      <c r="H45" t="s">
        <v>72</v>
      </c>
    </row>
    <row r="46" spans="1:8">
      <c r="A46" t="s">
        <v>70</v>
      </c>
      <c r="B46" t="s">
        <v>26</v>
      </c>
      <c r="C46" t="s">
        <v>78</v>
      </c>
      <c r="D46" t="s">
        <v>11</v>
      </c>
      <c r="E46" t="s">
        <v>12</v>
      </c>
      <c r="F46" s="2">
        <v>43504</v>
      </c>
      <c r="G46" s="2">
        <v>46310</v>
      </c>
      <c r="H46" t="s">
        <v>72</v>
      </c>
    </row>
    <row r="47" spans="1:8">
      <c r="A47" t="s">
        <v>70</v>
      </c>
      <c r="B47" t="s">
        <v>26</v>
      </c>
      <c r="C47" t="s">
        <v>79</v>
      </c>
      <c r="D47" t="s">
        <v>11</v>
      </c>
      <c r="E47" t="s">
        <v>12</v>
      </c>
      <c r="F47" s="2">
        <v>43504</v>
      </c>
      <c r="G47" s="2">
        <v>46310</v>
      </c>
      <c r="H47" t="s">
        <v>72</v>
      </c>
    </row>
    <row r="48" spans="1:8">
      <c r="A48" t="s">
        <v>70</v>
      </c>
      <c r="B48" t="s">
        <v>26</v>
      </c>
      <c r="C48" t="s">
        <v>80</v>
      </c>
      <c r="D48" t="s">
        <v>11</v>
      </c>
      <c r="E48" t="s">
        <v>12</v>
      </c>
      <c r="F48" s="2">
        <v>43504</v>
      </c>
      <c r="G48" s="2">
        <v>46310</v>
      </c>
      <c r="H48" t="s">
        <v>72</v>
      </c>
    </row>
    <row r="49" spans="1:8">
      <c r="A49" t="s">
        <v>70</v>
      </c>
      <c r="B49" t="s">
        <v>26</v>
      </c>
      <c r="C49" t="s">
        <v>81</v>
      </c>
      <c r="D49" t="s">
        <v>11</v>
      </c>
      <c r="E49" t="s">
        <v>12</v>
      </c>
      <c r="F49" s="2">
        <v>43504</v>
      </c>
      <c r="G49" s="2">
        <v>46310</v>
      </c>
      <c r="H49" t="s">
        <v>72</v>
      </c>
    </row>
    <row r="50" spans="1:8">
      <c r="A50" t="s">
        <v>70</v>
      </c>
      <c r="B50" t="s">
        <v>29</v>
      </c>
      <c r="C50" t="s">
        <v>82</v>
      </c>
      <c r="D50" t="s">
        <v>11</v>
      </c>
      <c r="E50" t="s">
        <v>12</v>
      </c>
      <c r="F50" s="2">
        <v>43504</v>
      </c>
      <c r="G50" s="2">
        <v>46309</v>
      </c>
      <c r="H50" t="s">
        <v>72</v>
      </c>
    </row>
    <row r="51" spans="1:8">
      <c r="A51" t="s">
        <v>70</v>
      </c>
      <c r="B51" t="s">
        <v>29</v>
      </c>
      <c r="C51" t="s">
        <v>83</v>
      </c>
      <c r="D51" t="s">
        <v>24</v>
      </c>
      <c r="E51" t="s">
        <v>25</v>
      </c>
      <c r="F51" s="2">
        <v>43504</v>
      </c>
      <c r="G51" s="2">
        <v>46309</v>
      </c>
      <c r="H51" t="s">
        <v>72</v>
      </c>
    </row>
    <row r="52" spans="1:8">
      <c r="A52" t="s">
        <v>70</v>
      </c>
      <c r="B52" t="s">
        <v>29</v>
      </c>
      <c r="C52" t="s">
        <v>84</v>
      </c>
      <c r="D52" t="s">
        <v>11</v>
      </c>
      <c r="E52" t="s">
        <v>12</v>
      </c>
      <c r="F52" s="2">
        <v>43504</v>
      </c>
      <c r="G52" s="2">
        <v>46309</v>
      </c>
      <c r="H52" t="s">
        <v>72</v>
      </c>
    </row>
    <row r="53" spans="1:8">
      <c r="A53" t="s">
        <v>70</v>
      </c>
      <c r="B53" t="s">
        <v>85</v>
      </c>
      <c r="C53" t="s">
        <v>86</v>
      </c>
      <c r="D53" t="s">
        <v>11</v>
      </c>
      <c r="E53" t="s">
        <v>12</v>
      </c>
      <c r="F53" s="2">
        <v>43504</v>
      </c>
      <c r="G53" s="2">
        <v>46314</v>
      </c>
      <c r="H53" t="s">
        <v>72</v>
      </c>
    </row>
    <row r="54" spans="1:8">
      <c r="A54" t="s">
        <v>70</v>
      </c>
      <c r="B54" t="s">
        <v>85</v>
      </c>
      <c r="C54" t="s">
        <v>87</v>
      </c>
      <c r="D54" t="s">
        <v>11</v>
      </c>
      <c r="E54" t="s">
        <v>12</v>
      </c>
      <c r="F54" s="2">
        <v>43504</v>
      </c>
      <c r="G54" s="2">
        <v>46314</v>
      </c>
      <c r="H54" t="s">
        <v>72</v>
      </c>
    </row>
    <row r="55" spans="1:8">
      <c r="A55" t="s">
        <v>70</v>
      </c>
      <c r="B55" t="s">
        <v>85</v>
      </c>
      <c r="C55" t="s">
        <v>88</v>
      </c>
      <c r="D55" t="s">
        <v>11</v>
      </c>
      <c r="E55" t="s">
        <v>12</v>
      </c>
      <c r="F55" s="2">
        <v>43504</v>
      </c>
      <c r="G55" s="2">
        <v>46314</v>
      </c>
      <c r="H55" t="s">
        <v>72</v>
      </c>
    </row>
    <row r="56" spans="1:8">
      <c r="A56" t="s">
        <v>70</v>
      </c>
      <c r="B56" t="s">
        <v>85</v>
      </c>
      <c r="C56" t="s">
        <v>89</v>
      </c>
      <c r="D56" t="s">
        <v>11</v>
      </c>
      <c r="E56" t="s">
        <v>12</v>
      </c>
      <c r="F56" s="2">
        <v>43504</v>
      </c>
      <c r="G56" s="2">
        <v>46314</v>
      </c>
      <c r="H56" t="s">
        <v>72</v>
      </c>
    </row>
    <row r="57" spans="1:8">
      <c r="A57" t="s">
        <v>70</v>
      </c>
      <c r="B57" t="s">
        <v>90</v>
      </c>
      <c r="C57" t="s">
        <v>91</v>
      </c>
      <c r="D57" t="s">
        <v>11</v>
      </c>
      <c r="E57" t="s">
        <v>12</v>
      </c>
      <c r="F57" s="2">
        <v>43504</v>
      </c>
      <c r="G57" s="2">
        <v>46322</v>
      </c>
      <c r="H57" t="s">
        <v>72</v>
      </c>
    </row>
    <row r="58" spans="1:8">
      <c r="A58" t="s">
        <v>70</v>
      </c>
      <c r="B58" t="s">
        <v>90</v>
      </c>
      <c r="C58" t="s">
        <v>92</v>
      </c>
      <c r="D58" t="s">
        <v>11</v>
      </c>
      <c r="E58" t="s">
        <v>12</v>
      </c>
      <c r="F58" s="2">
        <v>43504</v>
      </c>
      <c r="G58" s="2">
        <v>46322</v>
      </c>
      <c r="H58" t="s">
        <v>72</v>
      </c>
    </row>
    <row r="59" spans="1:8">
      <c r="A59" t="s">
        <v>93</v>
      </c>
      <c r="B59" t="s">
        <v>94</v>
      </c>
      <c r="C59" t="s">
        <v>95</v>
      </c>
      <c r="D59" t="s">
        <v>11</v>
      </c>
      <c r="E59" t="s">
        <v>12</v>
      </c>
      <c r="F59" s="2">
        <v>44776</v>
      </c>
      <c r="G59" s="2">
        <v>46280</v>
      </c>
      <c r="H59" t="s">
        <v>96</v>
      </c>
    </row>
    <row r="60" spans="1:8">
      <c r="A60" t="s">
        <v>97</v>
      </c>
      <c r="B60" t="s">
        <v>98</v>
      </c>
      <c r="C60" t="s">
        <v>99</v>
      </c>
      <c r="D60" t="s">
        <v>11</v>
      </c>
      <c r="E60" t="s">
        <v>12</v>
      </c>
      <c r="F60" s="2">
        <v>46185</v>
      </c>
      <c r="G60" s="2">
        <v>46311</v>
      </c>
      <c r="H60" t="s">
        <v>100</v>
      </c>
    </row>
    <row r="61" spans="1:8">
      <c r="A61" t="s">
        <v>97</v>
      </c>
      <c r="B61" t="s">
        <v>98</v>
      </c>
      <c r="C61" t="s">
        <v>101</v>
      </c>
      <c r="D61" t="s">
        <v>24</v>
      </c>
      <c r="E61" t="s">
        <v>102</v>
      </c>
      <c r="F61" s="2">
        <v>46185</v>
      </c>
      <c r="G61" s="2">
        <v>46311</v>
      </c>
      <c r="H61" t="s">
        <v>100</v>
      </c>
    </row>
    <row r="62" spans="1:8">
      <c r="A62" t="s">
        <v>97</v>
      </c>
      <c r="B62" t="s">
        <v>98</v>
      </c>
      <c r="C62" t="s">
        <v>103</v>
      </c>
      <c r="D62" t="s">
        <v>11</v>
      </c>
      <c r="E62" t="s">
        <v>12</v>
      </c>
      <c r="F62" s="2">
        <v>46185</v>
      </c>
      <c r="G62" s="2">
        <v>46311</v>
      </c>
      <c r="H62" t="s">
        <v>100</v>
      </c>
    </row>
    <row r="63" spans="1:8">
      <c r="A63" t="s">
        <v>97</v>
      </c>
      <c r="B63" t="s">
        <v>98</v>
      </c>
      <c r="C63" t="s">
        <v>104</v>
      </c>
      <c r="D63" t="s">
        <v>11</v>
      </c>
      <c r="E63" t="s">
        <v>12</v>
      </c>
      <c r="F63" s="2">
        <v>46185</v>
      </c>
      <c r="G63" s="2">
        <v>46311</v>
      </c>
      <c r="H63" t="s">
        <v>100</v>
      </c>
    </row>
    <row r="64" spans="1:8">
      <c r="A64" t="s">
        <v>97</v>
      </c>
      <c r="B64" t="s">
        <v>26</v>
      </c>
      <c r="C64" t="s">
        <v>105</v>
      </c>
      <c r="D64" t="s">
        <v>16</v>
      </c>
      <c r="E64" t="s">
        <v>25</v>
      </c>
      <c r="F64" s="2">
        <v>46185</v>
      </c>
      <c r="G64" s="2">
        <v>46310</v>
      </c>
      <c r="H64" t="s">
        <v>100</v>
      </c>
    </row>
    <row r="65" spans="1:8">
      <c r="A65" t="s">
        <v>97</v>
      </c>
      <c r="B65" t="s">
        <v>29</v>
      </c>
      <c r="C65" t="s">
        <v>106</v>
      </c>
      <c r="D65" t="s">
        <v>24</v>
      </c>
      <c r="E65" t="s">
        <v>25</v>
      </c>
      <c r="F65" s="2">
        <v>46185</v>
      </c>
      <c r="G65" s="2">
        <v>46309</v>
      </c>
      <c r="H65" t="s">
        <v>100</v>
      </c>
    </row>
    <row r="66" spans="1:8">
      <c r="A66" t="s">
        <v>97</v>
      </c>
      <c r="B66" t="s">
        <v>29</v>
      </c>
      <c r="C66" t="s">
        <v>107</v>
      </c>
      <c r="D66" t="s">
        <v>24</v>
      </c>
      <c r="E66" t="s">
        <v>25</v>
      </c>
      <c r="F66" s="2">
        <v>46185</v>
      </c>
      <c r="G66" s="2">
        <v>46309</v>
      </c>
      <c r="H66" t="s">
        <v>100</v>
      </c>
    </row>
    <row r="67" spans="1:8">
      <c r="A67" t="s">
        <v>97</v>
      </c>
      <c r="B67" t="s">
        <v>108</v>
      </c>
      <c r="C67" t="s">
        <v>109</v>
      </c>
      <c r="D67" t="s">
        <v>11</v>
      </c>
      <c r="E67" t="s">
        <v>12</v>
      </c>
      <c r="F67" s="2">
        <v>46185</v>
      </c>
      <c r="G67" s="2">
        <v>46273</v>
      </c>
      <c r="H67" t="s">
        <v>100</v>
      </c>
    </row>
    <row r="68" spans="1:8">
      <c r="A68" t="s">
        <v>110</v>
      </c>
      <c r="B68" t="s">
        <v>9</v>
      </c>
      <c r="C68" t="s">
        <v>111</v>
      </c>
      <c r="D68" t="s">
        <v>11</v>
      </c>
      <c r="E68" t="s">
        <v>12</v>
      </c>
      <c r="F68" s="2">
        <v>44998</v>
      </c>
      <c r="G68" s="2">
        <v>46312</v>
      </c>
      <c r="H68" t="s">
        <v>112</v>
      </c>
    </row>
    <row r="69" spans="1:8">
      <c r="A69" t="s">
        <v>110</v>
      </c>
      <c r="B69" t="s">
        <v>9</v>
      </c>
      <c r="C69" t="s">
        <v>113</v>
      </c>
      <c r="D69" t="s">
        <v>24</v>
      </c>
      <c r="E69" t="s">
        <v>17</v>
      </c>
      <c r="F69" s="2">
        <v>44998</v>
      </c>
      <c r="G69" s="2">
        <v>46312</v>
      </c>
      <c r="H69" t="s">
        <v>112</v>
      </c>
    </row>
    <row r="70" spans="1:8">
      <c r="A70" t="s">
        <v>110</v>
      </c>
      <c r="B70" t="s">
        <v>26</v>
      </c>
      <c r="C70" t="s">
        <v>114</v>
      </c>
      <c r="D70" t="s">
        <v>11</v>
      </c>
      <c r="E70" t="s">
        <v>12</v>
      </c>
      <c r="F70" s="2">
        <v>44998</v>
      </c>
      <c r="G70" s="2">
        <v>46310</v>
      </c>
      <c r="H70" t="s">
        <v>112</v>
      </c>
    </row>
    <row r="71" spans="1:8">
      <c r="A71" t="s">
        <v>110</v>
      </c>
      <c r="B71" t="s">
        <v>26</v>
      </c>
      <c r="C71" t="s">
        <v>115</v>
      </c>
      <c r="D71" t="s">
        <v>11</v>
      </c>
      <c r="E71" t="s">
        <v>12</v>
      </c>
      <c r="F71" s="2">
        <v>44998</v>
      </c>
      <c r="G71" s="2">
        <v>46310</v>
      </c>
      <c r="H71" t="s">
        <v>112</v>
      </c>
    </row>
    <row r="72" spans="1:8">
      <c r="A72" t="s">
        <v>110</v>
      </c>
      <c r="B72" t="s">
        <v>29</v>
      </c>
      <c r="C72" t="s">
        <v>116</v>
      </c>
      <c r="D72" t="s">
        <v>24</v>
      </c>
      <c r="E72" t="s">
        <v>25</v>
      </c>
      <c r="F72" s="2">
        <v>44998</v>
      </c>
      <c r="G72" s="2">
        <v>46309</v>
      </c>
      <c r="H72" t="s">
        <v>112</v>
      </c>
    </row>
    <row r="73" spans="1:8">
      <c r="A73" t="s">
        <v>110</v>
      </c>
      <c r="B73" t="s">
        <v>29</v>
      </c>
      <c r="C73" t="s">
        <v>117</v>
      </c>
      <c r="D73" t="s">
        <v>24</v>
      </c>
      <c r="E73" t="s">
        <v>25</v>
      </c>
      <c r="F73" s="2">
        <v>44998</v>
      </c>
      <c r="G73" s="2">
        <v>46309</v>
      </c>
      <c r="H73" t="s">
        <v>112</v>
      </c>
    </row>
    <row r="74" spans="1:8">
      <c r="A74" t="s">
        <v>110</v>
      </c>
      <c r="B74" t="s">
        <v>52</v>
      </c>
      <c r="C74" t="s">
        <v>118</v>
      </c>
      <c r="D74" t="s">
        <v>11</v>
      </c>
      <c r="E74" t="s">
        <v>12</v>
      </c>
      <c r="F74" s="2">
        <v>44998</v>
      </c>
      <c r="G74" s="2">
        <v>46316</v>
      </c>
      <c r="H74" t="s">
        <v>112</v>
      </c>
    </row>
    <row r="75" spans="1:8">
      <c r="A75" t="s">
        <v>110</v>
      </c>
      <c r="B75" t="s">
        <v>52</v>
      </c>
      <c r="C75" t="s">
        <v>119</v>
      </c>
      <c r="D75" t="s">
        <v>11</v>
      </c>
      <c r="E75" t="s">
        <v>12</v>
      </c>
      <c r="F75" s="2">
        <v>44998</v>
      </c>
      <c r="G75" s="2">
        <v>46316</v>
      </c>
      <c r="H75" t="s">
        <v>112</v>
      </c>
    </row>
    <row r="76" spans="1:8">
      <c r="A76" t="s">
        <v>110</v>
      </c>
      <c r="B76" t="s">
        <v>52</v>
      </c>
      <c r="C76" t="s">
        <v>120</v>
      </c>
      <c r="D76" t="s">
        <v>11</v>
      </c>
      <c r="E76" t="s">
        <v>12</v>
      </c>
      <c r="F76" s="2">
        <v>44998</v>
      </c>
      <c r="G76" s="2">
        <v>46316</v>
      </c>
      <c r="H76" t="s">
        <v>112</v>
      </c>
    </row>
    <row r="77" spans="1:8">
      <c r="A77" t="s">
        <v>110</v>
      </c>
      <c r="B77" t="s">
        <v>52</v>
      </c>
      <c r="C77" t="s">
        <v>121</v>
      </c>
      <c r="D77" t="s">
        <v>11</v>
      </c>
      <c r="E77" t="s">
        <v>12</v>
      </c>
      <c r="F77" s="2">
        <v>44998</v>
      </c>
      <c r="G77" s="2">
        <v>46316</v>
      </c>
      <c r="H77" t="s">
        <v>112</v>
      </c>
    </row>
    <row r="78" spans="1:8">
      <c r="A78" t="s">
        <v>110</v>
      </c>
      <c r="B78" t="s">
        <v>52</v>
      </c>
      <c r="C78" t="s">
        <v>122</v>
      </c>
      <c r="D78" t="s">
        <v>11</v>
      </c>
      <c r="E78" t="s">
        <v>12</v>
      </c>
      <c r="F78" s="2">
        <v>44998</v>
      </c>
      <c r="G78" s="2">
        <v>46316</v>
      </c>
      <c r="H78" t="s">
        <v>112</v>
      </c>
    </row>
    <row r="79" spans="1:8">
      <c r="A79" t="s">
        <v>110</v>
      </c>
      <c r="B79" t="s">
        <v>33</v>
      </c>
      <c r="C79" t="s">
        <v>123</v>
      </c>
      <c r="D79" t="s">
        <v>16</v>
      </c>
      <c r="E79" t="s">
        <v>17</v>
      </c>
      <c r="F79" s="2">
        <v>44998</v>
      </c>
      <c r="G79" s="2">
        <v>46310</v>
      </c>
      <c r="H79" t="s">
        <v>112</v>
      </c>
    </row>
    <row r="80" spans="1:8">
      <c r="A80" t="s">
        <v>110</v>
      </c>
      <c r="B80" t="s">
        <v>33</v>
      </c>
      <c r="C80" t="s">
        <v>124</v>
      </c>
      <c r="D80" t="s">
        <v>24</v>
      </c>
      <c r="E80" t="s">
        <v>17</v>
      </c>
      <c r="F80" s="2">
        <v>44998</v>
      </c>
      <c r="G80" s="2">
        <v>46310</v>
      </c>
      <c r="H80" t="s">
        <v>112</v>
      </c>
    </row>
    <row r="81" spans="1:8">
      <c r="A81" t="s">
        <v>110</v>
      </c>
      <c r="B81" t="s">
        <v>33</v>
      </c>
      <c r="C81" t="s">
        <v>125</v>
      </c>
      <c r="D81" t="s">
        <v>16</v>
      </c>
      <c r="E81" t="s">
        <v>17</v>
      </c>
      <c r="F81" s="2">
        <v>44998</v>
      </c>
      <c r="G81" s="2">
        <v>46310</v>
      </c>
      <c r="H81" t="s">
        <v>112</v>
      </c>
    </row>
    <row r="82" spans="1:8">
      <c r="A82" t="s">
        <v>126</v>
      </c>
      <c r="B82" t="s">
        <v>52</v>
      </c>
      <c r="C82" t="s">
        <v>127</v>
      </c>
      <c r="D82" t="s">
        <v>24</v>
      </c>
      <c r="E82" t="s">
        <v>17</v>
      </c>
      <c r="F82" s="2">
        <v>46261</v>
      </c>
      <c r="G82" s="2">
        <v>46316</v>
      </c>
      <c r="H82" t="s">
        <v>13</v>
      </c>
    </row>
    <row r="83" spans="1:8">
      <c r="A83" t="s">
        <v>128</v>
      </c>
      <c r="B83" t="s">
        <v>129</v>
      </c>
      <c r="C83" t="s">
        <v>130</v>
      </c>
      <c r="D83" t="s">
        <v>11</v>
      </c>
      <c r="E83" t="s">
        <v>12</v>
      </c>
      <c r="F83" s="2">
        <v>44754</v>
      </c>
      <c r="G83" s="2">
        <v>46281</v>
      </c>
      <c r="H83" t="s">
        <v>13</v>
      </c>
    </row>
    <row r="84" spans="1:8">
      <c r="A84" t="s">
        <v>128</v>
      </c>
      <c r="B84" t="s">
        <v>33</v>
      </c>
      <c r="C84" t="s">
        <v>131</v>
      </c>
      <c r="D84" t="s">
        <v>24</v>
      </c>
      <c r="E84" t="s">
        <v>17</v>
      </c>
      <c r="F84" s="2">
        <v>44754</v>
      </c>
      <c r="G84" s="2">
        <v>46310</v>
      </c>
      <c r="H8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9E4B-2B02-4A3B-AF1D-BC91BC7B9AB6}">
  <dimension ref="A1:L9"/>
  <sheetViews>
    <sheetView workbookViewId="0">
      <selection activeCell="D14" sqref="D14"/>
    </sheetView>
  </sheetViews>
  <sheetFormatPr defaultRowHeight="15"/>
  <cols>
    <col min="1" max="1" width="38.5703125" customWidth="1"/>
    <col min="2" max="2" width="16" customWidth="1"/>
    <col min="3" max="3" width="17.5703125" customWidth="1"/>
    <col min="4" max="4" width="12.7109375" style="4" customWidth="1"/>
    <col min="5" max="5" width="20.85546875" customWidth="1"/>
    <col min="6" max="6" width="11" style="3" customWidth="1"/>
    <col min="7" max="7" width="15.42578125" customWidth="1"/>
    <col min="8" max="8" width="12" customWidth="1"/>
    <col min="9" max="9" width="19.7109375" customWidth="1"/>
    <col min="10" max="10" width="22.7109375" customWidth="1"/>
    <col min="11" max="11" width="18.42578125" style="4" customWidth="1"/>
    <col min="12" max="12" width="12.85546875" customWidth="1"/>
  </cols>
  <sheetData>
    <row r="1" spans="1:12" ht="24.75" customHeight="1">
      <c r="A1" t="s">
        <v>0</v>
      </c>
      <c r="B1" t="s">
        <v>132</v>
      </c>
      <c r="C1" t="s">
        <v>133</v>
      </c>
      <c r="D1" s="4" t="s">
        <v>134</v>
      </c>
      <c r="E1" t="s">
        <v>135</v>
      </c>
      <c r="F1" s="3" t="s">
        <v>136</v>
      </c>
      <c r="G1" t="s">
        <v>137</v>
      </c>
      <c r="H1" t="s">
        <v>138</v>
      </c>
      <c r="I1" t="s">
        <v>139</v>
      </c>
      <c r="J1" t="s">
        <v>140</v>
      </c>
      <c r="K1" s="4" t="s">
        <v>141</v>
      </c>
      <c r="L1" t="s">
        <v>142</v>
      </c>
    </row>
    <row r="2" spans="1:12">
      <c r="A2" t="str" cm="1">
        <f t="array" ref="A2:A9">_xlfn._xlws.SORT(_xlfn.UNIQUE(shortage_onc!A2:A84))</f>
        <v>Azacitidine Injection</v>
      </c>
      <c r="B2">
        <f>COUNTIFS(shortage_onc!$A$2:$A$84,A2)</f>
        <v>9</v>
      </c>
      <c r="C2">
        <f>COUNTIFS(shortage_onc!$A$2:$A$84,A2,shortage_onc!$D$2:$D$84,"Unavailable")</f>
        <v>4</v>
      </c>
      <c r="D2" s="4">
        <f>C2/B2</f>
        <v>0.44444444444444442</v>
      </c>
      <c r="E2" cm="1">
        <f t="array" ref="E2">ROWS(_xlfn.UNIQUE(_xlfn._xlws.FILTER(shortage_onc!$B$2:$B$84,shortage_onc!$A$2:$A$84=A2)))</f>
        <v>9</v>
      </c>
      <c r="F2" s="3">
        <f>_xlfn.MINIFS(shortage_onc!$F$2:$F$84,shortage_onc!$A$2:$A$84,A2)</f>
        <v>44183</v>
      </c>
      <c r="G2">
        <f>ROUND((DATE(2026,10,29)-F2)/365.25,2)</f>
        <v>5.86</v>
      </c>
      <c r="H2" cm="1">
        <f t="array" ref="H2">ROWS(_xlfn.UNIQUE(_xlfn._xlws.FILTER(ndc_onc!$B$2:$B$217,ndc_onc!$A$2:$A$217=A2)))</f>
        <v>25</v>
      </c>
      <c r="I2" cm="1">
        <f t="array" ref="I2">ROWS(_xlfn.UNIQUE(_xlfn._xlws.FILTER(ndc_onc!$H$2:$H$217,ndc_onc!$A$2:$A$217=A2)))</f>
        <v>21</v>
      </c>
      <c r="J2" cm="1">
        <f t="array" ref="J2">IFERROR(ROWS(_xlfn.UNIQUE(_xlfn._xlws.FILTER(ndc_onc!$G$2:$G$217,(ndc_onc!$A$2:$A$217=A2)*(ndc_onc!$F$2:$F$217="ANDA")))),0)</f>
        <v>12</v>
      </c>
      <c r="K2" s="4" cm="1">
        <f t="array" ref="K2">MAX(COUNTIFS(shortage_onc!$A$2:$A$84,A2,shortage_onc!$B$2:$B$84,_xlfn.UNIQUE(_xlfn._xlws.FILTER(shortage_onc!$B$2:$B$84,shortage_onc!$A$2:$A$84=A2))))/B2</f>
        <v>0.1111111111111111</v>
      </c>
      <c r="L2" t="str">
        <f>IF(ISNUMBER(SEARCH("Flurazepam",A2)),"No","Yes")</f>
        <v>Yes</v>
      </c>
    </row>
    <row r="3" spans="1:12">
      <c r="A3" t="str">
        <v>Carboplatin Injection</v>
      </c>
      <c r="B3">
        <f>COUNTIFS(shortage_onc!$A$2:$A$84,A3)</f>
        <v>29</v>
      </c>
      <c r="C3">
        <f>COUNTIFS(shortage_onc!$A$2:$A$84,A3,shortage_onc!$D$2:$D$84,"Unavailable")</f>
        <v>12</v>
      </c>
      <c r="D3" s="4">
        <f t="shared" ref="D3:D9" si="0">C3/B3</f>
        <v>0.41379310344827586</v>
      </c>
      <c r="E3" cm="1">
        <f t="array" ref="E3">ROWS(_xlfn.UNIQUE(_xlfn._xlws.FILTER(shortage_onc!$B$2:$B$84,shortage_onc!$A$2:$A$84=A3)))</f>
        <v>8</v>
      </c>
      <c r="F3" s="3">
        <f>_xlfn.MINIFS(shortage_onc!$F$2:$F$84,shortage_onc!$A$2:$A$84,A3)</f>
        <v>45044</v>
      </c>
      <c r="G3">
        <f t="shared" ref="G3:G9" si="1">ROUND((DATE(2026,10,29)-F3)/365.25,2)</f>
        <v>3.5</v>
      </c>
      <c r="H3" cm="1">
        <f t="array" ref="H3">ROWS(_xlfn.UNIQUE(_xlfn._xlws.FILTER(ndc_onc!$B$2:$B$217,ndc_onc!$A$2:$A$217=A3)))</f>
        <v>34</v>
      </c>
      <c r="I3" cm="1">
        <f t="array" ref="I3">ROWS(_xlfn.UNIQUE(_xlfn._xlws.FILTER(ndc_onc!$H$2:$H$217,ndc_onc!$A$2:$A$217=A3)))</f>
        <v>11</v>
      </c>
      <c r="J3" cm="1">
        <f t="array" ref="J3">IFERROR(ROWS(_xlfn.UNIQUE(_xlfn._xlws.FILTER(ndc_onc!$G$2:$G$217,(ndc_onc!$A$2:$A$217=A3)*(ndc_onc!$F$2:$F$217="ANDA")))),0)</f>
        <v>8</v>
      </c>
      <c r="K3" s="4" cm="1">
        <f t="array" ref="K3">MAX(COUNTIFS(shortage_onc!$A$2:$A$84,A3,shortage_onc!$B$2:$B$84,_xlfn.UNIQUE(_xlfn._xlws.FILTER(shortage_onc!$B$2:$B$84,shortage_onc!$A$2:$A$84=A3))))/B3</f>
        <v>0.27586206896551724</v>
      </c>
      <c r="L3" t="str">
        <f t="shared" ref="L3:L9" si="2">IF(ISNUMBER(SEARCH("Flurazepam",A3)),"No","Yes")</f>
        <v>Yes</v>
      </c>
    </row>
    <row r="4" spans="1:12">
      <c r="A4" t="str">
        <v>Dexamethasone Sodium Phosphate Injection</v>
      </c>
      <c r="B4">
        <f>COUNTIFS(shortage_onc!$A$2:$A$84,A4)</f>
        <v>19</v>
      </c>
      <c r="C4">
        <f>COUNTIFS(shortage_onc!$A$2:$A$84,A4,shortage_onc!$D$2:$D$84,"Unavailable")</f>
        <v>4</v>
      </c>
      <c r="D4" s="4">
        <f t="shared" si="0"/>
        <v>0.21052631578947367</v>
      </c>
      <c r="E4" cm="1">
        <f t="array" ref="E4">ROWS(_xlfn.UNIQUE(_xlfn._xlws.FILTER(shortage_onc!$B$2:$B$84,shortage_onc!$A$2:$A$84=A4)))</f>
        <v>5</v>
      </c>
      <c r="F4" s="3">
        <f>_xlfn.MINIFS(shortage_onc!$F$2:$F$84,shortage_onc!$A$2:$A$84,A4)</f>
        <v>43504</v>
      </c>
      <c r="G4">
        <f t="shared" si="1"/>
        <v>7.72</v>
      </c>
      <c r="H4" cm="1">
        <f t="array" ref="H4">ROWS(_xlfn.UNIQUE(_xlfn._xlws.FILTER(ndc_onc!$B$2:$B$217,ndc_onc!$A$2:$A$217=A4)))</f>
        <v>95</v>
      </c>
      <c r="I4" cm="1">
        <f t="array" ref="I4">ROWS(_xlfn.UNIQUE(_xlfn._xlws.FILTER(ndc_onc!$H$2:$H$217,ndc_onc!$A$2:$A$217=A4)))</f>
        <v>25</v>
      </c>
      <c r="J4" cm="1">
        <f t="array" ref="J4">IFERROR(ROWS(_xlfn.UNIQUE(_xlfn._xlws.FILTER(ndc_onc!$G$2:$G$217,(ndc_onc!$A$2:$A$217=A4)*(ndc_onc!$F$2:$F$217="ANDA")))),0)</f>
        <v>19</v>
      </c>
      <c r="K4" s="4" cm="1">
        <f t="array" ref="K4">MAX(COUNTIFS(shortage_onc!$A$2:$A$84,A4,shortage_onc!$B$2:$B$84,_xlfn.UNIQUE(_xlfn._xlws.FILTER(shortage_onc!$B$2:$B$84,shortage_onc!$A$2:$A$84=A4))))/B4</f>
        <v>0.47368421052631576</v>
      </c>
      <c r="L4" t="str">
        <f t="shared" si="2"/>
        <v>Yes</v>
      </c>
    </row>
    <row r="5" spans="1:12">
      <c r="A5" t="str">
        <v>Flurazepam Hydrochloride Capsule</v>
      </c>
      <c r="B5">
        <f>COUNTIFS(shortage_onc!$A$2:$A$84,A5)</f>
        <v>1</v>
      </c>
      <c r="C5">
        <f>COUNTIFS(shortage_onc!$A$2:$A$84,A5,shortage_onc!$D$2:$D$84,"Unavailable")</f>
        <v>0</v>
      </c>
      <c r="D5" s="4">
        <f t="shared" si="0"/>
        <v>0</v>
      </c>
      <c r="E5" cm="1">
        <f t="array" ref="E5">ROWS(_xlfn.UNIQUE(_xlfn._xlws.FILTER(shortage_onc!$B$2:$B$84,shortage_onc!$A$2:$A$84=A5)))</f>
        <v>1</v>
      </c>
      <c r="F5" s="3">
        <f>_xlfn.MINIFS(shortage_onc!$F$2:$F$84,shortage_onc!$A$2:$A$84,A5)</f>
        <v>44776</v>
      </c>
      <c r="G5">
        <f t="shared" si="1"/>
        <v>4.24</v>
      </c>
      <c r="H5" cm="1">
        <f t="array" ref="H5">ROWS(_xlfn.UNIQUE(_xlfn._xlws.FILTER(ndc_onc!$B$2:$B$217,ndc_onc!$A$2:$A$217=A5)))</f>
        <v>2</v>
      </c>
      <c r="I5" cm="1">
        <f t="array" ref="I5">ROWS(_xlfn.UNIQUE(_xlfn._xlws.FILTER(ndc_onc!$H$2:$H$217,ndc_onc!$A$2:$A$217=A5)))</f>
        <v>1</v>
      </c>
      <c r="J5" cm="1">
        <f t="array" ref="J5">IFERROR(ROWS(_xlfn.UNIQUE(_xlfn._xlws.FILTER(ndc_onc!$G$2:$G$217,(ndc_onc!$A$2:$A$217=A5)*(ndc_onc!$F$2:$F$217="ANDA")))),0)</f>
        <v>2</v>
      </c>
      <c r="K5" s="4" cm="1">
        <f t="array" ref="K5">MAX(COUNTIFS(shortage_onc!$A$2:$A$84,A5,shortage_onc!$B$2:$B$84,_xlfn.UNIQUE(_xlfn._xlws.FILTER(shortage_onc!$B$2:$B$84,shortage_onc!$A$2:$A$84=A5))))/B5</f>
        <v>1</v>
      </c>
      <c r="L5" t="str">
        <f t="shared" si="2"/>
        <v>No</v>
      </c>
    </row>
    <row r="6" spans="1:12">
      <c r="A6" t="str">
        <v>Ifosfamide Injection</v>
      </c>
      <c r="B6">
        <f>COUNTIFS(shortage_onc!$A$2:$A$84,A6)</f>
        <v>8</v>
      </c>
      <c r="C6">
        <f>COUNTIFS(shortage_onc!$A$2:$A$84,A6,shortage_onc!$D$2:$D$84,"Unavailable")</f>
        <v>3</v>
      </c>
      <c r="D6" s="4">
        <f t="shared" si="0"/>
        <v>0.375</v>
      </c>
      <c r="E6" cm="1">
        <f t="array" ref="E6">ROWS(_xlfn.UNIQUE(_xlfn._xlws.FILTER(shortage_onc!$B$2:$B$84,shortage_onc!$A$2:$A$84=A6)))</f>
        <v>4</v>
      </c>
      <c r="F6" s="3">
        <f>_xlfn.MINIFS(shortage_onc!$F$2:$F$84,shortage_onc!$A$2:$A$84,A6)</f>
        <v>46185</v>
      </c>
      <c r="G6">
        <f t="shared" si="1"/>
        <v>0.38</v>
      </c>
      <c r="H6" cm="1">
        <f t="array" ref="H6">ROWS(_xlfn.UNIQUE(_xlfn._xlws.FILTER(ndc_onc!$B$2:$B$217,ndc_onc!$A$2:$A$217=A6)))</f>
        <v>12</v>
      </c>
      <c r="I6" cm="1">
        <f t="array" ref="I6">ROWS(_xlfn.UNIQUE(_xlfn._xlws.FILTER(ndc_onc!$H$2:$H$217,ndc_onc!$A$2:$A$217=A6)))</f>
        <v>6</v>
      </c>
      <c r="J6" cm="1">
        <f t="array" ref="J6">IFERROR(ROWS(_xlfn.UNIQUE(_xlfn._xlws.FILTER(ndc_onc!$G$2:$G$217,(ndc_onc!$A$2:$A$217=A6)*(ndc_onc!$F$2:$F$217="ANDA")))),0)</f>
        <v>3</v>
      </c>
      <c r="K6" s="4" cm="1">
        <f t="array" ref="K6">MAX(COUNTIFS(shortage_onc!$A$2:$A$84,A6,shortage_onc!$B$2:$B$84,_xlfn.UNIQUE(_xlfn._xlws.FILTER(shortage_onc!$B$2:$B$84,shortage_onc!$A$2:$A$84=A6))))/B6</f>
        <v>0.5</v>
      </c>
      <c r="L6" t="str">
        <f t="shared" si="2"/>
        <v>Yes</v>
      </c>
    </row>
    <row r="7" spans="1:12">
      <c r="A7" t="str">
        <v>Methotrexate Sodium Injection</v>
      </c>
      <c r="B7">
        <f>COUNTIFS(shortage_onc!$A$2:$A$84,A7)</f>
        <v>14</v>
      </c>
      <c r="C7">
        <f>COUNTIFS(shortage_onc!$A$2:$A$84,A7,shortage_onc!$D$2:$D$84,"Unavailable")</f>
        <v>4</v>
      </c>
      <c r="D7" s="4">
        <f t="shared" si="0"/>
        <v>0.2857142857142857</v>
      </c>
      <c r="E7" cm="1">
        <f t="array" ref="E7">ROWS(_xlfn.UNIQUE(_xlfn._xlws.FILTER(shortage_onc!$B$2:$B$84,shortage_onc!$A$2:$A$84=A7)))</f>
        <v>5</v>
      </c>
      <c r="F7" s="3">
        <f>_xlfn.MINIFS(shortage_onc!$F$2:$F$84,shortage_onc!$A$2:$A$84,A7)</f>
        <v>44998</v>
      </c>
      <c r="G7">
        <f t="shared" si="1"/>
        <v>3.63</v>
      </c>
      <c r="H7" cm="1">
        <f t="array" ref="H7">ROWS(_xlfn.UNIQUE(_xlfn._xlws.FILTER(ndc_onc!$B$2:$B$217,ndc_onc!$A$2:$A$217=A7)))</f>
        <v>36</v>
      </c>
      <c r="I7" cm="1">
        <f t="array" ref="I7">ROWS(_xlfn.UNIQUE(_xlfn._xlws.FILTER(ndc_onc!$H$2:$H$217,ndc_onc!$A$2:$A$217=A7)))</f>
        <v>10</v>
      </c>
      <c r="J7" cm="1">
        <f t="array" ref="J7">IFERROR(ROWS(_xlfn.UNIQUE(_xlfn._xlws.FILTER(ndc_onc!$G$2:$G$217,(ndc_onc!$A$2:$A$217=A7)*(ndc_onc!$F$2:$F$217="ANDA")))),0)</f>
        <v>7</v>
      </c>
      <c r="K7" s="4" cm="1">
        <f t="array" ref="K7">MAX(COUNTIFS(shortage_onc!$A$2:$A$84,A7,shortage_onc!$B$2:$B$84,_xlfn.UNIQUE(_xlfn._xlws.FILTER(shortage_onc!$B$2:$B$84,shortage_onc!$A$2:$A$84=A7))))/B7</f>
        <v>0.35714285714285715</v>
      </c>
      <c r="L7" t="str">
        <f t="shared" si="2"/>
        <v>Yes</v>
      </c>
    </row>
    <row r="8" spans="1:12">
      <c r="A8" t="str">
        <v>Pentostatin Injection</v>
      </c>
      <c r="B8">
        <f>COUNTIFS(shortage_onc!$A$2:$A$84,A8)</f>
        <v>1</v>
      </c>
      <c r="C8">
        <f>COUNTIFS(shortage_onc!$A$2:$A$84,A8,shortage_onc!$D$2:$D$84,"Unavailable")</f>
        <v>1</v>
      </c>
      <c r="D8" s="4">
        <f t="shared" si="0"/>
        <v>1</v>
      </c>
      <c r="E8" cm="1">
        <f t="array" ref="E8">ROWS(_xlfn.UNIQUE(_xlfn._xlws.FILTER(shortage_onc!$B$2:$B$84,shortage_onc!$A$2:$A$84=A8)))</f>
        <v>1</v>
      </c>
      <c r="F8" s="3">
        <f>_xlfn.MINIFS(shortage_onc!$F$2:$F$84,shortage_onc!$A$2:$A$84,A8)</f>
        <v>46261</v>
      </c>
      <c r="G8">
        <f t="shared" si="1"/>
        <v>0.17</v>
      </c>
      <c r="H8" cm="1">
        <f t="array" ref="H8">ROWS(_xlfn.UNIQUE(_xlfn._xlws.FILTER(ndc_onc!$B$2:$B$217,ndc_onc!$A$2:$A$217=A8)))</f>
        <v>1</v>
      </c>
      <c r="I8" cm="1">
        <f t="array" ref="I8">ROWS(_xlfn.UNIQUE(_xlfn._xlws.FILTER(ndc_onc!$H$2:$H$217,ndc_onc!$A$2:$A$217=A8)))</f>
        <v>1</v>
      </c>
      <c r="J8" cm="1">
        <f t="array" ref="J8">IFERROR(ROWS(_xlfn.UNIQUE(_xlfn._xlws.FILTER(ndc_onc!$G$2:$G$217,(ndc_onc!$A$2:$A$217=A8)*(ndc_onc!$F$2:$F$217="ANDA")))),0)</f>
        <v>0</v>
      </c>
      <c r="K8" s="4" cm="1">
        <f t="array" ref="K8">MAX(COUNTIFS(shortage_onc!$A$2:$A$84,A8,shortage_onc!$B$2:$B$84,_xlfn.UNIQUE(_xlfn._xlws.FILTER(shortage_onc!$B$2:$B$84,shortage_onc!$A$2:$A$84=A8))))/B8</f>
        <v>1</v>
      </c>
      <c r="L8" t="str">
        <f t="shared" si="2"/>
        <v>Yes</v>
      </c>
    </row>
    <row r="9" spans="1:12">
      <c r="A9" t="str">
        <v>Streptozocin Powder, For Solution</v>
      </c>
      <c r="B9">
        <f>COUNTIFS(shortage_onc!$A$2:$A$84,A9)</f>
        <v>2</v>
      </c>
      <c r="C9">
        <f>COUNTIFS(shortage_onc!$A$2:$A$84,A9,shortage_onc!$D$2:$D$84,"Unavailable")</f>
        <v>1</v>
      </c>
      <c r="D9" s="4">
        <f t="shared" si="0"/>
        <v>0.5</v>
      </c>
      <c r="E9" cm="1">
        <f t="array" ref="E9">ROWS(_xlfn.UNIQUE(_xlfn._xlws.FILTER(shortage_onc!$B$2:$B$84,shortage_onc!$A$2:$A$84=A9)))</f>
        <v>2</v>
      </c>
      <c r="F9" s="3">
        <f>_xlfn.MINIFS(shortage_onc!$F$2:$F$84,shortage_onc!$A$2:$A$84,A9)</f>
        <v>44754</v>
      </c>
      <c r="G9">
        <f t="shared" si="1"/>
        <v>4.3</v>
      </c>
      <c r="H9" cm="1">
        <f t="array" ref="H9">ROWS(_xlfn.UNIQUE(_xlfn._xlws.FILTER(ndc_onc!$B$2:$B$217,ndc_onc!$A$2:$A$217=A9)))</f>
        <v>1</v>
      </c>
      <c r="I9" cm="1">
        <f t="array" ref="I9">ROWS(_xlfn.UNIQUE(_xlfn._xlws.FILTER(ndc_onc!$H$2:$H$217,ndc_onc!$A$2:$A$217=A9)))</f>
        <v>1</v>
      </c>
      <c r="J9" cm="1">
        <f t="array" ref="J9">IFERROR(ROWS(_xlfn.UNIQUE(_xlfn._xlws.FILTER(ndc_onc!$G$2:$G$217,(ndc_onc!$A$2:$A$217=A9)*(ndc_onc!$F$2:$F$217="ANDA")))),0)</f>
        <v>0</v>
      </c>
      <c r="K9" s="4" cm="1">
        <f t="array" ref="K9">MAX(COUNTIFS(shortage_onc!$A$2:$A$84,A9,shortage_onc!$B$2:$B$84,_xlfn.UNIQUE(_xlfn._xlws.FILTER(shortage_onc!$B$2:$B$84,shortage_onc!$A$2:$A$84=A9))))/B9</f>
        <v>0.5</v>
      </c>
      <c r="L9" t="str">
        <f t="shared" si="2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7"/>
  <sheetViews>
    <sheetView workbookViewId="0"/>
  </sheetViews>
  <sheetFormatPr defaultRowHeight="15"/>
  <sheetData>
    <row r="1" spans="1:12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</row>
    <row r="2" spans="1:12">
      <c r="A2" t="s">
        <v>8</v>
      </c>
      <c r="B2" t="s">
        <v>154</v>
      </c>
      <c r="C2" t="s">
        <v>155</v>
      </c>
      <c r="D2" t="s">
        <v>155</v>
      </c>
      <c r="E2" t="s">
        <v>156</v>
      </c>
      <c r="F2" t="s">
        <v>157</v>
      </c>
      <c r="G2" t="s">
        <v>158</v>
      </c>
      <c r="H2" t="s">
        <v>9</v>
      </c>
      <c r="I2" t="s">
        <v>159</v>
      </c>
      <c r="J2" t="s">
        <v>160</v>
      </c>
      <c r="K2" t="s">
        <v>161</v>
      </c>
      <c r="L2" t="s">
        <v>162</v>
      </c>
    </row>
    <row r="3" spans="1:12">
      <c r="A3" t="s">
        <v>8</v>
      </c>
      <c r="B3" t="s">
        <v>163</v>
      </c>
      <c r="C3" t="s">
        <v>159</v>
      </c>
      <c r="D3" t="s">
        <v>159</v>
      </c>
      <c r="E3" t="s">
        <v>156</v>
      </c>
      <c r="F3" t="s">
        <v>157</v>
      </c>
      <c r="G3" t="s">
        <v>164</v>
      </c>
      <c r="H3" t="s">
        <v>165</v>
      </c>
      <c r="I3" t="s">
        <v>159</v>
      </c>
      <c r="J3" t="s">
        <v>160</v>
      </c>
      <c r="K3" t="s">
        <v>161</v>
      </c>
      <c r="L3" t="s">
        <v>166</v>
      </c>
    </row>
    <row r="4" spans="1:12">
      <c r="A4" t="s">
        <v>8</v>
      </c>
      <c r="B4" t="s">
        <v>167</v>
      </c>
      <c r="C4" t="s">
        <v>155</v>
      </c>
      <c r="D4" t="s">
        <v>168</v>
      </c>
      <c r="E4" t="s">
        <v>156</v>
      </c>
      <c r="F4" t="s">
        <v>157</v>
      </c>
      <c r="G4" t="s">
        <v>169</v>
      </c>
      <c r="H4" t="s">
        <v>170</v>
      </c>
      <c r="I4" t="s">
        <v>159</v>
      </c>
      <c r="J4" t="s">
        <v>160</v>
      </c>
      <c r="K4" t="s">
        <v>161</v>
      </c>
      <c r="L4" t="s">
        <v>171</v>
      </c>
    </row>
    <row r="5" spans="1:12">
      <c r="A5" t="s">
        <v>8</v>
      </c>
      <c r="B5" t="s">
        <v>172</v>
      </c>
      <c r="C5" t="s">
        <v>159</v>
      </c>
      <c r="D5" t="s">
        <v>168</v>
      </c>
      <c r="E5" t="s">
        <v>156</v>
      </c>
      <c r="F5" t="s">
        <v>157</v>
      </c>
      <c r="G5" t="s">
        <v>173</v>
      </c>
      <c r="H5" t="s">
        <v>174</v>
      </c>
      <c r="I5" t="s">
        <v>159</v>
      </c>
      <c r="J5" t="s">
        <v>160</v>
      </c>
      <c r="K5" t="s">
        <v>161</v>
      </c>
      <c r="L5" t="s">
        <v>175</v>
      </c>
    </row>
    <row r="6" spans="1:12">
      <c r="A6" t="s">
        <v>8</v>
      </c>
      <c r="B6" t="s">
        <v>176</v>
      </c>
      <c r="C6" t="s">
        <v>155</v>
      </c>
      <c r="D6" t="s">
        <v>155</v>
      </c>
      <c r="E6" t="s">
        <v>156</v>
      </c>
      <c r="F6" t="s">
        <v>177</v>
      </c>
      <c r="G6" t="s">
        <v>178</v>
      </c>
      <c r="H6" t="s">
        <v>179</v>
      </c>
      <c r="I6" t="s">
        <v>159</v>
      </c>
      <c r="J6" t="s">
        <v>160</v>
      </c>
      <c r="K6" t="s">
        <v>161</v>
      </c>
      <c r="L6" t="s">
        <v>180</v>
      </c>
    </row>
    <row r="7" spans="1:12">
      <c r="A7" t="s">
        <v>8</v>
      </c>
      <c r="B7" t="s">
        <v>181</v>
      </c>
      <c r="C7" t="s">
        <v>155</v>
      </c>
      <c r="D7" t="s">
        <v>155</v>
      </c>
      <c r="E7" t="s">
        <v>156</v>
      </c>
      <c r="F7" t="s">
        <v>157</v>
      </c>
      <c r="G7" t="s">
        <v>182</v>
      </c>
      <c r="H7" t="s">
        <v>183</v>
      </c>
      <c r="I7" t="s">
        <v>159</v>
      </c>
      <c r="J7" t="s">
        <v>160</v>
      </c>
      <c r="K7" t="s">
        <v>161</v>
      </c>
      <c r="L7" t="s">
        <v>184</v>
      </c>
    </row>
    <row r="8" spans="1:12">
      <c r="A8" t="s">
        <v>8</v>
      </c>
      <c r="B8" t="s">
        <v>185</v>
      </c>
      <c r="C8" t="s">
        <v>155</v>
      </c>
      <c r="D8" t="s">
        <v>155</v>
      </c>
      <c r="E8" t="s">
        <v>156</v>
      </c>
      <c r="F8" t="s">
        <v>157</v>
      </c>
      <c r="G8" t="s">
        <v>186</v>
      </c>
      <c r="H8" t="s">
        <v>187</v>
      </c>
      <c r="I8" t="s">
        <v>159</v>
      </c>
      <c r="J8" t="s">
        <v>160</v>
      </c>
      <c r="K8" t="s">
        <v>161</v>
      </c>
      <c r="L8" t="s">
        <v>188</v>
      </c>
    </row>
    <row r="9" spans="1:12">
      <c r="A9" t="s">
        <v>8</v>
      </c>
      <c r="B9" t="s">
        <v>189</v>
      </c>
      <c r="C9" t="s">
        <v>190</v>
      </c>
      <c r="D9" t="s">
        <v>168</v>
      </c>
      <c r="E9" t="s">
        <v>156</v>
      </c>
      <c r="F9" t="s">
        <v>177</v>
      </c>
      <c r="G9" t="s">
        <v>191</v>
      </c>
      <c r="H9" t="s">
        <v>192</v>
      </c>
      <c r="I9" t="s">
        <v>159</v>
      </c>
      <c r="J9" t="s">
        <v>160</v>
      </c>
      <c r="K9" t="s">
        <v>161</v>
      </c>
      <c r="L9" t="s">
        <v>193</v>
      </c>
    </row>
    <row r="10" spans="1:12">
      <c r="A10" t="s">
        <v>8</v>
      </c>
      <c r="B10" t="s">
        <v>194</v>
      </c>
      <c r="C10" t="s">
        <v>155</v>
      </c>
      <c r="D10" t="s">
        <v>155</v>
      </c>
      <c r="E10" t="s">
        <v>156</v>
      </c>
      <c r="F10" t="s">
        <v>157</v>
      </c>
      <c r="G10" t="s">
        <v>195</v>
      </c>
      <c r="H10" t="s">
        <v>196</v>
      </c>
      <c r="I10" t="s">
        <v>159</v>
      </c>
      <c r="J10" t="s">
        <v>160</v>
      </c>
      <c r="K10" t="s">
        <v>161</v>
      </c>
      <c r="L10" t="s">
        <v>197</v>
      </c>
    </row>
    <row r="11" spans="1:12">
      <c r="A11" t="s">
        <v>8</v>
      </c>
      <c r="B11" t="s">
        <v>198</v>
      </c>
      <c r="C11" t="s">
        <v>155</v>
      </c>
      <c r="D11" t="s">
        <v>155</v>
      </c>
      <c r="E11" t="s">
        <v>156</v>
      </c>
      <c r="F11" t="s">
        <v>157</v>
      </c>
      <c r="G11" t="s">
        <v>182</v>
      </c>
      <c r="H11" t="s">
        <v>199</v>
      </c>
      <c r="I11" t="s">
        <v>159</v>
      </c>
      <c r="J11" t="s">
        <v>160</v>
      </c>
      <c r="K11" t="s">
        <v>161</v>
      </c>
      <c r="L11" t="s">
        <v>200</v>
      </c>
    </row>
    <row r="12" spans="1:12">
      <c r="A12" t="s">
        <v>8</v>
      </c>
      <c r="B12" t="s">
        <v>201</v>
      </c>
      <c r="C12" t="s">
        <v>155</v>
      </c>
      <c r="D12" t="s">
        <v>155</v>
      </c>
      <c r="E12" t="s">
        <v>156</v>
      </c>
      <c r="F12" t="s">
        <v>157</v>
      </c>
      <c r="G12" t="s">
        <v>182</v>
      </c>
      <c r="H12" t="s">
        <v>199</v>
      </c>
      <c r="I12" t="s">
        <v>159</v>
      </c>
      <c r="J12" t="s">
        <v>160</v>
      </c>
      <c r="K12" t="s">
        <v>161</v>
      </c>
      <c r="L12" t="s">
        <v>202</v>
      </c>
    </row>
    <row r="13" spans="1:12">
      <c r="A13" t="s">
        <v>8</v>
      </c>
      <c r="B13" t="s">
        <v>203</v>
      </c>
      <c r="C13" t="s">
        <v>159</v>
      </c>
      <c r="D13" t="s">
        <v>159</v>
      </c>
      <c r="E13" t="s">
        <v>156</v>
      </c>
      <c r="F13" t="s">
        <v>157</v>
      </c>
      <c r="G13" t="s">
        <v>173</v>
      </c>
      <c r="H13" t="s">
        <v>199</v>
      </c>
      <c r="I13" t="s">
        <v>159</v>
      </c>
      <c r="J13" t="s">
        <v>160</v>
      </c>
      <c r="K13" t="s">
        <v>161</v>
      </c>
      <c r="L13" t="s">
        <v>204</v>
      </c>
    </row>
    <row r="14" spans="1:12">
      <c r="A14" t="s">
        <v>8</v>
      </c>
      <c r="B14" t="s">
        <v>205</v>
      </c>
      <c r="C14" t="s">
        <v>155</v>
      </c>
      <c r="D14" t="s">
        <v>155</v>
      </c>
      <c r="E14" t="s">
        <v>156</v>
      </c>
      <c r="F14" t="s">
        <v>157</v>
      </c>
      <c r="G14" t="s">
        <v>182</v>
      </c>
      <c r="H14" t="s">
        <v>199</v>
      </c>
      <c r="I14" t="s">
        <v>159</v>
      </c>
      <c r="J14" t="s">
        <v>160</v>
      </c>
      <c r="K14" t="s">
        <v>161</v>
      </c>
      <c r="L14" t="s">
        <v>206</v>
      </c>
    </row>
    <row r="15" spans="1:12">
      <c r="A15" t="s">
        <v>8</v>
      </c>
      <c r="B15" t="s">
        <v>207</v>
      </c>
      <c r="C15" t="s">
        <v>159</v>
      </c>
      <c r="D15" t="s">
        <v>159</v>
      </c>
      <c r="E15" t="s">
        <v>156</v>
      </c>
      <c r="F15" t="s">
        <v>157</v>
      </c>
      <c r="G15" t="s">
        <v>208</v>
      </c>
      <c r="H15" t="s">
        <v>22</v>
      </c>
      <c r="I15" t="s">
        <v>159</v>
      </c>
      <c r="J15" t="s">
        <v>160</v>
      </c>
      <c r="K15" t="s">
        <v>209</v>
      </c>
      <c r="L15" t="s">
        <v>210</v>
      </c>
    </row>
    <row r="16" spans="1:12">
      <c r="A16" t="s">
        <v>8</v>
      </c>
      <c r="B16" t="s">
        <v>211</v>
      </c>
      <c r="C16" t="s">
        <v>155</v>
      </c>
      <c r="D16" t="s">
        <v>155</v>
      </c>
      <c r="E16" t="s">
        <v>156</v>
      </c>
      <c r="F16" t="s">
        <v>157</v>
      </c>
      <c r="G16" t="s">
        <v>173</v>
      </c>
      <c r="H16" t="s">
        <v>26</v>
      </c>
      <c r="I16" t="s">
        <v>159</v>
      </c>
      <c r="J16" t="s">
        <v>160</v>
      </c>
      <c r="K16" t="s">
        <v>212</v>
      </c>
      <c r="L16" t="s">
        <v>213</v>
      </c>
    </row>
    <row r="17" spans="1:12">
      <c r="A17" t="s">
        <v>8</v>
      </c>
      <c r="B17" t="s">
        <v>214</v>
      </c>
      <c r="C17" t="s">
        <v>155</v>
      </c>
      <c r="D17" t="s">
        <v>155</v>
      </c>
      <c r="E17" t="s">
        <v>156</v>
      </c>
      <c r="F17" t="s">
        <v>157</v>
      </c>
      <c r="G17" t="s">
        <v>215</v>
      </c>
      <c r="H17" t="s">
        <v>216</v>
      </c>
      <c r="I17" t="s">
        <v>159</v>
      </c>
      <c r="J17" t="s">
        <v>160</v>
      </c>
      <c r="K17" t="s">
        <v>161</v>
      </c>
      <c r="L17" t="s">
        <v>217</v>
      </c>
    </row>
    <row r="18" spans="1:12">
      <c r="A18" t="s">
        <v>8</v>
      </c>
      <c r="B18" t="s">
        <v>218</v>
      </c>
      <c r="C18" t="s">
        <v>155</v>
      </c>
      <c r="D18" t="s">
        <v>155</v>
      </c>
      <c r="E18" t="s">
        <v>156</v>
      </c>
      <c r="F18" t="s">
        <v>157</v>
      </c>
      <c r="G18" t="s">
        <v>195</v>
      </c>
      <c r="H18" t="s">
        <v>219</v>
      </c>
      <c r="I18" t="s">
        <v>159</v>
      </c>
      <c r="J18" t="s">
        <v>160</v>
      </c>
      <c r="K18" t="s">
        <v>161</v>
      </c>
      <c r="L18" t="s">
        <v>197</v>
      </c>
    </row>
    <row r="19" spans="1:12">
      <c r="A19" t="s">
        <v>8</v>
      </c>
      <c r="B19" t="s">
        <v>220</v>
      </c>
      <c r="C19" t="s">
        <v>155</v>
      </c>
      <c r="D19" t="s">
        <v>155</v>
      </c>
      <c r="E19" t="s">
        <v>156</v>
      </c>
      <c r="F19" t="s">
        <v>157</v>
      </c>
      <c r="G19" t="s">
        <v>221</v>
      </c>
      <c r="H19" t="s">
        <v>222</v>
      </c>
      <c r="I19" t="s">
        <v>159</v>
      </c>
      <c r="J19" t="s">
        <v>160</v>
      </c>
      <c r="K19" t="s">
        <v>161</v>
      </c>
      <c r="L19" t="s">
        <v>223</v>
      </c>
    </row>
    <row r="20" spans="1:12">
      <c r="A20" t="s">
        <v>8</v>
      </c>
      <c r="B20" t="s">
        <v>224</v>
      </c>
      <c r="C20" t="s">
        <v>155</v>
      </c>
      <c r="D20" t="s">
        <v>155</v>
      </c>
      <c r="E20" t="s">
        <v>156</v>
      </c>
      <c r="F20" t="s">
        <v>157</v>
      </c>
      <c r="G20" t="s">
        <v>221</v>
      </c>
      <c r="H20" t="s">
        <v>222</v>
      </c>
      <c r="I20" t="s">
        <v>159</v>
      </c>
      <c r="J20" t="s">
        <v>160</v>
      </c>
      <c r="K20" t="s">
        <v>161</v>
      </c>
      <c r="L20" t="s">
        <v>223</v>
      </c>
    </row>
    <row r="21" spans="1:12">
      <c r="A21" t="s">
        <v>8</v>
      </c>
      <c r="B21" t="s">
        <v>225</v>
      </c>
      <c r="C21" t="s">
        <v>155</v>
      </c>
      <c r="D21" t="s">
        <v>155</v>
      </c>
      <c r="E21" t="s">
        <v>156</v>
      </c>
      <c r="F21" t="s">
        <v>157</v>
      </c>
      <c r="G21" t="s">
        <v>182</v>
      </c>
      <c r="H21" t="s">
        <v>226</v>
      </c>
      <c r="I21" t="s">
        <v>159</v>
      </c>
      <c r="J21" t="s">
        <v>160</v>
      </c>
      <c r="K21" t="s">
        <v>161</v>
      </c>
      <c r="L21" t="s">
        <v>227</v>
      </c>
    </row>
    <row r="22" spans="1:12">
      <c r="A22" t="s">
        <v>8</v>
      </c>
      <c r="B22" t="s">
        <v>228</v>
      </c>
      <c r="C22" t="s">
        <v>155</v>
      </c>
      <c r="D22" t="s">
        <v>155</v>
      </c>
      <c r="E22" t="s">
        <v>156</v>
      </c>
      <c r="F22" t="s">
        <v>157</v>
      </c>
      <c r="G22" t="s">
        <v>229</v>
      </c>
      <c r="H22" t="s">
        <v>230</v>
      </c>
      <c r="I22" t="s">
        <v>159</v>
      </c>
      <c r="J22" t="s">
        <v>160</v>
      </c>
      <c r="K22" t="s">
        <v>231</v>
      </c>
      <c r="L22" t="s">
        <v>232</v>
      </c>
    </row>
    <row r="23" spans="1:12">
      <c r="A23" t="s">
        <v>8</v>
      </c>
      <c r="B23" t="s">
        <v>233</v>
      </c>
      <c r="C23" t="s">
        <v>159</v>
      </c>
      <c r="D23" t="s">
        <v>234</v>
      </c>
      <c r="E23" t="s">
        <v>156</v>
      </c>
      <c r="F23" t="s">
        <v>157</v>
      </c>
      <c r="G23" t="s">
        <v>173</v>
      </c>
      <c r="H23" t="s">
        <v>235</v>
      </c>
      <c r="I23" t="s">
        <v>159</v>
      </c>
      <c r="J23" t="s">
        <v>160</v>
      </c>
      <c r="K23" t="s">
        <v>161</v>
      </c>
      <c r="L23" t="s">
        <v>236</v>
      </c>
    </row>
    <row r="24" spans="1:12">
      <c r="A24" t="s">
        <v>8</v>
      </c>
      <c r="B24" t="s">
        <v>237</v>
      </c>
      <c r="C24" t="s">
        <v>155</v>
      </c>
      <c r="D24" t="s">
        <v>155</v>
      </c>
      <c r="E24" t="s">
        <v>156</v>
      </c>
      <c r="F24" t="s">
        <v>157</v>
      </c>
      <c r="G24" t="s">
        <v>238</v>
      </c>
      <c r="H24" t="s">
        <v>239</v>
      </c>
      <c r="I24" t="s">
        <v>159</v>
      </c>
      <c r="J24" t="s">
        <v>160</v>
      </c>
      <c r="K24" t="s">
        <v>161</v>
      </c>
      <c r="L24" t="s">
        <v>240</v>
      </c>
    </row>
    <row r="25" spans="1:12">
      <c r="A25" t="s">
        <v>8</v>
      </c>
      <c r="B25" t="s">
        <v>241</v>
      </c>
      <c r="C25" t="s">
        <v>155</v>
      </c>
      <c r="D25" t="s">
        <v>155</v>
      </c>
      <c r="E25" t="s">
        <v>156</v>
      </c>
      <c r="F25" t="s">
        <v>157</v>
      </c>
      <c r="G25" t="s">
        <v>195</v>
      </c>
      <c r="H25" t="s">
        <v>242</v>
      </c>
      <c r="I25" t="s">
        <v>159</v>
      </c>
      <c r="J25" t="s">
        <v>160</v>
      </c>
      <c r="K25" t="s">
        <v>161</v>
      </c>
      <c r="L25" t="s">
        <v>197</v>
      </c>
    </row>
    <row r="26" spans="1:12">
      <c r="A26" t="s">
        <v>8</v>
      </c>
      <c r="B26" t="s">
        <v>243</v>
      </c>
      <c r="C26" t="s">
        <v>155</v>
      </c>
      <c r="D26" t="s">
        <v>155</v>
      </c>
      <c r="E26" t="s">
        <v>156</v>
      </c>
      <c r="F26" t="s">
        <v>157</v>
      </c>
      <c r="G26" t="s">
        <v>238</v>
      </c>
      <c r="H26" t="s">
        <v>244</v>
      </c>
      <c r="I26" t="s">
        <v>159</v>
      </c>
      <c r="J26" t="s">
        <v>160</v>
      </c>
      <c r="K26" t="s">
        <v>161</v>
      </c>
      <c r="L26" t="s">
        <v>245</v>
      </c>
    </row>
    <row r="27" spans="1:12">
      <c r="A27" t="s">
        <v>35</v>
      </c>
      <c r="B27" t="s">
        <v>246</v>
      </c>
      <c r="C27" t="s">
        <v>247</v>
      </c>
      <c r="D27" t="s">
        <v>247</v>
      </c>
      <c r="E27" t="s">
        <v>248</v>
      </c>
      <c r="F27" t="s">
        <v>157</v>
      </c>
      <c r="G27" t="s">
        <v>249</v>
      </c>
      <c r="H27" t="s">
        <v>250</v>
      </c>
      <c r="I27" t="s">
        <v>251</v>
      </c>
      <c r="J27" t="s">
        <v>252</v>
      </c>
      <c r="K27" t="s">
        <v>253</v>
      </c>
      <c r="L27" t="s">
        <v>254</v>
      </c>
    </row>
    <row r="28" spans="1:12">
      <c r="A28" t="s">
        <v>35</v>
      </c>
      <c r="B28" t="s">
        <v>255</v>
      </c>
      <c r="C28" t="s">
        <v>251</v>
      </c>
      <c r="D28" t="s">
        <v>251</v>
      </c>
      <c r="E28" t="s">
        <v>256</v>
      </c>
      <c r="F28" t="s">
        <v>157</v>
      </c>
      <c r="G28" t="s">
        <v>257</v>
      </c>
      <c r="H28" t="s">
        <v>258</v>
      </c>
      <c r="I28" t="s">
        <v>251</v>
      </c>
      <c r="J28" t="s">
        <v>252</v>
      </c>
      <c r="K28" t="s">
        <v>253</v>
      </c>
      <c r="L28" t="s">
        <v>259</v>
      </c>
    </row>
    <row r="29" spans="1:12">
      <c r="A29" t="s">
        <v>35</v>
      </c>
      <c r="B29" t="s">
        <v>260</v>
      </c>
      <c r="C29" t="s">
        <v>261</v>
      </c>
      <c r="D29" t="s">
        <v>262</v>
      </c>
      <c r="E29" t="s">
        <v>248</v>
      </c>
      <c r="F29" t="s">
        <v>177</v>
      </c>
      <c r="G29" t="s">
        <v>263</v>
      </c>
      <c r="H29" t="s">
        <v>40</v>
      </c>
      <c r="I29" t="s">
        <v>251</v>
      </c>
      <c r="J29" t="s">
        <v>264</v>
      </c>
      <c r="K29" t="s">
        <v>265</v>
      </c>
      <c r="L29" t="s">
        <v>266</v>
      </c>
    </row>
    <row r="30" spans="1:12">
      <c r="A30" t="s">
        <v>35</v>
      </c>
      <c r="B30" t="s">
        <v>267</v>
      </c>
      <c r="C30" t="s">
        <v>261</v>
      </c>
      <c r="D30" t="s">
        <v>262</v>
      </c>
      <c r="E30" t="s">
        <v>248</v>
      </c>
      <c r="F30" t="s">
        <v>177</v>
      </c>
      <c r="G30" t="s">
        <v>263</v>
      </c>
      <c r="H30" t="s">
        <v>40</v>
      </c>
      <c r="I30" t="s">
        <v>251</v>
      </c>
      <c r="J30" t="s">
        <v>268</v>
      </c>
      <c r="K30" t="s">
        <v>231</v>
      </c>
      <c r="L30" t="s">
        <v>266</v>
      </c>
    </row>
    <row r="31" spans="1:12">
      <c r="A31" t="s">
        <v>35</v>
      </c>
      <c r="B31" t="s">
        <v>269</v>
      </c>
      <c r="C31" t="s">
        <v>251</v>
      </c>
      <c r="D31" t="s">
        <v>247</v>
      </c>
      <c r="E31" t="s">
        <v>256</v>
      </c>
      <c r="F31" t="s">
        <v>157</v>
      </c>
      <c r="G31" t="s">
        <v>270</v>
      </c>
      <c r="H31" t="s">
        <v>271</v>
      </c>
      <c r="I31" t="s">
        <v>251</v>
      </c>
      <c r="J31" t="s">
        <v>252</v>
      </c>
      <c r="K31" t="s">
        <v>253</v>
      </c>
      <c r="L31" t="s">
        <v>272</v>
      </c>
    </row>
    <row r="32" spans="1:12">
      <c r="A32" t="s">
        <v>35</v>
      </c>
      <c r="B32" t="s">
        <v>273</v>
      </c>
      <c r="C32" t="s">
        <v>251</v>
      </c>
      <c r="D32" t="s">
        <v>247</v>
      </c>
      <c r="E32" t="s">
        <v>256</v>
      </c>
      <c r="F32" t="s">
        <v>157</v>
      </c>
      <c r="G32" t="s">
        <v>270</v>
      </c>
      <c r="H32" t="s">
        <v>271</v>
      </c>
      <c r="I32" t="s">
        <v>251</v>
      </c>
      <c r="J32" t="s">
        <v>252</v>
      </c>
      <c r="K32" t="s">
        <v>253</v>
      </c>
      <c r="L32" t="s">
        <v>272</v>
      </c>
    </row>
    <row r="33" spans="1:12">
      <c r="A33" t="s">
        <v>35</v>
      </c>
      <c r="B33" t="s">
        <v>274</v>
      </c>
      <c r="C33" t="s">
        <v>251</v>
      </c>
      <c r="D33" t="s">
        <v>247</v>
      </c>
      <c r="E33" t="s">
        <v>256</v>
      </c>
      <c r="F33" t="s">
        <v>157</v>
      </c>
      <c r="G33" t="s">
        <v>270</v>
      </c>
      <c r="H33" t="s">
        <v>271</v>
      </c>
      <c r="I33" t="s">
        <v>251</v>
      </c>
      <c r="J33" t="s">
        <v>252</v>
      </c>
      <c r="K33" t="s">
        <v>253</v>
      </c>
      <c r="L33" t="s">
        <v>272</v>
      </c>
    </row>
    <row r="34" spans="1:12">
      <c r="A34" t="s">
        <v>35</v>
      </c>
      <c r="B34" t="s">
        <v>275</v>
      </c>
      <c r="C34" t="s">
        <v>251</v>
      </c>
      <c r="D34" t="s">
        <v>247</v>
      </c>
      <c r="E34" t="s">
        <v>256</v>
      </c>
      <c r="F34" t="s">
        <v>157</v>
      </c>
      <c r="G34" t="s">
        <v>270</v>
      </c>
      <c r="H34" t="s">
        <v>271</v>
      </c>
      <c r="I34" t="s">
        <v>251</v>
      </c>
      <c r="J34" t="s">
        <v>252</v>
      </c>
      <c r="K34" t="s">
        <v>253</v>
      </c>
      <c r="L34" t="s">
        <v>272</v>
      </c>
    </row>
    <row r="35" spans="1:12">
      <c r="A35" t="s">
        <v>35</v>
      </c>
      <c r="B35" t="s">
        <v>276</v>
      </c>
      <c r="C35" t="s">
        <v>251</v>
      </c>
      <c r="D35" t="s">
        <v>251</v>
      </c>
      <c r="E35" t="s">
        <v>256</v>
      </c>
      <c r="F35" t="s">
        <v>157</v>
      </c>
      <c r="G35" t="s">
        <v>277</v>
      </c>
      <c r="H35" t="s">
        <v>22</v>
      </c>
      <c r="I35" t="s">
        <v>251</v>
      </c>
      <c r="J35" t="s">
        <v>278</v>
      </c>
      <c r="K35" t="s">
        <v>279</v>
      </c>
      <c r="L35" t="s">
        <v>280</v>
      </c>
    </row>
    <row r="36" spans="1:12">
      <c r="A36" t="s">
        <v>35</v>
      </c>
      <c r="B36" t="s">
        <v>281</v>
      </c>
      <c r="C36" t="s">
        <v>251</v>
      </c>
      <c r="D36" t="s">
        <v>251</v>
      </c>
      <c r="E36" t="s">
        <v>256</v>
      </c>
      <c r="F36" t="s">
        <v>157</v>
      </c>
      <c r="G36" t="s">
        <v>277</v>
      </c>
      <c r="H36" t="s">
        <v>22</v>
      </c>
      <c r="I36" t="s">
        <v>251</v>
      </c>
      <c r="J36" t="s">
        <v>282</v>
      </c>
      <c r="K36" t="s">
        <v>283</v>
      </c>
      <c r="L36" t="s">
        <v>280</v>
      </c>
    </row>
    <row r="37" spans="1:12">
      <c r="A37" t="s">
        <v>35</v>
      </c>
      <c r="B37" t="s">
        <v>284</v>
      </c>
      <c r="C37" t="s">
        <v>251</v>
      </c>
      <c r="D37" t="s">
        <v>251</v>
      </c>
      <c r="E37" t="s">
        <v>256</v>
      </c>
      <c r="F37" t="s">
        <v>157</v>
      </c>
      <c r="G37" t="s">
        <v>277</v>
      </c>
      <c r="H37" t="s">
        <v>22</v>
      </c>
      <c r="I37" t="s">
        <v>251</v>
      </c>
      <c r="J37" t="s">
        <v>285</v>
      </c>
      <c r="K37" t="s">
        <v>286</v>
      </c>
      <c r="L37" t="s">
        <v>280</v>
      </c>
    </row>
    <row r="38" spans="1:12">
      <c r="A38" t="s">
        <v>35</v>
      </c>
      <c r="B38" t="s">
        <v>284</v>
      </c>
      <c r="C38" t="s">
        <v>251</v>
      </c>
      <c r="D38" t="s">
        <v>251</v>
      </c>
      <c r="E38" t="s">
        <v>256</v>
      </c>
      <c r="F38" t="s">
        <v>157</v>
      </c>
      <c r="G38" t="s">
        <v>277</v>
      </c>
      <c r="H38" t="s">
        <v>22</v>
      </c>
      <c r="I38" t="s">
        <v>251</v>
      </c>
      <c r="J38" t="s">
        <v>285</v>
      </c>
      <c r="K38" t="s">
        <v>286</v>
      </c>
      <c r="L38" t="s">
        <v>280</v>
      </c>
    </row>
    <row r="39" spans="1:12">
      <c r="A39" t="s">
        <v>35</v>
      </c>
      <c r="B39" t="s">
        <v>287</v>
      </c>
      <c r="C39" t="s">
        <v>251</v>
      </c>
      <c r="D39" t="s">
        <v>251</v>
      </c>
      <c r="E39" t="s">
        <v>256</v>
      </c>
      <c r="F39" t="s">
        <v>157</v>
      </c>
      <c r="G39" t="s">
        <v>277</v>
      </c>
      <c r="H39" t="s">
        <v>22</v>
      </c>
      <c r="I39" t="s">
        <v>251</v>
      </c>
      <c r="J39" t="s">
        <v>288</v>
      </c>
      <c r="K39" t="s">
        <v>289</v>
      </c>
      <c r="L39" t="s">
        <v>290</v>
      </c>
    </row>
    <row r="40" spans="1:12">
      <c r="A40" t="s">
        <v>35</v>
      </c>
      <c r="B40" t="s">
        <v>287</v>
      </c>
      <c r="C40" t="s">
        <v>251</v>
      </c>
      <c r="D40" t="s">
        <v>251</v>
      </c>
      <c r="E40" t="s">
        <v>256</v>
      </c>
      <c r="F40" t="s">
        <v>157</v>
      </c>
      <c r="G40" t="s">
        <v>277</v>
      </c>
      <c r="H40" t="s">
        <v>22</v>
      </c>
      <c r="I40" t="s">
        <v>251</v>
      </c>
      <c r="J40" t="s">
        <v>288</v>
      </c>
      <c r="K40" t="s">
        <v>289</v>
      </c>
      <c r="L40" t="s">
        <v>290</v>
      </c>
    </row>
    <row r="41" spans="1:12">
      <c r="A41" t="s">
        <v>35</v>
      </c>
      <c r="B41" t="s">
        <v>291</v>
      </c>
      <c r="C41" t="s">
        <v>247</v>
      </c>
      <c r="D41" t="s">
        <v>251</v>
      </c>
      <c r="E41" t="s">
        <v>256</v>
      </c>
      <c r="F41" t="s">
        <v>157</v>
      </c>
      <c r="G41" t="s">
        <v>292</v>
      </c>
      <c r="H41" t="s">
        <v>26</v>
      </c>
      <c r="I41" t="s">
        <v>251</v>
      </c>
      <c r="J41" t="s">
        <v>252</v>
      </c>
      <c r="K41" t="s">
        <v>253</v>
      </c>
      <c r="L41" t="s">
        <v>293</v>
      </c>
    </row>
    <row r="42" spans="1:12">
      <c r="A42" t="s">
        <v>35</v>
      </c>
      <c r="B42" t="s">
        <v>294</v>
      </c>
      <c r="C42" t="s">
        <v>251</v>
      </c>
      <c r="D42" t="s">
        <v>247</v>
      </c>
      <c r="E42" t="s">
        <v>256</v>
      </c>
      <c r="F42" t="s">
        <v>157</v>
      </c>
      <c r="G42" t="s">
        <v>270</v>
      </c>
      <c r="H42" t="s">
        <v>47</v>
      </c>
      <c r="I42" t="s">
        <v>251</v>
      </c>
      <c r="J42" t="s">
        <v>252</v>
      </c>
      <c r="K42" t="s">
        <v>253</v>
      </c>
      <c r="L42" t="s">
        <v>295</v>
      </c>
    </row>
    <row r="43" spans="1:12">
      <c r="A43" t="s">
        <v>35</v>
      </c>
      <c r="B43" t="s">
        <v>296</v>
      </c>
      <c r="C43" t="s">
        <v>251</v>
      </c>
      <c r="D43" t="s">
        <v>247</v>
      </c>
      <c r="E43" t="s">
        <v>256</v>
      </c>
      <c r="F43" t="s">
        <v>157</v>
      </c>
      <c r="G43" t="s">
        <v>270</v>
      </c>
      <c r="H43" t="s">
        <v>47</v>
      </c>
      <c r="I43" t="s">
        <v>251</v>
      </c>
      <c r="J43" t="s">
        <v>252</v>
      </c>
      <c r="K43" t="s">
        <v>253</v>
      </c>
      <c r="L43" t="s">
        <v>295</v>
      </c>
    </row>
    <row r="44" spans="1:12">
      <c r="A44" t="s">
        <v>35</v>
      </c>
      <c r="B44" t="s">
        <v>297</v>
      </c>
      <c r="C44" t="s">
        <v>251</v>
      </c>
      <c r="D44" t="s">
        <v>247</v>
      </c>
      <c r="E44" t="s">
        <v>256</v>
      </c>
      <c r="F44" t="s">
        <v>157</v>
      </c>
      <c r="G44" t="s">
        <v>270</v>
      </c>
      <c r="H44" t="s">
        <v>47</v>
      </c>
      <c r="I44" t="s">
        <v>251</v>
      </c>
      <c r="J44" t="s">
        <v>252</v>
      </c>
      <c r="K44" t="s">
        <v>253</v>
      </c>
      <c r="L44" t="s">
        <v>295</v>
      </c>
    </row>
    <row r="45" spans="1:12">
      <c r="A45" t="s">
        <v>35</v>
      </c>
      <c r="B45" t="s">
        <v>298</v>
      </c>
      <c r="C45" t="s">
        <v>251</v>
      </c>
      <c r="D45" t="s">
        <v>247</v>
      </c>
      <c r="E45" t="s">
        <v>256</v>
      </c>
      <c r="F45" t="s">
        <v>157</v>
      </c>
      <c r="G45" t="s">
        <v>270</v>
      </c>
      <c r="H45" t="s">
        <v>47</v>
      </c>
      <c r="I45" t="s">
        <v>251</v>
      </c>
      <c r="J45" t="s">
        <v>252</v>
      </c>
      <c r="K45" t="s">
        <v>253</v>
      </c>
      <c r="L45" t="s">
        <v>295</v>
      </c>
    </row>
    <row r="46" spans="1:12">
      <c r="A46" t="s">
        <v>35</v>
      </c>
      <c r="B46" t="s">
        <v>299</v>
      </c>
      <c r="C46" t="s">
        <v>247</v>
      </c>
      <c r="D46" t="s">
        <v>247</v>
      </c>
      <c r="E46" t="s">
        <v>256</v>
      </c>
      <c r="F46" t="s">
        <v>157</v>
      </c>
      <c r="G46" t="s">
        <v>300</v>
      </c>
      <c r="H46" t="s">
        <v>301</v>
      </c>
      <c r="I46" t="s">
        <v>251</v>
      </c>
      <c r="J46" t="s">
        <v>252</v>
      </c>
      <c r="K46" t="s">
        <v>253</v>
      </c>
      <c r="L46" t="s">
        <v>302</v>
      </c>
    </row>
    <row r="47" spans="1:12">
      <c r="A47" t="s">
        <v>35</v>
      </c>
      <c r="B47" t="s">
        <v>303</v>
      </c>
      <c r="C47" t="s">
        <v>247</v>
      </c>
      <c r="D47" t="s">
        <v>247</v>
      </c>
      <c r="E47" t="s">
        <v>256</v>
      </c>
      <c r="F47" t="s">
        <v>157</v>
      </c>
      <c r="G47" t="s">
        <v>300</v>
      </c>
      <c r="H47" t="s">
        <v>301</v>
      </c>
      <c r="I47" t="s">
        <v>251</v>
      </c>
      <c r="J47" t="s">
        <v>252</v>
      </c>
      <c r="K47" t="s">
        <v>253</v>
      </c>
      <c r="L47" t="s">
        <v>302</v>
      </c>
    </row>
    <row r="48" spans="1:12">
      <c r="A48" t="s">
        <v>35</v>
      </c>
      <c r="B48" t="s">
        <v>304</v>
      </c>
      <c r="C48" t="s">
        <v>247</v>
      </c>
      <c r="D48" t="s">
        <v>247</v>
      </c>
      <c r="E48" t="s">
        <v>256</v>
      </c>
      <c r="F48" t="s">
        <v>157</v>
      </c>
      <c r="G48" t="s">
        <v>300</v>
      </c>
      <c r="H48" t="s">
        <v>301</v>
      </c>
      <c r="I48" t="s">
        <v>251</v>
      </c>
      <c r="J48" t="s">
        <v>252</v>
      </c>
      <c r="K48" t="s">
        <v>253</v>
      </c>
      <c r="L48" t="s">
        <v>305</v>
      </c>
    </row>
    <row r="49" spans="1:12">
      <c r="A49" t="s">
        <v>35</v>
      </c>
      <c r="B49" t="s">
        <v>306</v>
      </c>
      <c r="C49" t="s">
        <v>247</v>
      </c>
      <c r="D49" t="s">
        <v>247</v>
      </c>
      <c r="E49" t="s">
        <v>256</v>
      </c>
      <c r="F49" t="s">
        <v>157</v>
      </c>
      <c r="G49" t="s">
        <v>300</v>
      </c>
      <c r="H49" t="s">
        <v>301</v>
      </c>
      <c r="I49" t="s">
        <v>251</v>
      </c>
      <c r="J49" t="s">
        <v>252</v>
      </c>
      <c r="K49" t="s">
        <v>253</v>
      </c>
      <c r="L49" t="s">
        <v>302</v>
      </c>
    </row>
    <row r="50" spans="1:12">
      <c r="A50" t="s">
        <v>35</v>
      </c>
      <c r="B50" t="s">
        <v>307</v>
      </c>
      <c r="C50" t="s">
        <v>247</v>
      </c>
      <c r="D50" t="s">
        <v>247</v>
      </c>
      <c r="E50" t="s">
        <v>256</v>
      </c>
      <c r="F50" t="s">
        <v>157</v>
      </c>
      <c r="G50" t="s">
        <v>308</v>
      </c>
      <c r="H50" t="s">
        <v>301</v>
      </c>
      <c r="I50" t="s">
        <v>251</v>
      </c>
      <c r="J50" t="s">
        <v>252</v>
      </c>
      <c r="K50" t="s">
        <v>253</v>
      </c>
      <c r="L50" t="s">
        <v>302</v>
      </c>
    </row>
    <row r="51" spans="1:12">
      <c r="A51" t="s">
        <v>35</v>
      </c>
      <c r="B51" t="s">
        <v>309</v>
      </c>
      <c r="C51" t="s">
        <v>251</v>
      </c>
      <c r="D51" t="s">
        <v>251</v>
      </c>
      <c r="E51" t="s">
        <v>256</v>
      </c>
      <c r="F51" t="s">
        <v>157</v>
      </c>
      <c r="G51" t="s">
        <v>257</v>
      </c>
      <c r="H51" t="s">
        <v>310</v>
      </c>
      <c r="I51" t="s">
        <v>251</v>
      </c>
      <c r="J51" t="s">
        <v>278</v>
      </c>
      <c r="K51" t="s">
        <v>279</v>
      </c>
      <c r="L51" t="s">
        <v>311</v>
      </c>
    </row>
    <row r="52" spans="1:12">
      <c r="A52" t="s">
        <v>35</v>
      </c>
      <c r="B52" t="s">
        <v>312</v>
      </c>
      <c r="C52" t="s">
        <v>251</v>
      </c>
      <c r="D52" t="s">
        <v>251</v>
      </c>
      <c r="E52" t="s">
        <v>256</v>
      </c>
      <c r="F52" t="s">
        <v>157</v>
      </c>
      <c r="G52" t="s">
        <v>257</v>
      </c>
      <c r="H52" t="s">
        <v>310</v>
      </c>
      <c r="I52" t="s">
        <v>251</v>
      </c>
      <c r="J52" t="s">
        <v>282</v>
      </c>
      <c r="K52" t="s">
        <v>283</v>
      </c>
      <c r="L52" t="s">
        <v>311</v>
      </c>
    </row>
    <row r="53" spans="1:12">
      <c r="A53" t="s">
        <v>35</v>
      </c>
      <c r="B53" t="s">
        <v>313</v>
      </c>
      <c r="C53" t="s">
        <v>251</v>
      </c>
      <c r="D53" t="s">
        <v>251</v>
      </c>
      <c r="E53" t="s">
        <v>256</v>
      </c>
      <c r="F53" t="s">
        <v>157</v>
      </c>
      <c r="G53" t="s">
        <v>257</v>
      </c>
      <c r="H53" t="s">
        <v>310</v>
      </c>
      <c r="I53" t="s">
        <v>251</v>
      </c>
      <c r="J53" t="s">
        <v>285</v>
      </c>
      <c r="K53" t="s">
        <v>286</v>
      </c>
      <c r="L53" t="s">
        <v>311</v>
      </c>
    </row>
    <row r="54" spans="1:12">
      <c r="A54" t="s">
        <v>35</v>
      </c>
      <c r="B54" t="s">
        <v>314</v>
      </c>
      <c r="C54" t="s">
        <v>251</v>
      </c>
      <c r="D54" t="s">
        <v>251</v>
      </c>
      <c r="E54" t="s">
        <v>256</v>
      </c>
      <c r="F54" t="s">
        <v>157</v>
      </c>
      <c r="G54" t="s">
        <v>257</v>
      </c>
      <c r="H54" t="s">
        <v>310</v>
      </c>
      <c r="I54" t="s">
        <v>251</v>
      </c>
      <c r="J54" t="s">
        <v>288</v>
      </c>
      <c r="K54" t="s">
        <v>289</v>
      </c>
      <c r="L54" t="s">
        <v>311</v>
      </c>
    </row>
    <row r="55" spans="1:12">
      <c r="A55" t="s">
        <v>35</v>
      </c>
      <c r="B55" t="s">
        <v>315</v>
      </c>
      <c r="C55" t="s">
        <v>247</v>
      </c>
      <c r="D55" t="s">
        <v>247</v>
      </c>
      <c r="E55" t="s">
        <v>256</v>
      </c>
      <c r="F55" t="s">
        <v>157</v>
      </c>
      <c r="G55" t="s">
        <v>316</v>
      </c>
      <c r="H55" t="s">
        <v>317</v>
      </c>
      <c r="I55" t="s">
        <v>251</v>
      </c>
      <c r="J55" t="s">
        <v>252</v>
      </c>
      <c r="K55" t="s">
        <v>253</v>
      </c>
      <c r="L55" t="s">
        <v>318</v>
      </c>
    </row>
    <row r="56" spans="1:12">
      <c r="A56" t="s">
        <v>35</v>
      </c>
      <c r="B56" t="s">
        <v>315</v>
      </c>
      <c r="C56" t="s">
        <v>262</v>
      </c>
      <c r="D56" t="s">
        <v>262</v>
      </c>
      <c r="E56" t="s">
        <v>256</v>
      </c>
      <c r="F56" t="s">
        <v>157</v>
      </c>
      <c r="G56" t="s">
        <v>316</v>
      </c>
      <c r="H56" t="s">
        <v>317</v>
      </c>
      <c r="I56" t="s">
        <v>251</v>
      </c>
      <c r="J56" t="s">
        <v>252</v>
      </c>
      <c r="K56" t="s">
        <v>253</v>
      </c>
      <c r="L56" t="s">
        <v>319</v>
      </c>
    </row>
    <row r="57" spans="1:12">
      <c r="A57" t="s">
        <v>35</v>
      </c>
      <c r="B57" t="s">
        <v>320</v>
      </c>
      <c r="C57" t="s">
        <v>247</v>
      </c>
      <c r="D57" t="s">
        <v>247</v>
      </c>
      <c r="E57" t="s">
        <v>256</v>
      </c>
      <c r="F57" t="s">
        <v>157</v>
      </c>
      <c r="G57" t="s">
        <v>316</v>
      </c>
      <c r="H57" t="s">
        <v>317</v>
      </c>
      <c r="I57" t="s">
        <v>251</v>
      </c>
      <c r="J57" t="s">
        <v>252</v>
      </c>
      <c r="K57" t="s">
        <v>253</v>
      </c>
      <c r="L57" t="s">
        <v>321</v>
      </c>
    </row>
    <row r="58" spans="1:12">
      <c r="A58" t="s">
        <v>35</v>
      </c>
      <c r="B58" t="s">
        <v>320</v>
      </c>
      <c r="C58" t="s">
        <v>262</v>
      </c>
      <c r="D58" t="s">
        <v>262</v>
      </c>
      <c r="E58" t="s">
        <v>256</v>
      </c>
      <c r="F58" t="s">
        <v>157</v>
      </c>
      <c r="G58" t="s">
        <v>316</v>
      </c>
      <c r="H58" t="s">
        <v>317</v>
      </c>
      <c r="I58" t="s">
        <v>251</v>
      </c>
      <c r="J58" t="s">
        <v>252</v>
      </c>
      <c r="K58" t="s">
        <v>253</v>
      </c>
      <c r="L58" t="s">
        <v>322</v>
      </c>
    </row>
    <row r="59" spans="1:12">
      <c r="A59" t="s">
        <v>35</v>
      </c>
      <c r="B59" t="s">
        <v>323</v>
      </c>
      <c r="C59" t="s">
        <v>247</v>
      </c>
      <c r="D59" t="s">
        <v>247</v>
      </c>
      <c r="E59" t="s">
        <v>256</v>
      </c>
      <c r="F59" t="s">
        <v>157</v>
      </c>
      <c r="G59" t="s">
        <v>316</v>
      </c>
      <c r="H59" t="s">
        <v>317</v>
      </c>
      <c r="I59" t="s">
        <v>251</v>
      </c>
      <c r="J59" t="s">
        <v>252</v>
      </c>
      <c r="K59" t="s">
        <v>253</v>
      </c>
      <c r="L59" t="s">
        <v>324</v>
      </c>
    </row>
    <row r="60" spans="1:12">
      <c r="A60" t="s">
        <v>35</v>
      </c>
      <c r="B60" t="s">
        <v>323</v>
      </c>
      <c r="C60" t="s">
        <v>262</v>
      </c>
      <c r="D60" t="s">
        <v>262</v>
      </c>
      <c r="E60" t="s">
        <v>256</v>
      </c>
      <c r="F60" t="s">
        <v>157</v>
      </c>
      <c r="G60" t="s">
        <v>316</v>
      </c>
      <c r="H60" t="s">
        <v>317</v>
      </c>
      <c r="I60" t="s">
        <v>251</v>
      </c>
      <c r="J60" t="s">
        <v>252</v>
      </c>
      <c r="K60" t="s">
        <v>253</v>
      </c>
      <c r="L60" t="s">
        <v>325</v>
      </c>
    </row>
    <row r="61" spans="1:12">
      <c r="A61" t="s">
        <v>35</v>
      </c>
      <c r="B61" t="s">
        <v>326</v>
      </c>
      <c r="C61" t="s">
        <v>247</v>
      </c>
      <c r="D61" t="s">
        <v>247</v>
      </c>
      <c r="E61" t="s">
        <v>256</v>
      </c>
      <c r="F61" t="s">
        <v>157</v>
      </c>
      <c r="G61" t="s">
        <v>316</v>
      </c>
      <c r="H61" t="s">
        <v>317</v>
      </c>
      <c r="I61" t="s">
        <v>251</v>
      </c>
      <c r="J61" t="s">
        <v>252</v>
      </c>
      <c r="K61" t="s">
        <v>253</v>
      </c>
      <c r="L61" t="s">
        <v>327</v>
      </c>
    </row>
    <row r="62" spans="1:12">
      <c r="A62" t="s">
        <v>35</v>
      </c>
      <c r="B62" t="s">
        <v>326</v>
      </c>
      <c r="C62" t="s">
        <v>262</v>
      </c>
      <c r="D62" t="s">
        <v>262</v>
      </c>
      <c r="E62" t="s">
        <v>256</v>
      </c>
      <c r="F62" t="s">
        <v>157</v>
      </c>
      <c r="G62" t="s">
        <v>316</v>
      </c>
      <c r="H62" t="s">
        <v>317</v>
      </c>
      <c r="I62" t="s">
        <v>251</v>
      </c>
      <c r="J62" t="s">
        <v>252</v>
      </c>
      <c r="K62" t="s">
        <v>253</v>
      </c>
      <c r="L62" t="s">
        <v>328</v>
      </c>
    </row>
    <row r="63" spans="1:12">
      <c r="A63" t="s">
        <v>35</v>
      </c>
      <c r="B63" t="s">
        <v>329</v>
      </c>
      <c r="C63" t="s">
        <v>251</v>
      </c>
      <c r="D63" t="s">
        <v>251</v>
      </c>
      <c r="E63" t="s">
        <v>256</v>
      </c>
      <c r="F63" t="s">
        <v>157</v>
      </c>
      <c r="G63" t="s">
        <v>257</v>
      </c>
      <c r="H63" t="s">
        <v>330</v>
      </c>
      <c r="I63" t="s">
        <v>251</v>
      </c>
      <c r="J63" t="s">
        <v>278</v>
      </c>
      <c r="K63" t="s">
        <v>279</v>
      </c>
      <c r="L63" t="s">
        <v>259</v>
      </c>
    </row>
    <row r="64" spans="1:12">
      <c r="A64" t="s">
        <v>35</v>
      </c>
      <c r="B64" t="s">
        <v>331</v>
      </c>
      <c r="C64" t="s">
        <v>251</v>
      </c>
      <c r="D64" t="s">
        <v>251</v>
      </c>
      <c r="E64" t="s">
        <v>256</v>
      </c>
      <c r="F64" t="s">
        <v>157</v>
      </c>
      <c r="G64" t="s">
        <v>257</v>
      </c>
      <c r="H64" t="s">
        <v>330</v>
      </c>
      <c r="I64" t="s">
        <v>251</v>
      </c>
      <c r="J64" t="s">
        <v>282</v>
      </c>
      <c r="K64" t="s">
        <v>283</v>
      </c>
      <c r="L64" t="s">
        <v>259</v>
      </c>
    </row>
    <row r="65" spans="1:12">
      <c r="A65" t="s">
        <v>35</v>
      </c>
      <c r="B65" t="s">
        <v>332</v>
      </c>
      <c r="C65" t="s">
        <v>251</v>
      </c>
      <c r="D65" t="s">
        <v>251</v>
      </c>
      <c r="E65" t="s">
        <v>256</v>
      </c>
      <c r="F65" t="s">
        <v>157</v>
      </c>
      <c r="G65" t="s">
        <v>257</v>
      </c>
      <c r="H65" t="s">
        <v>330</v>
      </c>
      <c r="I65" t="s">
        <v>251</v>
      </c>
      <c r="J65" t="s">
        <v>285</v>
      </c>
      <c r="K65" t="s">
        <v>286</v>
      </c>
      <c r="L65" t="s">
        <v>259</v>
      </c>
    </row>
    <row r="66" spans="1:12">
      <c r="A66" t="s">
        <v>35</v>
      </c>
      <c r="B66" t="s">
        <v>333</v>
      </c>
      <c r="C66" t="s">
        <v>251</v>
      </c>
      <c r="D66" t="s">
        <v>251</v>
      </c>
      <c r="E66" t="s">
        <v>256</v>
      </c>
      <c r="F66" t="s">
        <v>157</v>
      </c>
      <c r="G66" t="s">
        <v>257</v>
      </c>
      <c r="H66" t="s">
        <v>330</v>
      </c>
      <c r="I66" t="s">
        <v>251</v>
      </c>
      <c r="J66" t="s">
        <v>288</v>
      </c>
      <c r="K66" t="s">
        <v>289</v>
      </c>
      <c r="L66" t="s">
        <v>334</v>
      </c>
    </row>
    <row r="67" spans="1:12">
      <c r="A67" t="s">
        <v>70</v>
      </c>
      <c r="B67" t="s">
        <v>335</v>
      </c>
      <c r="C67" t="s">
        <v>336</v>
      </c>
      <c r="D67" t="s">
        <v>337</v>
      </c>
      <c r="E67" t="s">
        <v>256</v>
      </c>
      <c r="F67" t="s">
        <v>157</v>
      </c>
      <c r="G67" t="s">
        <v>338</v>
      </c>
      <c r="H67" t="s">
        <v>339</v>
      </c>
      <c r="I67" t="s">
        <v>337</v>
      </c>
      <c r="J67" t="s">
        <v>340</v>
      </c>
      <c r="K67" t="s">
        <v>253</v>
      </c>
      <c r="L67" t="s">
        <v>341</v>
      </c>
    </row>
    <row r="68" spans="1:12">
      <c r="A68" t="s">
        <v>70</v>
      </c>
      <c r="B68" t="s">
        <v>342</v>
      </c>
      <c r="C68" t="s">
        <v>336</v>
      </c>
      <c r="D68" t="s">
        <v>336</v>
      </c>
      <c r="E68" t="s">
        <v>256</v>
      </c>
      <c r="F68" t="s">
        <v>157</v>
      </c>
      <c r="G68" t="s">
        <v>343</v>
      </c>
      <c r="H68" t="s">
        <v>339</v>
      </c>
      <c r="I68" t="s">
        <v>337</v>
      </c>
      <c r="J68" t="s">
        <v>340</v>
      </c>
      <c r="K68" t="s">
        <v>253</v>
      </c>
      <c r="L68" t="s">
        <v>344</v>
      </c>
    </row>
    <row r="69" spans="1:12">
      <c r="A69" t="s">
        <v>70</v>
      </c>
      <c r="B69" t="s">
        <v>345</v>
      </c>
      <c r="C69" t="s">
        <v>336</v>
      </c>
      <c r="D69" t="s">
        <v>336</v>
      </c>
      <c r="E69" t="s">
        <v>256</v>
      </c>
      <c r="F69" t="s">
        <v>157</v>
      </c>
      <c r="G69" t="s">
        <v>343</v>
      </c>
      <c r="H69" t="s">
        <v>339</v>
      </c>
      <c r="I69" t="s">
        <v>337</v>
      </c>
      <c r="J69" t="s">
        <v>340</v>
      </c>
      <c r="K69" t="s">
        <v>253</v>
      </c>
      <c r="L69" t="s">
        <v>344</v>
      </c>
    </row>
    <row r="70" spans="1:12">
      <c r="A70" t="s">
        <v>70</v>
      </c>
      <c r="B70" t="s">
        <v>346</v>
      </c>
      <c r="C70" t="s">
        <v>337</v>
      </c>
      <c r="D70" t="s">
        <v>337</v>
      </c>
      <c r="E70" t="s">
        <v>256</v>
      </c>
      <c r="F70" t="s">
        <v>157</v>
      </c>
      <c r="G70" t="s">
        <v>347</v>
      </c>
      <c r="H70" t="s">
        <v>339</v>
      </c>
      <c r="I70" t="s">
        <v>337</v>
      </c>
      <c r="J70" t="s">
        <v>340</v>
      </c>
      <c r="K70" t="s">
        <v>253</v>
      </c>
      <c r="L70" t="s">
        <v>348</v>
      </c>
    </row>
    <row r="71" spans="1:12">
      <c r="A71" t="s">
        <v>70</v>
      </c>
      <c r="B71" t="s">
        <v>349</v>
      </c>
      <c r="C71" t="s">
        <v>336</v>
      </c>
      <c r="D71" t="s">
        <v>336</v>
      </c>
      <c r="E71" t="s">
        <v>248</v>
      </c>
      <c r="F71" t="s">
        <v>157</v>
      </c>
      <c r="G71" t="s">
        <v>350</v>
      </c>
      <c r="H71" t="s">
        <v>339</v>
      </c>
      <c r="I71" t="s">
        <v>337</v>
      </c>
      <c r="J71" t="s">
        <v>252</v>
      </c>
      <c r="K71" t="s">
        <v>253</v>
      </c>
      <c r="L71" t="s">
        <v>351</v>
      </c>
    </row>
    <row r="72" spans="1:12">
      <c r="A72" t="s">
        <v>70</v>
      </c>
      <c r="B72" t="s">
        <v>352</v>
      </c>
      <c r="C72" t="s">
        <v>336</v>
      </c>
      <c r="D72" t="s">
        <v>336</v>
      </c>
      <c r="E72" t="s">
        <v>248</v>
      </c>
      <c r="F72" t="s">
        <v>157</v>
      </c>
      <c r="G72" t="s">
        <v>353</v>
      </c>
      <c r="H72" t="s">
        <v>354</v>
      </c>
      <c r="I72" t="s">
        <v>337</v>
      </c>
      <c r="J72" t="s">
        <v>340</v>
      </c>
      <c r="K72" t="s">
        <v>253</v>
      </c>
      <c r="L72" t="s">
        <v>355</v>
      </c>
    </row>
    <row r="73" spans="1:12">
      <c r="A73" t="s">
        <v>70</v>
      </c>
      <c r="B73" t="s">
        <v>356</v>
      </c>
      <c r="C73" t="s">
        <v>336</v>
      </c>
      <c r="D73" t="s">
        <v>336</v>
      </c>
      <c r="E73" t="s">
        <v>248</v>
      </c>
      <c r="F73" t="s">
        <v>157</v>
      </c>
      <c r="G73" t="s">
        <v>353</v>
      </c>
      <c r="H73" t="s">
        <v>354</v>
      </c>
      <c r="I73" t="s">
        <v>337</v>
      </c>
      <c r="J73" t="s">
        <v>340</v>
      </c>
      <c r="K73" t="s">
        <v>253</v>
      </c>
      <c r="L73" t="s">
        <v>355</v>
      </c>
    </row>
    <row r="74" spans="1:12">
      <c r="A74" t="s">
        <v>70</v>
      </c>
      <c r="B74" t="s">
        <v>357</v>
      </c>
      <c r="C74" t="s">
        <v>336</v>
      </c>
      <c r="D74" t="s">
        <v>336</v>
      </c>
      <c r="E74" t="s">
        <v>248</v>
      </c>
      <c r="F74" t="s">
        <v>157</v>
      </c>
      <c r="G74" t="s">
        <v>358</v>
      </c>
      <c r="H74" t="s">
        <v>359</v>
      </c>
      <c r="I74" t="s">
        <v>337</v>
      </c>
      <c r="J74" t="s">
        <v>252</v>
      </c>
      <c r="K74" t="s">
        <v>253</v>
      </c>
      <c r="L74" t="s">
        <v>360</v>
      </c>
    </row>
    <row r="75" spans="1:12">
      <c r="A75" t="s">
        <v>70</v>
      </c>
      <c r="B75" t="s">
        <v>361</v>
      </c>
      <c r="C75" t="s">
        <v>362</v>
      </c>
      <c r="D75" t="s">
        <v>336</v>
      </c>
      <c r="E75" t="s">
        <v>256</v>
      </c>
      <c r="F75" t="s">
        <v>363</v>
      </c>
      <c r="H75" t="s">
        <v>364</v>
      </c>
      <c r="I75" t="s">
        <v>337</v>
      </c>
      <c r="J75" t="s">
        <v>252</v>
      </c>
      <c r="K75" t="s">
        <v>253</v>
      </c>
      <c r="L75" t="s">
        <v>365</v>
      </c>
    </row>
    <row r="76" spans="1:12">
      <c r="A76" t="s">
        <v>70</v>
      </c>
      <c r="B76" t="s">
        <v>366</v>
      </c>
      <c r="C76" t="s">
        <v>336</v>
      </c>
      <c r="D76" t="s">
        <v>336</v>
      </c>
      <c r="E76" t="s">
        <v>256</v>
      </c>
      <c r="F76" t="s">
        <v>157</v>
      </c>
      <c r="G76" t="s">
        <v>367</v>
      </c>
      <c r="H76" t="s">
        <v>165</v>
      </c>
      <c r="I76" t="s">
        <v>337</v>
      </c>
      <c r="J76" t="s">
        <v>252</v>
      </c>
      <c r="K76" t="s">
        <v>253</v>
      </c>
      <c r="L76" t="s">
        <v>368</v>
      </c>
    </row>
    <row r="77" spans="1:12">
      <c r="A77" t="s">
        <v>70</v>
      </c>
      <c r="B77" t="s">
        <v>369</v>
      </c>
      <c r="C77" t="s">
        <v>336</v>
      </c>
      <c r="D77" t="s">
        <v>336</v>
      </c>
      <c r="E77" t="s">
        <v>256</v>
      </c>
      <c r="F77" t="s">
        <v>157</v>
      </c>
      <c r="G77" t="s">
        <v>370</v>
      </c>
      <c r="H77" t="s">
        <v>165</v>
      </c>
      <c r="I77" t="s">
        <v>337</v>
      </c>
      <c r="J77" t="s">
        <v>340</v>
      </c>
      <c r="K77" t="s">
        <v>253</v>
      </c>
      <c r="L77" t="s">
        <v>371</v>
      </c>
    </row>
    <row r="78" spans="1:12">
      <c r="A78" t="s">
        <v>70</v>
      </c>
      <c r="B78" t="s">
        <v>372</v>
      </c>
      <c r="C78" t="s">
        <v>336</v>
      </c>
      <c r="D78" t="s">
        <v>336</v>
      </c>
      <c r="E78" t="s">
        <v>256</v>
      </c>
      <c r="F78" t="s">
        <v>157</v>
      </c>
      <c r="G78" t="s">
        <v>370</v>
      </c>
      <c r="H78" t="s">
        <v>165</v>
      </c>
      <c r="I78" t="s">
        <v>337</v>
      </c>
      <c r="J78" t="s">
        <v>340</v>
      </c>
      <c r="K78" t="s">
        <v>253</v>
      </c>
      <c r="L78" t="s">
        <v>371</v>
      </c>
    </row>
    <row r="79" spans="1:12">
      <c r="A79" t="s">
        <v>70</v>
      </c>
      <c r="B79" t="s">
        <v>373</v>
      </c>
      <c r="C79" t="s">
        <v>336</v>
      </c>
      <c r="D79" t="s">
        <v>336</v>
      </c>
      <c r="E79" t="s">
        <v>256</v>
      </c>
      <c r="F79" t="s">
        <v>157</v>
      </c>
      <c r="G79" t="s">
        <v>370</v>
      </c>
      <c r="H79" t="s">
        <v>165</v>
      </c>
      <c r="I79" t="s">
        <v>337</v>
      </c>
      <c r="J79" t="s">
        <v>340</v>
      </c>
      <c r="K79" t="s">
        <v>253</v>
      </c>
      <c r="L79" t="s">
        <v>371</v>
      </c>
    </row>
    <row r="80" spans="1:12">
      <c r="A80" t="s">
        <v>70</v>
      </c>
      <c r="B80" t="s">
        <v>374</v>
      </c>
      <c r="C80" t="s">
        <v>336</v>
      </c>
      <c r="D80" t="s">
        <v>336</v>
      </c>
      <c r="E80" t="s">
        <v>256</v>
      </c>
      <c r="F80" t="s">
        <v>157</v>
      </c>
      <c r="G80" t="s">
        <v>375</v>
      </c>
      <c r="H80" t="s">
        <v>376</v>
      </c>
      <c r="I80" t="s">
        <v>337</v>
      </c>
      <c r="J80" t="s">
        <v>252</v>
      </c>
      <c r="K80" t="s">
        <v>253</v>
      </c>
      <c r="L80" t="s">
        <v>377</v>
      </c>
    </row>
    <row r="81" spans="1:12">
      <c r="A81" t="s">
        <v>70</v>
      </c>
      <c r="B81" t="s">
        <v>378</v>
      </c>
      <c r="C81" t="s">
        <v>337</v>
      </c>
      <c r="D81" t="s">
        <v>337</v>
      </c>
      <c r="E81" t="s">
        <v>256</v>
      </c>
      <c r="F81" t="s">
        <v>157</v>
      </c>
      <c r="G81" t="s">
        <v>347</v>
      </c>
      <c r="H81" t="s">
        <v>379</v>
      </c>
      <c r="I81" t="s">
        <v>337</v>
      </c>
      <c r="J81" t="s">
        <v>340</v>
      </c>
      <c r="K81" t="s">
        <v>253</v>
      </c>
      <c r="L81" t="s">
        <v>380</v>
      </c>
    </row>
    <row r="82" spans="1:12">
      <c r="A82" t="s">
        <v>70</v>
      </c>
      <c r="B82" t="s">
        <v>381</v>
      </c>
      <c r="C82" t="s">
        <v>336</v>
      </c>
      <c r="D82" t="s">
        <v>336</v>
      </c>
      <c r="E82" t="s">
        <v>256</v>
      </c>
      <c r="F82" t="s">
        <v>157</v>
      </c>
      <c r="G82" t="s">
        <v>343</v>
      </c>
      <c r="H82" t="s">
        <v>379</v>
      </c>
      <c r="I82" t="s">
        <v>337</v>
      </c>
      <c r="J82" t="s">
        <v>340</v>
      </c>
      <c r="K82" t="s">
        <v>253</v>
      </c>
      <c r="L82" t="s">
        <v>344</v>
      </c>
    </row>
    <row r="83" spans="1:12">
      <c r="A83" t="s">
        <v>70</v>
      </c>
      <c r="B83" t="s">
        <v>382</v>
      </c>
      <c r="C83" t="s">
        <v>362</v>
      </c>
      <c r="D83" t="s">
        <v>336</v>
      </c>
      <c r="E83" t="s">
        <v>256</v>
      </c>
      <c r="F83" t="s">
        <v>363</v>
      </c>
      <c r="H83" t="s">
        <v>379</v>
      </c>
      <c r="I83" t="s">
        <v>337</v>
      </c>
      <c r="J83" t="s">
        <v>252</v>
      </c>
      <c r="K83" t="s">
        <v>253</v>
      </c>
      <c r="L83" t="s">
        <v>383</v>
      </c>
    </row>
    <row r="84" spans="1:12">
      <c r="A84" t="s">
        <v>70</v>
      </c>
      <c r="B84" t="s">
        <v>384</v>
      </c>
      <c r="C84" t="s">
        <v>336</v>
      </c>
      <c r="D84" t="s">
        <v>336</v>
      </c>
      <c r="E84" t="s">
        <v>256</v>
      </c>
      <c r="F84" t="s">
        <v>157</v>
      </c>
      <c r="G84" t="s">
        <v>343</v>
      </c>
      <c r="H84" t="s">
        <v>379</v>
      </c>
      <c r="I84" t="s">
        <v>337</v>
      </c>
      <c r="J84" t="s">
        <v>340</v>
      </c>
      <c r="K84" t="s">
        <v>253</v>
      </c>
      <c r="L84" t="s">
        <v>344</v>
      </c>
    </row>
    <row r="85" spans="1:12">
      <c r="A85" t="s">
        <v>70</v>
      </c>
      <c r="B85" t="s">
        <v>385</v>
      </c>
      <c r="C85" t="s">
        <v>336</v>
      </c>
      <c r="D85" t="s">
        <v>336</v>
      </c>
      <c r="E85" t="s">
        <v>256</v>
      </c>
      <c r="F85" t="s">
        <v>157</v>
      </c>
      <c r="G85" t="s">
        <v>343</v>
      </c>
      <c r="H85" t="s">
        <v>379</v>
      </c>
      <c r="I85" t="s">
        <v>337</v>
      </c>
      <c r="J85" t="s">
        <v>340</v>
      </c>
      <c r="K85" t="s">
        <v>253</v>
      </c>
      <c r="L85" t="s">
        <v>344</v>
      </c>
    </row>
    <row r="86" spans="1:12">
      <c r="A86" t="s">
        <v>70</v>
      </c>
      <c r="B86" t="s">
        <v>386</v>
      </c>
      <c r="C86" t="s">
        <v>336</v>
      </c>
      <c r="D86" t="s">
        <v>336</v>
      </c>
      <c r="E86" t="s">
        <v>256</v>
      </c>
      <c r="F86" t="s">
        <v>157</v>
      </c>
      <c r="G86" t="s">
        <v>343</v>
      </c>
      <c r="H86" t="s">
        <v>379</v>
      </c>
      <c r="I86" t="s">
        <v>337</v>
      </c>
      <c r="J86" t="s">
        <v>340</v>
      </c>
      <c r="K86" t="s">
        <v>253</v>
      </c>
      <c r="L86" t="s">
        <v>344</v>
      </c>
    </row>
    <row r="87" spans="1:12">
      <c r="A87" t="s">
        <v>70</v>
      </c>
      <c r="B87" t="s">
        <v>387</v>
      </c>
      <c r="C87" t="s">
        <v>336</v>
      </c>
      <c r="D87" t="s">
        <v>336</v>
      </c>
      <c r="E87" t="s">
        <v>256</v>
      </c>
      <c r="F87" t="s">
        <v>157</v>
      </c>
      <c r="G87" t="s">
        <v>388</v>
      </c>
      <c r="H87" t="s">
        <v>379</v>
      </c>
      <c r="I87" t="s">
        <v>337</v>
      </c>
      <c r="J87" t="s">
        <v>252</v>
      </c>
      <c r="K87" t="s">
        <v>253</v>
      </c>
      <c r="L87" t="s">
        <v>344</v>
      </c>
    </row>
    <row r="88" spans="1:12">
      <c r="A88" t="s">
        <v>70</v>
      </c>
      <c r="B88" t="s">
        <v>389</v>
      </c>
      <c r="C88" t="s">
        <v>336</v>
      </c>
      <c r="D88" t="s">
        <v>336</v>
      </c>
      <c r="E88" t="s">
        <v>248</v>
      </c>
      <c r="F88" t="s">
        <v>157</v>
      </c>
      <c r="G88" t="s">
        <v>353</v>
      </c>
      <c r="H88" t="s">
        <v>379</v>
      </c>
      <c r="I88" t="s">
        <v>337</v>
      </c>
      <c r="J88" t="s">
        <v>340</v>
      </c>
      <c r="K88" t="s">
        <v>253</v>
      </c>
      <c r="L88" t="s">
        <v>355</v>
      </c>
    </row>
    <row r="89" spans="1:12">
      <c r="A89" t="s">
        <v>70</v>
      </c>
      <c r="B89" t="s">
        <v>390</v>
      </c>
      <c r="C89" t="s">
        <v>336</v>
      </c>
      <c r="D89" t="s">
        <v>336</v>
      </c>
      <c r="E89" t="s">
        <v>248</v>
      </c>
      <c r="F89" t="s">
        <v>157</v>
      </c>
      <c r="G89" t="s">
        <v>350</v>
      </c>
      <c r="H89" t="s">
        <v>391</v>
      </c>
      <c r="I89" t="s">
        <v>337</v>
      </c>
      <c r="J89" t="s">
        <v>252</v>
      </c>
      <c r="K89" t="s">
        <v>253</v>
      </c>
      <c r="L89" t="s">
        <v>351</v>
      </c>
    </row>
    <row r="90" spans="1:12">
      <c r="A90" t="s">
        <v>70</v>
      </c>
      <c r="B90" t="s">
        <v>392</v>
      </c>
      <c r="C90" t="s">
        <v>336</v>
      </c>
      <c r="D90" t="s">
        <v>337</v>
      </c>
      <c r="E90" t="s">
        <v>256</v>
      </c>
      <c r="F90" t="s">
        <v>157</v>
      </c>
      <c r="G90" t="s">
        <v>338</v>
      </c>
      <c r="H90" t="s">
        <v>391</v>
      </c>
      <c r="I90" t="s">
        <v>337</v>
      </c>
      <c r="J90" t="s">
        <v>340</v>
      </c>
      <c r="K90" t="s">
        <v>253</v>
      </c>
      <c r="L90" t="s">
        <v>341</v>
      </c>
    </row>
    <row r="91" spans="1:12">
      <c r="A91" t="s">
        <v>70</v>
      </c>
      <c r="B91" t="s">
        <v>393</v>
      </c>
      <c r="C91" t="s">
        <v>336</v>
      </c>
      <c r="D91" t="s">
        <v>336</v>
      </c>
      <c r="E91" t="s">
        <v>248</v>
      </c>
      <c r="F91" t="s">
        <v>157</v>
      </c>
      <c r="G91" t="s">
        <v>353</v>
      </c>
      <c r="H91" t="s">
        <v>196</v>
      </c>
      <c r="I91" t="s">
        <v>337</v>
      </c>
      <c r="J91" t="s">
        <v>340</v>
      </c>
      <c r="K91" t="s">
        <v>253</v>
      </c>
      <c r="L91" t="s">
        <v>394</v>
      </c>
    </row>
    <row r="92" spans="1:12">
      <c r="A92" t="s">
        <v>70</v>
      </c>
      <c r="B92" t="s">
        <v>395</v>
      </c>
      <c r="C92" t="s">
        <v>336</v>
      </c>
      <c r="D92" t="s">
        <v>336</v>
      </c>
      <c r="E92" t="s">
        <v>248</v>
      </c>
      <c r="F92" t="s">
        <v>157</v>
      </c>
      <c r="G92" t="s">
        <v>350</v>
      </c>
      <c r="H92" t="s">
        <v>196</v>
      </c>
      <c r="I92" t="s">
        <v>337</v>
      </c>
      <c r="J92" t="s">
        <v>252</v>
      </c>
      <c r="K92" t="s">
        <v>253</v>
      </c>
      <c r="L92" t="s">
        <v>394</v>
      </c>
    </row>
    <row r="93" spans="1:12">
      <c r="A93" t="s">
        <v>70</v>
      </c>
      <c r="B93" t="s">
        <v>396</v>
      </c>
      <c r="C93" t="s">
        <v>337</v>
      </c>
      <c r="D93" t="s">
        <v>337</v>
      </c>
      <c r="E93" t="s">
        <v>256</v>
      </c>
      <c r="F93" t="s">
        <v>157</v>
      </c>
      <c r="G93" t="s">
        <v>347</v>
      </c>
      <c r="H93" t="s">
        <v>22</v>
      </c>
      <c r="I93" t="s">
        <v>337</v>
      </c>
      <c r="J93" t="s">
        <v>340</v>
      </c>
      <c r="K93" t="s">
        <v>253</v>
      </c>
      <c r="L93" t="s">
        <v>348</v>
      </c>
    </row>
    <row r="94" spans="1:12">
      <c r="A94" t="s">
        <v>70</v>
      </c>
      <c r="B94" t="s">
        <v>397</v>
      </c>
      <c r="C94" t="s">
        <v>337</v>
      </c>
      <c r="D94" t="s">
        <v>337</v>
      </c>
      <c r="E94" t="s">
        <v>256</v>
      </c>
      <c r="F94" t="s">
        <v>157</v>
      </c>
      <c r="G94" t="s">
        <v>347</v>
      </c>
      <c r="H94" t="s">
        <v>22</v>
      </c>
      <c r="I94" t="s">
        <v>337</v>
      </c>
      <c r="J94" t="s">
        <v>340</v>
      </c>
      <c r="K94" t="s">
        <v>253</v>
      </c>
      <c r="L94" t="s">
        <v>348</v>
      </c>
    </row>
    <row r="95" spans="1:12">
      <c r="A95" t="s">
        <v>70</v>
      </c>
      <c r="B95" t="s">
        <v>398</v>
      </c>
      <c r="C95" t="s">
        <v>337</v>
      </c>
      <c r="D95" t="s">
        <v>337</v>
      </c>
      <c r="E95" t="s">
        <v>256</v>
      </c>
      <c r="F95" t="s">
        <v>157</v>
      </c>
      <c r="G95" t="s">
        <v>347</v>
      </c>
      <c r="H95" t="s">
        <v>22</v>
      </c>
      <c r="I95" t="s">
        <v>337</v>
      </c>
      <c r="J95" t="s">
        <v>340</v>
      </c>
      <c r="K95" t="s">
        <v>253</v>
      </c>
      <c r="L95" t="s">
        <v>348</v>
      </c>
    </row>
    <row r="96" spans="1:12">
      <c r="A96" t="s">
        <v>70</v>
      </c>
      <c r="B96" t="s">
        <v>399</v>
      </c>
      <c r="C96" t="s">
        <v>336</v>
      </c>
      <c r="D96" t="s">
        <v>336</v>
      </c>
      <c r="E96" t="s">
        <v>248</v>
      </c>
      <c r="F96" t="s">
        <v>157</v>
      </c>
      <c r="G96" t="s">
        <v>400</v>
      </c>
      <c r="H96" t="s">
        <v>22</v>
      </c>
      <c r="I96" t="s">
        <v>337</v>
      </c>
      <c r="J96" t="s">
        <v>252</v>
      </c>
      <c r="K96" t="s">
        <v>253</v>
      </c>
      <c r="L96" t="s">
        <v>401</v>
      </c>
    </row>
    <row r="97" spans="1:12">
      <c r="A97" t="s">
        <v>70</v>
      </c>
      <c r="B97" t="s">
        <v>402</v>
      </c>
      <c r="C97" t="s">
        <v>336</v>
      </c>
      <c r="D97" t="s">
        <v>336</v>
      </c>
      <c r="E97" t="s">
        <v>248</v>
      </c>
      <c r="F97" t="s">
        <v>157</v>
      </c>
      <c r="G97" t="s">
        <v>403</v>
      </c>
      <c r="H97" t="s">
        <v>22</v>
      </c>
      <c r="I97" t="s">
        <v>337</v>
      </c>
      <c r="J97" t="s">
        <v>160</v>
      </c>
      <c r="K97" t="s">
        <v>404</v>
      </c>
      <c r="L97" t="s">
        <v>405</v>
      </c>
    </row>
    <row r="98" spans="1:12">
      <c r="A98" t="s">
        <v>70</v>
      </c>
      <c r="B98" t="s">
        <v>406</v>
      </c>
      <c r="C98" t="s">
        <v>336</v>
      </c>
      <c r="D98" t="s">
        <v>337</v>
      </c>
      <c r="E98" t="s">
        <v>256</v>
      </c>
      <c r="F98" t="s">
        <v>157</v>
      </c>
      <c r="G98" t="s">
        <v>338</v>
      </c>
      <c r="H98" t="s">
        <v>26</v>
      </c>
      <c r="I98" t="s">
        <v>337</v>
      </c>
      <c r="J98" t="s">
        <v>340</v>
      </c>
      <c r="K98" t="s">
        <v>253</v>
      </c>
      <c r="L98" t="s">
        <v>341</v>
      </c>
    </row>
    <row r="99" spans="1:12">
      <c r="A99" t="s">
        <v>70</v>
      </c>
      <c r="B99" t="s">
        <v>406</v>
      </c>
      <c r="C99" t="s">
        <v>336</v>
      </c>
      <c r="D99" t="s">
        <v>337</v>
      </c>
      <c r="E99" t="s">
        <v>256</v>
      </c>
      <c r="F99" t="s">
        <v>157</v>
      </c>
      <c r="G99" t="s">
        <v>338</v>
      </c>
      <c r="H99" t="s">
        <v>26</v>
      </c>
      <c r="I99" t="s">
        <v>337</v>
      </c>
      <c r="J99" t="s">
        <v>340</v>
      </c>
      <c r="K99" t="s">
        <v>253</v>
      </c>
      <c r="L99" t="s">
        <v>341</v>
      </c>
    </row>
    <row r="100" spans="1:12">
      <c r="A100" t="s">
        <v>70</v>
      </c>
      <c r="B100" t="s">
        <v>407</v>
      </c>
      <c r="C100" t="s">
        <v>336</v>
      </c>
      <c r="D100" t="s">
        <v>337</v>
      </c>
      <c r="E100" t="s">
        <v>256</v>
      </c>
      <c r="F100" t="s">
        <v>157</v>
      </c>
      <c r="G100" t="s">
        <v>408</v>
      </c>
      <c r="H100" t="s">
        <v>26</v>
      </c>
      <c r="I100" t="s">
        <v>337</v>
      </c>
      <c r="J100" t="s">
        <v>252</v>
      </c>
      <c r="K100" t="s">
        <v>253</v>
      </c>
      <c r="L100" t="s">
        <v>383</v>
      </c>
    </row>
    <row r="101" spans="1:12">
      <c r="A101" t="s">
        <v>70</v>
      </c>
      <c r="B101" t="s">
        <v>407</v>
      </c>
      <c r="C101" t="s">
        <v>336</v>
      </c>
      <c r="D101" t="s">
        <v>337</v>
      </c>
      <c r="E101" t="s">
        <v>256</v>
      </c>
      <c r="F101" t="s">
        <v>157</v>
      </c>
      <c r="G101" t="s">
        <v>408</v>
      </c>
      <c r="H101" t="s">
        <v>26</v>
      </c>
      <c r="I101" t="s">
        <v>337</v>
      </c>
      <c r="J101" t="s">
        <v>252</v>
      </c>
      <c r="K101" t="s">
        <v>253</v>
      </c>
      <c r="L101" t="s">
        <v>383</v>
      </c>
    </row>
    <row r="102" spans="1:12">
      <c r="A102" t="s">
        <v>70</v>
      </c>
      <c r="B102" t="s">
        <v>409</v>
      </c>
      <c r="C102" t="s">
        <v>336</v>
      </c>
      <c r="D102" t="s">
        <v>337</v>
      </c>
      <c r="E102" t="s">
        <v>256</v>
      </c>
      <c r="F102" t="s">
        <v>157</v>
      </c>
      <c r="G102" t="s">
        <v>410</v>
      </c>
      <c r="H102" t="s">
        <v>26</v>
      </c>
      <c r="I102" t="s">
        <v>337</v>
      </c>
      <c r="J102" t="s">
        <v>252</v>
      </c>
      <c r="K102" t="s">
        <v>253</v>
      </c>
      <c r="L102" t="s">
        <v>411</v>
      </c>
    </row>
    <row r="103" spans="1:12">
      <c r="A103" t="s">
        <v>70</v>
      </c>
      <c r="B103" t="s">
        <v>412</v>
      </c>
      <c r="C103" t="s">
        <v>336</v>
      </c>
      <c r="D103" t="s">
        <v>336</v>
      </c>
      <c r="E103" t="s">
        <v>256</v>
      </c>
      <c r="F103" t="s">
        <v>157</v>
      </c>
      <c r="G103" t="s">
        <v>413</v>
      </c>
      <c r="H103" t="s">
        <v>26</v>
      </c>
      <c r="I103" t="s">
        <v>337</v>
      </c>
      <c r="J103" t="s">
        <v>340</v>
      </c>
      <c r="K103" t="s">
        <v>253</v>
      </c>
      <c r="L103" t="s">
        <v>414</v>
      </c>
    </row>
    <row r="104" spans="1:12">
      <c r="A104" t="s">
        <v>70</v>
      </c>
      <c r="B104" t="s">
        <v>415</v>
      </c>
      <c r="C104" t="s">
        <v>336</v>
      </c>
      <c r="D104" t="s">
        <v>337</v>
      </c>
      <c r="E104" t="s">
        <v>416</v>
      </c>
      <c r="F104" t="s">
        <v>157</v>
      </c>
      <c r="G104" t="s">
        <v>417</v>
      </c>
      <c r="H104" t="s">
        <v>26</v>
      </c>
      <c r="I104" t="s">
        <v>337</v>
      </c>
      <c r="J104" t="s">
        <v>252</v>
      </c>
      <c r="K104" t="s">
        <v>253</v>
      </c>
      <c r="L104" t="s">
        <v>418</v>
      </c>
    </row>
    <row r="105" spans="1:12">
      <c r="A105" t="s">
        <v>70</v>
      </c>
      <c r="B105" t="s">
        <v>419</v>
      </c>
      <c r="C105" t="s">
        <v>336</v>
      </c>
      <c r="D105" t="s">
        <v>336</v>
      </c>
      <c r="E105" t="s">
        <v>256</v>
      </c>
      <c r="F105" t="s">
        <v>157</v>
      </c>
      <c r="G105" t="s">
        <v>413</v>
      </c>
      <c r="H105" t="s">
        <v>26</v>
      </c>
      <c r="I105" t="s">
        <v>337</v>
      </c>
      <c r="J105" t="s">
        <v>340</v>
      </c>
      <c r="K105" t="s">
        <v>253</v>
      </c>
      <c r="L105" t="s">
        <v>420</v>
      </c>
    </row>
    <row r="106" spans="1:12">
      <c r="A106" t="s">
        <v>70</v>
      </c>
      <c r="B106" t="s">
        <v>421</v>
      </c>
      <c r="C106" t="s">
        <v>336</v>
      </c>
      <c r="D106" t="s">
        <v>337</v>
      </c>
      <c r="E106" t="s">
        <v>416</v>
      </c>
      <c r="F106" t="s">
        <v>157</v>
      </c>
      <c r="G106" t="s">
        <v>417</v>
      </c>
      <c r="H106" t="s">
        <v>26</v>
      </c>
      <c r="I106" t="s">
        <v>337</v>
      </c>
      <c r="J106" t="s">
        <v>252</v>
      </c>
      <c r="K106" t="s">
        <v>253</v>
      </c>
      <c r="L106" t="s">
        <v>422</v>
      </c>
    </row>
    <row r="107" spans="1:12">
      <c r="A107" t="s">
        <v>70</v>
      </c>
      <c r="B107" t="s">
        <v>423</v>
      </c>
      <c r="C107" t="s">
        <v>336</v>
      </c>
      <c r="D107" t="s">
        <v>336</v>
      </c>
      <c r="E107" t="s">
        <v>248</v>
      </c>
      <c r="F107" t="s">
        <v>157</v>
      </c>
      <c r="G107" t="s">
        <v>424</v>
      </c>
      <c r="H107" t="s">
        <v>47</v>
      </c>
      <c r="I107" t="s">
        <v>337</v>
      </c>
      <c r="J107" t="s">
        <v>340</v>
      </c>
      <c r="K107" t="s">
        <v>253</v>
      </c>
      <c r="L107" t="s">
        <v>425</v>
      </c>
    </row>
    <row r="108" spans="1:12">
      <c r="A108" t="s">
        <v>70</v>
      </c>
      <c r="B108" t="s">
        <v>426</v>
      </c>
      <c r="C108" t="s">
        <v>336</v>
      </c>
      <c r="D108" t="s">
        <v>336</v>
      </c>
      <c r="E108" t="s">
        <v>248</v>
      </c>
      <c r="F108" t="s">
        <v>157</v>
      </c>
      <c r="G108" t="s">
        <v>424</v>
      </c>
      <c r="H108" t="s">
        <v>47</v>
      </c>
      <c r="I108" t="s">
        <v>337</v>
      </c>
      <c r="J108" t="s">
        <v>340</v>
      </c>
      <c r="K108" t="s">
        <v>253</v>
      </c>
      <c r="L108" t="s">
        <v>425</v>
      </c>
    </row>
    <row r="109" spans="1:12">
      <c r="A109" t="s">
        <v>70</v>
      </c>
      <c r="B109" t="s">
        <v>427</v>
      </c>
      <c r="C109" t="s">
        <v>336</v>
      </c>
      <c r="D109" t="s">
        <v>336</v>
      </c>
      <c r="E109" t="s">
        <v>248</v>
      </c>
      <c r="F109" t="s">
        <v>157</v>
      </c>
      <c r="G109" t="s">
        <v>424</v>
      </c>
      <c r="H109" t="s">
        <v>47</v>
      </c>
      <c r="I109" t="s">
        <v>337</v>
      </c>
      <c r="J109" t="s">
        <v>252</v>
      </c>
      <c r="K109" t="s">
        <v>253</v>
      </c>
      <c r="L109" t="s">
        <v>428</v>
      </c>
    </row>
    <row r="110" spans="1:12">
      <c r="A110" t="s">
        <v>70</v>
      </c>
      <c r="B110" t="s">
        <v>429</v>
      </c>
      <c r="C110" t="s">
        <v>337</v>
      </c>
      <c r="D110" t="s">
        <v>337</v>
      </c>
      <c r="E110" t="s">
        <v>248</v>
      </c>
      <c r="F110" t="s">
        <v>157</v>
      </c>
      <c r="G110" t="s">
        <v>353</v>
      </c>
      <c r="H110" t="s">
        <v>430</v>
      </c>
      <c r="I110" t="s">
        <v>337</v>
      </c>
      <c r="J110" t="s">
        <v>340</v>
      </c>
      <c r="K110" t="s">
        <v>253</v>
      </c>
      <c r="L110" t="s">
        <v>431</v>
      </c>
    </row>
    <row r="111" spans="1:12">
      <c r="A111" t="s">
        <v>70</v>
      </c>
      <c r="B111" t="s">
        <v>432</v>
      </c>
      <c r="C111" t="s">
        <v>337</v>
      </c>
      <c r="D111" t="s">
        <v>337</v>
      </c>
      <c r="E111" t="s">
        <v>248</v>
      </c>
      <c r="F111" t="s">
        <v>157</v>
      </c>
      <c r="G111" t="s">
        <v>350</v>
      </c>
      <c r="H111" t="s">
        <v>430</v>
      </c>
      <c r="I111" t="s">
        <v>337</v>
      </c>
      <c r="J111" t="s">
        <v>252</v>
      </c>
      <c r="K111" t="s">
        <v>253</v>
      </c>
      <c r="L111" t="s">
        <v>433</v>
      </c>
    </row>
    <row r="112" spans="1:12">
      <c r="A112" t="s">
        <v>70</v>
      </c>
      <c r="B112" t="s">
        <v>434</v>
      </c>
      <c r="C112" t="s">
        <v>337</v>
      </c>
      <c r="D112" t="s">
        <v>337</v>
      </c>
      <c r="E112" t="s">
        <v>256</v>
      </c>
      <c r="F112" t="s">
        <v>157</v>
      </c>
      <c r="G112" t="s">
        <v>338</v>
      </c>
      <c r="H112" t="s">
        <v>430</v>
      </c>
      <c r="I112" t="s">
        <v>337</v>
      </c>
      <c r="J112" t="s">
        <v>340</v>
      </c>
      <c r="K112" t="s">
        <v>253</v>
      </c>
      <c r="L112" t="s">
        <v>435</v>
      </c>
    </row>
    <row r="113" spans="1:12">
      <c r="A113" t="s">
        <v>70</v>
      </c>
      <c r="B113" t="s">
        <v>436</v>
      </c>
      <c r="C113" t="s">
        <v>337</v>
      </c>
      <c r="D113" t="s">
        <v>337</v>
      </c>
      <c r="E113" t="s">
        <v>256</v>
      </c>
      <c r="F113" t="s">
        <v>157</v>
      </c>
      <c r="G113" t="s">
        <v>410</v>
      </c>
      <c r="H113" t="s">
        <v>430</v>
      </c>
      <c r="I113" t="s">
        <v>337</v>
      </c>
      <c r="J113" t="s">
        <v>252</v>
      </c>
      <c r="K113" t="s">
        <v>253</v>
      </c>
      <c r="L113" t="s">
        <v>437</v>
      </c>
    </row>
    <row r="114" spans="1:12">
      <c r="A114" t="s">
        <v>70</v>
      </c>
      <c r="B114" t="s">
        <v>438</v>
      </c>
      <c r="C114" t="s">
        <v>337</v>
      </c>
      <c r="D114" t="s">
        <v>337</v>
      </c>
      <c r="E114" t="s">
        <v>256</v>
      </c>
      <c r="F114" t="s">
        <v>157</v>
      </c>
      <c r="G114" t="s">
        <v>347</v>
      </c>
      <c r="H114" t="s">
        <v>430</v>
      </c>
      <c r="I114" t="s">
        <v>337</v>
      </c>
      <c r="J114" t="s">
        <v>340</v>
      </c>
      <c r="K114" t="s">
        <v>253</v>
      </c>
      <c r="L114" t="s">
        <v>439</v>
      </c>
    </row>
    <row r="115" spans="1:12">
      <c r="A115" t="s">
        <v>70</v>
      </c>
      <c r="B115" t="s">
        <v>440</v>
      </c>
      <c r="C115" t="s">
        <v>337</v>
      </c>
      <c r="D115" t="s">
        <v>337</v>
      </c>
      <c r="E115" t="s">
        <v>248</v>
      </c>
      <c r="F115" t="s">
        <v>157</v>
      </c>
      <c r="G115" t="s">
        <v>403</v>
      </c>
      <c r="H115" t="s">
        <v>430</v>
      </c>
      <c r="I115" t="s">
        <v>337</v>
      </c>
      <c r="J115" t="s">
        <v>160</v>
      </c>
      <c r="K115" t="s">
        <v>404</v>
      </c>
      <c r="L115" t="s">
        <v>441</v>
      </c>
    </row>
    <row r="116" spans="1:12">
      <c r="A116" t="s">
        <v>70</v>
      </c>
      <c r="B116" t="s">
        <v>442</v>
      </c>
      <c r="C116" t="s">
        <v>337</v>
      </c>
      <c r="D116" t="s">
        <v>337</v>
      </c>
      <c r="E116" t="s">
        <v>248</v>
      </c>
      <c r="F116" t="s">
        <v>157</v>
      </c>
      <c r="G116" t="s">
        <v>353</v>
      </c>
      <c r="H116" t="s">
        <v>430</v>
      </c>
      <c r="I116" t="s">
        <v>337</v>
      </c>
      <c r="J116" t="s">
        <v>340</v>
      </c>
      <c r="K116" t="s">
        <v>253</v>
      </c>
      <c r="L116" t="s">
        <v>355</v>
      </c>
    </row>
    <row r="117" spans="1:12">
      <c r="A117" t="s">
        <v>70</v>
      </c>
      <c r="B117" t="s">
        <v>443</v>
      </c>
      <c r="C117" t="s">
        <v>336</v>
      </c>
      <c r="D117" t="s">
        <v>336</v>
      </c>
      <c r="E117" t="s">
        <v>256</v>
      </c>
      <c r="F117" t="s">
        <v>157</v>
      </c>
      <c r="G117" t="s">
        <v>343</v>
      </c>
      <c r="H117" t="s">
        <v>444</v>
      </c>
      <c r="I117" t="s">
        <v>337</v>
      </c>
      <c r="J117" t="s">
        <v>340</v>
      </c>
      <c r="K117" t="s">
        <v>253</v>
      </c>
      <c r="L117" t="s">
        <v>445</v>
      </c>
    </row>
    <row r="118" spans="1:12">
      <c r="A118" t="s">
        <v>70</v>
      </c>
      <c r="B118" t="s">
        <v>446</v>
      </c>
      <c r="C118" t="s">
        <v>336</v>
      </c>
      <c r="D118" t="s">
        <v>336</v>
      </c>
      <c r="E118" t="s">
        <v>248</v>
      </c>
      <c r="F118" t="s">
        <v>157</v>
      </c>
      <c r="G118" t="s">
        <v>353</v>
      </c>
      <c r="H118" t="s">
        <v>444</v>
      </c>
      <c r="I118" t="s">
        <v>337</v>
      </c>
      <c r="J118" t="s">
        <v>340</v>
      </c>
      <c r="K118" t="s">
        <v>253</v>
      </c>
      <c r="L118" t="s">
        <v>447</v>
      </c>
    </row>
    <row r="119" spans="1:12">
      <c r="A119" t="s">
        <v>70</v>
      </c>
      <c r="B119" t="s">
        <v>448</v>
      </c>
      <c r="C119" t="s">
        <v>336</v>
      </c>
      <c r="D119" t="s">
        <v>336</v>
      </c>
      <c r="E119" t="s">
        <v>256</v>
      </c>
      <c r="F119" t="s">
        <v>157</v>
      </c>
      <c r="G119" t="s">
        <v>388</v>
      </c>
      <c r="H119" t="s">
        <v>444</v>
      </c>
      <c r="I119" t="s">
        <v>337</v>
      </c>
      <c r="J119" t="s">
        <v>252</v>
      </c>
      <c r="K119" t="s">
        <v>253</v>
      </c>
      <c r="L119" t="s">
        <v>449</v>
      </c>
    </row>
    <row r="120" spans="1:12">
      <c r="A120" t="s">
        <v>70</v>
      </c>
      <c r="B120" t="s">
        <v>450</v>
      </c>
      <c r="C120" t="s">
        <v>336</v>
      </c>
      <c r="D120" t="s">
        <v>336</v>
      </c>
      <c r="E120" t="s">
        <v>248</v>
      </c>
      <c r="F120" t="s">
        <v>157</v>
      </c>
      <c r="G120" t="s">
        <v>350</v>
      </c>
      <c r="H120" t="s">
        <v>216</v>
      </c>
      <c r="I120" t="s">
        <v>337</v>
      </c>
      <c r="J120" t="s">
        <v>252</v>
      </c>
      <c r="K120" t="s">
        <v>253</v>
      </c>
      <c r="L120" t="s">
        <v>351</v>
      </c>
    </row>
    <row r="121" spans="1:12">
      <c r="A121" t="s">
        <v>70</v>
      </c>
      <c r="B121" t="s">
        <v>451</v>
      </c>
      <c r="C121" t="s">
        <v>336</v>
      </c>
      <c r="D121" t="s">
        <v>336</v>
      </c>
      <c r="E121" t="s">
        <v>248</v>
      </c>
      <c r="F121" t="s">
        <v>157</v>
      </c>
      <c r="G121" t="s">
        <v>353</v>
      </c>
      <c r="H121" t="s">
        <v>216</v>
      </c>
      <c r="I121" t="s">
        <v>337</v>
      </c>
      <c r="J121" t="s">
        <v>340</v>
      </c>
      <c r="K121" t="s">
        <v>253</v>
      </c>
      <c r="L121" t="s">
        <v>355</v>
      </c>
    </row>
    <row r="122" spans="1:12">
      <c r="A122" t="s">
        <v>70</v>
      </c>
      <c r="B122" t="s">
        <v>452</v>
      </c>
      <c r="C122" t="s">
        <v>336</v>
      </c>
      <c r="D122" t="s">
        <v>336</v>
      </c>
      <c r="E122" t="s">
        <v>248</v>
      </c>
      <c r="F122" t="s">
        <v>157</v>
      </c>
      <c r="G122" t="s">
        <v>353</v>
      </c>
      <c r="H122" t="s">
        <v>216</v>
      </c>
      <c r="I122" t="s">
        <v>337</v>
      </c>
      <c r="J122" t="s">
        <v>340</v>
      </c>
      <c r="K122" t="s">
        <v>253</v>
      </c>
      <c r="L122" t="s">
        <v>355</v>
      </c>
    </row>
    <row r="123" spans="1:12">
      <c r="A123" t="s">
        <v>70</v>
      </c>
      <c r="B123" t="s">
        <v>453</v>
      </c>
      <c r="C123" t="s">
        <v>337</v>
      </c>
      <c r="D123" t="s">
        <v>337</v>
      </c>
      <c r="E123" t="s">
        <v>256</v>
      </c>
      <c r="F123" t="s">
        <v>157</v>
      </c>
      <c r="G123" t="s">
        <v>347</v>
      </c>
      <c r="H123" t="s">
        <v>454</v>
      </c>
      <c r="I123" t="s">
        <v>337</v>
      </c>
      <c r="J123" t="s">
        <v>340</v>
      </c>
      <c r="K123" t="s">
        <v>253</v>
      </c>
      <c r="L123" t="s">
        <v>348</v>
      </c>
    </row>
    <row r="124" spans="1:12">
      <c r="A124" t="s">
        <v>70</v>
      </c>
      <c r="B124" t="s">
        <v>455</v>
      </c>
      <c r="C124" t="s">
        <v>336</v>
      </c>
      <c r="D124" t="s">
        <v>336</v>
      </c>
      <c r="E124" t="s">
        <v>256</v>
      </c>
      <c r="F124" t="s">
        <v>157</v>
      </c>
      <c r="G124" t="s">
        <v>388</v>
      </c>
      <c r="H124" t="s">
        <v>454</v>
      </c>
      <c r="I124" t="s">
        <v>337</v>
      </c>
      <c r="J124" t="s">
        <v>252</v>
      </c>
      <c r="K124" t="s">
        <v>253</v>
      </c>
      <c r="L124" t="s">
        <v>344</v>
      </c>
    </row>
    <row r="125" spans="1:12">
      <c r="A125" t="s">
        <v>70</v>
      </c>
      <c r="B125" t="s">
        <v>456</v>
      </c>
      <c r="C125" t="s">
        <v>336</v>
      </c>
      <c r="D125" t="s">
        <v>336</v>
      </c>
      <c r="E125" t="s">
        <v>248</v>
      </c>
      <c r="F125" t="s">
        <v>157</v>
      </c>
      <c r="G125" t="s">
        <v>350</v>
      </c>
      <c r="H125" t="s">
        <v>454</v>
      </c>
      <c r="I125" t="s">
        <v>337</v>
      </c>
      <c r="J125" t="s">
        <v>252</v>
      </c>
      <c r="K125" t="s">
        <v>253</v>
      </c>
      <c r="L125" t="s">
        <v>351</v>
      </c>
    </row>
    <row r="126" spans="1:12">
      <c r="A126" t="s">
        <v>70</v>
      </c>
      <c r="B126" t="s">
        <v>457</v>
      </c>
      <c r="C126" t="s">
        <v>337</v>
      </c>
      <c r="D126" t="s">
        <v>337</v>
      </c>
      <c r="E126" t="s">
        <v>256</v>
      </c>
      <c r="F126" t="s">
        <v>157</v>
      </c>
      <c r="G126" t="s">
        <v>347</v>
      </c>
      <c r="H126" t="s">
        <v>454</v>
      </c>
      <c r="I126" t="s">
        <v>337</v>
      </c>
      <c r="J126" t="s">
        <v>340</v>
      </c>
      <c r="K126" t="s">
        <v>253</v>
      </c>
      <c r="L126" t="s">
        <v>348</v>
      </c>
    </row>
    <row r="127" spans="1:12">
      <c r="A127" t="s">
        <v>70</v>
      </c>
      <c r="B127" t="s">
        <v>458</v>
      </c>
      <c r="C127" t="s">
        <v>337</v>
      </c>
      <c r="D127" t="s">
        <v>337</v>
      </c>
      <c r="E127" t="s">
        <v>256</v>
      </c>
      <c r="F127" t="s">
        <v>157</v>
      </c>
      <c r="G127" t="s">
        <v>347</v>
      </c>
      <c r="H127" t="s">
        <v>454</v>
      </c>
      <c r="I127" t="s">
        <v>337</v>
      </c>
      <c r="J127" t="s">
        <v>340</v>
      </c>
      <c r="K127" t="s">
        <v>253</v>
      </c>
      <c r="L127" t="s">
        <v>348</v>
      </c>
    </row>
    <row r="128" spans="1:12">
      <c r="A128" t="s">
        <v>70</v>
      </c>
      <c r="B128" t="s">
        <v>459</v>
      </c>
      <c r="C128" t="s">
        <v>336</v>
      </c>
      <c r="D128" t="s">
        <v>336</v>
      </c>
      <c r="E128" t="s">
        <v>256</v>
      </c>
      <c r="F128" t="s">
        <v>157</v>
      </c>
      <c r="G128" t="s">
        <v>343</v>
      </c>
      <c r="H128" t="s">
        <v>454</v>
      </c>
      <c r="I128" t="s">
        <v>337</v>
      </c>
      <c r="J128" t="s">
        <v>340</v>
      </c>
      <c r="K128" t="s">
        <v>253</v>
      </c>
      <c r="L128" t="s">
        <v>344</v>
      </c>
    </row>
    <row r="129" spans="1:12">
      <c r="A129" t="s">
        <v>70</v>
      </c>
      <c r="B129" t="s">
        <v>460</v>
      </c>
      <c r="C129" t="s">
        <v>336</v>
      </c>
      <c r="D129" t="s">
        <v>336</v>
      </c>
      <c r="E129" t="s">
        <v>256</v>
      </c>
      <c r="F129" t="s">
        <v>157</v>
      </c>
      <c r="G129" t="s">
        <v>343</v>
      </c>
      <c r="H129" t="s">
        <v>454</v>
      </c>
      <c r="I129" t="s">
        <v>337</v>
      </c>
      <c r="J129" t="s">
        <v>340</v>
      </c>
      <c r="K129" t="s">
        <v>253</v>
      </c>
      <c r="L129" t="s">
        <v>344</v>
      </c>
    </row>
    <row r="130" spans="1:12">
      <c r="A130" t="s">
        <v>70</v>
      </c>
      <c r="B130" t="s">
        <v>461</v>
      </c>
      <c r="C130" t="s">
        <v>336</v>
      </c>
      <c r="D130" t="s">
        <v>336</v>
      </c>
      <c r="E130" t="s">
        <v>256</v>
      </c>
      <c r="F130" t="s">
        <v>157</v>
      </c>
      <c r="G130" t="s">
        <v>343</v>
      </c>
      <c r="H130" t="s">
        <v>454</v>
      </c>
      <c r="I130" t="s">
        <v>337</v>
      </c>
      <c r="J130" t="s">
        <v>340</v>
      </c>
      <c r="K130" t="s">
        <v>253</v>
      </c>
      <c r="L130" t="s">
        <v>344</v>
      </c>
    </row>
    <row r="131" spans="1:12">
      <c r="A131" t="s">
        <v>70</v>
      </c>
      <c r="B131" t="s">
        <v>462</v>
      </c>
      <c r="C131" t="s">
        <v>336</v>
      </c>
      <c r="D131" t="s">
        <v>336</v>
      </c>
      <c r="E131" t="s">
        <v>248</v>
      </c>
      <c r="F131" t="s">
        <v>157</v>
      </c>
      <c r="G131" t="s">
        <v>353</v>
      </c>
      <c r="H131" t="s">
        <v>454</v>
      </c>
      <c r="I131" t="s">
        <v>337</v>
      </c>
      <c r="J131" t="s">
        <v>340</v>
      </c>
      <c r="K131" t="s">
        <v>253</v>
      </c>
      <c r="L131" t="s">
        <v>355</v>
      </c>
    </row>
    <row r="132" spans="1:12">
      <c r="A132" t="s">
        <v>70</v>
      </c>
      <c r="B132" t="s">
        <v>463</v>
      </c>
      <c r="C132" t="s">
        <v>336</v>
      </c>
      <c r="D132" t="s">
        <v>336</v>
      </c>
      <c r="E132" t="s">
        <v>248</v>
      </c>
      <c r="F132" t="s">
        <v>157</v>
      </c>
      <c r="G132" t="s">
        <v>353</v>
      </c>
      <c r="H132" t="s">
        <v>454</v>
      </c>
      <c r="I132" t="s">
        <v>337</v>
      </c>
      <c r="J132" t="s">
        <v>340</v>
      </c>
      <c r="K132" t="s">
        <v>253</v>
      </c>
      <c r="L132" t="s">
        <v>355</v>
      </c>
    </row>
    <row r="133" spans="1:12">
      <c r="A133" t="s">
        <v>70</v>
      </c>
      <c r="B133" t="s">
        <v>464</v>
      </c>
      <c r="C133" t="s">
        <v>337</v>
      </c>
      <c r="D133" t="s">
        <v>337</v>
      </c>
      <c r="E133" t="s">
        <v>256</v>
      </c>
      <c r="F133" t="s">
        <v>157</v>
      </c>
      <c r="G133" t="s">
        <v>465</v>
      </c>
      <c r="H133" t="s">
        <v>454</v>
      </c>
      <c r="I133" t="s">
        <v>337</v>
      </c>
      <c r="J133" t="s">
        <v>252</v>
      </c>
      <c r="K133" t="s">
        <v>253</v>
      </c>
      <c r="L133" t="s">
        <v>466</v>
      </c>
    </row>
    <row r="134" spans="1:12">
      <c r="A134" t="s">
        <v>70</v>
      </c>
      <c r="B134" t="s">
        <v>467</v>
      </c>
      <c r="C134" t="s">
        <v>336</v>
      </c>
      <c r="D134" t="s">
        <v>336</v>
      </c>
      <c r="E134" t="s">
        <v>248</v>
      </c>
      <c r="F134" t="s">
        <v>157</v>
      </c>
      <c r="G134" t="s">
        <v>403</v>
      </c>
      <c r="H134" t="s">
        <v>454</v>
      </c>
      <c r="I134" t="s">
        <v>337</v>
      </c>
      <c r="J134" t="s">
        <v>160</v>
      </c>
      <c r="K134" t="s">
        <v>404</v>
      </c>
      <c r="L134" t="s">
        <v>405</v>
      </c>
    </row>
    <row r="135" spans="1:12">
      <c r="A135" t="s">
        <v>70</v>
      </c>
      <c r="B135" t="s">
        <v>468</v>
      </c>
      <c r="C135" t="s">
        <v>336</v>
      </c>
      <c r="D135" t="s">
        <v>336</v>
      </c>
      <c r="E135" t="s">
        <v>256</v>
      </c>
      <c r="F135" t="s">
        <v>157</v>
      </c>
      <c r="G135" t="s">
        <v>424</v>
      </c>
      <c r="H135" t="s">
        <v>469</v>
      </c>
      <c r="I135" t="s">
        <v>337</v>
      </c>
      <c r="J135" t="s">
        <v>340</v>
      </c>
      <c r="K135" t="s">
        <v>253</v>
      </c>
      <c r="L135" t="s">
        <v>470</v>
      </c>
    </row>
    <row r="136" spans="1:12">
      <c r="A136" t="s">
        <v>70</v>
      </c>
      <c r="B136" t="s">
        <v>471</v>
      </c>
      <c r="C136" t="s">
        <v>472</v>
      </c>
      <c r="D136" t="s">
        <v>472</v>
      </c>
      <c r="E136" t="s">
        <v>256</v>
      </c>
      <c r="F136" t="s">
        <v>157</v>
      </c>
      <c r="G136" t="s">
        <v>375</v>
      </c>
      <c r="H136" t="s">
        <v>473</v>
      </c>
      <c r="I136" t="s">
        <v>337</v>
      </c>
      <c r="J136" t="s">
        <v>252</v>
      </c>
      <c r="K136" t="s">
        <v>253</v>
      </c>
      <c r="L136" t="s">
        <v>474</v>
      </c>
    </row>
    <row r="137" spans="1:12">
      <c r="A137" t="s">
        <v>70</v>
      </c>
      <c r="B137" t="s">
        <v>475</v>
      </c>
      <c r="C137" t="s">
        <v>336</v>
      </c>
      <c r="D137" t="s">
        <v>336</v>
      </c>
      <c r="E137" t="s">
        <v>256</v>
      </c>
      <c r="F137" t="s">
        <v>157</v>
      </c>
      <c r="G137" t="s">
        <v>343</v>
      </c>
      <c r="H137" t="s">
        <v>476</v>
      </c>
      <c r="I137" t="s">
        <v>337</v>
      </c>
      <c r="J137" t="s">
        <v>340</v>
      </c>
      <c r="K137" t="s">
        <v>253</v>
      </c>
      <c r="L137" t="s">
        <v>477</v>
      </c>
    </row>
    <row r="138" spans="1:12">
      <c r="A138" t="s">
        <v>70</v>
      </c>
      <c r="B138" t="s">
        <v>478</v>
      </c>
      <c r="C138" t="s">
        <v>336</v>
      </c>
      <c r="D138" t="s">
        <v>336</v>
      </c>
      <c r="E138" t="s">
        <v>256</v>
      </c>
      <c r="F138" t="s">
        <v>157</v>
      </c>
      <c r="G138" t="s">
        <v>388</v>
      </c>
      <c r="H138" t="s">
        <v>476</v>
      </c>
      <c r="I138" t="s">
        <v>337</v>
      </c>
      <c r="J138" t="s">
        <v>252</v>
      </c>
      <c r="K138" t="s">
        <v>253</v>
      </c>
      <c r="L138" t="s">
        <v>344</v>
      </c>
    </row>
    <row r="139" spans="1:12">
      <c r="A139" t="s">
        <v>70</v>
      </c>
      <c r="B139" t="s">
        <v>479</v>
      </c>
      <c r="C139" t="s">
        <v>336</v>
      </c>
      <c r="D139" t="s">
        <v>336</v>
      </c>
      <c r="E139" t="s">
        <v>256</v>
      </c>
      <c r="F139" t="s">
        <v>157</v>
      </c>
      <c r="G139" t="s">
        <v>343</v>
      </c>
      <c r="H139" t="s">
        <v>476</v>
      </c>
      <c r="I139" t="s">
        <v>337</v>
      </c>
      <c r="J139" t="s">
        <v>340</v>
      </c>
      <c r="K139" t="s">
        <v>253</v>
      </c>
      <c r="L139" t="s">
        <v>344</v>
      </c>
    </row>
    <row r="140" spans="1:12">
      <c r="A140" t="s">
        <v>70</v>
      </c>
      <c r="B140" t="s">
        <v>480</v>
      </c>
      <c r="C140" t="s">
        <v>336</v>
      </c>
      <c r="D140" t="s">
        <v>336</v>
      </c>
      <c r="E140" t="s">
        <v>256</v>
      </c>
      <c r="F140" t="s">
        <v>157</v>
      </c>
      <c r="G140" t="s">
        <v>343</v>
      </c>
      <c r="H140" t="s">
        <v>476</v>
      </c>
      <c r="I140" t="s">
        <v>337</v>
      </c>
      <c r="J140" t="s">
        <v>340</v>
      </c>
      <c r="K140" t="s">
        <v>253</v>
      </c>
      <c r="L140" t="s">
        <v>344</v>
      </c>
    </row>
    <row r="141" spans="1:12">
      <c r="A141" t="s">
        <v>70</v>
      </c>
      <c r="B141" t="s">
        <v>481</v>
      </c>
      <c r="C141" t="s">
        <v>336</v>
      </c>
      <c r="D141" t="s">
        <v>336</v>
      </c>
      <c r="E141" t="s">
        <v>256</v>
      </c>
      <c r="F141" t="s">
        <v>157</v>
      </c>
      <c r="G141" t="s">
        <v>343</v>
      </c>
      <c r="H141" t="s">
        <v>476</v>
      </c>
      <c r="I141" t="s">
        <v>337</v>
      </c>
      <c r="J141" t="s">
        <v>340</v>
      </c>
      <c r="K141" t="s">
        <v>253</v>
      </c>
      <c r="L141" t="s">
        <v>344</v>
      </c>
    </row>
    <row r="142" spans="1:12">
      <c r="A142" t="s">
        <v>70</v>
      </c>
      <c r="B142" t="s">
        <v>482</v>
      </c>
      <c r="C142" t="s">
        <v>336</v>
      </c>
      <c r="D142" t="s">
        <v>336</v>
      </c>
      <c r="E142" t="s">
        <v>256</v>
      </c>
      <c r="F142" t="s">
        <v>157</v>
      </c>
      <c r="G142" t="s">
        <v>388</v>
      </c>
      <c r="H142" t="s">
        <v>476</v>
      </c>
      <c r="I142" t="s">
        <v>337</v>
      </c>
      <c r="J142" t="s">
        <v>252</v>
      </c>
      <c r="K142" t="s">
        <v>253</v>
      </c>
      <c r="L142" t="s">
        <v>477</v>
      </c>
    </row>
    <row r="143" spans="1:12">
      <c r="A143" t="s">
        <v>70</v>
      </c>
      <c r="B143" t="s">
        <v>483</v>
      </c>
      <c r="C143" t="s">
        <v>336</v>
      </c>
      <c r="D143" t="s">
        <v>336</v>
      </c>
      <c r="E143" t="s">
        <v>256</v>
      </c>
      <c r="F143" t="s">
        <v>157</v>
      </c>
      <c r="G143" t="s">
        <v>343</v>
      </c>
      <c r="H143" t="s">
        <v>476</v>
      </c>
      <c r="I143" t="s">
        <v>337</v>
      </c>
      <c r="J143" t="s">
        <v>340</v>
      </c>
      <c r="K143" t="s">
        <v>253</v>
      </c>
      <c r="L143" t="s">
        <v>477</v>
      </c>
    </row>
    <row r="144" spans="1:12">
      <c r="A144" t="s">
        <v>70</v>
      </c>
      <c r="B144" t="s">
        <v>484</v>
      </c>
      <c r="C144" t="s">
        <v>336</v>
      </c>
      <c r="D144" t="s">
        <v>337</v>
      </c>
      <c r="E144" t="s">
        <v>256</v>
      </c>
      <c r="F144" t="s">
        <v>157</v>
      </c>
      <c r="G144" t="s">
        <v>338</v>
      </c>
      <c r="H144" t="s">
        <v>485</v>
      </c>
      <c r="I144" t="s">
        <v>337</v>
      </c>
      <c r="J144" t="s">
        <v>340</v>
      </c>
      <c r="K144" t="s">
        <v>253</v>
      </c>
      <c r="L144" t="s">
        <v>486</v>
      </c>
    </row>
    <row r="145" spans="1:12">
      <c r="A145" t="s">
        <v>70</v>
      </c>
      <c r="B145" t="s">
        <v>487</v>
      </c>
      <c r="C145" t="s">
        <v>336</v>
      </c>
      <c r="D145" t="s">
        <v>336</v>
      </c>
      <c r="E145" t="s">
        <v>256</v>
      </c>
      <c r="F145" t="s">
        <v>157</v>
      </c>
      <c r="G145" t="s">
        <v>343</v>
      </c>
      <c r="H145" t="s">
        <v>488</v>
      </c>
      <c r="I145" t="s">
        <v>337</v>
      </c>
      <c r="J145" t="s">
        <v>340</v>
      </c>
      <c r="K145" t="s">
        <v>253</v>
      </c>
      <c r="L145" t="s">
        <v>344</v>
      </c>
    </row>
    <row r="146" spans="1:12">
      <c r="A146" t="s">
        <v>70</v>
      </c>
      <c r="B146" t="s">
        <v>489</v>
      </c>
      <c r="C146" t="s">
        <v>336</v>
      </c>
      <c r="D146" t="s">
        <v>336</v>
      </c>
      <c r="E146" t="s">
        <v>256</v>
      </c>
      <c r="F146" t="s">
        <v>157</v>
      </c>
      <c r="G146" t="s">
        <v>343</v>
      </c>
      <c r="H146" t="s">
        <v>488</v>
      </c>
      <c r="I146" t="s">
        <v>337</v>
      </c>
      <c r="J146" t="s">
        <v>340</v>
      </c>
      <c r="K146" t="s">
        <v>253</v>
      </c>
      <c r="L146" t="s">
        <v>344</v>
      </c>
    </row>
    <row r="147" spans="1:12">
      <c r="A147" t="s">
        <v>70</v>
      </c>
      <c r="B147" t="s">
        <v>490</v>
      </c>
      <c r="C147" t="s">
        <v>336</v>
      </c>
      <c r="D147" t="s">
        <v>336</v>
      </c>
      <c r="E147" t="s">
        <v>248</v>
      </c>
      <c r="F147" t="s">
        <v>157</v>
      </c>
      <c r="G147" t="s">
        <v>350</v>
      </c>
      <c r="H147" t="s">
        <v>491</v>
      </c>
      <c r="I147" t="s">
        <v>337</v>
      </c>
      <c r="J147" t="s">
        <v>252</v>
      </c>
      <c r="K147" t="s">
        <v>253</v>
      </c>
      <c r="L147" t="s">
        <v>492</v>
      </c>
    </row>
    <row r="148" spans="1:12">
      <c r="A148" t="s">
        <v>70</v>
      </c>
      <c r="B148" t="s">
        <v>493</v>
      </c>
      <c r="C148" t="s">
        <v>336</v>
      </c>
      <c r="D148" t="s">
        <v>336</v>
      </c>
      <c r="E148" t="s">
        <v>248</v>
      </c>
      <c r="F148" t="s">
        <v>157</v>
      </c>
      <c r="G148" t="s">
        <v>353</v>
      </c>
      <c r="H148" t="s">
        <v>491</v>
      </c>
      <c r="I148" t="s">
        <v>337</v>
      </c>
      <c r="J148" t="s">
        <v>340</v>
      </c>
      <c r="K148" t="s">
        <v>253</v>
      </c>
      <c r="L148" t="s">
        <v>494</v>
      </c>
    </row>
    <row r="149" spans="1:12">
      <c r="A149" t="s">
        <v>70</v>
      </c>
      <c r="B149" t="s">
        <v>495</v>
      </c>
      <c r="C149" t="s">
        <v>336</v>
      </c>
      <c r="D149" t="s">
        <v>336</v>
      </c>
      <c r="E149" t="s">
        <v>256</v>
      </c>
      <c r="F149" t="s">
        <v>157</v>
      </c>
      <c r="G149" t="s">
        <v>424</v>
      </c>
      <c r="H149" t="s">
        <v>491</v>
      </c>
      <c r="I149" t="s">
        <v>337</v>
      </c>
      <c r="J149" t="s">
        <v>340</v>
      </c>
      <c r="K149" t="s">
        <v>253</v>
      </c>
      <c r="L149" t="s">
        <v>496</v>
      </c>
    </row>
    <row r="150" spans="1:12">
      <c r="A150" t="s">
        <v>70</v>
      </c>
      <c r="B150" t="s">
        <v>497</v>
      </c>
      <c r="C150" t="s">
        <v>336</v>
      </c>
      <c r="D150" t="s">
        <v>336</v>
      </c>
      <c r="E150" t="s">
        <v>256</v>
      </c>
      <c r="F150" t="s">
        <v>157</v>
      </c>
      <c r="G150" t="s">
        <v>424</v>
      </c>
      <c r="H150" t="s">
        <v>498</v>
      </c>
      <c r="I150" t="s">
        <v>337</v>
      </c>
      <c r="J150" t="s">
        <v>340</v>
      </c>
      <c r="K150" t="s">
        <v>253</v>
      </c>
      <c r="L150" t="s">
        <v>470</v>
      </c>
    </row>
    <row r="151" spans="1:12">
      <c r="A151" t="s">
        <v>70</v>
      </c>
      <c r="B151" t="s">
        <v>499</v>
      </c>
      <c r="C151" t="s">
        <v>336</v>
      </c>
      <c r="D151" t="s">
        <v>336</v>
      </c>
      <c r="E151" t="s">
        <v>256</v>
      </c>
      <c r="F151" t="s">
        <v>157</v>
      </c>
      <c r="G151" t="s">
        <v>424</v>
      </c>
      <c r="H151" t="s">
        <v>498</v>
      </c>
      <c r="I151" t="s">
        <v>337</v>
      </c>
      <c r="J151" t="s">
        <v>252</v>
      </c>
      <c r="K151" t="s">
        <v>253</v>
      </c>
      <c r="L151" t="s">
        <v>470</v>
      </c>
    </row>
    <row r="152" spans="1:12">
      <c r="A152" t="s">
        <v>70</v>
      </c>
      <c r="B152" t="s">
        <v>500</v>
      </c>
      <c r="C152" t="s">
        <v>336</v>
      </c>
      <c r="D152" t="s">
        <v>336</v>
      </c>
      <c r="E152" t="s">
        <v>248</v>
      </c>
      <c r="F152" t="s">
        <v>157</v>
      </c>
      <c r="G152" t="s">
        <v>358</v>
      </c>
      <c r="H152" t="s">
        <v>90</v>
      </c>
      <c r="I152" t="s">
        <v>337</v>
      </c>
      <c r="J152" t="s">
        <v>252</v>
      </c>
      <c r="K152" t="s">
        <v>253</v>
      </c>
      <c r="L152" t="s">
        <v>501</v>
      </c>
    </row>
    <row r="153" spans="1:12">
      <c r="A153" t="s">
        <v>70</v>
      </c>
      <c r="B153" t="s">
        <v>502</v>
      </c>
      <c r="C153" t="s">
        <v>336</v>
      </c>
      <c r="D153" t="s">
        <v>336</v>
      </c>
      <c r="E153" t="s">
        <v>248</v>
      </c>
      <c r="F153" t="s">
        <v>157</v>
      </c>
      <c r="G153" t="s">
        <v>503</v>
      </c>
      <c r="H153" t="s">
        <v>90</v>
      </c>
      <c r="I153" t="s">
        <v>337</v>
      </c>
      <c r="J153" t="s">
        <v>340</v>
      </c>
      <c r="K153" t="s">
        <v>253</v>
      </c>
      <c r="L153" t="s">
        <v>504</v>
      </c>
    </row>
    <row r="154" spans="1:12">
      <c r="A154" t="s">
        <v>70</v>
      </c>
      <c r="B154" t="s">
        <v>505</v>
      </c>
      <c r="C154" t="s">
        <v>336</v>
      </c>
      <c r="D154" t="s">
        <v>336</v>
      </c>
      <c r="E154" t="s">
        <v>248</v>
      </c>
      <c r="F154" t="s">
        <v>157</v>
      </c>
      <c r="G154" t="s">
        <v>503</v>
      </c>
      <c r="H154" t="s">
        <v>90</v>
      </c>
      <c r="I154" t="s">
        <v>337</v>
      </c>
      <c r="J154" t="s">
        <v>340</v>
      </c>
      <c r="K154" t="s">
        <v>253</v>
      </c>
      <c r="L154" t="s">
        <v>504</v>
      </c>
    </row>
    <row r="155" spans="1:12">
      <c r="A155" t="s">
        <v>70</v>
      </c>
      <c r="B155" t="s">
        <v>506</v>
      </c>
      <c r="C155" t="s">
        <v>336</v>
      </c>
      <c r="D155" t="s">
        <v>336</v>
      </c>
      <c r="E155" t="s">
        <v>248</v>
      </c>
      <c r="F155" t="s">
        <v>157</v>
      </c>
      <c r="G155" t="s">
        <v>503</v>
      </c>
      <c r="H155" t="s">
        <v>90</v>
      </c>
      <c r="I155" t="s">
        <v>337</v>
      </c>
      <c r="J155" t="s">
        <v>340</v>
      </c>
      <c r="K155" t="s">
        <v>253</v>
      </c>
      <c r="L155" t="s">
        <v>504</v>
      </c>
    </row>
    <row r="156" spans="1:12">
      <c r="A156" t="s">
        <v>70</v>
      </c>
      <c r="B156" t="s">
        <v>507</v>
      </c>
      <c r="C156" t="s">
        <v>337</v>
      </c>
      <c r="D156" t="s">
        <v>337</v>
      </c>
      <c r="E156" t="s">
        <v>256</v>
      </c>
      <c r="F156" t="s">
        <v>157</v>
      </c>
      <c r="G156" t="s">
        <v>465</v>
      </c>
      <c r="H156" t="s">
        <v>90</v>
      </c>
      <c r="I156" t="s">
        <v>337</v>
      </c>
      <c r="J156" t="s">
        <v>252</v>
      </c>
      <c r="K156" t="s">
        <v>253</v>
      </c>
      <c r="L156" t="s">
        <v>466</v>
      </c>
    </row>
    <row r="157" spans="1:12">
      <c r="A157" t="s">
        <v>70</v>
      </c>
      <c r="B157" t="s">
        <v>508</v>
      </c>
      <c r="C157" t="s">
        <v>336</v>
      </c>
      <c r="D157" t="s">
        <v>337</v>
      </c>
      <c r="E157" t="s">
        <v>256</v>
      </c>
      <c r="F157" t="s">
        <v>157</v>
      </c>
      <c r="G157" t="s">
        <v>408</v>
      </c>
      <c r="H157" t="s">
        <v>509</v>
      </c>
      <c r="I157" t="s">
        <v>337</v>
      </c>
      <c r="J157" t="s">
        <v>252</v>
      </c>
      <c r="K157" t="s">
        <v>253</v>
      </c>
      <c r="L157" t="s">
        <v>383</v>
      </c>
    </row>
    <row r="158" spans="1:12">
      <c r="A158" t="s">
        <v>70</v>
      </c>
      <c r="B158" t="s">
        <v>510</v>
      </c>
      <c r="C158" t="s">
        <v>336</v>
      </c>
      <c r="D158" t="s">
        <v>337</v>
      </c>
      <c r="E158" t="s">
        <v>256</v>
      </c>
      <c r="F158" t="s">
        <v>157</v>
      </c>
      <c r="G158" t="s">
        <v>408</v>
      </c>
      <c r="H158" t="s">
        <v>509</v>
      </c>
      <c r="I158" t="s">
        <v>337</v>
      </c>
      <c r="J158" t="s">
        <v>252</v>
      </c>
      <c r="K158" t="s">
        <v>253</v>
      </c>
      <c r="L158" t="s">
        <v>383</v>
      </c>
    </row>
    <row r="159" spans="1:12">
      <c r="A159" t="s">
        <v>70</v>
      </c>
      <c r="B159" t="s">
        <v>511</v>
      </c>
      <c r="C159" t="s">
        <v>336</v>
      </c>
      <c r="D159" t="s">
        <v>336</v>
      </c>
      <c r="E159" t="s">
        <v>256</v>
      </c>
      <c r="F159" t="s">
        <v>157</v>
      </c>
      <c r="G159" t="s">
        <v>388</v>
      </c>
      <c r="H159" t="s">
        <v>509</v>
      </c>
      <c r="I159" t="s">
        <v>337</v>
      </c>
      <c r="J159" t="s">
        <v>252</v>
      </c>
      <c r="K159" t="s">
        <v>253</v>
      </c>
      <c r="L159" t="s">
        <v>344</v>
      </c>
    </row>
    <row r="160" spans="1:12">
      <c r="A160" t="s">
        <v>70</v>
      </c>
      <c r="B160" t="s">
        <v>512</v>
      </c>
      <c r="C160" t="s">
        <v>336</v>
      </c>
      <c r="D160" t="s">
        <v>336</v>
      </c>
      <c r="E160" t="s">
        <v>256</v>
      </c>
      <c r="F160" t="s">
        <v>157</v>
      </c>
      <c r="G160" t="s">
        <v>343</v>
      </c>
      <c r="H160" t="s">
        <v>509</v>
      </c>
      <c r="I160" t="s">
        <v>337</v>
      </c>
      <c r="J160" t="s">
        <v>340</v>
      </c>
      <c r="K160" t="s">
        <v>253</v>
      </c>
      <c r="L160" t="s">
        <v>344</v>
      </c>
    </row>
    <row r="161" spans="1:12">
      <c r="A161" t="s">
        <v>70</v>
      </c>
      <c r="B161" t="s">
        <v>513</v>
      </c>
      <c r="C161" t="s">
        <v>336</v>
      </c>
      <c r="D161" t="s">
        <v>336</v>
      </c>
      <c r="E161" t="s">
        <v>256</v>
      </c>
      <c r="F161" t="s">
        <v>157</v>
      </c>
      <c r="G161" t="s">
        <v>343</v>
      </c>
      <c r="H161" t="s">
        <v>509</v>
      </c>
      <c r="I161" t="s">
        <v>337</v>
      </c>
      <c r="J161" t="s">
        <v>340</v>
      </c>
      <c r="K161" t="s">
        <v>253</v>
      </c>
      <c r="L161" t="s">
        <v>344</v>
      </c>
    </row>
    <row r="162" spans="1:12">
      <c r="A162" t="s">
        <v>70</v>
      </c>
      <c r="B162" t="s">
        <v>514</v>
      </c>
      <c r="C162" t="s">
        <v>336</v>
      </c>
      <c r="D162" t="s">
        <v>336</v>
      </c>
      <c r="E162" t="s">
        <v>256</v>
      </c>
      <c r="F162" t="s">
        <v>157</v>
      </c>
      <c r="G162" t="s">
        <v>343</v>
      </c>
      <c r="H162" t="s">
        <v>509</v>
      </c>
      <c r="I162" t="s">
        <v>337</v>
      </c>
      <c r="J162" t="s">
        <v>340</v>
      </c>
      <c r="K162" t="s">
        <v>253</v>
      </c>
      <c r="L162" t="s">
        <v>344</v>
      </c>
    </row>
    <row r="163" spans="1:12">
      <c r="A163" t="s">
        <v>70</v>
      </c>
      <c r="B163" t="s">
        <v>515</v>
      </c>
      <c r="C163" t="s">
        <v>336</v>
      </c>
      <c r="D163" t="s">
        <v>337</v>
      </c>
      <c r="E163" t="s">
        <v>256</v>
      </c>
      <c r="F163" t="s">
        <v>157</v>
      </c>
      <c r="G163" t="s">
        <v>338</v>
      </c>
      <c r="H163" t="s">
        <v>509</v>
      </c>
      <c r="I163" t="s">
        <v>337</v>
      </c>
      <c r="J163" t="s">
        <v>340</v>
      </c>
      <c r="K163" t="s">
        <v>253</v>
      </c>
      <c r="L163" t="s">
        <v>341</v>
      </c>
    </row>
    <row r="164" spans="1:12">
      <c r="A164" t="s">
        <v>93</v>
      </c>
      <c r="B164" t="s">
        <v>516</v>
      </c>
      <c r="C164" t="s">
        <v>517</v>
      </c>
      <c r="D164" t="s">
        <v>517</v>
      </c>
      <c r="E164" t="s">
        <v>518</v>
      </c>
      <c r="F164" t="s">
        <v>157</v>
      </c>
      <c r="G164" t="s">
        <v>519</v>
      </c>
      <c r="H164" t="s">
        <v>520</v>
      </c>
      <c r="I164" t="s">
        <v>521</v>
      </c>
      <c r="J164" t="s">
        <v>522</v>
      </c>
      <c r="K164" t="s">
        <v>161</v>
      </c>
      <c r="L164" t="s">
        <v>523</v>
      </c>
    </row>
    <row r="165" spans="1:12">
      <c r="A165" t="s">
        <v>93</v>
      </c>
      <c r="B165" t="s">
        <v>524</v>
      </c>
      <c r="C165" t="s">
        <v>517</v>
      </c>
      <c r="D165" t="s">
        <v>517</v>
      </c>
      <c r="E165" t="s">
        <v>518</v>
      </c>
      <c r="F165" t="s">
        <v>157</v>
      </c>
      <c r="G165" t="s">
        <v>525</v>
      </c>
      <c r="H165" t="s">
        <v>520</v>
      </c>
      <c r="I165" t="s">
        <v>521</v>
      </c>
      <c r="J165" t="s">
        <v>526</v>
      </c>
      <c r="K165" t="s">
        <v>161</v>
      </c>
      <c r="L165" t="s">
        <v>523</v>
      </c>
    </row>
    <row r="166" spans="1:12">
      <c r="A166" t="s">
        <v>97</v>
      </c>
      <c r="B166" t="s">
        <v>527</v>
      </c>
      <c r="C166" t="s">
        <v>528</v>
      </c>
      <c r="D166" t="s">
        <v>528</v>
      </c>
      <c r="E166" t="s">
        <v>529</v>
      </c>
      <c r="F166" t="s">
        <v>177</v>
      </c>
      <c r="G166" t="s">
        <v>530</v>
      </c>
      <c r="H166" t="s">
        <v>531</v>
      </c>
      <c r="I166" t="s">
        <v>528</v>
      </c>
      <c r="J166" t="s">
        <v>532</v>
      </c>
      <c r="K166" t="s">
        <v>533</v>
      </c>
      <c r="L166" t="s">
        <v>534</v>
      </c>
    </row>
    <row r="167" spans="1:12">
      <c r="A167" t="s">
        <v>97</v>
      </c>
      <c r="B167" t="s">
        <v>535</v>
      </c>
      <c r="C167" t="s">
        <v>528</v>
      </c>
      <c r="D167" t="s">
        <v>528</v>
      </c>
      <c r="E167" t="s">
        <v>529</v>
      </c>
      <c r="F167" t="s">
        <v>177</v>
      </c>
      <c r="G167" t="s">
        <v>530</v>
      </c>
      <c r="H167" t="s">
        <v>531</v>
      </c>
      <c r="I167" t="s">
        <v>528</v>
      </c>
      <c r="J167" t="s">
        <v>536</v>
      </c>
      <c r="K167" t="s">
        <v>537</v>
      </c>
      <c r="L167" t="s">
        <v>534</v>
      </c>
    </row>
    <row r="168" spans="1:12">
      <c r="A168" t="s">
        <v>97</v>
      </c>
      <c r="B168" t="s">
        <v>538</v>
      </c>
      <c r="C168" t="s">
        <v>528</v>
      </c>
      <c r="D168" t="s">
        <v>539</v>
      </c>
      <c r="E168" t="s">
        <v>529</v>
      </c>
      <c r="F168" t="s">
        <v>177</v>
      </c>
      <c r="G168" t="s">
        <v>530</v>
      </c>
      <c r="H168" t="s">
        <v>531</v>
      </c>
      <c r="I168" t="s">
        <v>528</v>
      </c>
      <c r="J168" t="s">
        <v>532</v>
      </c>
      <c r="K168" t="s">
        <v>533</v>
      </c>
      <c r="L168" t="s">
        <v>534</v>
      </c>
    </row>
    <row r="169" spans="1:12">
      <c r="A169" t="s">
        <v>97</v>
      </c>
      <c r="B169" t="s">
        <v>540</v>
      </c>
      <c r="C169" t="s">
        <v>528</v>
      </c>
      <c r="D169" t="s">
        <v>539</v>
      </c>
      <c r="E169" t="s">
        <v>529</v>
      </c>
      <c r="F169" t="s">
        <v>177</v>
      </c>
      <c r="G169" t="s">
        <v>530</v>
      </c>
      <c r="H169" t="s">
        <v>531</v>
      </c>
      <c r="I169" t="s">
        <v>528</v>
      </c>
      <c r="J169" t="s">
        <v>536</v>
      </c>
      <c r="K169" t="s">
        <v>537</v>
      </c>
      <c r="L169" t="s">
        <v>534</v>
      </c>
    </row>
    <row r="170" spans="1:12">
      <c r="A170" t="s">
        <v>97</v>
      </c>
      <c r="B170" t="s">
        <v>541</v>
      </c>
      <c r="C170" t="s">
        <v>542</v>
      </c>
      <c r="D170" t="s">
        <v>539</v>
      </c>
      <c r="E170" t="s">
        <v>529</v>
      </c>
      <c r="F170" t="s">
        <v>177</v>
      </c>
      <c r="G170" t="s">
        <v>530</v>
      </c>
      <c r="H170" t="s">
        <v>543</v>
      </c>
      <c r="I170" t="s">
        <v>528</v>
      </c>
      <c r="J170" t="s">
        <v>532</v>
      </c>
      <c r="K170" t="s">
        <v>533</v>
      </c>
      <c r="L170" t="s">
        <v>534</v>
      </c>
    </row>
    <row r="171" spans="1:12">
      <c r="A171" t="s">
        <v>97</v>
      </c>
      <c r="B171" t="s">
        <v>544</v>
      </c>
      <c r="C171" t="s">
        <v>542</v>
      </c>
      <c r="D171" t="s">
        <v>539</v>
      </c>
      <c r="E171" t="s">
        <v>529</v>
      </c>
      <c r="F171" t="s">
        <v>177</v>
      </c>
      <c r="G171" t="s">
        <v>530</v>
      </c>
      <c r="H171" t="s">
        <v>543</v>
      </c>
      <c r="I171" t="s">
        <v>528</v>
      </c>
      <c r="J171" t="s">
        <v>536</v>
      </c>
      <c r="K171" t="s">
        <v>537</v>
      </c>
      <c r="L171" t="s">
        <v>534</v>
      </c>
    </row>
    <row r="172" spans="1:12">
      <c r="A172" t="s">
        <v>97</v>
      </c>
      <c r="B172" t="s">
        <v>545</v>
      </c>
      <c r="C172" t="s">
        <v>546</v>
      </c>
      <c r="D172" t="s">
        <v>528</v>
      </c>
      <c r="E172" t="s">
        <v>156</v>
      </c>
      <c r="F172" t="s">
        <v>157</v>
      </c>
      <c r="G172" t="s">
        <v>547</v>
      </c>
      <c r="H172" t="s">
        <v>26</v>
      </c>
      <c r="I172" t="s">
        <v>528</v>
      </c>
      <c r="J172" t="s">
        <v>532</v>
      </c>
      <c r="K172" t="s">
        <v>548</v>
      </c>
      <c r="L172" t="s">
        <v>549</v>
      </c>
    </row>
    <row r="173" spans="1:12">
      <c r="A173" t="s">
        <v>97</v>
      </c>
      <c r="B173" t="s">
        <v>550</v>
      </c>
      <c r="C173" t="s">
        <v>546</v>
      </c>
      <c r="D173" t="s">
        <v>546</v>
      </c>
      <c r="E173" t="s">
        <v>248</v>
      </c>
      <c r="F173" t="s">
        <v>157</v>
      </c>
      <c r="G173" t="s">
        <v>551</v>
      </c>
      <c r="H173" t="s">
        <v>216</v>
      </c>
      <c r="I173" t="s">
        <v>528</v>
      </c>
      <c r="J173" t="s">
        <v>278</v>
      </c>
      <c r="K173" t="s">
        <v>253</v>
      </c>
      <c r="L173" t="s">
        <v>552</v>
      </c>
    </row>
    <row r="174" spans="1:12">
      <c r="A174" t="s">
        <v>97</v>
      </c>
      <c r="B174" t="s">
        <v>553</v>
      </c>
      <c r="C174" t="s">
        <v>546</v>
      </c>
      <c r="D174" t="s">
        <v>546</v>
      </c>
      <c r="E174" t="s">
        <v>248</v>
      </c>
      <c r="F174" t="s">
        <v>157</v>
      </c>
      <c r="G174" t="s">
        <v>551</v>
      </c>
      <c r="H174" t="s">
        <v>216</v>
      </c>
      <c r="I174" t="s">
        <v>528</v>
      </c>
      <c r="J174" t="s">
        <v>278</v>
      </c>
      <c r="K174" t="s">
        <v>253</v>
      </c>
      <c r="L174" t="s">
        <v>552</v>
      </c>
    </row>
    <row r="175" spans="1:12">
      <c r="A175" t="s">
        <v>97</v>
      </c>
      <c r="B175" t="s">
        <v>554</v>
      </c>
      <c r="C175" t="s">
        <v>546</v>
      </c>
      <c r="D175" t="s">
        <v>546</v>
      </c>
      <c r="E175" t="s">
        <v>256</v>
      </c>
      <c r="F175" t="s">
        <v>157</v>
      </c>
      <c r="G175" t="s">
        <v>555</v>
      </c>
      <c r="H175" t="s">
        <v>556</v>
      </c>
      <c r="I175" t="s">
        <v>528</v>
      </c>
      <c r="J175" t="s">
        <v>532</v>
      </c>
      <c r="K175" t="s">
        <v>533</v>
      </c>
      <c r="L175" t="s">
        <v>557</v>
      </c>
    </row>
    <row r="176" spans="1:12">
      <c r="A176" t="s">
        <v>97</v>
      </c>
      <c r="B176" t="s">
        <v>558</v>
      </c>
      <c r="C176" t="s">
        <v>546</v>
      </c>
      <c r="D176" t="s">
        <v>546</v>
      </c>
      <c r="E176" t="s">
        <v>256</v>
      </c>
      <c r="F176" t="s">
        <v>157</v>
      </c>
      <c r="G176" t="s">
        <v>555</v>
      </c>
      <c r="H176" t="s">
        <v>556</v>
      </c>
      <c r="I176" t="s">
        <v>528</v>
      </c>
      <c r="J176" t="s">
        <v>536</v>
      </c>
      <c r="K176" t="s">
        <v>537</v>
      </c>
      <c r="L176" t="s">
        <v>557</v>
      </c>
    </row>
    <row r="177" spans="1:12">
      <c r="A177" t="s">
        <v>97</v>
      </c>
      <c r="B177" t="s">
        <v>559</v>
      </c>
      <c r="C177" t="s">
        <v>546</v>
      </c>
      <c r="D177" t="s">
        <v>560</v>
      </c>
      <c r="E177" t="s">
        <v>561</v>
      </c>
      <c r="F177" t="s">
        <v>562</v>
      </c>
      <c r="H177" t="s">
        <v>563</v>
      </c>
      <c r="I177" t="s">
        <v>528</v>
      </c>
      <c r="J177" t="s">
        <v>532</v>
      </c>
      <c r="K177" t="s">
        <v>548</v>
      </c>
      <c r="L177" t="s">
        <v>564</v>
      </c>
    </row>
    <row r="178" spans="1:12">
      <c r="A178" t="s">
        <v>110</v>
      </c>
      <c r="B178" t="s">
        <v>565</v>
      </c>
      <c r="C178" t="s">
        <v>566</v>
      </c>
      <c r="D178" t="s">
        <v>566</v>
      </c>
      <c r="E178" t="s">
        <v>248</v>
      </c>
      <c r="F178" t="s">
        <v>157</v>
      </c>
      <c r="G178" t="s">
        <v>567</v>
      </c>
      <c r="H178" t="s">
        <v>250</v>
      </c>
      <c r="I178" t="s">
        <v>568</v>
      </c>
      <c r="J178" t="s">
        <v>569</v>
      </c>
      <c r="K178" t="s">
        <v>253</v>
      </c>
      <c r="L178" t="s">
        <v>570</v>
      </c>
    </row>
    <row r="179" spans="1:12">
      <c r="A179" t="s">
        <v>110</v>
      </c>
      <c r="B179" t="s">
        <v>571</v>
      </c>
      <c r="C179" t="s">
        <v>568</v>
      </c>
      <c r="D179" t="s">
        <v>572</v>
      </c>
      <c r="E179" t="s">
        <v>256</v>
      </c>
      <c r="F179" t="s">
        <v>157</v>
      </c>
      <c r="G179" t="s">
        <v>573</v>
      </c>
      <c r="H179" t="s">
        <v>574</v>
      </c>
      <c r="I179" t="s">
        <v>575</v>
      </c>
      <c r="J179" t="s">
        <v>569</v>
      </c>
      <c r="K179" t="s">
        <v>253</v>
      </c>
      <c r="L179" t="s">
        <v>576</v>
      </c>
    </row>
    <row r="180" spans="1:12">
      <c r="A180" t="s">
        <v>110</v>
      </c>
      <c r="B180" t="s">
        <v>577</v>
      </c>
      <c r="C180" t="s">
        <v>568</v>
      </c>
      <c r="D180" t="s">
        <v>572</v>
      </c>
      <c r="E180" t="s">
        <v>256</v>
      </c>
      <c r="F180" t="s">
        <v>157</v>
      </c>
      <c r="G180" t="s">
        <v>573</v>
      </c>
      <c r="H180" t="s">
        <v>574</v>
      </c>
      <c r="I180" t="s">
        <v>575</v>
      </c>
      <c r="J180" t="s">
        <v>569</v>
      </c>
      <c r="K180" t="s">
        <v>253</v>
      </c>
      <c r="L180" t="s">
        <v>576</v>
      </c>
    </row>
    <row r="181" spans="1:12">
      <c r="A181" t="s">
        <v>110</v>
      </c>
      <c r="B181" t="s">
        <v>578</v>
      </c>
      <c r="C181" t="s">
        <v>568</v>
      </c>
      <c r="D181" t="s">
        <v>572</v>
      </c>
      <c r="E181" t="s">
        <v>256</v>
      </c>
      <c r="F181" t="s">
        <v>157</v>
      </c>
      <c r="G181" t="s">
        <v>573</v>
      </c>
      <c r="H181" t="s">
        <v>579</v>
      </c>
      <c r="I181" t="s">
        <v>575</v>
      </c>
      <c r="J181" t="s">
        <v>569</v>
      </c>
      <c r="K181" t="s">
        <v>253</v>
      </c>
      <c r="L181" t="s">
        <v>576</v>
      </c>
    </row>
    <row r="182" spans="1:12">
      <c r="A182" t="s">
        <v>110</v>
      </c>
      <c r="B182" t="s">
        <v>580</v>
      </c>
      <c r="C182" t="s">
        <v>568</v>
      </c>
      <c r="D182" t="s">
        <v>572</v>
      </c>
      <c r="E182" t="s">
        <v>256</v>
      </c>
      <c r="F182" t="s">
        <v>157</v>
      </c>
      <c r="G182" t="s">
        <v>573</v>
      </c>
      <c r="H182" t="s">
        <v>579</v>
      </c>
      <c r="I182" t="s">
        <v>575</v>
      </c>
      <c r="J182" t="s">
        <v>569</v>
      </c>
      <c r="K182" t="s">
        <v>253</v>
      </c>
      <c r="L182" t="s">
        <v>576</v>
      </c>
    </row>
    <row r="183" spans="1:12">
      <c r="A183" t="s">
        <v>110</v>
      </c>
      <c r="B183" t="s">
        <v>581</v>
      </c>
      <c r="C183" t="s">
        <v>582</v>
      </c>
      <c r="D183" t="s">
        <v>572</v>
      </c>
      <c r="E183" t="s">
        <v>256</v>
      </c>
      <c r="F183" t="s">
        <v>177</v>
      </c>
      <c r="G183" t="s">
        <v>583</v>
      </c>
      <c r="H183" t="s">
        <v>584</v>
      </c>
      <c r="I183" t="s">
        <v>568</v>
      </c>
      <c r="J183" t="s">
        <v>252</v>
      </c>
      <c r="K183" t="s">
        <v>585</v>
      </c>
      <c r="L183" t="s">
        <v>586</v>
      </c>
    </row>
    <row r="184" spans="1:12">
      <c r="A184" t="s">
        <v>110</v>
      </c>
      <c r="B184" t="s">
        <v>587</v>
      </c>
      <c r="C184" t="s">
        <v>582</v>
      </c>
      <c r="D184" t="s">
        <v>572</v>
      </c>
      <c r="E184" t="s">
        <v>256</v>
      </c>
      <c r="F184" t="s">
        <v>177</v>
      </c>
      <c r="G184" t="s">
        <v>583</v>
      </c>
      <c r="H184" t="s">
        <v>584</v>
      </c>
      <c r="I184" t="s">
        <v>568</v>
      </c>
      <c r="J184" t="s">
        <v>588</v>
      </c>
      <c r="K184" t="s">
        <v>585</v>
      </c>
      <c r="L184" t="s">
        <v>586</v>
      </c>
    </row>
    <row r="185" spans="1:12">
      <c r="A185" t="s">
        <v>110</v>
      </c>
      <c r="B185" t="s">
        <v>589</v>
      </c>
      <c r="C185" t="s">
        <v>582</v>
      </c>
      <c r="D185" t="s">
        <v>572</v>
      </c>
      <c r="E185" t="s">
        <v>256</v>
      </c>
      <c r="F185" t="s">
        <v>177</v>
      </c>
      <c r="G185" t="s">
        <v>583</v>
      </c>
      <c r="H185" t="s">
        <v>584</v>
      </c>
      <c r="I185" t="s">
        <v>568</v>
      </c>
      <c r="J185" t="s">
        <v>522</v>
      </c>
      <c r="K185" t="s">
        <v>585</v>
      </c>
      <c r="L185" t="s">
        <v>586</v>
      </c>
    </row>
    <row r="186" spans="1:12">
      <c r="A186" t="s">
        <v>110</v>
      </c>
      <c r="B186" t="s">
        <v>590</v>
      </c>
      <c r="C186" t="s">
        <v>582</v>
      </c>
      <c r="D186" t="s">
        <v>572</v>
      </c>
      <c r="E186" t="s">
        <v>256</v>
      </c>
      <c r="F186" t="s">
        <v>177</v>
      </c>
      <c r="G186" t="s">
        <v>583</v>
      </c>
      <c r="H186" t="s">
        <v>584</v>
      </c>
      <c r="I186" t="s">
        <v>568</v>
      </c>
      <c r="J186" t="s">
        <v>591</v>
      </c>
      <c r="K186" t="s">
        <v>585</v>
      </c>
      <c r="L186" t="s">
        <v>586</v>
      </c>
    </row>
    <row r="187" spans="1:12">
      <c r="A187" t="s">
        <v>110</v>
      </c>
      <c r="B187" t="s">
        <v>592</v>
      </c>
      <c r="C187" t="s">
        <v>582</v>
      </c>
      <c r="D187" t="s">
        <v>572</v>
      </c>
      <c r="E187" t="s">
        <v>256</v>
      </c>
      <c r="F187" t="s">
        <v>177</v>
      </c>
      <c r="G187" t="s">
        <v>583</v>
      </c>
      <c r="H187" t="s">
        <v>584</v>
      </c>
      <c r="I187" t="s">
        <v>568</v>
      </c>
      <c r="J187" t="s">
        <v>593</v>
      </c>
      <c r="K187" t="s">
        <v>585</v>
      </c>
      <c r="L187" t="s">
        <v>586</v>
      </c>
    </row>
    <row r="188" spans="1:12">
      <c r="A188" t="s">
        <v>110</v>
      </c>
      <c r="B188" t="s">
        <v>594</v>
      </c>
      <c r="C188" t="s">
        <v>582</v>
      </c>
      <c r="D188" t="s">
        <v>572</v>
      </c>
      <c r="E188" t="s">
        <v>256</v>
      </c>
      <c r="F188" t="s">
        <v>177</v>
      </c>
      <c r="G188" t="s">
        <v>583</v>
      </c>
      <c r="H188" t="s">
        <v>584</v>
      </c>
      <c r="I188" t="s">
        <v>568</v>
      </c>
      <c r="J188" t="s">
        <v>595</v>
      </c>
      <c r="K188" t="s">
        <v>585</v>
      </c>
      <c r="L188" t="s">
        <v>586</v>
      </c>
    </row>
    <row r="189" spans="1:12">
      <c r="A189" t="s">
        <v>110</v>
      </c>
      <c r="B189" t="s">
        <v>596</v>
      </c>
      <c r="C189" t="s">
        <v>582</v>
      </c>
      <c r="D189" t="s">
        <v>572</v>
      </c>
      <c r="E189" t="s">
        <v>256</v>
      </c>
      <c r="F189" t="s">
        <v>177</v>
      </c>
      <c r="G189" t="s">
        <v>583</v>
      </c>
      <c r="H189" t="s">
        <v>584</v>
      </c>
      <c r="I189" t="s">
        <v>568</v>
      </c>
      <c r="J189" t="s">
        <v>569</v>
      </c>
      <c r="K189" t="s">
        <v>585</v>
      </c>
      <c r="L189" t="s">
        <v>586</v>
      </c>
    </row>
    <row r="190" spans="1:12">
      <c r="A190" t="s">
        <v>110</v>
      </c>
      <c r="B190" t="s">
        <v>597</v>
      </c>
      <c r="C190" t="s">
        <v>568</v>
      </c>
      <c r="D190" t="s">
        <v>568</v>
      </c>
      <c r="E190" t="s">
        <v>256</v>
      </c>
      <c r="F190" t="s">
        <v>157</v>
      </c>
      <c r="G190" t="s">
        <v>598</v>
      </c>
      <c r="H190" t="s">
        <v>22</v>
      </c>
      <c r="I190" t="s">
        <v>575</v>
      </c>
      <c r="J190" t="s">
        <v>278</v>
      </c>
      <c r="K190" t="s">
        <v>599</v>
      </c>
      <c r="L190" t="s">
        <v>600</v>
      </c>
    </row>
    <row r="191" spans="1:12">
      <c r="A191" t="s">
        <v>110</v>
      </c>
      <c r="B191" t="s">
        <v>601</v>
      </c>
      <c r="C191" t="s">
        <v>568</v>
      </c>
      <c r="D191" t="s">
        <v>568</v>
      </c>
      <c r="E191" t="s">
        <v>256</v>
      </c>
      <c r="F191" t="s">
        <v>157</v>
      </c>
      <c r="G191" t="s">
        <v>598</v>
      </c>
      <c r="H191" t="s">
        <v>22</v>
      </c>
      <c r="I191" t="s">
        <v>575</v>
      </c>
      <c r="J191" t="s">
        <v>160</v>
      </c>
      <c r="K191" t="s">
        <v>209</v>
      </c>
      <c r="L191" t="s">
        <v>600</v>
      </c>
    </row>
    <row r="192" spans="1:12">
      <c r="A192" t="s">
        <v>110</v>
      </c>
      <c r="B192" t="s">
        <v>602</v>
      </c>
      <c r="C192" t="s">
        <v>568</v>
      </c>
      <c r="D192" t="s">
        <v>568</v>
      </c>
      <c r="E192" t="s">
        <v>256</v>
      </c>
      <c r="F192" t="s">
        <v>157</v>
      </c>
      <c r="G192" t="s">
        <v>598</v>
      </c>
      <c r="H192" t="s">
        <v>22</v>
      </c>
      <c r="I192" t="s">
        <v>575</v>
      </c>
      <c r="J192" t="s">
        <v>603</v>
      </c>
      <c r="K192" t="s">
        <v>265</v>
      </c>
      <c r="L192" t="s">
        <v>600</v>
      </c>
    </row>
    <row r="193" spans="1:12">
      <c r="A193" t="s">
        <v>110</v>
      </c>
      <c r="B193" t="s">
        <v>604</v>
      </c>
      <c r="C193" t="s">
        <v>568</v>
      </c>
      <c r="D193" t="s">
        <v>568</v>
      </c>
      <c r="E193" t="s">
        <v>256</v>
      </c>
      <c r="F193" t="s">
        <v>157</v>
      </c>
      <c r="G193" t="s">
        <v>598</v>
      </c>
      <c r="H193" t="s">
        <v>22</v>
      </c>
      <c r="I193" t="s">
        <v>575</v>
      </c>
      <c r="J193" t="s">
        <v>605</v>
      </c>
      <c r="K193" t="s">
        <v>404</v>
      </c>
      <c r="L193" t="s">
        <v>600</v>
      </c>
    </row>
    <row r="194" spans="1:12">
      <c r="A194" t="s">
        <v>110</v>
      </c>
      <c r="B194" t="s">
        <v>606</v>
      </c>
      <c r="C194" t="s">
        <v>566</v>
      </c>
      <c r="D194" t="s">
        <v>575</v>
      </c>
      <c r="E194" t="s">
        <v>156</v>
      </c>
      <c r="F194" t="s">
        <v>157</v>
      </c>
      <c r="G194" t="s">
        <v>607</v>
      </c>
      <c r="H194" t="s">
        <v>26</v>
      </c>
      <c r="I194" t="s">
        <v>575</v>
      </c>
      <c r="J194" t="s">
        <v>532</v>
      </c>
      <c r="K194" t="s">
        <v>548</v>
      </c>
      <c r="L194" t="s">
        <v>608</v>
      </c>
    </row>
    <row r="195" spans="1:12">
      <c r="A195" t="s">
        <v>110</v>
      </c>
      <c r="B195" t="s">
        <v>609</v>
      </c>
      <c r="C195" t="s">
        <v>566</v>
      </c>
      <c r="D195" t="s">
        <v>575</v>
      </c>
      <c r="E195" t="s">
        <v>256</v>
      </c>
      <c r="F195" t="s">
        <v>157</v>
      </c>
      <c r="G195" t="s">
        <v>610</v>
      </c>
      <c r="H195" t="s">
        <v>26</v>
      </c>
      <c r="I195" t="s">
        <v>575</v>
      </c>
      <c r="J195" t="s">
        <v>569</v>
      </c>
      <c r="K195" t="s">
        <v>253</v>
      </c>
      <c r="L195" t="s">
        <v>611</v>
      </c>
    </row>
    <row r="196" spans="1:12">
      <c r="A196" t="s">
        <v>110</v>
      </c>
      <c r="B196" t="s">
        <v>612</v>
      </c>
      <c r="C196" t="s">
        <v>566</v>
      </c>
      <c r="D196" t="s">
        <v>566</v>
      </c>
      <c r="E196" t="s">
        <v>156</v>
      </c>
      <c r="F196" t="s">
        <v>157</v>
      </c>
      <c r="G196" t="s">
        <v>613</v>
      </c>
      <c r="H196" t="s">
        <v>216</v>
      </c>
      <c r="I196" t="s">
        <v>568</v>
      </c>
      <c r="J196" t="s">
        <v>532</v>
      </c>
      <c r="K196" t="s">
        <v>548</v>
      </c>
      <c r="L196" t="s">
        <v>614</v>
      </c>
    </row>
    <row r="197" spans="1:12">
      <c r="A197" t="s">
        <v>110</v>
      </c>
      <c r="B197" t="s">
        <v>615</v>
      </c>
      <c r="C197" t="s">
        <v>566</v>
      </c>
      <c r="D197" t="s">
        <v>566</v>
      </c>
      <c r="E197" t="s">
        <v>156</v>
      </c>
      <c r="F197" t="s">
        <v>157</v>
      </c>
      <c r="G197" t="s">
        <v>613</v>
      </c>
      <c r="H197" t="s">
        <v>216</v>
      </c>
      <c r="I197" t="s">
        <v>568</v>
      </c>
      <c r="J197" t="s">
        <v>532</v>
      </c>
      <c r="K197" t="s">
        <v>548</v>
      </c>
      <c r="L197" t="s">
        <v>614</v>
      </c>
    </row>
    <row r="198" spans="1:12">
      <c r="A198" t="s">
        <v>110</v>
      </c>
      <c r="B198" t="s">
        <v>616</v>
      </c>
      <c r="C198" t="s">
        <v>566</v>
      </c>
      <c r="D198" t="s">
        <v>566</v>
      </c>
      <c r="E198" t="s">
        <v>256</v>
      </c>
      <c r="F198" t="s">
        <v>177</v>
      </c>
      <c r="G198" t="s">
        <v>617</v>
      </c>
      <c r="H198" t="s">
        <v>301</v>
      </c>
      <c r="I198" t="s">
        <v>575</v>
      </c>
      <c r="J198" t="s">
        <v>569</v>
      </c>
      <c r="K198" t="s">
        <v>253</v>
      </c>
      <c r="L198" t="s">
        <v>618</v>
      </c>
    </row>
    <row r="199" spans="1:12">
      <c r="A199" t="s">
        <v>110</v>
      </c>
      <c r="B199" t="s">
        <v>619</v>
      </c>
      <c r="C199" t="s">
        <v>566</v>
      </c>
      <c r="D199" t="s">
        <v>566</v>
      </c>
      <c r="E199" t="s">
        <v>256</v>
      </c>
      <c r="F199" t="s">
        <v>177</v>
      </c>
      <c r="G199" t="s">
        <v>617</v>
      </c>
      <c r="H199" t="s">
        <v>301</v>
      </c>
      <c r="I199" t="s">
        <v>575</v>
      </c>
      <c r="J199" t="s">
        <v>569</v>
      </c>
      <c r="K199" t="s">
        <v>253</v>
      </c>
      <c r="L199" t="s">
        <v>620</v>
      </c>
    </row>
    <row r="200" spans="1:12">
      <c r="A200" t="s">
        <v>110</v>
      </c>
      <c r="B200" t="s">
        <v>621</v>
      </c>
      <c r="C200" t="s">
        <v>566</v>
      </c>
      <c r="D200" t="s">
        <v>566</v>
      </c>
      <c r="E200" t="s">
        <v>256</v>
      </c>
      <c r="F200" t="s">
        <v>177</v>
      </c>
      <c r="G200" t="s">
        <v>617</v>
      </c>
      <c r="H200" t="s">
        <v>301</v>
      </c>
      <c r="I200" t="s">
        <v>575</v>
      </c>
      <c r="J200" t="s">
        <v>569</v>
      </c>
      <c r="K200" t="s">
        <v>253</v>
      </c>
      <c r="L200" t="s">
        <v>622</v>
      </c>
    </row>
    <row r="201" spans="1:12">
      <c r="A201" t="s">
        <v>110</v>
      </c>
      <c r="B201" t="s">
        <v>621</v>
      </c>
      <c r="C201" t="s">
        <v>566</v>
      </c>
      <c r="D201" t="s">
        <v>566</v>
      </c>
      <c r="E201" t="s">
        <v>256</v>
      </c>
      <c r="F201" t="s">
        <v>177</v>
      </c>
      <c r="G201" t="s">
        <v>617</v>
      </c>
      <c r="H201" t="s">
        <v>301</v>
      </c>
      <c r="I201" t="s">
        <v>575</v>
      </c>
      <c r="J201" t="s">
        <v>569</v>
      </c>
      <c r="K201" t="s">
        <v>253</v>
      </c>
      <c r="L201" t="s">
        <v>623</v>
      </c>
    </row>
    <row r="202" spans="1:12">
      <c r="A202" t="s">
        <v>110</v>
      </c>
      <c r="B202" t="s">
        <v>624</v>
      </c>
      <c r="C202" t="s">
        <v>566</v>
      </c>
      <c r="D202" t="s">
        <v>566</v>
      </c>
      <c r="E202" t="s">
        <v>256</v>
      </c>
      <c r="F202" t="s">
        <v>177</v>
      </c>
      <c r="G202" t="s">
        <v>617</v>
      </c>
      <c r="H202" t="s">
        <v>301</v>
      </c>
      <c r="I202" t="s">
        <v>575</v>
      </c>
      <c r="J202" t="s">
        <v>569</v>
      </c>
      <c r="K202" t="s">
        <v>253</v>
      </c>
      <c r="L202" t="s">
        <v>625</v>
      </c>
    </row>
    <row r="203" spans="1:12">
      <c r="A203" t="s">
        <v>110</v>
      </c>
      <c r="B203" t="s">
        <v>624</v>
      </c>
      <c r="C203" t="s">
        <v>566</v>
      </c>
      <c r="D203" t="s">
        <v>566</v>
      </c>
      <c r="E203" t="s">
        <v>256</v>
      </c>
      <c r="F203" t="s">
        <v>177</v>
      </c>
      <c r="G203" t="s">
        <v>617</v>
      </c>
      <c r="H203" t="s">
        <v>301</v>
      </c>
      <c r="I203" t="s">
        <v>575</v>
      </c>
      <c r="J203" t="s">
        <v>569</v>
      </c>
      <c r="K203" t="s">
        <v>253</v>
      </c>
      <c r="L203" t="s">
        <v>626</v>
      </c>
    </row>
    <row r="204" spans="1:12">
      <c r="A204" t="s">
        <v>110</v>
      </c>
      <c r="B204" t="s">
        <v>627</v>
      </c>
      <c r="C204" t="s">
        <v>628</v>
      </c>
      <c r="D204" t="s">
        <v>572</v>
      </c>
      <c r="E204" t="s">
        <v>256</v>
      </c>
      <c r="F204" t="s">
        <v>177</v>
      </c>
      <c r="G204" t="s">
        <v>629</v>
      </c>
      <c r="H204" t="s">
        <v>630</v>
      </c>
      <c r="I204" t="s">
        <v>575</v>
      </c>
      <c r="J204" t="s">
        <v>631</v>
      </c>
      <c r="K204" t="s">
        <v>632</v>
      </c>
      <c r="L204" t="s">
        <v>633</v>
      </c>
    </row>
    <row r="205" spans="1:12">
      <c r="A205" t="s">
        <v>110</v>
      </c>
      <c r="B205" t="s">
        <v>634</v>
      </c>
      <c r="C205" t="s">
        <v>628</v>
      </c>
      <c r="D205" t="s">
        <v>572</v>
      </c>
      <c r="E205" t="s">
        <v>256</v>
      </c>
      <c r="F205" t="s">
        <v>177</v>
      </c>
      <c r="G205" t="s">
        <v>629</v>
      </c>
      <c r="H205" t="s">
        <v>630</v>
      </c>
      <c r="I205" t="s">
        <v>575</v>
      </c>
      <c r="J205" t="s">
        <v>252</v>
      </c>
      <c r="K205" t="s">
        <v>635</v>
      </c>
      <c r="L205" t="s">
        <v>633</v>
      </c>
    </row>
    <row r="206" spans="1:12">
      <c r="A206" t="s">
        <v>110</v>
      </c>
      <c r="B206" t="s">
        <v>636</v>
      </c>
      <c r="C206" t="s">
        <v>628</v>
      </c>
      <c r="D206" t="s">
        <v>572</v>
      </c>
      <c r="E206" t="s">
        <v>256</v>
      </c>
      <c r="F206" t="s">
        <v>177</v>
      </c>
      <c r="G206" t="s">
        <v>629</v>
      </c>
      <c r="H206" t="s">
        <v>630</v>
      </c>
      <c r="I206" t="s">
        <v>575</v>
      </c>
      <c r="J206" t="s">
        <v>588</v>
      </c>
      <c r="K206" t="s">
        <v>637</v>
      </c>
      <c r="L206" t="s">
        <v>633</v>
      </c>
    </row>
    <row r="207" spans="1:12">
      <c r="A207" t="s">
        <v>110</v>
      </c>
      <c r="B207" t="s">
        <v>638</v>
      </c>
      <c r="C207" t="s">
        <v>628</v>
      </c>
      <c r="D207" t="s">
        <v>572</v>
      </c>
      <c r="E207" t="s">
        <v>256</v>
      </c>
      <c r="F207" t="s">
        <v>177</v>
      </c>
      <c r="G207" t="s">
        <v>629</v>
      </c>
      <c r="H207" t="s">
        <v>630</v>
      </c>
      <c r="I207" t="s">
        <v>575</v>
      </c>
      <c r="J207" t="s">
        <v>522</v>
      </c>
      <c r="K207" t="s">
        <v>639</v>
      </c>
      <c r="L207" t="s">
        <v>633</v>
      </c>
    </row>
    <row r="208" spans="1:12">
      <c r="A208" t="s">
        <v>110</v>
      </c>
      <c r="B208" t="s">
        <v>640</v>
      </c>
      <c r="C208" t="s">
        <v>628</v>
      </c>
      <c r="D208" t="s">
        <v>572</v>
      </c>
      <c r="E208" t="s">
        <v>256</v>
      </c>
      <c r="F208" t="s">
        <v>177</v>
      </c>
      <c r="G208" t="s">
        <v>629</v>
      </c>
      <c r="H208" t="s">
        <v>630</v>
      </c>
      <c r="I208" t="s">
        <v>575</v>
      </c>
      <c r="J208" t="s">
        <v>591</v>
      </c>
      <c r="K208" t="s">
        <v>641</v>
      </c>
      <c r="L208" t="s">
        <v>633</v>
      </c>
    </row>
    <row r="209" spans="1:12">
      <c r="A209" t="s">
        <v>110</v>
      </c>
      <c r="B209" t="s">
        <v>642</v>
      </c>
      <c r="C209" t="s">
        <v>628</v>
      </c>
      <c r="D209" t="s">
        <v>572</v>
      </c>
      <c r="E209" t="s">
        <v>256</v>
      </c>
      <c r="F209" t="s">
        <v>177</v>
      </c>
      <c r="G209" t="s">
        <v>629</v>
      </c>
      <c r="H209" t="s">
        <v>630</v>
      </c>
      <c r="I209" t="s">
        <v>575</v>
      </c>
      <c r="J209" t="s">
        <v>593</v>
      </c>
      <c r="K209" t="s">
        <v>585</v>
      </c>
      <c r="L209" t="s">
        <v>633</v>
      </c>
    </row>
    <row r="210" spans="1:12">
      <c r="A210" t="s">
        <v>110</v>
      </c>
      <c r="B210" t="s">
        <v>643</v>
      </c>
      <c r="C210" t="s">
        <v>628</v>
      </c>
      <c r="D210" t="s">
        <v>572</v>
      </c>
      <c r="E210" t="s">
        <v>256</v>
      </c>
      <c r="F210" t="s">
        <v>177</v>
      </c>
      <c r="G210" t="s">
        <v>629</v>
      </c>
      <c r="H210" t="s">
        <v>630</v>
      </c>
      <c r="I210" t="s">
        <v>575</v>
      </c>
      <c r="J210" t="s">
        <v>595</v>
      </c>
      <c r="K210" t="s">
        <v>644</v>
      </c>
      <c r="L210" t="s">
        <v>633</v>
      </c>
    </row>
    <row r="211" spans="1:12">
      <c r="A211" t="s">
        <v>110</v>
      </c>
      <c r="B211" t="s">
        <v>645</v>
      </c>
      <c r="C211" t="s">
        <v>628</v>
      </c>
      <c r="D211" t="s">
        <v>572</v>
      </c>
      <c r="E211" t="s">
        <v>256</v>
      </c>
      <c r="F211" t="s">
        <v>177</v>
      </c>
      <c r="G211" t="s">
        <v>629</v>
      </c>
      <c r="H211" t="s">
        <v>630</v>
      </c>
      <c r="I211" t="s">
        <v>575</v>
      </c>
      <c r="J211" t="s">
        <v>569</v>
      </c>
      <c r="K211" t="s">
        <v>646</v>
      </c>
      <c r="L211" t="s">
        <v>633</v>
      </c>
    </row>
    <row r="212" spans="1:12">
      <c r="A212" t="s">
        <v>110</v>
      </c>
      <c r="B212" t="s">
        <v>647</v>
      </c>
      <c r="C212" t="s">
        <v>628</v>
      </c>
      <c r="D212" t="s">
        <v>572</v>
      </c>
      <c r="E212" t="s">
        <v>256</v>
      </c>
      <c r="F212" t="s">
        <v>177</v>
      </c>
      <c r="G212" t="s">
        <v>629</v>
      </c>
      <c r="H212" t="s">
        <v>630</v>
      </c>
      <c r="I212" t="s">
        <v>575</v>
      </c>
      <c r="J212" t="s">
        <v>526</v>
      </c>
      <c r="K212" t="s">
        <v>648</v>
      </c>
      <c r="L212" t="s">
        <v>633</v>
      </c>
    </row>
    <row r="213" spans="1:12">
      <c r="A213" t="s">
        <v>110</v>
      </c>
      <c r="B213" t="s">
        <v>649</v>
      </c>
      <c r="C213" t="s">
        <v>566</v>
      </c>
      <c r="D213" t="s">
        <v>566</v>
      </c>
      <c r="E213" t="s">
        <v>256</v>
      </c>
      <c r="F213" t="s">
        <v>157</v>
      </c>
      <c r="G213" t="s">
        <v>650</v>
      </c>
      <c r="H213" t="s">
        <v>317</v>
      </c>
      <c r="I213" t="s">
        <v>575</v>
      </c>
      <c r="J213" t="s">
        <v>569</v>
      </c>
      <c r="K213" t="s">
        <v>253</v>
      </c>
      <c r="L213" t="s">
        <v>651</v>
      </c>
    </row>
    <row r="214" spans="1:12">
      <c r="A214" t="s">
        <v>110</v>
      </c>
      <c r="B214" t="s">
        <v>652</v>
      </c>
      <c r="C214" t="s">
        <v>566</v>
      </c>
      <c r="D214" t="s">
        <v>566</v>
      </c>
      <c r="E214" t="s">
        <v>256</v>
      </c>
      <c r="F214" t="s">
        <v>157</v>
      </c>
      <c r="G214" t="s">
        <v>650</v>
      </c>
      <c r="H214" t="s">
        <v>317</v>
      </c>
      <c r="I214" t="s">
        <v>575</v>
      </c>
      <c r="J214" t="s">
        <v>569</v>
      </c>
      <c r="K214" t="s">
        <v>253</v>
      </c>
      <c r="L214" t="s">
        <v>653</v>
      </c>
    </row>
    <row r="215" spans="1:12">
      <c r="A215" t="s">
        <v>110</v>
      </c>
      <c r="B215" t="s">
        <v>654</v>
      </c>
      <c r="C215" t="s">
        <v>566</v>
      </c>
      <c r="D215" t="s">
        <v>566</v>
      </c>
      <c r="E215" t="s">
        <v>256</v>
      </c>
      <c r="F215" t="s">
        <v>157</v>
      </c>
      <c r="G215" t="s">
        <v>650</v>
      </c>
      <c r="H215" t="s">
        <v>317</v>
      </c>
      <c r="I215" t="s">
        <v>575</v>
      </c>
      <c r="J215" t="s">
        <v>569</v>
      </c>
      <c r="K215" t="s">
        <v>253</v>
      </c>
      <c r="L215" t="s">
        <v>653</v>
      </c>
    </row>
    <row r="216" spans="1:12">
      <c r="A216" t="s">
        <v>126</v>
      </c>
      <c r="B216" t="s">
        <v>655</v>
      </c>
      <c r="C216" t="s">
        <v>656</v>
      </c>
      <c r="D216" t="s">
        <v>657</v>
      </c>
      <c r="E216" t="s">
        <v>156</v>
      </c>
      <c r="F216" t="s">
        <v>177</v>
      </c>
      <c r="G216" t="s">
        <v>658</v>
      </c>
      <c r="H216" t="s">
        <v>301</v>
      </c>
      <c r="I216" t="s">
        <v>657</v>
      </c>
      <c r="J216" t="s">
        <v>659</v>
      </c>
      <c r="K216" t="s">
        <v>253</v>
      </c>
      <c r="L216" t="s">
        <v>660</v>
      </c>
    </row>
    <row r="217" spans="1:12">
      <c r="A217" t="s">
        <v>128</v>
      </c>
      <c r="B217" t="s">
        <v>661</v>
      </c>
      <c r="C217" t="s">
        <v>662</v>
      </c>
      <c r="D217" t="s">
        <v>663</v>
      </c>
      <c r="E217" t="s">
        <v>561</v>
      </c>
      <c r="F217" t="s">
        <v>562</v>
      </c>
      <c r="H217" t="s">
        <v>129</v>
      </c>
      <c r="I217" t="s">
        <v>664</v>
      </c>
      <c r="J217" t="s">
        <v>532</v>
      </c>
      <c r="K217" t="s">
        <v>665</v>
      </c>
      <c r="L217" t="s">
        <v>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9E31-B90F-4943-999D-DCBD8D2F76FC}">
  <dimension ref="A1:C9"/>
  <sheetViews>
    <sheetView workbookViewId="0">
      <selection activeCell="B9" sqref="B9"/>
    </sheetView>
  </sheetViews>
  <sheetFormatPr defaultRowHeight="15"/>
  <cols>
    <col min="1" max="1" width="37.42578125" customWidth="1"/>
    <col min="2" max="2" width="12.85546875" customWidth="1"/>
    <col min="3" max="3" width="11.85546875" customWidth="1"/>
    <col min="4" max="4" width="12.5703125" customWidth="1"/>
  </cols>
  <sheetData>
    <row r="1" spans="1:3">
      <c r="A1" t="s">
        <v>667</v>
      </c>
    </row>
    <row r="3" spans="1:3">
      <c r="A3" t="s">
        <v>668</v>
      </c>
      <c r="B3" t="s">
        <v>669</v>
      </c>
      <c r="C3" t="s">
        <v>670</v>
      </c>
    </row>
    <row r="4" spans="1:3">
      <c r="A4" t="s">
        <v>671</v>
      </c>
      <c r="B4" s="4">
        <v>0.5</v>
      </c>
      <c r="C4" s="4">
        <v>0.2</v>
      </c>
    </row>
    <row r="5" spans="1:3">
      <c r="A5" t="s">
        <v>672</v>
      </c>
      <c r="B5" s="4">
        <v>0.25</v>
      </c>
      <c r="C5" s="4">
        <v>0.4</v>
      </c>
    </row>
    <row r="6" spans="1:3">
      <c r="A6" t="s">
        <v>673</v>
      </c>
      <c r="B6" s="4">
        <v>0.25</v>
      </c>
      <c r="C6" s="4">
        <v>0.4</v>
      </c>
    </row>
    <row r="7" spans="1:3">
      <c r="A7" t="s">
        <v>674</v>
      </c>
      <c r="B7" s="4">
        <f>SUM(B4:B6)</f>
        <v>1</v>
      </c>
      <c r="C7" s="4">
        <f>SUM(C4:C6)</f>
        <v>1</v>
      </c>
    </row>
    <row r="9" spans="1:3">
      <c r="A9" t="s">
        <v>675</v>
      </c>
      <c r="B9" t="s">
        <v>669</v>
      </c>
    </row>
  </sheetData>
  <dataValidations count="1">
    <dataValidation type="list" allowBlank="1" showInputMessage="1" showErrorMessage="1" sqref="B9" xr:uid="{12175AE9-F060-4022-8274-37B461BBCE2E}">
      <formula1>"Patient risk,Market entry"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E1A9-2F53-4D4C-AE4F-6F61E6F8CE08}">
  <dimension ref="A1:H8"/>
  <sheetViews>
    <sheetView workbookViewId="0">
      <selection activeCell="B16" sqref="B16"/>
    </sheetView>
  </sheetViews>
  <sheetFormatPr defaultRowHeight="15"/>
  <cols>
    <col min="1" max="1" width="39.42578125" customWidth="1"/>
    <col min="2" max="2" width="9.140625" style="5"/>
    <col min="3" max="3" width="10.5703125" style="5" customWidth="1"/>
    <col min="4" max="4" width="16.42578125" style="5" customWidth="1"/>
    <col min="5" max="5" width="15.5703125" style="5" customWidth="1"/>
    <col min="6" max="6" width="17.140625" style="5" customWidth="1"/>
    <col min="7" max="7" width="13.28515625" style="5" customWidth="1"/>
  </cols>
  <sheetData>
    <row r="1" spans="1:8" ht="24" customHeight="1">
      <c r="A1" t="s">
        <v>0</v>
      </c>
      <c r="B1" s="5" t="s">
        <v>676</v>
      </c>
      <c r="C1" s="5" t="s">
        <v>677</v>
      </c>
      <c r="D1" s="5" t="s">
        <v>678</v>
      </c>
      <c r="E1" s="5" t="s">
        <v>679</v>
      </c>
      <c r="F1" s="5" t="s">
        <v>680</v>
      </c>
      <c r="G1" s="5" t="s">
        <v>681</v>
      </c>
      <c r="H1" t="s">
        <v>682</v>
      </c>
    </row>
    <row r="2" spans="1:8">
      <c r="A2" t="str" cm="1">
        <f t="array" ref="A2:A8">_xlfn._xlws.FILTER(Data!A2:A9,Data!L2:L9="Yes")</f>
        <v>Azacitidine Injection</v>
      </c>
      <c r="B2" s="5">
        <f>(_xlfn.XLOOKUP(A2,Data!$A$2:$A$9,Data!$D$2:$D$9)-_xlfn.MINIFS(Data!$D$2:$D$9,Data!$L$2:$L$9,"Yes"))/(_xlfn.MAXIFS(Data!$D$2:$D$9,Data!$L$2:$L$9,"Yes")-_xlfn.MINIFS(Data!$D$2:$D$9,Data!$L$2:$L$9,"Yes"))</f>
        <v>0.29629629629629628</v>
      </c>
      <c r="C2" s="5">
        <f>(_xlfn.XLOOKUP(A2,Data!$A$2:$A$9,Data!$G$2:$G$9)-_xlfn.MINIFS(Data!$G$2:$G$9,Data!$L$2:$L$9,"Yes"))/(_xlfn.MAXIFS(Data!$G$2:$G$9,Data!$L$2:$L$9,"Yes")-_xlfn.MINIFS(Data!$G$2:$G$9,Data!$L$2:$L$9,"Yes"))</f>
        <v>0.75364238410596029</v>
      </c>
      <c r="D2" s="5">
        <f>1-(_xlfn.XLOOKUP(A2,Data!$A$2:$A$9,Data!$J$2:$J$9)-_xlfn.MINIFS(Data!$J$2:$J$9,Data!$L$2:$L$9,"Yes"))/(_xlfn.MAXIFS(Data!$J$2:$J$9,Data!$L$2:$L$9,"Yes")-_xlfn.MINIFS(Data!$J$2:$J$9,Data!$L$2:$L$9,"Yes"))</f>
        <v>0.36842105263157898</v>
      </c>
      <c r="E2" s="5">
        <f>B2*Inputs!$B$4+C2*Inputs!$B$5+D2*Inputs!$B$6</f>
        <v>0.42866400733253296</v>
      </c>
      <c r="F2" s="5">
        <f>B2*Inputs!$C$4+C2*Inputs!$C$5+D2*Inputs!$C$6</f>
        <v>0.50808463395427494</v>
      </c>
      <c r="G2" s="5">
        <f>IF(Inputs!$B$9="Patient risk",E2,F2)</f>
        <v>0.42866400733253296</v>
      </c>
      <c r="H2">
        <f>_xlfn.RANK.EQ(G2,$G$2:$G$8)</f>
        <v>3</v>
      </c>
    </row>
    <row r="3" spans="1:8">
      <c r="A3" t="str">
        <v>Carboplatin Injection</v>
      </c>
      <c r="B3" s="5">
        <f>(_xlfn.XLOOKUP(A3,Data!$A$2:$A$9,Data!$D$2:$D$9)-_xlfn.MINIFS(Data!$D$2:$D$9,Data!$L$2:$L$9,"Yes"))/(_xlfn.MAXIFS(Data!$D$2:$D$9,Data!$L$2:$L$9,"Yes")-_xlfn.MINIFS(Data!$D$2:$D$9,Data!$L$2:$L$9,"Yes"))</f>
        <v>0.25747126436781609</v>
      </c>
      <c r="C3" s="5">
        <f>(_xlfn.XLOOKUP(A3,Data!$A$2:$A$9,Data!$G$2:$G$9)-_xlfn.MINIFS(Data!$G$2:$G$9,Data!$L$2:$L$9,"Yes"))/(_xlfn.MAXIFS(Data!$G$2:$G$9,Data!$L$2:$L$9,"Yes")-_xlfn.MINIFS(Data!$G$2:$G$9,Data!$L$2:$L$9,"Yes"))</f>
        <v>0.44105960264900662</v>
      </c>
      <c r="D3" s="5">
        <f>1-(_xlfn.XLOOKUP(A3,Data!$A$2:$A$9,Data!$J$2:$J$9)-_xlfn.MINIFS(Data!$J$2:$J$9,Data!$L$2:$L$9,"Yes"))/(_xlfn.MAXIFS(Data!$J$2:$J$9,Data!$L$2:$L$9,"Yes")-_xlfn.MINIFS(Data!$J$2:$J$9,Data!$L$2:$L$9,"Yes"))</f>
        <v>0.57894736842105265</v>
      </c>
      <c r="E3" s="5">
        <f>B3*Inputs!$B$4+C3*Inputs!$B$5+D3*Inputs!$B$6</f>
        <v>0.38373737495142285</v>
      </c>
      <c r="F3" s="5">
        <f>B3*Inputs!$C$4+C3*Inputs!$C$5+D3*Inputs!$C$6</f>
        <v>0.45949704130158697</v>
      </c>
      <c r="G3" s="5">
        <f>IF(Inputs!$B$9="Patient risk",E3,F3)</f>
        <v>0.38373737495142285</v>
      </c>
      <c r="H3">
        <f t="shared" ref="H3:H8" si="0">_xlfn.RANK.EQ(G3,$G$2:$G$8)</f>
        <v>4</v>
      </c>
    </row>
    <row r="4" spans="1:8">
      <c r="A4" t="str">
        <v>Dexamethasone Sodium Phosphate Injection</v>
      </c>
      <c r="B4" s="5">
        <f>(_xlfn.XLOOKUP(A4,Data!$A$2:$A$9,Data!$D$2:$D$9)-_xlfn.MINIFS(Data!$D$2:$D$9,Data!$L$2:$L$9,"Yes"))/(_xlfn.MAXIFS(Data!$D$2:$D$9,Data!$L$2:$L$9,"Yes")-_xlfn.MINIFS(Data!$D$2:$D$9,Data!$L$2:$L$9,"Yes"))</f>
        <v>0</v>
      </c>
      <c r="C4" s="5">
        <f>(_xlfn.XLOOKUP(A4,Data!$A$2:$A$9,Data!$G$2:$G$9)-_xlfn.MINIFS(Data!$G$2:$G$9,Data!$L$2:$L$9,"Yes"))/(_xlfn.MAXIFS(Data!$G$2:$G$9,Data!$L$2:$L$9,"Yes")-_xlfn.MINIFS(Data!$G$2:$G$9,Data!$L$2:$L$9,"Yes"))</f>
        <v>1</v>
      </c>
      <c r="D4" s="5">
        <f>1-(_xlfn.XLOOKUP(A4,Data!$A$2:$A$9,Data!$J$2:$J$9)-_xlfn.MINIFS(Data!$J$2:$J$9,Data!$L$2:$L$9,"Yes"))/(_xlfn.MAXIFS(Data!$J$2:$J$9,Data!$L$2:$L$9,"Yes")-_xlfn.MINIFS(Data!$J$2:$J$9,Data!$L$2:$L$9,"Yes"))</f>
        <v>0</v>
      </c>
      <c r="E4" s="5">
        <f>B4*Inputs!$B$4+C4*Inputs!$B$5+D4*Inputs!$B$6</f>
        <v>0.25</v>
      </c>
      <c r="F4" s="5">
        <f>B4*Inputs!$C$4+C4*Inputs!$C$5+D4*Inputs!$C$6</f>
        <v>0.4</v>
      </c>
      <c r="G4" s="5">
        <f>IF(Inputs!$B$9="Patient risk",E4,F4)</f>
        <v>0.25</v>
      </c>
      <c r="H4">
        <f t="shared" si="0"/>
        <v>7</v>
      </c>
    </row>
    <row r="5" spans="1:8">
      <c r="A5" t="str">
        <v>Ifosfamide Injection</v>
      </c>
      <c r="B5" s="5">
        <f>(_xlfn.XLOOKUP(A5,Data!$A$2:$A$9,Data!$D$2:$D$9)-_xlfn.MINIFS(Data!$D$2:$D$9,Data!$L$2:$L$9,"Yes"))/(_xlfn.MAXIFS(Data!$D$2:$D$9,Data!$L$2:$L$9,"Yes")-_xlfn.MINIFS(Data!$D$2:$D$9,Data!$L$2:$L$9,"Yes"))</f>
        <v>0.20833333333333334</v>
      </c>
      <c r="C5" s="5">
        <f>(_xlfn.XLOOKUP(A5,Data!$A$2:$A$9,Data!$G$2:$G$9)-_xlfn.MINIFS(Data!$G$2:$G$9,Data!$L$2:$L$9,"Yes"))/(_xlfn.MAXIFS(Data!$G$2:$G$9,Data!$L$2:$L$9,"Yes")-_xlfn.MINIFS(Data!$G$2:$G$9,Data!$L$2:$L$9,"Yes"))</f>
        <v>2.781456953642384E-2</v>
      </c>
      <c r="D5" s="5">
        <f>1-(_xlfn.XLOOKUP(A5,Data!$A$2:$A$9,Data!$J$2:$J$9)-_xlfn.MINIFS(Data!$J$2:$J$9,Data!$L$2:$L$9,"Yes"))/(_xlfn.MAXIFS(Data!$J$2:$J$9,Data!$L$2:$L$9,"Yes")-_xlfn.MINIFS(Data!$J$2:$J$9,Data!$L$2:$L$9,"Yes"))</f>
        <v>0.84210526315789469</v>
      </c>
      <c r="E5" s="5">
        <f>B5*Inputs!$B$4+C5*Inputs!$B$5+D5*Inputs!$B$6</f>
        <v>0.32164662484024631</v>
      </c>
      <c r="F5" s="5">
        <f>B5*Inputs!$C$4+C5*Inputs!$C$5+D5*Inputs!$C$6</f>
        <v>0.38963459974439407</v>
      </c>
      <c r="G5" s="5">
        <f>IF(Inputs!$B$9="Patient risk",E5,F5)</f>
        <v>0.32164662484024631</v>
      </c>
      <c r="H5">
        <f t="shared" si="0"/>
        <v>5</v>
      </c>
    </row>
    <row r="6" spans="1:8">
      <c r="A6" t="str">
        <v>Methotrexate Sodium Injection</v>
      </c>
      <c r="B6" s="5">
        <f>(_xlfn.XLOOKUP(A6,Data!$A$2:$A$9,Data!$D$2:$D$9)-_xlfn.MINIFS(Data!$D$2:$D$9,Data!$L$2:$L$9,"Yes"))/(_xlfn.MAXIFS(Data!$D$2:$D$9,Data!$L$2:$L$9,"Yes")-_xlfn.MINIFS(Data!$D$2:$D$9,Data!$L$2:$L$9,"Yes"))</f>
        <v>9.5238095238095233E-2</v>
      </c>
      <c r="C6" s="5">
        <f>(_xlfn.XLOOKUP(A6,Data!$A$2:$A$9,Data!$G$2:$G$9)-_xlfn.MINIFS(Data!$G$2:$G$9,Data!$L$2:$L$9,"Yes"))/(_xlfn.MAXIFS(Data!$G$2:$G$9,Data!$L$2:$L$9,"Yes")-_xlfn.MINIFS(Data!$G$2:$G$9,Data!$L$2:$L$9,"Yes"))</f>
        <v>0.45827814569536424</v>
      </c>
      <c r="D6" s="5">
        <f>1-(_xlfn.XLOOKUP(A6,Data!$A$2:$A$9,Data!$J$2:$J$9)-_xlfn.MINIFS(Data!$J$2:$J$9,Data!$L$2:$L$9,"Yes"))/(_xlfn.MAXIFS(Data!$J$2:$J$9,Data!$L$2:$L$9,"Yes")-_xlfn.MINIFS(Data!$J$2:$J$9,Data!$L$2:$L$9,"Yes"))</f>
        <v>0.63157894736842102</v>
      </c>
      <c r="E6" s="5">
        <f>B6*Inputs!$B$4+C6*Inputs!$B$5+D6*Inputs!$B$6</f>
        <v>0.32008332088499392</v>
      </c>
      <c r="F6" s="5">
        <f>B6*Inputs!$C$4+C6*Inputs!$C$5+D6*Inputs!$C$6</f>
        <v>0.45499045627313317</v>
      </c>
      <c r="G6" s="5">
        <f>IF(Inputs!$B$9="Patient risk",E6,F6)</f>
        <v>0.32008332088499392</v>
      </c>
      <c r="H6">
        <f t="shared" si="0"/>
        <v>6</v>
      </c>
    </row>
    <row r="7" spans="1:8">
      <c r="A7" t="str">
        <v>Pentostatin Injection</v>
      </c>
      <c r="B7" s="5">
        <f>(_xlfn.XLOOKUP(A7,Data!$A$2:$A$9,Data!$D$2:$D$9)-_xlfn.MINIFS(Data!$D$2:$D$9,Data!$L$2:$L$9,"Yes"))/(_xlfn.MAXIFS(Data!$D$2:$D$9,Data!$L$2:$L$9,"Yes")-_xlfn.MINIFS(Data!$D$2:$D$9,Data!$L$2:$L$9,"Yes"))</f>
        <v>1</v>
      </c>
      <c r="C7" s="5">
        <f>(_xlfn.XLOOKUP(A7,Data!$A$2:$A$9,Data!$G$2:$G$9)-_xlfn.MINIFS(Data!$G$2:$G$9,Data!$L$2:$L$9,"Yes"))/(_xlfn.MAXIFS(Data!$G$2:$G$9,Data!$L$2:$L$9,"Yes")-_xlfn.MINIFS(Data!$G$2:$G$9,Data!$L$2:$L$9,"Yes"))</f>
        <v>0</v>
      </c>
      <c r="D7" s="5">
        <f>1-(_xlfn.XLOOKUP(A7,Data!$A$2:$A$9,Data!$J$2:$J$9)-_xlfn.MINIFS(Data!$J$2:$J$9,Data!$L$2:$L$9,"Yes"))/(_xlfn.MAXIFS(Data!$J$2:$J$9,Data!$L$2:$L$9,"Yes")-_xlfn.MINIFS(Data!$J$2:$J$9,Data!$L$2:$L$9,"Yes"))</f>
        <v>1</v>
      </c>
      <c r="E7" s="5">
        <f>B7*Inputs!$B$4+C7*Inputs!$B$5+D7*Inputs!$B$6</f>
        <v>0.75</v>
      </c>
      <c r="F7" s="5">
        <f>B7*Inputs!$C$4+C7*Inputs!$C$5+D7*Inputs!$C$6</f>
        <v>0.60000000000000009</v>
      </c>
      <c r="G7" s="5">
        <f>IF(Inputs!$B$9="Patient risk",E7,F7)</f>
        <v>0.75</v>
      </c>
      <c r="H7">
        <f t="shared" si="0"/>
        <v>1</v>
      </c>
    </row>
    <row r="8" spans="1:8">
      <c r="A8" t="str">
        <v>Streptozocin Powder, For Solution</v>
      </c>
      <c r="B8" s="5">
        <f>(_xlfn.XLOOKUP(A8,Data!$A$2:$A$9,Data!$D$2:$D$9)-_xlfn.MINIFS(Data!$D$2:$D$9,Data!$L$2:$L$9,"Yes"))/(_xlfn.MAXIFS(Data!$D$2:$D$9,Data!$L$2:$L$9,"Yes")-_xlfn.MINIFS(Data!$D$2:$D$9,Data!$L$2:$L$9,"Yes"))</f>
        <v>0.3666666666666667</v>
      </c>
      <c r="C8" s="5">
        <f>(_xlfn.XLOOKUP(A8,Data!$A$2:$A$9,Data!$G$2:$G$9)-_xlfn.MINIFS(Data!$G$2:$G$9,Data!$L$2:$L$9,"Yes"))/(_xlfn.MAXIFS(Data!$G$2:$G$9,Data!$L$2:$L$9,"Yes")-_xlfn.MINIFS(Data!$G$2:$G$9,Data!$L$2:$L$9,"Yes"))</f>
        <v>0.54701986754966891</v>
      </c>
      <c r="D8" s="5">
        <f>1-(_xlfn.XLOOKUP(A8,Data!$A$2:$A$9,Data!$J$2:$J$9)-_xlfn.MINIFS(Data!$J$2:$J$9,Data!$L$2:$L$9,"Yes"))/(_xlfn.MAXIFS(Data!$J$2:$J$9,Data!$L$2:$L$9,"Yes")-_xlfn.MINIFS(Data!$J$2:$J$9,Data!$L$2:$L$9,"Yes"))</f>
        <v>1</v>
      </c>
      <c r="E8" s="5">
        <f>B8*Inputs!$B$4+C8*Inputs!$B$5+D8*Inputs!$B$6</f>
        <v>0.57008830022075063</v>
      </c>
      <c r="F8" s="5">
        <f>B8*Inputs!$C$4+C8*Inputs!$C$5+D8*Inputs!$C$6</f>
        <v>0.69214128035320099</v>
      </c>
      <c r="G8" s="5">
        <f>IF(Inputs!$B$9="Patient risk",E8,F8)</f>
        <v>0.57008830022075063</v>
      </c>
      <c r="H8">
        <f t="shared" si="0"/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486E-944C-4E77-BACC-E7D07535C967}">
  <dimension ref="A1:C10"/>
  <sheetViews>
    <sheetView tabSelected="1" topLeftCell="A13" workbookViewId="0">
      <selection activeCell="A22" sqref="A21:A22"/>
    </sheetView>
  </sheetViews>
  <sheetFormatPr defaultRowHeight="15"/>
  <cols>
    <col min="1" max="1" width="18.85546875" customWidth="1"/>
    <col min="2" max="2" width="39" customWidth="1"/>
    <col min="3" max="3" width="11.7109375" style="5" customWidth="1"/>
  </cols>
  <sheetData>
    <row r="1" spans="1:3">
      <c r="A1" t="str">
        <f>"Ranking: "&amp;Inputs!B9</f>
        <v>Ranking: Patient risk</v>
      </c>
    </row>
    <row r="3" spans="1:3">
      <c r="A3" t="s">
        <v>682</v>
      </c>
      <c r="B3" t="s">
        <v>0</v>
      </c>
      <c r="C3" s="5" t="s">
        <v>683</v>
      </c>
    </row>
    <row r="4" spans="1:3">
      <c r="A4" cm="1">
        <f t="array" ref="A4:A10">_xlfn.SEQUENCE(7)</f>
        <v>1</v>
      </c>
      <c r="B4" t="str" cm="1">
        <f t="array" ref="B4:B10">_xlfn.SORTBY(Model!A2:A8,Model!G2:G8,-1)</f>
        <v>Pentostatin Injection</v>
      </c>
      <c r="C4" s="5" cm="1">
        <f t="array" ref="C4:C10">_xlfn.SORTBY(Model!G2:G8,Model!G2:G8,-1)</f>
        <v>0.75</v>
      </c>
    </row>
    <row r="5" spans="1:3">
      <c r="A5">
        <v>2</v>
      </c>
      <c r="B5" t="str">
        <v>Streptozocin Powder, For Solution</v>
      </c>
      <c r="C5" s="5">
        <v>0.57008830022075063</v>
      </c>
    </row>
    <row r="6" spans="1:3">
      <c r="A6">
        <v>3</v>
      </c>
      <c r="B6" t="str">
        <v>Azacitidine Injection</v>
      </c>
      <c r="C6" s="5">
        <v>0.42866400733253296</v>
      </c>
    </row>
    <row r="7" spans="1:3">
      <c r="A7">
        <v>4</v>
      </c>
      <c r="B7" t="str">
        <v>Carboplatin Injection</v>
      </c>
      <c r="C7" s="5">
        <v>0.38373737495142285</v>
      </c>
    </row>
    <row r="8" spans="1:3">
      <c r="A8">
        <v>5</v>
      </c>
      <c r="B8" t="str">
        <v>Ifosfamide Injection</v>
      </c>
      <c r="C8" s="5">
        <v>0.32164662484024631</v>
      </c>
    </row>
    <row r="9" spans="1:3">
      <c r="A9">
        <v>6</v>
      </c>
      <c r="B9" t="str">
        <v>Methotrexate Sodium Injection</v>
      </c>
      <c r="C9" s="5">
        <v>0.32008332088499392</v>
      </c>
    </row>
    <row r="10" spans="1:3">
      <c r="A10">
        <v>7</v>
      </c>
      <c r="B10" t="str">
        <v>Dexamethasone Sodium Phosphate Injection</v>
      </c>
      <c r="C10" s="5">
        <v>0.25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Aditya Ranjan</cp:lastModifiedBy>
  <cp:revision/>
  <dcterms:created xsi:type="dcterms:W3CDTF">2026-10-30T10:31:10Z</dcterms:created>
  <dcterms:modified xsi:type="dcterms:W3CDTF">2026-10-30T13:21:51Z</dcterms:modified>
  <cp:category/>
  <cp:contentStatus/>
</cp:coreProperties>
</file>