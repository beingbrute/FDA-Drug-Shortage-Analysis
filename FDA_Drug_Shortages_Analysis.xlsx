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sheetId="1" r:id="rId5"/>
    <sheet state="visible" name="clean" sheetId="2" r:id="rId6"/>
    <sheet state="visible" name="analysis" sheetId="3" r:id="rId7"/>
    <sheet state="visible" name="dashboard" sheetId="4" r:id="rId8"/>
    <sheet state="visible" name="ai_texts" sheetId="5" r:id="rId9"/>
    <sheet state="visible" name="ai_sample" sheetId="6" r:id="rId10"/>
    <sheet state="visible" name="ai_results" sheetId="7" r:id="rId11"/>
  </sheets>
  <definedNames/>
  <calcPr/>
  <pivotCaches>
    <pivotCache cacheId="0" r:id="rId12"/>
  </pivotCaches>
</workbook>
</file>

<file path=xl/sharedStrings.xml><?xml version="1.0" encoding="utf-8"?>
<sst xmlns="http://schemas.openxmlformats.org/spreadsheetml/2006/main" count="17669" uniqueCount="2570">
  <si>
    <t>1. Records by status</t>
  </si>
  <si>
    <t>Generic Name</t>
  </si>
  <si>
    <t>Company Name</t>
  </si>
  <si>
    <t>2. Reported reasons (406 records with a reason)</t>
  </si>
  <si>
    <t>Contact Info</t>
  </si>
  <si>
    <t>Presentation</t>
  </si>
  <si>
    <t>3. Therapeutic areas in current shortages</t>
  </si>
  <si>
    <t>Type of Update</t>
  </si>
  <si>
    <t>Date of Update</t>
  </si>
  <si>
    <t>Availability Information</t>
  </si>
  <si>
    <t>4. Current shortages by start year</t>
  </si>
  <si>
    <t>Related Information</t>
  </si>
  <si>
    <t>5. Availability by status (pivot table)</t>
  </si>
  <si>
    <t>Resolved Note</t>
  </si>
  <si>
    <t>Reason for Shortage</t>
  </si>
  <si>
    <t>Therapeutic Category</t>
  </si>
  <si>
    <t>6. Top 10 companies in current shortages</t>
  </si>
  <si>
    <t>Status</t>
  </si>
  <si>
    <t>Change Date</t>
  </si>
  <si>
    <t>Date Discontinued</t>
  </si>
  <si>
    <t>Initial Posting Date</t>
  </si>
  <si>
    <t>Generic Name Note</t>
  </si>
  <si>
    <t>Generic Name Link</t>
  </si>
  <si>
    <t>Company Info Link</t>
  </si>
  <si>
    <t>Availability Link</t>
  </si>
  <si>
    <t>Related Info Link</t>
  </si>
  <si>
    <t>Resolved Note Link</t>
  </si>
  <si>
    <t>Discontinued Note Link</t>
  </si>
  <si>
    <t>Acetaminophen; Oxycodone Hydrochloride Tablet</t>
  </si>
  <si>
    <t>Endo Pharmaceuticals, Inc.</t>
  </si>
  <si>
    <t>800-828-9393</t>
  </si>
  <si>
    <t>Acetaminophen; Oxycodone Hydrochloride, Tablet, 325 mg; 5 mg (NDC 60951-602-70)</t>
  </si>
  <si>
    <t>New</t>
  </si>
  <si>
    <t>Discontinuation of the manufacture of the drug</t>
  </si>
  <si>
    <t>Analgesia/Addiction</t>
  </si>
  <si>
    <t>To Be Discontinued</t>
  </si>
  <si>
    <t>Acetaminophen; Oxycodone Hydrochloride, Tablet, 325 mg; 5 mg (NDC 60951-602-85)</t>
  </si>
  <si>
    <t>Acetaminophen; Oxycodone Hydrochloride, Tablet, 325 mg; 7.5 mg (NDC 60951-700-70)</t>
  </si>
  <si>
    <t>Acetaminophen; Oxycodone Hydrochloride, Tablet, 325 mg; 2.5 mg (NDC 60951-701-70)</t>
  </si>
  <si>
    <t>Share</t>
  </si>
  <si>
    <t>Acetaminophen; Oxycodone Hydrochloride, Tablet, 325 mg; 10 mg (NDC 60951-712-70)</t>
  </si>
  <si>
    <t>Acetaminophen; Oxycodone Hydrochloride, Tablet, 325 mg; 2.5 mg (NDC 63481-627-70)</t>
  </si>
  <si>
    <t>Activated Charcoal Oral Suspension</t>
  </si>
  <si>
    <t>Padagis US LLC</t>
  </si>
  <si>
    <t>866-634-9120</t>
  </si>
  <si>
    <t>Distinct drugs</t>
  </si>
  <si>
    <t>Actidose, Oral Suspension, 208 mg/1 mL (NDC 0574-0520-74)</t>
  </si>
  <si>
    <t>Other</t>
  </si>
  <si>
    <t>Actidose, Oral Suspension, 208 mg/1 mL (NDC 0574-0520-76)</t>
  </si>
  <si>
    <t>Actidose Aqua, Oral Suspension, 208 mg/1 mL (NDC 0574-0521-25)</t>
  </si>
  <si>
    <t>Actidose Aqua, Oral Suspension, 208 mg/1 mL (NDC 0574-0521-74)</t>
  </si>
  <si>
    <t>Actidose Aqua, Oral Suspension, 208 mg/1 mL (NDC 0574-0521-76)</t>
  </si>
  <si>
    <t>Adalimumab-adaz Injection</t>
  </si>
  <si>
    <t>Sandoz Inc.</t>
  </si>
  <si>
    <t>800-525-8747</t>
  </si>
  <si>
    <t>Hyrimoz, Injection, Kit (NDC 61314-531-64)</t>
  </si>
  <si>
    <t>Equivalent Sandoz format is available.</t>
  </si>
  <si>
    <t>Rheumatology</t>
  </si>
  <si>
    <t>Hyrimoz, Injection, Kit (NDC 61314-517-36)</t>
  </si>
  <si>
    <t>Hyrimoz, Injection, 40 mg/.4 mL (NDC 61314-473-64)</t>
  </si>
  <si>
    <t>Hyrimoz, Injection, 80 mg/.8 mL (NDC 61314-454-68)</t>
  </si>
  <si>
    <t>Hyrimoz, Injection, 80 mg/.8 mL (NDC 61314-454-36)</t>
  </si>
  <si>
    <t>Adalimumab-ryvk Kit</t>
  </si>
  <si>
    <t>Teva Pharmaceuticals USA, Inc.</t>
  </si>
  <si>
    <t>800-545-8800</t>
  </si>
  <si>
    <t>Simlandi, Kit, Kit (NDC 51759-523-21)</t>
  </si>
  <si>
    <t>Albuterol Sulfate Solution</t>
  </si>
  <si>
    <t>Ritedose Pharmaceuticals, LLC</t>
  </si>
  <si>
    <t>803-806-3300</t>
  </si>
  <si>
    <t>Albuterol Sulfate, Solution, 2.5 mg/.5 mL (NDC 76204-027-01)</t>
  </si>
  <si>
    <t>Revised</t>
  </si>
  <si>
    <t>Available</t>
  </si>
  <si>
    <t>Pediatric; Pulmonary/Allergy</t>
  </si>
  <si>
    <t>Resolved</t>
  </si>
  <si>
    <t>Rising Pharma Holdings, Inc.</t>
  </si>
  <si>
    <t>201-961-9000</t>
  </si>
  <si>
    <t>Albuterol Sulfate, Solution, 2.5 mg/.5 mL (NDC 64980-642-03)</t>
  </si>
  <si>
    <t>Nephron Pharmaceuticals Corporation</t>
  </si>
  <si>
    <t>800-443-4313</t>
  </si>
  <si>
    <t>Albuterol Sulfate, Solution, 2.5 mg/.5 mL (NDC 0487-9901-30)</t>
  </si>
  <si>
    <t>Pulmonary/Allergy; Pediatric</t>
  </si>
  <si>
    <t>Allopurinol Tablet</t>
  </si>
  <si>
    <t>Allopurinol, Tablet, 100 mg (NDC 0591-5543-01)</t>
  </si>
  <si>
    <t>Oncology; Renal; Rheumatology</t>
  </si>
  <si>
    <t>Allopurinol, Tablet, 100 mg (NDC 0591-5543-10)</t>
  </si>
  <si>
    <t>Allopurinol, Tablet, 300 mg (NDC 0591-5544-01)</t>
  </si>
  <si>
    <t>Allopurinol, Tablet, 300 mg (NDC 0591-5544-05)</t>
  </si>
  <si>
    <t>Alteplase Injection</t>
  </si>
  <si>
    <t>Genentech, Inc</t>
  </si>
  <si>
    <t>800-551-2231</t>
  </si>
  <si>
    <t>Activase, Injection, 1 KIT in 1 CARTON (50242-085-27) * 100 mL in 1 VIAL, SINGLE-USE * 100 mL in 1 VIAL, SINGLE USE (NDC 50242-085-27)</t>
  </si>
  <si>
    <t>Discontinuation of the 100mg vial configuration</t>
  </si>
  <si>
    <t>Cardiovascular; Hematology; Neurology</t>
  </si>
  <si>
    <t>Amino Acid Injection</t>
  </si>
  <si>
    <t>Baxter Healthcare</t>
  </si>
  <si>
    <t>888-229-0001</t>
  </si>
  <si>
    <t>Premasol 10% Sulfite Free in VIAFLEX Plastic Container, Injection, 0.1 (NDC 0338-1130-03)</t>
  </si>
  <si>
    <t>Reverified</t>
  </si>
  <si>
    <t>Gastroenterology</t>
  </si>
  <si>
    <t>Current</t>
  </si>
  <si>
    <t>Premasol 10% Sulfite Free in VIAFLEX Plastic Container, Injection, 0.1 (NDC 0338-1130-04)</t>
  </si>
  <si>
    <t>Premasol 10% Sulfite Free in VIAFLEX Plastic Container, Injection, 0.1 (NDC 0338-1130-06)</t>
  </si>
  <si>
    <t>B. Braun Medical Inc.</t>
  </si>
  <si>
    <t>800-227-2862</t>
  </si>
  <si>
    <t>TrophAmine 10%, Injection, 0.1 (NDC 0264-1933-10)</t>
  </si>
  <si>
    <t>PROSOL 20% SULFITE FREE IN PLASTIC CONTAINER, Injection, 2.76 g/100 mL; 1.96 g/100 mL; 600 mg/100 mL; 1.02 g/100 mL; 2.06 g/100 mL; 1.18 g/100 mL; 1.08 g/100 mL; 1.08 g/100 mL; 1.35 g/100 mL; 760 mg/100 mL; 1 g/100 mL; 1.34 g/100 mL; 1.02 g/100 mL; 980 mg/100 mL; 320 mg/100 mL; 50 mg/100 mL; 1.44 g/100 mL (NDC 0338-0499-06)</t>
  </si>
  <si>
    <t>Travasol, Injection, 2.07 g/100 mL; 1.15 g/100 mL; 1.03 g/100 mL; 480 mg/100 mL; 600 mg/100 mL; 730 mg/100 mL; 580 mg/100 mL; 400 mg/100 mL; 560 mg/100 mL; 680 mg/100 mL; 500 mg/100 mL; 420 mg/100 mL; 180 mg/100 mL; 40 mg/100 mL; 580 mg/100 mL (NDC 0338-0644-03)</t>
  </si>
  <si>
    <t>Unavailable</t>
  </si>
  <si>
    <t>Estimated recovery: December 2026</t>
  </si>
  <si>
    <t>Shortage of an inactive ingredient component</t>
  </si>
  <si>
    <t>Travasol, Injection, 2.07 g/100 mL; 1.15 g/100 mL; 1.03 g/100 mL; 480 mg/100 mL; 600 mg/100 mL; 730 mg/100 mL; 580 mg/100 mL; 400 mg/100 mL; 560 mg/100 mL; 680 mg/100 mL; 500 mg/100 mL; 420 mg/100 mL; 180 mg/100 mL; 40 mg/100 mL; 580 mg/100 mL (NDC 0338-0644-04)</t>
  </si>
  <si>
    <t>Travasol, Injection, 2.07 g/100 mL; 1.15 g/100 mL; 1.03 g/100 mL; 480 mg/100 mL; 600 mg/100 mL; 730 mg/100 mL; 580 mg/100 mL; 400 mg/100 mL; 560 mg/100 mL; 680 mg/100 mL; 500 mg/100 mL; 420 mg/100 mL; 180 mg/100 mL; 40 mg/100 mL; 580 mg/100 mL (NDC 0338-0644-06)</t>
  </si>
  <si>
    <t>Clinisol 15% Sulfite Free In Plastic Container, Injection, 0.15 (NDC 0338-0502-03)</t>
  </si>
  <si>
    <t>Plenamine, Injection, 0.15 (NDC 0264-4500-05)</t>
  </si>
  <si>
    <t>Plenamine, Injection, 0.15 (NDC 0264-4500-00)</t>
  </si>
  <si>
    <t>Otsuka ICU Medical LLC</t>
  </si>
  <si>
    <t>1-866-829-9025 or ProductAvailability@icumed.com</t>
  </si>
  <si>
    <t>Aminosyn II 15% In Plastic Container, Injection, 0.15 (NDC 0990-7171-17)</t>
  </si>
  <si>
    <t>This product is distributed by ICU Medical. For questions regarding this product, please contact ICU Medical.</t>
  </si>
  <si>
    <t>Aminosyn II 10% In Plastic Container, Injection, 0.1 (NDC 0990-7172-17)</t>
  </si>
  <si>
    <t>Aminosyn-PF 7%, Injection, 0.07 (NDC 0990-4178-03)</t>
  </si>
  <si>
    <t>Estimated recovery: TBD. This product is distributed by ICU Medical. For questions regarding this product, please contact ICU Medical.</t>
  </si>
  <si>
    <t>Shortage of an active ingredient</t>
  </si>
  <si>
    <t>Aminosyn-PF 10%, Injection, 0.1 (NDC 0990-4179-05)</t>
  </si>
  <si>
    <t>Clinisol 15% Sulfite Free In Plastic Container, Injection, 0.15 (NDC 0338-0502-06)</t>
  </si>
  <si>
    <t>Amphetamine Aspartate Monohydrate, Amphetamine Sulfate, Dextroamphetamine Saccharate, Dextroamphetamine Sulfate Tablet</t>
  </si>
  <si>
    <t>SpecGx LLC</t>
  </si>
  <si>
    <t>800-325-8888</t>
  </si>
  <si>
    <t>Amphetamine Aspartate Monohydrate, Amphetamine Sulfate, Dextroamphetamine Saccharate, Dextroamphetamine Sulfate, Tablet, 1.875 mg; 1.875 mg; 1.875 mg; 1.875 mg (NDC 0406-8884-01)</t>
  </si>
  <si>
    <t>Psychiatry</t>
  </si>
  <si>
    <t>Amphetamine Aspartate Monohydrate, Amphetamine Sulfate, Dextroamphetamine Saccharate, Dextroamphetamine Sulfate, Tablet, 3.75 mg; 3.75 mg; 3.75 mg; 3.75 mg (NDC 0406-8885-01)</t>
  </si>
  <si>
    <t>Amphetamine Aspartate Monohydrate, Amphetamine Sulfate, Dextroamphetamine Saccharate, Dextroamphetamine Sulfate, Tablet, 1.25 mg; 1.25 mg; 1.25 mg; 1.25 mg (NDC 0406-8891-01)</t>
  </si>
  <si>
    <t>Limited Availability</t>
  </si>
  <si>
    <t>Estimated recovery: TBD</t>
  </si>
  <si>
    <t>Demand increase for the drug</t>
  </si>
  <si>
    <t>Not reported</t>
  </si>
  <si>
    <t>No</t>
  </si>
  <si>
    <t>Amphetamine Aspartate Monohydrate, Amphetamine Sulfate, Dextroamphetamine Saccharate, Dextroamphetamine Sulfate, Tablet, 2.5 mg; 2.5 mg; 2.5 mg; 2.5 mg (NDC 0406-8892-01)</t>
  </si>
  <si>
    <t>Amphetamine Aspartate Monohydrate, Amphetamine Sulfate, Dextroamphetamine Saccharate, Dextroamphetamine Sulfate, Tablet, 5 mg; 5 mg; 5 mg; 5 mg (NDC 0406-8893-01)</t>
  </si>
  <si>
    <t>Amphetamine Aspartate Monohydrate, Amphetamine Sulfate, Dextroamphetamine Saccharate, Dextroamphetamine Sulfate, Tablet, 7.5 mg; 7.5 mg; 7.5 mg; 7.5 mg (NDC 0406-8894-01)</t>
  </si>
  <si>
    <t>Epic Pharma, LLC</t>
  </si>
  <si>
    <t>(718) 276-8600 ext. 3</t>
  </si>
  <si>
    <t>Amphetamine Aspartate Monohydrate, Amphetamine Sulfate, Dextroamphetamine Saccharate, Dextroamphetamine Sulfate, Tablet, 5 mg; 5 mg; 5 mg; 5 mg (NDC 42806-344-01)</t>
  </si>
  <si>
    <t>Amphetamine Aspartate Monohydrate, Amphetamine Sulfate, Dextroamphetamine Saccharate, Dextroamphetamine Sulfate, Tablet, 2.5 mg; 2.5 mg; 2.5 mg; 2.5 mg (NDC 42806-341-01)</t>
  </si>
  <si>
    <t>Amphetamine Aspartate Monohydrate, Amphetamine Sulfate, Dextroamphetamine Saccharate, Dextroamphetamine Sulfate, Tablet, 3.75 mg; 3.75 mg; 3.75 mg; 3.75 mg (NDC 42806-343-01)</t>
  </si>
  <si>
    <t>Amphetamine Aspartate Monohydrate, Amphetamine Sulfate, Dextroamphetamine Saccharate, Dextroamphetamine Sulfate, Tablet, 7.5 mg; 7.5 mg; 7.5 mg; 7.5 mg (NDC 42806-345-01)</t>
  </si>
  <si>
    <t>Amphetamine Aspartate Monohydrate, Amphetamine Sulfate, Dextroamphetamine Saccharate, Dextroamphetamine Sulfate, Tablet, 1.25 mg; 1.25 mg; 1.25 mg; 1.25 mg (NDC 42806-339-01)</t>
  </si>
  <si>
    <t>Alvogen</t>
  </si>
  <si>
    <t>844-842-8672 and email: CustomerService-US@alvogen.com</t>
  </si>
  <si>
    <t>Amphetamine Aspartate Monohydrate, Amphetamine Sulfate, Dextroamphetamine Saccharate, Dextroamphetamine Sulfate, Tablet, 5mg (NDC 47781-174-01)</t>
  </si>
  <si>
    <t>COUNTA of Generic Name</t>
  </si>
  <si>
    <t>Amphetamine Aspartate Monohydrate, Amphetamine Sulfate, Dextroamphetamine Saccharate, Dextroamphetamine Sulfate, Tablet, 10mg (NDC 47781-176-01)</t>
  </si>
  <si>
    <t>Availability (clean)</t>
  </si>
  <si>
    <t>Amphetamine Aspartate Monohydrate, Amphetamine Sulfate, Dextroamphetamine Saccharate, Dextroamphetamine Sulfate, Tablet, 15mg (NDC 47781-178-01)</t>
  </si>
  <si>
    <t>Amphetamine Aspartate Monohydrate, Amphetamine Sulfate, Dextroamphetamine Saccharate, Dextroamphetamine Sulfate, Tablet, 20mg (NDC 47781-179-01)</t>
  </si>
  <si>
    <t>Amphetamine Aspartate Monohydrate, Amphetamine Sulfate, Dextroamphetamine Saccharate, Dextroamphetamine Sulfate, Tablet, 30mg (NDC 47781-180-01)</t>
  </si>
  <si>
    <t>Sunrise Pharmaceutical, Inc.</t>
  </si>
  <si>
    <t>732-382-6085 Monday to Friday 9 am to 3:45 pm</t>
  </si>
  <si>
    <t>Amphetamine Aspartate Monohydrate, Amphetamine Sulfate, Dextroamphetamine Saccharate, Dextroamphetamine Sulfate, Tablet, 1.25 mg; 1.25 mg; 1.25 mg; 1.25 mg (NDC 11534-190-01)</t>
  </si>
  <si>
    <t>Amphetamine Aspartate Monohydrate, Amphetamine Sulfate, Dextroamphetamine Saccharate, Dextroamphetamine Sulfate, Tablet, 2.5 mg; 2.5 mg; 2.5 mg; 2.5 mg (NDC 11534-192-01)</t>
  </si>
  <si>
    <t>Amphetamine Aspartate Monohydrate, Amphetamine Sulfate, Dextroamphetamine Saccharate, Dextroamphetamine Sulfate, Tablet, 1.875 mg; 1.875 mg; 1.875 mg; 1.875 mg (NDC 11534-191-01)</t>
  </si>
  <si>
    <t>Amphetamine Aspartate Monohydrate, Amphetamine Sulfate, Dextroamphetamine Saccharate, Dextroamphetamine Sulfate, Tablet, 3.125 mg; 3.125 mg; 3.125 mg; 3.125 mg (NDC 11534-193-01)</t>
  </si>
  <si>
    <t>Amphetamine Aspartate Monohydrate, Amphetamine Sulfate, Dextroamphetamine Saccharate, Dextroamphetamine Sulfate, Tablet, 3.75 mg; 3.75 mg; 3.75 mg; 3.75 mg (NDC 11534-194-01)</t>
  </si>
  <si>
    <t>Amphetamine Aspartate Monohydrate, Amphetamine Sulfate, Dextroamphetamine Saccharate, Dextroamphetamine Sulfate, Tablet, 5 mg; 5 mg; 5 mg; 5 mg (NDC 11534-195-01)</t>
  </si>
  <si>
    <t>Amphetamine Aspartate Monohydrate, Amphetamine Sulfate, Dextroamphetamine Saccharate, Dextroamphetamine Sulfate, Tablet, 7.5 mg; 7.5 mg; 7.5 mg; 7.5 mg (NDC 11534-196-01)</t>
  </si>
  <si>
    <t>Lannett Company, Inc.</t>
  </si>
  <si>
    <t>844-834-0530</t>
  </si>
  <si>
    <t>Amphetamine Aspartate Monohydrate, Amphetamine Sulfate, Dextroamphetamine Saccharate, Dextroamphetamine Sulfate, Tablet, 1.25 mg; 1.25 mg; 1.25 mg; 1.25 mg (NDC 0527-0760-37)</t>
  </si>
  <si>
    <t>Amphetamine Aspartate Monohydrate, Amphetamine Sulfate, Dextroamphetamine Saccharate, Dextroamphetamine Sulfate, Tablet, 1.875 mg; 1.875 mg; 1.875 mg; 1.875 mg (NDC 0527-0761-37)</t>
  </si>
  <si>
    <t>Amphetamine Aspartate Monohydrate, Amphetamine Sulfate, Dextroamphetamine Saccharate, Dextroamphetamine Sulfate, Tablet, 2.5 mg; 2.5 mg; 2.5 mg; 2.5 mg (NDC 0527-1502-37)</t>
  </si>
  <si>
    <t>Amphetamine Aspartate Monohydrate, Amphetamine Sulfate, Dextroamphetamine Saccharate, Dextroamphetamine Sulfate, Tablet, 3.125 mg; 3.125 mg; 3.125 mg; 3.125 mg (NDC 0527-0763-37)</t>
  </si>
  <si>
    <t>Amphetamine Aspartate Monohydrate, Amphetamine Sulfate, Dextroamphetamine Saccharate, Dextroamphetamine Sulfate, Tablet, 3.75 mg; 3.75 mg; 3.75 mg; 3.75 mg (NDC 0527-0764-37)</t>
  </si>
  <si>
    <t>Amphetamine Aspartate Monohydrate, Amphetamine Sulfate, Dextroamphetamine Saccharate, Dextroamphetamine Sulfate, Tablet, 5 mg; 5 mg; 5 mg; 5 mg (NDC 0527-1505-37)</t>
  </si>
  <si>
    <t>Amphetamine Aspartate Monohydrate, Amphetamine Sulfate, Dextroamphetamine Saccharate, Dextroamphetamine Sulfate, Tablet, 7.5 mg; 7.5 mg; 7.5 mg; 7.5 mg (NDC 0527-0766-37)</t>
  </si>
  <si>
    <t>Oryza Pharmaceuticals Inc.</t>
  </si>
  <si>
    <t>855-257-0292</t>
  </si>
  <si>
    <t>Amphetamine Aspartate Monohydrate, Amphetamine Sulfate, Dextroamphetamine Saccharate, Dextroamphetamine Sulfate, Tablet, 1.25 mg; 1.25 mg; 1.25 mg; 1.25 mg (NDC 72516-016-01)</t>
  </si>
  <si>
    <t>Estimated recovery: April 2027</t>
  </si>
  <si>
    <t>Amphetamine Aspartate Monohydrate, Amphetamine Sulfate, Dextroamphetamine Saccharate, Dextroamphetamine Sulfate, Tablet, 2.5 mg; 2.5 mg; 2.5 mg; 2.5 mg (NDC 72516-014-01)</t>
  </si>
  <si>
    <t>Amphetamine Aspartate Monohydrate, Amphetamine Sulfate, Dextroamphetamine Saccharate, Dextroamphetamine Sulfate, Tablet, 3.75 mg; 3.75 mg; 3.75 mg; 3.75 mg (NDC 72516-013-01)</t>
  </si>
  <si>
    <t>Amphetamine Aspartate Monohydrate, Amphetamine Sulfate, Dextroamphetamine Saccharate, Dextroamphetamine Sulfate, Tablet, 5 mg; 5 mg; 5 mg; 5 mg (NDC 72516-012-01)</t>
  </si>
  <si>
    <t>Amphetamine Aspartate Monohydrate, Amphetamine Sulfate, Dextroamphetamine Saccharate, Dextroamphetamine Sulfate, Tablet, 7.5 mg; 7.5 mg; 7.5 mg; 7.5 mg (NDC 72516-011-01)</t>
  </si>
  <si>
    <t>Amphetamine Aspartate Monohydrate, Amphetamine Sulfate, Dextroamphetamine Saccharate, Dextroamphetamine Sulfate, Tablet, 7.5 mg; 7.5 mg; 7.5 mg; 7.5 mg (NDC 0185-2099-01)</t>
  </si>
  <si>
    <t>Amphetamine Aspartate Monohydrate, Amphetamine Sulfate, Dextroamphetamine Saccharate, Dextroamphetamine Sulfate, Tablet, 5 mg; 5 mg; 5 mg; 5 mg (NDC 0185-0853-01)</t>
  </si>
  <si>
    <t>Amphetamine Aspartate Monohydrate, Amphetamine Sulfate, Dextroamphetamine Saccharate, Dextroamphetamine Sulfate, Tablet, 2.5 mg; 2.5 mg; 2.5 mg; 2.5 mg (NDC 0185-0842-01)</t>
  </si>
  <si>
    <t>Amphetamine Aspartate Monohydrate, Amphetamine Sulfate, Dextroamphetamine Saccharate, Dextroamphetamine Sulfate, Tablet, 1.25 mg; 1.25 mg; 1.25 mg; 1.25 mg (NDC 0185-2098-01)</t>
  </si>
  <si>
    <t>Adderall, Tablet, 2.5 mg; 2.5 mg; 2.5 mg; 2.5 mg (NDC 57844-110-01)</t>
  </si>
  <si>
    <t>Not stated</t>
  </si>
  <si>
    <t>Adderall, Tablet, 3.125 mg; 3.125 mg; 3.125 mg; 3.125 mg (NDC 57844-112-01)</t>
  </si>
  <si>
    <t>Estimated recovery: November 2026</t>
  </si>
  <si>
    <t>Grand Total</t>
  </si>
  <si>
    <t>Adderall, Tablet, 3.75 mg; 3.75 mg; 3.75 mg; 3.75 mg (NDC 57844-115-01)</t>
  </si>
  <si>
    <t>Adderall, Tablet, 5 mg; 5 mg; 5 mg; 5 mg (NDC 57844-120-01)</t>
  </si>
  <si>
    <t>Adderall, Tablet, 7.5 mg; 7.5 mg; 7.5 mg; 7.5 mg (NDC 57844-130-01)</t>
  </si>
  <si>
    <t>Adderall, Tablet, 1.25 mg; 1.25 mg; 1.25 mg; 1.25 mg (NDC 57844-105-01)</t>
  </si>
  <si>
    <t>Adderall, Tablet, 1.875 mg; 1.875 mg; 1.875 mg; 1.875 mg (NDC 57844-117-01)</t>
  </si>
  <si>
    <t>Amphetamine Aspartate Monohydrate, Amphetamine Sulfate, Dextroamphetamine Saccharate, Dextroamphetamine Sulfate, Tablet, 3.125 mg; 3.125 mg; 3.125 mg; 3.125 mg (NDC 0555-0776-02)</t>
  </si>
  <si>
    <t>Amphetamine Aspartate Monohydrate, Amphetamine Sulfate, Dextroamphetamine Saccharate, Dextroamphetamine Sulfate, Tablet, 3.75 mg; 3.75 mg; 3.75 mg; 3.75 mg (NDC 0555-0777-02)</t>
  </si>
  <si>
    <t>Amphetamine Aspartate Monohydrate, Amphetamine Sulfate, Dextroamphetamine Saccharate, Dextroamphetamine Sulfate, Tablet, 1.875 mg; 1.875 mg; 1.875 mg; 1.875 mg (NDC 0555-0775-02)</t>
  </si>
  <si>
    <t>Amphetamine Aspartate Monohydrate, Amphetamine Sulfate, Dextroamphetamine Saccharate, Dextroamphetamine Sulfate, Tablet, 2.5 mg; 2.5 mg; 2.5 mg; 2.5 mg (NDC 0555-0972-02)</t>
  </si>
  <si>
    <t>Amphetamine Aspartate Monohydrate, Amphetamine Sulfate, Dextroamphetamine Saccharate, Dextroamphetamine Sulfate, Tablet, 5 mg; 5 mg; 5 mg; 5 mg (NDC 0555-0973-02)</t>
  </si>
  <si>
    <t>Amphetamine Aspartate Monohydrate, Amphetamine Sulfate, Dextroamphetamine Saccharate, Dextroamphetamine Sulfate, Tablet, 7.5 mg; 7.5 mg; 7.5 mg; 7.5 mg (NDC 0555-0974-02)</t>
  </si>
  <si>
    <t>Amphetamine Aspartate Monohydrate, Amphetamine Sulfate, Dextroamphetamine Saccharate, Dextroamphetamine Sulfate, Tablet, 1.25 mg; 1.25 mg; 1.25 mg; 1.25 mg (NDC 0555-0971-02)</t>
  </si>
  <si>
    <t>Elite Laboratories, Inc.</t>
  </si>
  <si>
    <t>888-852-6657</t>
  </si>
  <si>
    <t>Amphetamine Aspartate Monohydrate, Amphetamine Sulfate, Dextroamphetamine Saccharate, Dextroamphetamine Sulfate, Tablet, 1.25 mg; 1.25 mg; 1.25 mg; 1.25 mg (NDC 64850-500-01)</t>
  </si>
  <si>
    <t>Amphetamine Aspartate Monohydrate, Amphetamine Sulfate, Dextroamphetamine Saccharate, Dextroamphetamine Sulfate, Tablet, 1.875 mg; 1.875 mg; 1.875 mg; 1.875 mg (NDC 64850-501-01)</t>
  </si>
  <si>
    <t>Amphetamine Aspartate Monohydrate, Amphetamine Sulfate, Dextroamphetamine Saccharate, Dextroamphetamine Sulfate, Tablet, 2.5 mg; 2.5 mg; 2.5 mg; 2.5 mg (NDC 64850-502-01)</t>
  </si>
  <si>
    <t>Amphetamine Aspartate Monohydrate, Amphetamine Sulfate, Dextroamphetamine Saccharate, Dextroamphetamine Sulfate, Tablet, 3.125 mg; 3.125 mg; 3.125 mg; 3.125 mg (NDC 64850-503-01)</t>
  </si>
  <si>
    <t>Amphetamine Aspartate Monohydrate, Amphetamine Sulfate, Dextroamphetamine Saccharate, Dextroamphetamine Sulfate, Tablet, 3.75 mg; 3.75 mg; 3.75 mg; 3.75 mg (NDC 64850-504-01)</t>
  </si>
  <si>
    <t>Amphetamine Aspartate Monohydrate, Amphetamine Sulfate, Dextroamphetamine Saccharate, Dextroamphetamine Sulfate, Tablet, 5 mg; 5 mg; 5 mg; 5 mg (NDC 64850-505-01)</t>
  </si>
  <si>
    <t>Amphetamine Aspartate Monohydrate, Amphetamine Sulfate, Dextroamphetamine Saccharate, Dextroamphetamine Sulfate, Tablet, 7.5 mg; 7.5 mg; 7.5 mg; 7.5 mg (NDC 64850-506-01)</t>
  </si>
  <si>
    <t>Aurobindo Pharma USA</t>
  </si>
  <si>
    <t>(866) 850-2876 or CustomerService@AurobindoUSA.com</t>
  </si>
  <si>
    <t>Amphetamine Aspartate Monohydrate, Amphetamine Sulfate, Dextroamphetamine Saccharate, Dextroamphetamine Sulfate, Tablet, 1.25 mg; 1.25 mg; 1.25 mg; 1.25 mg (NDC 13107-068-01)</t>
  </si>
  <si>
    <t>Estimated availability: April 2027</t>
  </si>
  <si>
    <t>Amphetamine Aspartate Monohydrate, Amphetamine Sulfate, Dextroamphetamine Saccharate, Dextroamphetamine Sulfate, Tablet, 1.875 mg; 1.875 mg; 1.875 mg; 1.875 mg (NDC 13107-069-01)</t>
  </si>
  <si>
    <t>Amphetamine Aspartate Monohydrate, Amphetamine Sulfate, Dextroamphetamine Saccharate, Dextroamphetamine Sulfate, Tablet, 2.5 mg; 2.5 mg; 2.5 mg; 2.5 mg (NDC 13107-070-01)</t>
  </si>
  <si>
    <t>(866) 850-2876 OR CustomerService@AurobindoUSA.com</t>
  </si>
  <si>
    <t>Amphetamine Aspartate Monohydrate, Amphetamine Sulfate, Dextroamphetamine Saccharate, Dextroamphetamine Sulfate, Tablet, 3.75 mg; 3.75 mg; 3.75 mg; 3.75 mg (NDC 13107-072-01)</t>
  </si>
  <si>
    <t>Amphetamine Aspartate Monohydrate, Amphetamine Sulfate, Dextroamphetamine Saccharate, Dextroamphetamine Sulfate, Tablet, 5 mg; 5 mg; 5 mg; 5 mg (NDC 13107-073-01)</t>
  </si>
  <si>
    <t>Amphetamine Aspartate Monohydrate, Amphetamine Sulfate, Dextroamphetamine Saccharate, Dextroamphetamine Sulfate, Tablet, 7.5 mg; 7.5 mg; 7.5 mg; 7.5 mg (NDC 13107-074-01)</t>
  </si>
  <si>
    <t>Granules Pharmaceuticals Inc.</t>
  </si>
  <si>
    <t>877-770-3183</t>
  </si>
  <si>
    <t>Amphetamine Aspartate Monohydrate, Amphetamine Sulfate, Dextroamphetamine Saccharate, Dextroamphetamine Sulfate, Tablet, 1.25 mg; 1.25 mg; 1.25 mg; 1.25 mg (NDC 70010-111-01)</t>
  </si>
  <si>
    <t>Estimated recovery: October 2026</t>
  </si>
  <si>
    <t>Amphetamine Aspartate Monohydrate, Amphetamine Sulfate, Dextroamphetamine Saccharate, Dextroamphetamine Sulfate, Tablet, 1.875 mg; 1.875 mg; 1.875 mg; 1.875 mg (NDC 70010-112-01)</t>
  </si>
  <si>
    <t>Amphetamine Aspartate Monohydrate, Amphetamine Sulfate, Dextroamphetamine Saccharate, Dextroamphetamine Sulfate, Tablet, 2.5 mg; 2.5 mg; 2.5 mg; 2.5 mg (NDC 70010-113-01)</t>
  </si>
  <si>
    <t>Amphetamine Aspartate Monohydrate, Amphetamine Sulfate, Dextroamphetamine Saccharate, Dextroamphetamine Sulfate, Tablet, 3.125 mg; 3.125 mg; 3.125 mg; 3.125 mg (NDC 70010-114-01)</t>
  </si>
  <si>
    <t>Amphetamine Aspartate Monohydrate, Amphetamine Sulfate, Dextroamphetamine Saccharate, Dextroamphetamine Sulfate, Tablet, 3.75 mg; 3.75 mg; 3.75 mg; 3.75 mg (NDC 70010-115-01)</t>
  </si>
  <si>
    <t>Amphetamine Aspartate Monohydrate, Amphetamine Sulfate, Dextroamphetamine Saccharate, Dextroamphetamine Sulfate, Tablet, 5 mg; 5 mg; 5 mg; 5 mg (NDC 70010-116-01)</t>
  </si>
  <si>
    <t>Amphetamine Aspartate Monohydrate, Amphetamine Sulfate, Dextroamphetamine Saccharate, Dextroamphetamine Sulfate, Tablet, 7.5 mg; 7.5 mg; 7.5 mg; 7.5 mg (NDC 70010-117-01)</t>
  </si>
  <si>
    <t>Ampicillin Sodium Injection</t>
  </si>
  <si>
    <t>Ampicillin Sodium, Injection, 1 g (NDC 0781-9404-95)</t>
  </si>
  <si>
    <t>Discontinuation of private label only</t>
  </si>
  <si>
    <t>Anti-Infective</t>
  </si>
  <si>
    <t>Ampicillin Sodium, Injection, 2 g (NDC 0781-9408-95)</t>
  </si>
  <si>
    <t>Ampicillin Sodium, Injection, 10 g (NDC 0781-9409-95)</t>
  </si>
  <si>
    <t>Ampicillin Sodium, Injection, 1 g (NDC 0781-9412-92)</t>
  </si>
  <si>
    <t>Ampicillin Sodium, Injection, 2 g (NDC 0781-9413-92)</t>
  </si>
  <si>
    <t>Anagrelide Hydrochloride Capsule</t>
  </si>
  <si>
    <t>Anagrelide Hydrochloride, Capsule, 1 mg (NDC 0172-5240-60)</t>
  </si>
  <si>
    <t>A business decision was made to discontinue manufacture of the drug.</t>
  </si>
  <si>
    <t>Hematology</t>
  </si>
  <si>
    <t>Anagrelide Hydrochloride, Capsule, 0.5 mg (NDC 0172-5241-60)</t>
  </si>
  <si>
    <t>Aprepitant Oral Powder for Suspension</t>
  </si>
  <si>
    <t>Merck Sharp &amp; Dohme LLC</t>
  </si>
  <si>
    <t>800-672-6372</t>
  </si>
  <si>
    <t>Emend, Oral Powder for Suspension, 125 mg (NDC 0006-3066-03)</t>
  </si>
  <si>
    <t>To be discontinued in approximately early-September 2026.</t>
  </si>
  <si>
    <t>Arsenic Trioxide Injection</t>
  </si>
  <si>
    <t>Ingenus Pharmaceuticals LLC</t>
  </si>
  <si>
    <t>866-321-5031</t>
  </si>
  <si>
    <t>Arsenic Trioxide, Injection, 1 mg/1 mL (NDC 50742-438-10)</t>
  </si>
  <si>
    <t>Oncology</t>
  </si>
  <si>
    <t>Fresenius Kabi USA, LLC</t>
  </si>
  <si>
    <t>888-386-1300</t>
  </si>
  <si>
    <t>Arsenic Trioxide, Injection, 1 mg/1 mL (NDC 63323-637-10)</t>
  </si>
  <si>
    <t>Aspirin Suppository</t>
  </si>
  <si>
    <t>(800) 775-2054</t>
  </si>
  <si>
    <t>Aspirin, Suppository, 300 mg (NDC 0574-7034-12)</t>
  </si>
  <si>
    <t>Analgesia/Addiction; Cardiovascular</t>
  </si>
  <si>
    <t>Atazanavir Sulfate; Cobicistat Tablet</t>
  </si>
  <si>
    <t>Bristol Myers Squibb Co.</t>
  </si>
  <si>
    <t>800-332-2056</t>
  </si>
  <si>
    <t>Evotaz, Tablet, 300 mg; 150 mg (NDC 0003-3641-11)</t>
  </si>
  <si>
    <t>The global Cease Manufacture date for EVOTAZ® currently is estimated to begin April 2026.</t>
  </si>
  <si>
    <t>Antiviral</t>
  </si>
  <si>
    <t>Atropine Sulfate Injection</t>
  </si>
  <si>
    <t>Hospira, Inc., a Pfizer Company</t>
  </si>
  <si>
    <t>844-646-4398</t>
  </si>
  <si>
    <t>Atropine Sulfate, Injection, (Adult) 0.5 mg/5 mL (0.1 mg/mL) LifeShield® ABBOJECT® Glass Syringe (20 G x 1 1/2) (NDC 0409-4910-34)"</t>
  </si>
  <si>
    <t>Anesthesia; Neurology; Pediatric</t>
  </si>
  <si>
    <t>Atropine Sulfate, Injection, (Adult)1 mg/10 mL (0.1 mg/mL) LifeShield® ABBOJECT® Glass Syringe (20 G x 1 1/2)  (NDC 0409-4911-34)"</t>
  </si>
  <si>
    <t>Medefil, Inc.</t>
  </si>
  <si>
    <t>630-682-4600</t>
  </si>
  <si>
    <t>Atropine Sulfate, Injection, 1 mg/10 mL (0.1 mg/mL) Syringes (NDC 64253-400-91)</t>
  </si>
  <si>
    <t>Atropine Sulfate, Injection, .4 mg/1 mL (NDC 63323-580-20)</t>
  </si>
  <si>
    <t>Next release October 2026. Check wholesalers for inventory.</t>
  </si>
  <si>
    <t>Amphastar Pharmaceuticals, Inc.</t>
  </si>
  <si>
    <t>800-423-4136</t>
  </si>
  <si>
    <t>Atropine Sulfate, Injection, .1 mg/1 mL (NDC 76329-3340-1)</t>
  </si>
  <si>
    <t>Atropine Sulfate, Injection, 1 mg/10 mL (0.1 mg/mL) Syringes (NDC 0409-1630-10)</t>
  </si>
  <si>
    <t>Next Delivery: November 2026; Estimated Recovery: December 2026; Shortage per Manufacturer: Manufacturing Delay</t>
  </si>
  <si>
    <t>Atropine Sulfate, Injection, 0.25 mg/5 mL (0.05 mg/mL) Syringes (NDC 0409-9630-05)</t>
  </si>
  <si>
    <t>American Regent, Inc.</t>
  </si>
  <si>
    <t>800-645-1706</t>
  </si>
  <si>
    <t>Atropine Sulfate, Injection, 1 mg/1 mL (NDC 0517-1001-25)</t>
  </si>
  <si>
    <t>Hikma Pharmaceuticals USA, Inc.</t>
  </si>
  <si>
    <t>800-631-2174</t>
  </si>
  <si>
    <t>Atropine Sulfate, Injection, 0.4 mg/1 mL (NDC 0641-6251-10)</t>
  </si>
  <si>
    <t>Accord Healthcare Inc.</t>
  </si>
  <si>
    <t>866-941-7875, option 2</t>
  </si>
  <si>
    <t>Atropine Sulfate, Injection, .4 mg/1 mL (NDC 16729-525-08)</t>
  </si>
  <si>
    <t>Estimated recovery: mid-September 2026</t>
  </si>
  <si>
    <t>Requirements related to complying with good manufacturing practices</t>
  </si>
  <si>
    <t>Atropine Sulfate, Injection, .4 mg/1 mL (NDC 16729-512-43)</t>
  </si>
  <si>
    <t>Atropine Sulfate, Injection, 1 mg/1 mL (NDC 16729-526-08)</t>
  </si>
  <si>
    <t>Estimated availability: November/December 2026</t>
  </si>
  <si>
    <t>Atropine Sulfate, Injection, .05 mg/1 mL (NDC 16729-483-03)</t>
  </si>
  <si>
    <t>Atropine Sulfate, Injection, 0.1 mg/1 mL (NDC 16729-484-45)</t>
  </si>
  <si>
    <t>Atropine Sulfate, Injection, .1 mg/1 mL (NDC 16729-484-90)</t>
  </si>
  <si>
    <t>Atropine Sulfate, Injection, .4 mg/1 mL (NDC 0517-1004-25)</t>
  </si>
  <si>
    <t>Somerset Therapeutics, LLC</t>
  </si>
  <si>
    <t>732-554-1037</t>
  </si>
  <si>
    <t>Atropine Sulfate, Injection, .4 mg/1 mL (NDC 70069-631-25)</t>
  </si>
  <si>
    <t>Atropine Sulfate, Injection, 1 mg/1 mL (NDC 70069-641-25)</t>
  </si>
  <si>
    <t>Atropine Sulfate, Injection, .4 mg/1 mL (NDC 70069-481-10)</t>
  </si>
  <si>
    <t>Azacitidine Injection</t>
  </si>
  <si>
    <t>1-888-423-5436</t>
  </si>
  <si>
    <t>Vidaza, Injection, 100 mg (NDC 59572-102-01)</t>
  </si>
  <si>
    <t>1-888-386-1300</t>
  </si>
  <si>
    <t>Azacitidine, Injection, 100 mg/30 mL (NDC 63323-771-39)</t>
  </si>
  <si>
    <t>1-800-631-2174</t>
  </si>
  <si>
    <t>Azacitidine, Injection, 100 mg/ Vial (NDC 0143-9606-01)</t>
  </si>
  <si>
    <t>Product temporarily on backorder.  Additional lots will be available the end of October 2026.</t>
  </si>
  <si>
    <t>Dr. Reddy's Laboratories, Inc.</t>
  </si>
  <si>
    <t>866-732-3952</t>
  </si>
  <si>
    <t>Azacitidine, Injection, 100 mg (NDC 43598-305-62)</t>
  </si>
  <si>
    <t>Available to existing customers</t>
  </si>
  <si>
    <t>Armas Pharmaceuticals Inc</t>
  </si>
  <si>
    <t>732-637-1971</t>
  </si>
  <si>
    <t>Azacitidine, Injection, 100 mg (NDC 72485-201-01)</t>
  </si>
  <si>
    <t>Azacitidine, Injection, 100 mg (NDC 16729-306-10)</t>
  </si>
  <si>
    <t>US Drug Shortages: what the FDA list shows (data downloaded 26 Oct 2026)</t>
  </si>
  <si>
    <t>Azacitidine, Injection, 100 mg (NDC 68001-313-56)</t>
  </si>
  <si>
    <t>Chart data: areas sorted by distinct drugs</t>
  </si>
  <si>
    <t>Drugs in current shortage</t>
  </si>
  <si>
    <t>Meitheal Pharmaceuticals, Inc.</t>
  </si>
  <si>
    <t>844-824-8426</t>
  </si>
  <si>
    <t>Azacitidine, Injection, 100 mg/30 mL (NDC 71288-115-30)</t>
  </si>
  <si>
    <t>Current product records</t>
  </si>
  <si>
    <t>Median years on the list</t>
  </si>
  <si>
    <t>Therapeutic area</t>
  </si>
  <si>
    <t>Products fully unavailable</t>
  </si>
  <si>
    <t>Records with no reason given</t>
  </si>
  <si>
    <t>Eugia US LLC</t>
  </si>
  <si>
    <t>Share from top 3 companies</t>
  </si>
  <si>
    <t>888-238-7880</t>
  </si>
  <si>
    <t>Azacitidine, Injection, 100 mg/4 mL (NDC 55150-393-01)</t>
  </si>
  <si>
    <t>On backorder. Recovery: TBD. Check wholesalers for inventory</t>
  </si>
  <si>
    <t>Azithromycin Injection</t>
  </si>
  <si>
    <t>Pfizer Inc.</t>
  </si>
  <si>
    <t>Zithromax IV, Injection, 500 mg/5 mL (NDC 0069-3150-83)</t>
  </si>
  <si>
    <t>Discontinuation of the manufacture of the drug.</t>
  </si>
  <si>
    <t>Azithromycin Tablet</t>
  </si>
  <si>
    <t>800-533-4535</t>
  </si>
  <si>
    <t>Zithromax, Tablet, 500 mg (NDC 0069-3070-30)</t>
  </si>
  <si>
    <t>Zithromax, Tablet, 250 mg (NDC 0069-4061-01)</t>
  </si>
  <si>
    <t>Bacitracin Ophthalmic Ointment</t>
  </si>
  <si>
    <t>Bacitracin, Ophthalmic Ointment, 3.5 g (NDC 0574-4022-35)</t>
  </si>
  <si>
    <t>Shortage is estimated for 24 months</t>
  </si>
  <si>
    <t>Anti-Infective; Ophthalmology</t>
  </si>
  <si>
    <t>Belladonna and Opium Suppository</t>
  </si>
  <si>
    <t>Belladonna and Opium, Suppository, 16.2 mg; 60 mg (NDC 0574-7040-04)</t>
  </si>
  <si>
    <t>Belladonna and Opium, Suppository, 16.2 mg; 60 mg (NDC 0574-7040-12)</t>
  </si>
  <si>
    <t>Belladonna and Opium, Suppository, 16.2 mg; 30 mg (NDC 0574-7045-04)</t>
  </si>
  <si>
    <t>Belladonna and Opium, Suppository, 16.2 mg; 30 mg (NDC 0574-7045-12)</t>
  </si>
  <si>
    <t>Anesthesia</t>
  </si>
  <si>
    <t>Bendamustine Hydrochloride Injection, Solution</t>
  </si>
  <si>
    <t>Cephalon, LLC (a wholly owned subsidiary of Teva Pharmaceutical Industries, Ltd.)</t>
  </si>
  <si>
    <t>(610) 344-0200</t>
  </si>
  <si>
    <t>Treanda, Injection, Solution, 25 mg/5 mL, 1 vial, Single-Dose in 1 carton (NDC 63459-390-08)</t>
  </si>
  <si>
    <t>A business decision has been made to discontinue manufacture of the drug.</t>
  </si>
  <si>
    <t>Benztropine Mesylate Injection</t>
  </si>
  <si>
    <t>Benztropine Mesylate, Injection, 1 mg/1 mL (NDC 63323-970-02)</t>
  </si>
  <si>
    <t>Cardiovascular</t>
  </si>
  <si>
    <t>Neurology</t>
  </si>
  <si>
    <t>Bumetanide Injection</t>
  </si>
  <si>
    <t>Mullan Pharmaceutical Inc.</t>
  </si>
  <si>
    <t>800-673-9839</t>
  </si>
  <si>
    <t>Bumetanide, Injection, 1 mg/4 mL (0.25 mg/mL) (NDC 83301-0080-2)</t>
  </si>
  <si>
    <t>Endocrinology/Metabolism</t>
  </si>
  <si>
    <t>Bumetanide, Injection, 2.5 mg/10 mL (0.25 mg/mL) (NDC 83301-0081-2)</t>
  </si>
  <si>
    <t>Sagent Pharmaceuticals</t>
  </si>
  <si>
    <t>866-625-1618</t>
  </si>
  <si>
    <t>Bumetanide, Injection, .25 mg/1 mL (NDC 25021-321-04)</t>
  </si>
  <si>
    <t>Pulmonary/Allergy</t>
  </si>
  <si>
    <t>Ophthalmology</t>
  </si>
  <si>
    <t>Bumetanide, Injection, .25 mg/1 mL (NDC 25021-321-10)</t>
  </si>
  <si>
    <t>Dermatology</t>
  </si>
  <si>
    <t>Total Parenteral Nutrition</t>
  </si>
  <si>
    <t>Bumetanide, Injection, .25 mg/1 mL (NDC 65219-570-04)</t>
  </si>
  <si>
    <t>Renal</t>
  </si>
  <si>
    <t>Medical Imaging</t>
  </si>
  <si>
    <t>Bumetanide, Injection, .25 mg/1 mL (NDC 65219-572-10)</t>
  </si>
  <si>
    <t>MSN Laboratories Private Limited</t>
  </si>
  <si>
    <t>855-668-2369; customerservice@novadozpharma.com</t>
  </si>
  <si>
    <t>Bumetanide, Injection, 0.25 mg/mL, 4mL (NDC 72205-101-01)</t>
  </si>
  <si>
    <t>Bumetanide, Injection, 0.25 mg/1 mL (NDC 72205-101-07)</t>
  </si>
  <si>
    <t>Bumetanide, Injection, 0.25 mg/mL, 10 mL (NDC 72205-102-01)</t>
  </si>
  <si>
    <t>Bumetanide, Injection, 0.25 mg/1 mL (NDC 72205-102-07)</t>
  </si>
  <si>
    <t>Bumetanide, Injection, .25 mg/1 mL (NDC 0641-6008-10)</t>
  </si>
  <si>
    <t>Bumetanide, Injection, .25 mg/1 mL (NDC 0641-6007-10)</t>
  </si>
  <si>
    <t>Bupivacaine Hydrochloride Injection</t>
  </si>
  <si>
    <t>Sensorcaine, Injection, 2.5 mg/1 mL (NDC 63323-465-57)</t>
  </si>
  <si>
    <t>Check wholesalers for inventory</t>
  </si>
  <si>
    <t>Sensorcaine, Injection, 5 mg/1 mL (NDC 63323-467-57)</t>
  </si>
  <si>
    <t>Sensorcaine, Injection, 2.5 mg/1 mL (NDC 63323-464-17)</t>
  </si>
  <si>
    <t>Text</t>
  </si>
  <si>
    <t>Random</t>
  </si>
  <si>
    <t>ID</t>
  </si>
  <si>
    <t>Rules: expected recovery</t>
  </si>
  <si>
    <t>Rules: reason</t>
  </si>
  <si>
    <t>Notes</t>
  </si>
  <si>
    <t>AI: expected recovery</t>
  </si>
  <si>
    <t>AI: reason</t>
  </si>
  <si>
    <t>Recovery match</t>
  </si>
  <si>
    <t>Reason match</t>
  </si>
  <si>
    <t>Estimated recovery: TBD; Marketed by Sagent Pharmaceuticals</t>
  </si>
  <si>
    <t>On allocation</t>
  </si>
  <si>
    <t>Check wholesalers for inventory; Marketed by Armas Pharmaceuticals, Inc. 908-803-2586</t>
  </si>
  <si>
    <t>Next Delivery: January 2027; Estimated Recovery: March 2027; Shortage per Manufacturer: Manufacturing Delay</t>
  </si>
  <si>
    <t>Rules correct:March 2027, from the estimated-recovery date; AI picked March 2:2027, which has a broken date format.</t>
  </si>
  <si>
    <t>Additional product will be made available as it is released.</t>
  </si>
  <si>
    <t>On backorder. Recovery: mid-November 2026; Check wholesalers for inventory</t>
  </si>
  <si>
    <t>Rules correct:November 2026, from “Recovery: mid-November 2026”; AI missed the recovery date and returned “Not stated.”</t>
  </si>
  <si>
    <t>Available on allocation</t>
  </si>
  <si>
    <t>Additional lots are scheduled for manufacturing to meet demand.  Product will be made available as it is released.</t>
  </si>
  <si>
    <t>On backorder. Recovery: late-October 2026. Check wholesalers for inventory</t>
  </si>
  <si>
    <t>To place an order, please contact GlobalRX at info@globalrx.com or (919) 245-8418</t>
  </si>
  <si>
    <t>Limited product available. Estimated recovery: October 2026</t>
  </si>
  <si>
    <t>Limited Supply Available. Next Delivery and Estimated Recovery: June 2027</t>
  </si>
  <si>
    <t>Estimated recovery: end-October to mid-November 2026</t>
  </si>
  <si>
    <t>Next Delivery: January 2027; Estimated Recovery: March 2027</t>
  </si>
  <si>
    <t>Distributed by Omnivium Pharmaceuticals LLC (888) 807-9195</t>
  </si>
  <si>
    <t>Estimated recovery: end October 2026</t>
  </si>
  <si>
    <t>Marketed by Sagent Pharmaceuticals</t>
  </si>
  <si>
    <t>Limited Supply Available. Next Delivery: October 2026; Estimated Recovery: December 2026; Shortage per Manufacturer: Manufacturing Delay</t>
  </si>
  <si>
    <t>Additional lots are scheduled to be manufactured.  Product will be made available as it is released.</t>
  </si>
  <si>
    <t>Valid output</t>
  </si>
  <si>
    <t>Raw output</t>
  </si>
  <si>
    <t>1</t>
  </si>
  <si>
    <t>TBD</t>
  </si>
  <si>
    <t>Yes</t>
  </si>
  <si>
    <t>{
  "expected_recovery": "TBD",
  "reason": "Not stated"
}</t>
  </si>
  <si>
    <t>2</t>
  </si>
  <si>
    <t>{
  "expected_recovery": "Not stated",
  "reason": "Not stated"
}</t>
  </si>
  <si>
    <t>3</t>
  </si>
  <si>
    <t>Estimated recovery: November 2026; Marketed by Sagent Pharmaceuticals</t>
  </si>
  <si>
    <t>4</t>
  </si>
  <si>
    <t>March 2:2027</t>
  </si>
  <si>
    <t>Manufacturing delay</t>
  </si>
  <si>
    <t>{
  "expected_recovery": "March 2:2027",
  "reason": "Manufacturing delay"
}</t>
  </si>
  <si>
    <t>5</t>
  </si>
  <si>
    <t>6</t>
  </si>
  <si>
    <t>7</t>
  </si>
  <si>
    <t>8</t>
  </si>
  <si>
    <t>9</t>
  </si>
  <si>
    <t>10</t>
  </si>
  <si>
    <t>October 2026</t>
  </si>
  <si>
    <t>{
  "expected_recovery": "October 2026",
  "reason": "Not stated"
}</t>
  </si>
  <si>
    <t>11</t>
  </si>
  <si>
    <t>Estimated recovery: January 2027</t>
  </si>
  <si>
    <t>12</t>
  </si>
  <si>
    <t>13</t>
  </si>
  <si>
    <t>November 2026</t>
  </si>
  <si>
    <t>{
  "expected_recovery": "November 2026",
  "reason": "Not stated"
}</t>
  </si>
  <si>
    <t>14</t>
  </si>
  <si>
    <t>June 2027</t>
  </si>
  <si>
    <t>{
  "expected_recovery": "June 2027",
  "reason": "Not stated"
}</t>
  </si>
  <si>
    <t>15</t>
  </si>
  <si>
    <t>16</t>
  </si>
  <si>
    <t>September 2026</t>
  </si>
  <si>
    <t>{
  "expected_recovery": "September 2026",
  "reason": "Not stated"
}</t>
  </si>
  <si>
    <t>17</t>
  </si>
  <si>
    <t>18</t>
  </si>
  <si>
    <t>March 2027</t>
  </si>
  <si>
    <t>{
  "expected_recovery": "March 2027",
  "reason": "Not stated"
}</t>
  </si>
  <si>
    <t>Additional lots will be available in the November 2026 timeframe.  Product will be made available as it is released.</t>
  </si>
  <si>
    <t>19</t>
  </si>
  <si>
    <t>20</t>
  </si>
  <si>
    <t>April 2027</t>
  </si>
  <si>
    <t>{
  "expected_recovery": "April 2027",
  "reason": "Not stated"
}</t>
  </si>
  <si>
    <t>21</t>
  </si>
  <si>
    <t>22</t>
  </si>
  <si>
    <t>23</t>
  </si>
  <si>
    <t>December 2026</t>
  </si>
  <si>
    <t>{
  "expected_recovery": "December 2026",
  "reason": "Manufacturing delay"
}</t>
  </si>
  <si>
    <t>24</t>
  </si>
  <si>
    <t>25</t>
  </si>
  <si>
    <t>26</t>
  </si>
  <si>
    <t>January 2027</t>
  </si>
  <si>
    <t>Please check wholesalers and distributors for inventory.</t>
  </si>
  <si>
    <t>{
  "expected_recovery": "January 2027",
  "reason": "Not stated"
}</t>
  </si>
  <si>
    <t>27</t>
  </si>
  <si>
    <t>28</t>
  </si>
  <si>
    <t>29</t>
  </si>
  <si>
    <t>Next Delivery: October 2026; Estimated Recovery: December 2026; Shortage per Manufacturer: Manufacturing Delay</t>
  </si>
  <si>
    <t>30</t>
  </si>
  <si>
    <t>Recovery estimated in late Q4 2026; Distributed by BPI Labs, LLC</t>
  </si>
  <si>
    <t>{
  "expected_recovery": "December 2026",
  "reason": "Not stated"
}</t>
  </si>
  <si>
    <t>31</t>
  </si>
  <si>
    <t>Historical NDC: 0409-1610-50</t>
  </si>
  <si>
    <t>32</t>
  </si>
  <si>
    <t>Allocation to current contracted customers</t>
  </si>
  <si>
    <t>33</t>
  </si>
  <si>
    <t>Next Delivery: November 2026; Estimated Recovery: December 2026</t>
  </si>
  <si>
    <t>34</t>
  </si>
  <si>
    <t>Historical NDC: 0409-1582-29</t>
  </si>
  <si>
    <t>35</t>
  </si>
  <si>
    <t>Wholesaler &amp; Distributor through Marketing partner (Natco Pharma USA LLC)</t>
  </si>
  <si>
    <t>36</t>
  </si>
  <si>
    <t>Distributed by Avenacy, LLC</t>
  </si>
  <si>
    <t>37</t>
  </si>
  <si>
    <t>Distributed by DRL</t>
  </si>
  <si>
    <t>38</t>
  </si>
  <si>
    <t>Selling through remaining short-dated inventory (Dec 2026).</t>
  </si>
  <si>
    <t>39</t>
  </si>
  <si>
    <t>Estimated recovery: December 2028</t>
  </si>
  <si>
    <t>December 2028</t>
  </si>
  <si>
    <t>{
  "expected_recovery": "December 2028",
  "reason": "Not stated"
}</t>
  </si>
  <si>
    <t>40</t>
  </si>
  <si>
    <t>Estimated recovery: TBD; Please check wholesalers for inventory</t>
  </si>
  <si>
    <t>41</t>
  </si>
  <si>
    <t>Estimated recovery: late October 2026/November 2026</t>
  </si>
  <si>
    <t>42</t>
  </si>
  <si>
    <t>Estimated recovery: mid-November 2026</t>
  </si>
  <si>
    <t>43</t>
  </si>
  <si>
    <t>Check wholesalers for inventory; Marketed by Baxter</t>
  </si>
  <si>
    <t>44</t>
  </si>
  <si>
    <t>Estimated recovery: November 2026, Product on hand is 8-12 months of dating prior to expiry</t>
  </si>
  <si>
    <t>45</t>
  </si>
  <si>
    <t>Not currently manufactured</t>
  </si>
  <si>
    <t>Discontinuation</t>
  </si>
  <si>
    <t>{
  "expected_recovery": "Not stated",
  "reason": "Discontinuation"
}</t>
  </si>
  <si>
    <t>46</t>
  </si>
  <si>
    <t>Limited Supply Available. Next Delivery: October 2026; Estimated Recovery: December 2026</t>
  </si>
  <si>
    <t>47</t>
  </si>
  <si>
    <t>No longer manufactured, some supplies still available in supply chain. Distributed by Woodward Pharma Services LLC (248) 308-1120 Ext 2</t>
  </si>
  <si>
    <t>48</t>
  </si>
  <si>
    <t>Next Delivery: February 2027; Estimated Recovery: March 2027; Shortage per Manufacturer: Manufacturing Delay</t>
  </si>
  <si>
    <t>49</t>
  </si>
  <si>
    <t>Limited Supply Available. Next Delivery: November 2026; Estimated Recovery: December 2026; Shortage per Manufacturer: Manufacturing Delay</t>
  </si>
  <si>
    <t>50</t>
  </si>
  <si>
    <t>Replenishment expected mid to late November 2026</t>
  </si>
  <si>
    <t>51</t>
  </si>
  <si>
    <t>No longer manufactured, some supplies still available in supply chain. Distributed by Ritedose Pharmaceuticals, LLC (855) 806 3300</t>
  </si>
  <si>
    <t>52</t>
  </si>
  <si>
    <t>53</t>
  </si>
  <si>
    <t>Product temporarily on backorder. Additional lots will be available in the February 2027 timeframe.</t>
  </si>
  <si>
    <t>February 2027</t>
  </si>
  <si>
    <t>{
  "expected_recovery": "February 2027",
  "reason": "Not stated"
}</t>
  </si>
  <si>
    <t>54</t>
  </si>
  <si>
    <t>On backorder. Recovery: late October 2026; Check wholesalers for inventory</t>
  </si>
  <si>
    <t>55</t>
  </si>
  <si>
    <t>Additional lots will be available in the October 2026 timeframe.  Product will be made available as it is released.</t>
  </si>
  <si>
    <t>56</t>
  </si>
  <si>
    <t>Limited supply; Check wholesalers for inventory; Marketed by Baxter</t>
  </si>
  <si>
    <t>57</t>
  </si>
  <si>
    <t>Distributed by Wilshire Pharmaceuticals, Inc.</t>
  </si>
  <si>
    <t>58</t>
  </si>
  <si>
    <t>Product temporarily unavailable. Estimated recovery: TBD. This product is distributed by ICU Medical. For questions regarding this product, please contact ICU Medical.</t>
  </si>
  <si>
    <t>59</t>
  </si>
  <si>
    <t>Distributed by Slate Run Pharmaceuticals, LLC, 1-844-529-8988</t>
  </si>
  <si>
    <t>60</t>
  </si>
  <si>
    <t>Check wholealers for inventory</t>
  </si>
  <si>
    <t>Sensorcaine, Injection, 2.5 mg/1 mL (NDC 63323-464-37)</t>
  </si>
  <si>
    <t>Sensorcaine, Injection, 2.5 mg/1 mL (NDC 63323-464-31)</t>
  </si>
  <si>
    <t>Sensorcaine, Injection, 5 mg/1 mL (NDC 63323-466-17)</t>
  </si>
  <si>
    <t>Sensorcaine, Injection, 5 mg/1 mL (NDC 63323-466-37)</t>
  </si>
  <si>
    <t>Sensorcaine, Injection, 5 mg/1 mL (NDC 63323-466-31)</t>
  </si>
  <si>
    <t>Delay in shipping of the drug</t>
  </si>
  <si>
    <t>Sensorcaine, Injection, 7.5 mg/1 mL (NDC 63323-472-17)</t>
  </si>
  <si>
    <t>Sensorcaine, Injection, 7.5 mg/1 mL (NDC 63323-472-37)</t>
  </si>
  <si>
    <t>Bupivacaine Hydrochloride, Injection, 2.5 mg/1 mL (NDC 55150-167-10)</t>
  </si>
  <si>
    <t>Bupivacaine Hydrochloride, Injection, 2.5 mg/1 mL (NDC 55150-168-30)</t>
  </si>
  <si>
    <t>Bupivacaine Hydrochloride, Injection, 5 mg/1 mL (NDC 55150-169-10)</t>
  </si>
  <si>
    <t>Bupivacaine Hydrochloride, Injection, 5 mg/1 mL (NDC 55150-170-30)</t>
  </si>
  <si>
    <t>Bupivacaine Hydrochloride, Injection, 7.5 mg/1 mL (NDC 55150-171-10)</t>
  </si>
  <si>
    <t>Bupivacaine Hydrochloride, Injection, 7.5 mg/1 mL (NDC 55150-172-30)</t>
  </si>
  <si>
    <t>Bupivacaine Hydrochloride, Injection, 2.5 mg/1 mL (NDC 55150-249-50)</t>
  </si>
  <si>
    <t>Bupivacaine Hydrochloride, Injection, 5 mg/1 mL (NDC 55150-250-50)</t>
  </si>
  <si>
    <t>Bupivacaine Hydrochloride, Injection, 25 mg/10 mL (2.5 mg/mL) (NDC 0409-1159-01)</t>
  </si>
  <si>
    <t>Bupivacaine Hydrochloride, Injection, 75 mg/30 mL (2.5 mg/mL) (NDC 0409-1159-02)</t>
  </si>
  <si>
    <t>Bupivacaine Hydrochloride, Injection, 125 mg/50 mL (2.5 mg/mL) (NDC 0409-1160-01)</t>
  </si>
  <si>
    <t>Bupivacaine Hydrochloride, Injection, 50 mg/10 mL (5 mg/mL) (NDC 0409-1162-01)</t>
  </si>
  <si>
    <t>Bupivacaine Hydrochloride, Injection, 150 mg/30 mL (5 mg/mL) (NDC 0409-1162-02)</t>
  </si>
  <si>
    <t>Bupivacaine Hydrochloride, Injection, 250 mg/50 mL (5 mg/mL) (NDC 0409-1163-01)</t>
  </si>
  <si>
    <t>Bupivacaine Hydrochloride, Injection, 7.5 mg/1 mL (NDC 0409-1165-01)</t>
  </si>
  <si>
    <t>Bupivacaine Hydrochloride, Injection, 225 mg/30 mL (7.5 mg/mL) (NDC 0409-1165-02)</t>
  </si>
  <si>
    <t>Bupivacaine Hydrochloride, Injection, Bupivacaine Spinal 15 mg/2 mL (7.5 mg/mL in 8.25% dextrose) (NDC 0409-3613-01)</t>
  </si>
  <si>
    <t>Marcaine, Injection, Marcaine 125 mg/50 mL (2.5 mg/mL) (NDC 0409-1160-01)</t>
  </si>
  <si>
    <t>Marcaine, Injection, Marcaine 75 mg/10 mL (7.5 mg/mL) (NDC 0409-1165-01)</t>
  </si>
  <si>
    <t>Marcaine, Injection, Marcaine 225 mg/30 mL (7.5 mg/mL) (NDC 0409-2253-01)</t>
  </si>
  <si>
    <t>Huons Co., Ltd</t>
  </si>
  <si>
    <t>+82-2-854-4700 or via email intbiz@huons.com</t>
  </si>
  <si>
    <t>Bupivacaine Hydrochloride, Injection, 7.5 mg/1 mL (NDC 73293-0002-2)</t>
  </si>
  <si>
    <t>Kindos Pharmaceuticals Co. Ltd.</t>
  </si>
  <si>
    <t>Bupivacaine Hydrochloride, Injection, 2.5 mg/1 mL (NDC 71288-723-52)</t>
  </si>
  <si>
    <t>Meitheal Pharmaceuticals is distributor/labeler</t>
  </si>
  <si>
    <t>https://www.accessdata.fda.gov/scripts/drugshortages/dsp_ActiveIngredientDetails.cfm?AI=Bupivacaine%20Hydrochloride%20Injection&amp;st=d</t>
  </si>
  <si>
    <t>Bupivacaine Hydrochloride, Injection, 5 mg/1 mL (NDC 71288-726-52)</t>
  </si>
  <si>
    <t>Bupivacaine Hydrochloride, Injection, 2.5 mg/1 mL (NDC 71288-722-32)</t>
  </si>
  <si>
    <t>Bupivacaine Hydrochloride, Injection, 5 mg/1 mL (NDC 71288-725-32)</t>
  </si>
  <si>
    <t>Bupivacaine Hydrochloride, Injection, 7.5 mg/1 mL (NDC 71288-728-32)</t>
  </si>
  <si>
    <t>Bupivacaine Hydrochloride, Injection, 2.5 mg/1 mL (NDC 70069-752-25)</t>
  </si>
  <si>
    <t>Bupivacaine Hydrochloride, Injection, 5 mg/1 mL (NDC 70069-753-25)</t>
  </si>
  <si>
    <t>Marcaine, Injection, 0.75% 15 mg/2 mL (7.5 mg/mL) in Dextrose 8.25% (NDC 0409-1761-10)</t>
  </si>
  <si>
    <t>Next Delivery and Estimated Recovery: December 2026; Shortage per Manufacturer: Manufacturing Delay</t>
  </si>
  <si>
    <t>Marcaine, Injection, 0.75% 15 mg/2 mL (NDC 0409-1761-62)</t>
  </si>
  <si>
    <t>Aspiro Pharma Limited</t>
  </si>
  <si>
    <t>732-529-0430, customerservice@camberpharma.com</t>
  </si>
  <si>
    <t>Bupivacaine Hydrochloride, Injection, 2.5 mg/1 mL (NDC 31722-275-32)</t>
  </si>
  <si>
    <t>Bupivacaine Hydrochloride, Injection, 5 mg/1 mL (NDC 31722-276-32)</t>
  </si>
  <si>
    <t>Bupivacaine Hydrochloride, Injection, 7.5 mg/1 mL (NDC 31722-277-32)</t>
  </si>
  <si>
    <t>Bupivacaine Hydrochloride, Injection, 2.5 mg/1 mL (NDC 31722-275-34)</t>
  </si>
  <si>
    <t>Bupivacaine Hydrochloride, Injection, 5 mg/1 mL (NDC 31722-276-34)</t>
  </si>
  <si>
    <t>Bupivacaine Hydrochloride, Injection, 7.5 mg/1 mL (NDC 31722-277-34)</t>
  </si>
  <si>
    <t>Bupivacaine Hydrochloride, Injection, 2.5 mg/1 mL (NDC 70069-752-01)</t>
  </si>
  <si>
    <t>Bupivacaine Hydrochloride, Injection, 2.5 mg/1 mL (NDC 70069-752-10)</t>
  </si>
  <si>
    <t>Bupivacaine Hydrochloride, Injection, 5 mg/1 mL (NDC 70069-753-01)</t>
  </si>
  <si>
    <t>Bupivacaine Hydrochloride, Injection, 5 mg/1 mL (NDC 70069-753-10)</t>
  </si>
  <si>
    <t>ONESOURCE SPECIALTY PTE LTD</t>
  </si>
  <si>
    <t>888-217-8103</t>
  </si>
  <si>
    <t>Bupivacaine Hydrochloride PRESERVATIVE FREE, Injection, 2.5 mg/1 mL
5mg / 1mL (NDC 72266-263-10)</t>
  </si>
  <si>
    <t>Distributed by Fosun Pharma USA Inc.</t>
  </si>
  <si>
    <t>Marcaine, Injection, 150 mg/30 mL (5 mg/mL) (NDC 0409-1530-01)</t>
  </si>
  <si>
    <t>Marcaine, Injection, 25 mg/10 mL (2.5 mg/mL) (NDC 0409-2510-01)</t>
  </si>
  <si>
    <t>Marcaine, Injection, 50 mg/10 mL (5 mg/mL) (NDC 0409-5010-01)</t>
  </si>
  <si>
    <t>Marcaine, Injection, 75 mg/30 mL (2.5 mg/mL) (NDC 0409-7535-01)</t>
  </si>
  <si>
    <t>Marcaine, Injection, 250 mg/50 mL (NDC 0409-0525-25)</t>
  </si>
  <si>
    <t>Marcaine, Injection, 225 mg/30 mL (NDC 0409-2253-25)</t>
  </si>
  <si>
    <t>Bupivacaine Hydrochloride, Epinephrine Bitartrate Injection</t>
  </si>
  <si>
    <t>Bupivacaine Hydrochloride And Epinephrine, Injection, 25 mg/10 mL (2.5 mg/mL) (NDC 0409-9042-01)</t>
  </si>
  <si>
    <t>Bupivacaine Hydrochloride And Epinephrine, Injection, 75 mg/30 mL (2.5 mg/mL) (NDC 0409-9042-17)</t>
  </si>
  <si>
    <t>Bupivacaine Hydrochloride and Epinephrine, Injection, 125 mg/50 mL (2.5 mg/mL) (NDC 0409-9043-01)</t>
  </si>
  <si>
    <t>Bupivacaine Hydrochloride And Epinephrine, Injection, 50 mg/10 mL (5 mg/mL) (NDC 0409-9045-01)</t>
  </si>
  <si>
    <t>Bupivacaine Hydrochloride and Epinephrine, Injection, 150 mg/30 mL (5 mg/mL) (NDC 0409-9045-17)</t>
  </si>
  <si>
    <t>Bupivacaine Hydrochloride And Epinephrine, Injection, 250 mg/50 mL (5 mg/mL) (NDC 0409-9046-01)</t>
  </si>
  <si>
    <t>Marcaine With Epinephrine, Injection, Marcaine with Epinephrine 1:200,000 as the bitartrate 25 mg/10 mL (2.5 mg/mL 1:200,000) (NDC 0409-1746-10)</t>
  </si>
  <si>
    <t>Marcaine With Epinephrine, Injection, Marcaine with Epinephrine 1:200,000 as the bitartrate 75 mg/30 mL (2.5 mg/mL 1:200,000) (NDC 0409-1746-30)</t>
  </si>
  <si>
    <t>Marcaine With Epinephrine, Injection, Marcaine with Epinephrine 1:200,000 as the bitartrate 50 mg/10 mL (5 mg/mL 1:200,000) (NDC 0409-1749-10)</t>
  </si>
  <si>
    <t>Marcaine With Epinephrine, Injection, Marcaine with Epinephrine 1:200,000 as the bitartrate 150 mg/30 mL (5 mg/mL 1:200,000) (NDC 0409-1749-29)</t>
  </si>
  <si>
    <t>Marcaine With Epinephrine, Injection, Marcaine with Epinephrine 1:200,000 as the bitartrate 125 mg/50 mL (2.5 mg/mL 1:200,000) (NDC 0409-1752-50)</t>
  </si>
  <si>
    <t>Limited Supply Available. Next Delivery and Estimated Recovery: December 2026; Shortage per Manufacturer: Manufacturing Delay</t>
  </si>
  <si>
    <t>Marcaine With Epinephrine, Injection, Marcaine with Epinephrine 1:200,000 as the bitartrate 250 mg/50 mL (5 mg/mL 1:200,000) (NDC 0409-1755-50)</t>
  </si>
  <si>
    <t>Sensorcaine, Injection, 2.5 mg/1 mL; .005 mg/1 mL (NDC 63323-461-57)</t>
  </si>
  <si>
    <t>Next release November 2026. Check wholesalers for inventory.</t>
  </si>
  <si>
    <t>Sensorcaine, Injection, 5 mg/1 mL; .005 mg/1 mL (NDC 63323-463-57)</t>
  </si>
  <si>
    <t>Sensorcaine, Injection, 2.5 mg/1 mL; .005 mg/1 mL (NDC 63323-468-17)</t>
  </si>
  <si>
    <t>Sensorcaine, Injection, 2.5 mg/1 mL; .005 mg/1 mL (NDC 63323-468-37)</t>
  </si>
  <si>
    <t>Check wholesaler for inventory</t>
  </si>
  <si>
    <t>Sensorcaine, Injection, 5 mg/1 mL; .005 mg/1 mL (NDC 63323-462-17)</t>
  </si>
  <si>
    <t>Sensorcaine, Injection, 5 mg/1 mL; .005 mg/1 mL (NDC 63323-462-37)</t>
  </si>
  <si>
    <t>Sensorcaine, Injection, 5 mg/1 mL; .005 mg/1 mL (NDC 63323-462-31)</t>
  </si>
  <si>
    <t>Sensorcaine, Injection, 7.5 mg/1 mL; .005 mg/1 mL (NDC 63323-460-37)</t>
  </si>
  <si>
    <t>Calcitriol Capsule</t>
  </si>
  <si>
    <t>Calcitriol, Capsule, .25 ug (NDC 0093-7352-01)</t>
  </si>
  <si>
    <t>A business decision was made to discontinue manufacture of the drug</t>
  </si>
  <si>
    <t>Calcitriol, Capsule, .5 ug (NDC 0093-7353-01)</t>
  </si>
  <si>
    <t>Calcium Chloride Injection</t>
  </si>
  <si>
    <t>Calcium Chloride, Injection, 100 mg/1 mL (NDC 0409-4928-34)</t>
  </si>
  <si>
    <t>Cardiovascular; Endocrinology/Metabolism</t>
  </si>
  <si>
    <t>Calcium Chloride; Dextrose; Magnesium Chloride; Sodium Chloride; Sodium Lactate Intraperitoneal Injection, Solution</t>
  </si>
  <si>
    <t>Vantive US Healthcare LLC</t>
  </si>
  <si>
    <t xml:space="preserve">800-284-4060 </t>
  </si>
  <si>
    <t>DIANEAL PD-2 with Dextrose, Intraperitoneal Injection, Solution, 25.7 mg/100 mL; 1.5 g/100 mL; 5.08 mg/100 mL; 538 mg/100 mL; 448 mg/100 mL (NDC 0941-0426-52)</t>
  </si>
  <si>
    <t>DIANEAL PD-2 with Dextrose, Intraperitoneal Injection, Solution, 25.7 mg/100 mL; 1.5 g/100 mL; 5.08 mg/100 mL; 538 mg/100 mL; 448 mg/100 mL (NDC 0941-0426-53)</t>
  </si>
  <si>
    <t>DIANEAL PD-2 with Dextrose, Intraperitoneal Injection, Solution, 25.7 mg/100 mL; 2.5 g/100 mL; 5.08 mg/100 mL; 538 mg/100 mL; 448 mg/100 mL (NDC 0941-0427-52)</t>
  </si>
  <si>
    <t>DIANEAL PD-2 with Dextrose, Intraperitoneal Injection, Solution, 25.7 mg/100 mL; 2.5 g/100 mL; 5.08 mg/100 mL; 538 mg/100 mL; 448 mg/100 mL (NDC 0941-0427-53)</t>
  </si>
  <si>
    <t>DIANEAL PD-2 with Dextrose, Intraperitoneal Injection, Solution, 25.7 mg/100 mL; 4.25 g/100 mL; 5.08 mg/100 mL; 538 mg/100 mL; 448 mg/100 mL (NDC 0941-0429-52)</t>
  </si>
  <si>
    <t>DIANEAL PD-2 with Dextrose, Intraperitoneal Injection, Solution, 25.7 mg/100 mL; 4.25 g/100 mL; 5.08 mg/100 mL; 538 mg/100 mL; 448 mg/100 mL (NDC 0941-0429-53)</t>
  </si>
  <si>
    <t>DIANEAL Low Calcium with Dextrose, Intraperitoneal Injection, Solution, 18.3 mg/100 mL; 1.5 g/100 mL; 5.08 mg/100 mL; 538 mg/100 mL; 448 mg/100 mL (NDC 0941-0409-07)</t>
  </si>
  <si>
    <t>DIANEAL PD-2 with Dextrose, Intraperitoneal Injection, Solution, 25.7 mg/100 mL; 1.5 g/100 mL; 5.08 mg/100 mL; 538 mg/100 mL; 448 mg/100 mL (NDC 0941-0411-06)</t>
  </si>
  <si>
    <t>DIANEAL PD-2 with Dextrose, Intraperitoneal Injection, Solution, 25.7 mg/100 mL; 1.5 g/100 mL; 5.08 mg/100 mL; 538 mg/100 mL; 448 mg/100 mL (NDC 0941-0411-07)</t>
  </si>
  <si>
    <t>DIANEAL PD-2 with Dextrose, Intraperitoneal Injection, Solution, 25.7 mg/100 mL; 2.5 g/100 mL; 5.08 mg/100 mL; 538 mg/100 mL; 448 mg/100 mL (NDC 0941-0413-06)</t>
  </si>
  <si>
    <t>DIANEAL PD-2 with Dextrose, Intraperitoneal Injection, Solution, 25.7 mg/100 mL; 2.5 g/100 mL; 5.08 mg/100 mL; 538 mg/100 mL; 448 mg/100 mL (NDC 0941-0413-07)</t>
  </si>
  <si>
    <t>DIANEAL PD-2 with Dextrose, Intraperitoneal Injection, Solution, 25.7 mg/100 mL; 4.25 g/100 mL; 5.08 mg/100 mL; 538 mg/100 mL; 448 mg/100 mL (NDC 0941-0415-06)</t>
  </si>
  <si>
    <t>DIANEAL PD-2 with Dextrose, Intraperitoneal Injection, Solution, 25.7 mg/100 mL; 4.25 g/100 mL; 5.08 mg/100 mL; 538 mg/100 mL; 448 mg/100 mL (NDC 0941-0415-07)</t>
  </si>
  <si>
    <t>DIANEAL Low Calcium with Dextrose, Intraperitoneal Injection, Solution, 18.3 mg/100 mL; 1.5 g/100 mL; 5.08 mg/100 mL; 538 mg/100 mL; 448 mg/100 mL (NDC 0941-0424-51)</t>
  </si>
  <si>
    <t>DIANEAL Low Calcium with Dextrose, Intraperitoneal Injection, Solution, 18.3 mg/100 mL; 2.5 g/100 mL; 5.08 mg/100 mL; 538 mg/100 mL; 448 mg/100 mL (NDC 0941-0430-51)</t>
  </si>
  <si>
    <t>DIANEAL Low Calcium with Dextrose, Intraperitoneal Injection, Solution, 18.3 mg/100 mL; 4.25 g/100 mL; 5.08 mg/100 mL; 538 mg/100 mL; 448 mg/100 mL (NDC 0941-0433-51)</t>
  </si>
  <si>
    <t>800-284-4060</t>
  </si>
  <si>
    <t>DIANEAL Low Calcium with Dextrose, Intraperitoneal Injection, Solution, 18.3 mg/100 mL; 4.25 g/100 mL; 5.08 mg/100 mL; 538 mg/100 mL; 448 mg/100 mL (NDC 0941-0459-05)</t>
  </si>
  <si>
    <t>DIANEAL Low Calcium with Dextrose, Intraperitoneal Injection, Solution, 18.3 mg/100 mL; 2.5 g/100 mL; 5.08 mg/100 mL; 538 mg/100 mL; 448 mg/100 mL (NDC 0941-0457-05)</t>
  </si>
  <si>
    <t>Carbamazepine Capsule, Extended Release</t>
  </si>
  <si>
    <t>Takeda Pharmaceuticals USA Inc.</t>
  </si>
  <si>
    <t>855-268-1825</t>
  </si>
  <si>
    <t>Carbatrol, Capsule, Extended Release, 100 mg (NDC 54092-171-12)</t>
  </si>
  <si>
    <t>Carbatrol, Capsule, Extended Release, 200 mg (NDC 54092-172-12)</t>
  </si>
  <si>
    <t>Carbatrol, Capsule, Extended Release, 300 mg (NDC 54092-173-12)</t>
  </si>
  <si>
    <t>Carboplatin Injection</t>
  </si>
  <si>
    <t>Avyxa Pharma, LLC</t>
  </si>
  <si>
    <t>877-595-7337; customerservice@avyxa.com</t>
  </si>
  <si>
    <t>Kyxata, Injection, 80 mg/8 mL (10 mg/mL) (NDC 83831-141-08)</t>
  </si>
  <si>
    <t>Kyxata, Injection, 500 mg/50 mL (10 mg/mL) (NDC 83831-142-50)</t>
  </si>
  <si>
    <t>Carboplatin, Injection, 450 mg/45 mL (NDC 50742-447-45)</t>
  </si>
  <si>
    <t>Carboplatin, Injection, 600 mg/60 mL (NDC 50742-448-60)</t>
  </si>
  <si>
    <t>Carboplatin, Injection, 10 mg/1 mL (NDC 16729-295-33)</t>
  </si>
  <si>
    <t>Estimated recovery: TBD/ NDC non-Exempt</t>
  </si>
  <si>
    <t>Carboplatin, Injection, 10 mg/1 mL (NDC 16729-295-31)</t>
  </si>
  <si>
    <t>Gland Pharma Limited</t>
  </si>
  <si>
    <t>Distributed by BPI Labs, LLC;  Customer service number:  (727) 471-0850 Ext 270</t>
  </si>
  <si>
    <t>Carboplatin, Injection, 50mg/5mL (NDC 54288-164-01)</t>
  </si>
  <si>
    <t>Discontinued; Distributed by BPI Labs, LLC</t>
  </si>
  <si>
    <t>Distributed by BPI Labs, LLC; Customer service number: (727) 471-0850 Ext 270</t>
  </si>
  <si>
    <t>Carboplatin, Injection, 150mg/15mL (NDC 54288-165-01)</t>
  </si>
  <si>
    <t>Distributed by BPI Labs, LLC</t>
  </si>
  <si>
    <t>Carboplatin, Injection, 450mg/45mL (NDC 54288-166-01)</t>
  </si>
  <si>
    <t>Carboplatin, Injection, 600 mg/65 mL (NDC 54288-167-01)</t>
  </si>
  <si>
    <t>Carboplatin, Injection, 450 mg/45 mL (NDC 55150-335-01)</t>
  </si>
  <si>
    <t>Carboplatin, Injection, 600 mg/60 mL (NDC 55150-386-01)</t>
  </si>
  <si>
    <t>Carboplatin, Injection, 10 mg/1 mL (NDC 16729-295-34)</t>
  </si>
  <si>
    <t>Carboplatin, Injection, 10 mg/1 mL (NDC 16729-295-12)</t>
  </si>
  <si>
    <t>Carboplatin, Injection, 10 mg/1 mL (NDC 63323-172-60)</t>
  </si>
  <si>
    <t>Next release December 2026. Check wholesalers for inventory.</t>
  </si>
  <si>
    <t>Carboplatin, Injection, 10 mg/1 mL (NDC 0703-4239-01)</t>
  </si>
  <si>
    <t>Carboplatin, Injection, 50 mg/5 mL (10 mg/mL) (NDC 61703-339-18)</t>
  </si>
  <si>
    <t>Limited Supply Available. Next Delivery: January 2027; Estimated Recovery: March 2027</t>
  </si>
  <si>
    <t>Carboplatin, Injection, 50 mg/5 mL (10 mg/mL) (NDC 61703-360-18)</t>
  </si>
  <si>
    <t>Carboplatin, Injection, 150 mg/15 mL (10 mg/mL) (NDC 61703-339-22)</t>
  </si>
  <si>
    <t>Carboplatin, Injection, 150 mg/15 mL (10 mg/mL) (NDC 61703-150-05)</t>
  </si>
  <si>
    <t>Carboplatin, Injection, 450 mg/45 mL (10 mg/mL) (NDC 61703-339-50)</t>
  </si>
  <si>
    <t>Limited Supply Available. Next Delivery and Estimated Recovery: December 2026</t>
  </si>
  <si>
    <t>Carboplatin, Injection, 450 mg/45 mL (10 mg/mL) (NDC 61703-262-05)</t>
  </si>
  <si>
    <t>Carboplatin, Injection, 600 mg/60 mL (10 mg/mL) (NDC 61703-339-56)</t>
  </si>
  <si>
    <t>Carboplatin, Injection, 600 mg/60 mL (10 mg/mL) (NDC 61703-600-05)</t>
  </si>
  <si>
    <t>Carboplatin, Injection, 10 mg/1 mL (NDC 0703-4244-01)</t>
  </si>
  <si>
    <t>Carboplatin, Injection, 10 mg/1 mL (NDC 0703-4246-01)</t>
  </si>
  <si>
    <t>Carboplatin, Injection, 10 mg/1 mL (NDC 0703-4248-01)</t>
  </si>
  <si>
    <t>Estimated recovery: March 2027</t>
  </si>
  <si>
    <t>Teyro Labs</t>
  </si>
  <si>
    <t>Apotex Inc.: 800-706-5575</t>
  </si>
  <si>
    <t>Carboplatin, Injection, 50 mg/5 mL (10 mg/mL) Multiple Dose Vial (NDC 60505-6282-1)</t>
  </si>
  <si>
    <t>Wholesaler &amp; Distributor through Marketing partner (Apotex Inc.); Discontinuation of the manufacture of the drug</t>
  </si>
  <si>
    <t>Carboplatin, Injection, 150 mg/15 mL (10 mg/mL) Multiple Dose Vial (NDC 60505-6282-3)</t>
  </si>
  <si>
    <t>Carboplatin, Injection, 450 mg/45 mL (10 mg/mL) Multiple Dose Vial (NDC 60505-6282-6)</t>
  </si>
  <si>
    <t>Carboplatin, Injection, 600 mg/60 mL (10 mg/mL) Multiple Dose Vial (NDC 60505-6282-7)</t>
  </si>
  <si>
    <t>Natco Pharma USA LLC: (201)786-6500</t>
  </si>
  <si>
    <t>Carboplatin, Injection, 50 mg/5 mL (NDC 69339-364-05)</t>
  </si>
  <si>
    <t>Carboplatin, Injection, 150 mg/15 mL (NDC 69339-365-15)</t>
  </si>
  <si>
    <t>Carboplatin, Injection, 450 mg/45 mL (NDC 69339-366-45)</t>
  </si>
  <si>
    <t>Carboplatin, Injection, 600 mg/60 mL (NDC 69339-367-60)</t>
  </si>
  <si>
    <t>Caspofungin Acetate Injection</t>
  </si>
  <si>
    <t>Jiangsu Hengrui Pharmaceuticals Co. (US Agent eVenus Pharmaceutical Laboratories, Inc.)</t>
  </si>
  <si>
    <t>Sandoz: 800-525-8747</t>
  </si>
  <si>
    <t>Caspofungin Acetate, Injection, 5 mg/1 mL (NDC 0781-3421-94)</t>
  </si>
  <si>
    <t>Marketed by Sandoz, Inc.; Discontinuation of the manufacture of the drug</t>
  </si>
  <si>
    <t>Caspofungin Acetate, Injection, 7 mg/1 mL (NDC 0781-3423-94)</t>
  </si>
  <si>
    <t>Caspofungin Acetate, Injection, 7 mg/1 mL (NDC 63323-358-10)</t>
  </si>
  <si>
    <t>Cefepime Hydrochloride Injection</t>
  </si>
  <si>
    <t>Cefepime Hydrochloride, Injection, 1 g (NDC 63323-326-20)</t>
  </si>
  <si>
    <t>Cefepime Hydrochloride, Injection, 2 g (NDC 63323-340-20)</t>
  </si>
  <si>
    <t>Cefotaxime Sodium Powder, for Solution</t>
  </si>
  <si>
    <t>Cefotaxime Sodium, Powder, for Solution, 500 mg (NDC 0143-9930-10)</t>
  </si>
  <si>
    <t>Anti-Infective; Pediatric</t>
  </si>
  <si>
    <t>Cefotaxime Sodium, Powder, for Solution, 1 g (NDC 0143-9931-25)</t>
  </si>
  <si>
    <t>Cefotaxime Sodium, Powder, for Solution, 2 g (NDC 0143-9933-25)</t>
  </si>
  <si>
    <t>Cefotaxime Sodium, Powder, for Solution, 10 g (NDC 0143-9935-01)</t>
  </si>
  <si>
    <t>SteriMax, Inc.</t>
  </si>
  <si>
    <t>800-881-3550</t>
  </si>
  <si>
    <t>Cefotaxime Sodium, Powder, for Solution, 2 g (NDC 21586-012-02)</t>
  </si>
  <si>
    <t>https://www.fda.gov/media/193116/download?attachment</t>
  </si>
  <si>
    <t>Cefotaxime Sodium, Powder, for Solution, 1 g (NDC 21586-011-02)</t>
  </si>
  <si>
    <t>Ceftazidime Injection</t>
  </si>
  <si>
    <t>Tazicef, Injection, 1 g (NDC 0409-5092-16)</t>
  </si>
  <si>
    <t>Tazicef, Injection, 2 g (NDC 0409-5093-11)</t>
  </si>
  <si>
    <t>Cetrorelix Acetate Injection</t>
  </si>
  <si>
    <t>Cetrorelix Acetate, Injection, Kit (NDC 0480-5795-08)</t>
  </si>
  <si>
    <t>Reproductive</t>
  </si>
  <si>
    <t>Chlorothiazide Oral Suspension</t>
  </si>
  <si>
    <t>Salix Pharmaceuticals, a division of Bausch Health US, LLC</t>
  </si>
  <si>
    <t>800-321-4576</t>
  </si>
  <si>
    <t>Diuril, Oral Suspension, 250 mg/5mL (NDC 65649-311-12)</t>
  </si>
  <si>
    <t>Cisatracurium Besylate Injection</t>
  </si>
  <si>
    <t>Cisatracurium Besylate, Injection, 20 mg/10 mL (2 mg/mL) Multidose Vial (NDC 0409-1208-01)</t>
  </si>
  <si>
    <t>Supply expected to exhaust late June 2026; Discontinuation of the manufacture of the drug</t>
  </si>
  <si>
    <t>Cisatracurium Besylate, Injection, 200 mg/20ml (10 mg/mL) Single Dose Vial (NDC 0409-1103-01)</t>
  </si>
  <si>
    <t>Cisatracurium Besylate, Injection, 10 mg/5ml (2 mg/mL) Single Dose Vial (NDC 0409-1098-02)</t>
  </si>
  <si>
    <t>Supply expected to exhaust November  2026; Discontinuation of the manufacture of the drug</t>
  </si>
  <si>
    <t>Clindamycin Hydrochloride Capsule</t>
  </si>
  <si>
    <t>Cleocin Hydrochloride, Capsule, 150 mg (NDC 0009-0225-02)</t>
  </si>
  <si>
    <t>Cleocin Hydrochloride, Capsule, 75 mg (NDC 0009-0331-02)</t>
  </si>
  <si>
    <t>Cleocin Hydrochloride, Capsule, 300 mg (NDC 0009-0395-14)</t>
  </si>
  <si>
    <t>Clindamycin Palmitate Hydrochloride Injection</t>
  </si>
  <si>
    <t>Amneal Pharmaceuticals</t>
  </si>
  <si>
    <t>866-525-7270</t>
  </si>
  <si>
    <t>Clindamycin Palmitate Hydrochloride, Injection, 75 mg/5 mL (NDC 53746-468-19)</t>
  </si>
  <si>
    <t>Clindamycin Phosphate Injection</t>
  </si>
  <si>
    <t>Cleocin Phosphate, Injection, Cleocin Phosphate 300 mg/2 mL (150 mg/mL) (NDC 0009-0870-26)</t>
  </si>
  <si>
    <t>Next Delivery and Estimated Recovery: December 2028; Shortage per Manufacturer: Manufacturing Delay</t>
  </si>
  <si>
    <t>https://www.accessdata.fda.gov/scripts/drugshortages/dsp_ActiveIngredientDetails.cfm?AI=Clindamycin%20Phosphate%20Injection&amp;st=d</t>
  </si>
  <si>
    <t>Cleocin Phosphate, Injection, Cleocin Phosphate 600 mg/4 mL (150 mg/mL) (NDC 0009-0775-26)</t>
  </si>
  <si>
    <t>Cleocin Phosphate, Injection, Cleocin Phosphate 900 mg/6 mL (150 mg/mL) (NDC 0009-0902-18)</t>
  </si>
  <si>
    <t>Clindamycin Phosphate, Injection, 150 mg/1 mL (NDC 25021-115-02)</t>
  </si>
  <si>
    <t>Clindamycin Phosphate, Injection, 150 mg/1 mL (NDC 25021-115-04)</t>
  </si>
  <si>
    <t>Clindamycin Phosphate, Injection, 150 mg/1 mL (NDC 25021-115-06)</t>
  </si>
  <si>
    <t>Clindamycin Phosphate, Injection, 300 mg/50 mL (NDC 0338-9545-50)</t>
  </si>
  <si>
    <t>Clindamycin Phosphate, Injection, 300 mg/50 mL (NDC 0338-9549-50)</t>
  </si>
  <si>
    <t>Clindamycin Phosphate, Injection, 900 mg/50 mL (NDC 0338-9553-50)</t>
  </si>
  <si>
    <t>Clindamycin Phosphate, Injection, 300 mg/50 mL (NDC 0338-3410-50)</t>
  </si>
  <si>
    <t>Clindamycin Phosphate, Injection, 600 mg/50 mL (NDC 0338-3612-50)</t>
  </si>
  <si>
    <t>Clindamycin Phosphate, Injection, 900 mg/50 mL (NDC 0338-3814-50)</t>
  </si>
  <si>
    <t>Clindamycin Phosphate In 5% Dextrose In Plastic Container, Injection, 6 mg/1 mL (NDC 0781-3288-09)</t>
  </si>
  <si>
    <t>Clindamycin Phosphate In 5% Dextrose In Plastic Container, Injection, 12 mg/1 mL (NDC 0781-3289-09)</t>
  </si>
  <si>
    <t>Clindamycin Phosphate In 5% Dextrose In Plastic Container, Injection, 18 mg/1 mL (NDC 0781-3290-09)</t>
  </si>
  <si>
    <t>Clindamycin Phosphate In 5% Dextrose In Plastic Container, Injection, 12 mg/1 mL (NDC 72572-074-24)</t>
  </si>
  <si>
    <t>Civica Label</t>
  </si>
  <si>
    <t>Clindamycin Phosphate In 5% Dextrose In Plastic Container, Injection, 18 mg/1 mL (NDC 72572-076-24)</t>
  </si>
  <si>
    <t>Cleocin Phosphate, Injection, 600 mg/4 mL (150 mg/mL); 4 mL Vial (NDC 0009-0775-26)</t>
  </si>
  <si>
    <t>Cleocin Phosphate, Injection, 300 mg/2 mL (150 mg/mL); 2 mL Vial (NDC 0009-0870-26)</t>
  </si>
  <si>
    <t>Cleocin Phosphate, Injection, 900 mg/6 mL (150 mg/mL); 6 mL Vial (NDC 0009-0902-18)</t>
  </si>
  <si>
    <t>Cleocin Phosphate, Injection, 300 mg/2 mL (150 mg/mL); 2 mL Vial NovaPlus (NDC 0009-3051-02)</t>
  </si>
  <si>
    <t>Cleocin Phosphate, Injection, 600 mg/4 mL (150 mg/mL); 4 mL Vial NovaPlus (NDC 0009-4073-04)</t>
  </si>
  <si>
    <t>Cleocin Phosphate, Injection, 900 mg/6 mL (150 mg/mL); 6 mL Vial NovaPlus (NDC 0009-5095-06)</t>
  </si>
  <si>
    <t>Clonazepam Tablet</t>
  </si>
  <si>
    <t>Rubicon Research Private Limited</t>
  </si>
  <si>
    <t>sales@advagenpharma.com</t>
  </si>
  <si>
    <t>Clonazepam, Tablet, .5 mg (NDC 72888-152-30)</t>
  </si>
  <si>
    <t>Marketed by Advagen Pharma Ltd.</t>
  </si>
  <si>
    <t>Neurology; Pediatric; Psychiatry</t>
  </si>
  <si>
    <t>Clonazepam, Tablet, .5 mg (NDC 72888-152-01)</t>
  </si>
  <si>
    <t>Clonazepam, Tablet, .5 mg (NDC 72888-152-05)</t>
  </si>
  <si>
    <t>Clonazepam, Tablet, 1 mg (NDC 72888-153-30)</t>
  </si>
  <si>
    <t>Clonazepam, Tablet, 1 mg (NDC 72888-153-01)</t>
  </si>
  <si>
    <t>Clonazepam, Tablet, 1 mg (NDC 72888-153-05)</t>
  </si>
  <si>
    <t>Clonazepam, Tablet, 2 mg (NDC 72888-154-30)</t>
  </si>
  <si>
    <t>Clonazepam, Tablet, 2 mg (NDC 72888-154-01)</t>
  </si>
  <si>
    <t>Clonazepam, Tablet, 2 mg (NDC 72888-154-05)</t>
  </si>
  <si>
    <t>Clonazepam, Tablet, .5 mg (NDC 72888-152-00)</t>
  </si>
  <si>
    <t>Clonazepam, Tablet, 1 mg (NDC 72888-153-00)</t>
  </si>
  <si>
    <t>866-850-2876</t>
  </si>
  <si>
    <t>Clonazepam, Tablet, .5 mg (NDC 59651-722-01)</t>
  </si>
  <si>
    <t>Clonazepam, Tablet, .5 mg (NDC 59651-722-99)</t>
  </si>
  <si>
    <t>Clonazepam, Tablet, 1 mg (NDC 59651-723-01)</t>
  </si>
  <si>
    <t>Clonazepam, Tablet, 1 mg (NDC 59651-723-99)</t>
  </si>
  <si>
    <t>Clonazepam, Tablet, 2 mg (NDC 59651-724-01)</t>
  </si>
  <si>
    <t>Clonazepam, Tablet, 2 mg (NDC 59651-724-05)</t>
  </si>
  <si>
    <t>Clonazepam, Tablet, .5 mg (NDC 16729-136-00)</t>
  </si>
  <si>
    <t>Clonazepam, Tablet, .5 mg (NDC 16729-136-16)</t>
  </si>
  <si>
    <t>Clonazepam, Tablet, 1 mg (NDC 16729-137-00)</t>
  </si>
  <si>
    <t>Clonazepam, Tablet, 1 mg (NDC 16729-137-16)</t>
  </si>
  <si>
    <t>Clonazepam, Tablet, 2 mg (NDC 16729-138-00)</t>
  </si>
  <si>
    <t>Clonazepam, Tablet, 2 mg (NDC 16729-138-16)</t>
  </si>
  <si>
    <t>Cheplapharm Arzneimittel GmbH</t>
  </si>
  <si>
    <t>orders@h2-pharma.com</t>
  </si>
  <si>
    <t>Klonopin, Tablet, .5 mg (NDC 61269-605-10)</t>
  </si>
  <si>
    <t>Marketed by H2-Pharma</t>
  </si>
  <si>
    <t>Klonopin, Tablet, 1 mg (NDC 61269-610-10)</t>
  </si>
  <si>
    <t>Klonopin, Tablet, 2 mg (NDC 61269-620-10)</t>
  </si>
  <si>
    <t>Estimated duration February 2027. Manufacturing delays. Marketed by H2-Pharma.</t>
  </si>
  <si>
    <t>Prinston Pharmaceutical, Inc.</t>
  </si>
  <si>
    <t>For orders, Solco Healthcare 866-931-9829</t>
  </si>
  <si>
    <t>Clonazepam, Tablet, .5 mg (NDC 43547-406-10)</t>
  </si>
  <si>
    <t>Marketed by Solco Healthcare</t>
  </si>
  <si>
    <t>Clonazepam, Tablet, .5 mg (NDC 43547-406-11)</t>
  </si>
  <si>
    <t>Clonazepam, Tablet, .5 mg (NDC 43547-406-50)</t>
  </si>
  <si>
    <t>Clonazepam, Tablet, 1 mg (NDC 43547-407-10)</t>
  </si>
  <si>
    <t>Clonazepam, Tablet, 1 mg (NDC 43547-407-11)</t>
  </si>
  <si>
    <t>Clonazepam, Tablet, 1 mg (NDC 43547-407-50)</t>
  </si>
  <si>
    <t>Clonazepam, Tablet, 2 mg (NDC 43547-408-10)</t>
  </si>
  <si>
    <t>Clonazepam, Tablet, 2 mg (NDC 43547-408-50)</t>
  </si>
  <si>
    <t>Clonazepam, Tablet, .5 mg (NDC 0093-0832-01)</t>
  </si>
  <si>
    <t>Clonazepam, Tablet, .5 mg (NDC 0093-0832-05)</t>
  </si>
  <si>
    <t>Clonazepam, Tablet, 1 mg (NDC 0093-3212-01)</t>
  </si>
  <si>
    <t>Clonazepam, Tablet, 1 mg (NDC 0093-3212-05)</t>
  </si>
  <si>
    <t>Clonazepam, Tablet, 2 mg (NDC 0093-3213-01)</t>
  </si>
  <si>
    <t>Clonazepam, Tablet, 2 mg (NDC 0093-3213-05)</t>
  </si>
  <si>
    <t>Conivaptan Hydrochloride Injection</t>
  </si>
  <si>
    <t>Cumberland Pharmaceuticals Inc.</t>
  </si>
  <si>
    <t>800-706-5575</t>
  </si>
  <si>
    <t>Vaprisol Dextrose In Plastic Container, Injection, 20 mg/100 mL (NDC 66220-160-10)</t>
  </si>
  <si>
    <t>Crinecerfont Capsule</t>
  </si>
  <si>
    <t>Neurocrine Biosciences, Inc.</t>
  </si>
  <si>
    <t>858-617-7600</t>
  </si>
  <si>
    <t>Crenessity, Capsule, 25 mg (NDC 70370-5025-1)</t>
  </si>
  <si>
    <t>Neurocrine is discontinuing only the 25 mg soft gel capsule dose strength (NDC 70370-5025-01). The 50mg and 100mg soft gel capsule dose strength (NDC 70370-5050-1 and 70370-5100-1), and 50 mg/mL oral solution will continue to be marketed (NDC 70370-5250-1).</t>
  </si>
  <si>
    <t>Cromolyn Sodium Concentrate</t>
  </si>
  <si>
    <t>Ailex Pharmaceuticals</t>
  </si>
  <si>
    <t>Distributed by Omnivium Pharmaceuticals LLC (888) 807-9195 or customerservice@omniviumpharma.com</t>
  </si>
  <si>
    <t>Cromolyn Sodium, Concentrate, 100 mg/5 mL (NDC 81665-104-96)</t>
  </si>
  <si>
    <t>Cromolyn Sodium, Concentrate, 100 mg/5 mL (NDC 69784-200-96)</t>
  </si>
  <si>
    <t>Cromolyn Sodium, Concentrate, 100 mg/5 mL (NDC 76204-025-96)</t>
  </si>
  <si>
    <t>(201) 961-9000 or contact@risingpharma.com</t>
  </si>
  <si>
    <t>Cromolyn Sodium, Concentrate, 100 mg/5 mL (NDC 16571-600-96)</t>
  </si>
  <si>
    <t>Micro Labs LTD</t>
  </si>
  <si>
    <t>(908) 484-7410</t>
  </si>
  <si>
    <t>Cromolyn Sodium, Concentrate, 100 mg/5 mL (NDC 42571-132-52)</t>
  </si>
  <si>
    <t>Mylan Specialty, a Viatris Company</t>
  </si>
  <si>
    <t>(800) 796-9526</t>
  </si>
  <si>
    <t>Gastrocrom, Concentrate, 20 mg/1 mL (NDC 0037-0678-96)</t>
  </si>
  <si>
    <t>Dacomitinib Tablet</t>
  </si>
  <si>
    <t>Vizimpro, Tablet, 15 mg (NDC 0069-0197-30)</t>
  </si>
  <si>
    <t>Vizimpro, Tablet, 30 mg (NDC 0069-1198-30)</t>
  </si>
  <si>
    <t>Vizimpro, Tablet, 45 mg (NDC 0069-2299-30)</t>
  </si>
  <si>
    <t>Dapsone Gel</t>
  </si>
  <si>
    <t>Dapsone, Gel, 7.5% (NDC 69238-1627-6)</t>
  </si>
  <si>
    <t>Daptomycin Injection</t>
  </si>
  <si>
    <t>609-395-8625 ext. 203</t>
  </si>
  <si>
    <t>Daptomycin, Injection, 500 mg/10 mL (NDC 0143-9378-01)</t>
  </si>
  <si>
    <t>Discontinuation of the manufacture of the drug; Marketed by Hikma Pharmaceuticals USA, Inc.</t>
  </si>
  <si>
    <t>Daptomycin, Injection, 500 mg/10 mL (NDC 57884-3151-1)</t>
  </si>
  <si>
    <t>Decitabine Injection</t>
  </si>
  <si>
    <t>Decitabine, Injection, 50 mg (NDC 50742-430-01)</t>
  </si>
  <si>
    <t>Decitabine, Injection, 50 mg (NDC 68001-573-41)</t>
  </si>
  <si>
    <t>Labeler: BluePoint Laboratories; Discontinuation of the manufacture of the drug</t>
  </si>
  <si>
    <t>Deferiprone Tablet</t>
  </si>
  <si>
    <t>Chiesi USA, Inc.</t>
  </si>
  <si>
    <t>888-466-6505</t>
  </si>
  <si>
    <t>Ferriprox, Tablet, 500 mg (NDC 10122-100-10)</t>
  </si>
  <si>
    <t>Dehydrated Alcohol Injection, Solution</t>
  </si>
  <si>
    <t>866-941-7875</t>
  </si>
  <si>
    <t>Dehydrated Alcohol, Injection, Solution, 1 mL/1 mL (10 pack) (NDC 16729-710-45)</t>
  </si>
  <si>
    <t>Accord is transitioning to the 5-pack configuration (NDC 16729-710-53).</t>
  </si>
  <si>
    <t>Desflurane Liquid for Inhalation</t>
  </si>
  <si>
    <t>Desflurane, Liquid for Inhalation, 240 mL/240 mL (NDC 0781-6172-86)</t>
  </si>
  <si>
    <t>Discontinuation of the manufacture of the drug; Distributed by Sandoz, Inc.</t>
  </si>
  <si>
    <t>Desmopressin Acetate Spray</t>
  </si>
  <si>
    <t>Ferring</t>
  </si>
  <si>
    <t>888-337-7464</t>
  </si>
  <si>
    <t>Desmopressin Acetate, Spray, 10 ug/.1 mL (NDC 69918-501-05)</t>
  </si>
  <si>
    <t>Stimate, Spray, 1.5 mg/1 mL (NDC 0053-6871-00)</t>
  </si>
  <si>
    <t>Ddavp, Spray, .1 ug/1 mL (NDC 55566-2500-0)</t>
  </si>
  <si>
    <t>Apotex Corp.</t>
  </si>
  <si>
    <t>Desmopressin Acetate (needs No Refrigeration), Spray, 10 ug (NDC 60505-0815-0)</t>
  </si>
  <si>
    <t>Dexamethasone Sodium Phosphate Injection</t>
  </si>
  <si>
    <t>Dexamethasone Sodium Phosphate, Injection, 10 mg/1 mL (NDC 55150-304-25)</t>
  </si>
  <si>
    <t>Dermatology; Endocrinology/Metabolism; Gastroenterology; Hematology; Neurology; Oncology; Ophthalmology; Other; Pulmonary/Allergy; Rheumatology</t>
  </si>
  <si>
    <t>Dexamethasone Sodium Phosphate, Injection, 4 mg/1 mL (NDC 76045-0210-10)</t>
  </si>
  <si>
    <t>Checkwholesalers for inventory</t>
  </si>
  <si>
    <t>Dexamethasone Sodium Phosphate, Injection, 10 mg/1 mL (NDC 76045-0212-10)</t>
  </si>
  <si>
    <t>Next release January 2027. Check wholesalers for inventory.</t>
  </si>
  <si>
    <t>Mylan Institutional, a Viatris Company</t>
  </si>
  <si>
    <t>800-796-9526</t>
  </si>
  <si>
    <t>Dexamethasone Sodium Phosphate, Injection, 4 mg/1 mL (NDC 67457-423-12)</t>
  </si>
  <si>
    <t>Dexamethasone Sodium Phosphate, Injection, 4 mg/1 mL (NDC 67457-422-54)</t>
  </si>
  <si>
    <t>Dexamethasone Sodium Phosphate, Injection, 4 mg/1 mL (NDC 67457-421-30)</t>
  </si>
  <si>
    <t>Dexamethasone Sodium Phosphate, Injection, 10 mg/1 mL (NDC 67457-420-10)</t>
  </si>
  <si>
    <t>732-554-1019</t>
  </si>
  <si>
    <t>Dexamethasone Sodium Phosphate Preservative Free, Injection, 10 mg/1 mL (NDC 70069-021-25)</t>
  </si>
  <si>
    <t>Dexamethasone Sodium Phosphate, Injection, 4 mg/1 mL (NDC 63323-165-05)</t>
  </si>
  <si>
    <t>Dexamethasone Sodium Phosphate, Injection, 10 mg/1 mL (NDC 63323-516-10)</t>
  </si>
  <si>
    <t>Dexamethasone Sodium Phosphate, Injection, 4 mg/1 mL (NDC 63323-165-30)</t>
  </si>
  <si>
    <t>Dexamethasone Sodium Phosphate, Injection, 4 mg/1 mL (NDC 63323-165-01)</t>
  </si>
  <si>
    <t>Dexamethasone Sodium Phosphate Preservative Free, Injection, 10 mg/1 mL (NDC 63323-506-01)</t>
  </si>
  <si>
    <t>Dexamethasone Sodium Phosphate, Injection, 4 mg/1 mL (NDC 0641-6145-25)</t>
  </si>
  <si>
    <t>Product temporarily on backorder.  Additional lots will be available in the November 2026 timeframe.</t>
  </si>
  <si>
    <t>Dexamethasone Sodium Phosphate, Injection, 4 mg/1 mL (NDC 0641-6146-25)</t>
  </si>
  <si>
    <t>Dexamethasone Sodium Phosphate, Injection, 10 mg/1 mL (NDC 0641-0367-25)</t>
  </si>
  <si>
    <t>Product will be made available as it is released.</t>
  </si>
  <si>
    <t>Dexamethasone Sodium Phosphate, Injection, 10 mg/1 mL (NDC 70069-025-10)</t>
  </si>
  <si>
    <t>Dexamethasone Sodium Phosphate, Injection, 10 mg/1 mL (NDC 76045-212-10)</t>
  </si>
  <si>
    <t>Dexamethasone Sodium Phosphate, Injection, 4 mg/1 mL (NDC 76045-210-10)</t>
  </si>
  <si>
    <t>Dexmedetomidine Hydrochloride Injection</t>
  </si>
  <si>
    <t>Dexmedetomidine Hydrochloride, Injection, 100 ug/1 mL (NDC 70069-758-04)</t>
  </si>
  <si>
    <t>Dexmedetomidine Hydrochloride, Injection, 100 ug/1 mL (NDC 70069-759-04)</t>
  </si>
  <si>
    <t>Slayback Pharma</t>
  </si>
  <si>
    <t>800-461-7449</t>
  </si>
  <si>
    <t>Dexmedetomidine Hydrochloride, Injection, 4 ug/1 mL (NDC 71225-126-05)</t>
  </si>
  <si>
    <t>Dexmedetomidine Hydrochloride, Injection, 4 ug/1 mL (NDC 71225-126-06)</t>
  </si>
  <si>
    <t>Azurity Pharmaceuticals, Inc</t>
  </si>
  <si>
    <t>877-495-6856</t>
  </si>
  <si>
    <t>Dexmedetomidine Hydrochloride, Injection, 200 mcg/50 mL (4 ug/1 mL) (NDC 72572-127-10)</t>
  </si>
  <si>
    <t>Distributed by Civica</t>
  </si>
  <si>
    <t>Dexmedetomidine Hydrochloride, Injection, 400 mcg/100 mL (4 ug/1 mL) (NDC 72572-128-08)</t>
  </si>
  <si>
    <t>See Related Information section below for customer service information</t>
  </si>
  <si>
    <t>Dexmedetomidine Hydrochloride, Injection, 200 mcg/2 mL (NDC 83634-600-02)</t>
  </si>
  <si>
    <t>Discontinuation of the manufacture of the drug; Distributed by Avenacy; Contact information: 877-283-6229</t>
  </si>
  <si>
    <t>Dexmedetomidine Hydrochloride, Injection, 100 ug/1 mL (NDC 16729-239-93)</t>
  </si>
  <si>
    <t>https://www.accessdata.fda.gov/scripts/drugshortages/dsp_ActiveIngredientDetails.cfm?AI=Dexmedetomidine%20Hydrochloride%20Injection&amp;st=d</t>
  </si>
  <si>
    <t>Dexmedetomidine Hydrochloride, Injection, 100 ug/1 mL (NDC 16729-432-93)</t>
  </si>
  <si>
    <t>Dexmedetomidine Hydrochloride, Injection, 100 ug/1 mL (NDC 55150-209-02)</t>
  </si>
  <si>
    <t>Dexmedetomidine Hydrochloride, Injection, 200 ug/50 mL (NDC 0338-9555-24)</t>
  </si>
  <si>
    <t>Dexmedetomidine Hydrochloride, Injection, 400 ug/100 mL (NDC 0338-9557-12)</t>
  </si>
  <si>
    <t>Dexmedetomidine Hydrochloride, Injection, 200 ug/50 mL (NDC 43066-555-24)</t>
  </si>
  <si>
    <t>Dexmedetomidine Hydrochloride, Injection, 400 ug/100 mL (NDC 43066-557-12)</t>
  </si>
  <si>
    <t>Dexmedetomidine Hydrochloride, Injection, 4 ug/1 mL (NDC 63323-671-20)</t>
  </si>
  <si>
    <t>Expected recovery: TBD</t>
  </si>
  <si>
    <t>Dexmedetomidine Hydrochloride, Injection, 4 ug/1 mL (NDC 63323-671-50)</t>
  </si>
  <si>
    <t>Dexmedetomidine Hydrochloride, Injection, 4 ug/1 mL (NDC 63323-671-00)</t>
  </si>
  <si>
    <t>Dexmedetomidine Hydrochloride, Injection, 100 ug/1 mL (NDC 63323-421-02)</t>
  </si>
  <si>
    <t>HQ Specialty Pharma</t>
  </si>
  <si>
    <t>WG Critical Care 888-493-0861</t>
  </si>
  <si>
    <t>Dexmedetomidine Hydrochloride, Injection, 100 ug/1 mL (NDC 44567-600-04)</t>
  </si>
  <si>
    <t>Marketed by WG Critical Care</t>
  </si>
  <si>
    <t>Dexmedetomidine Hydrochloride, Injection, 100 ug/1 mL (NDC 44567-601-04)</t>
  </si>
  <si>
    <t>Dexmedetomidine Hydrochloride, Injection, 4 ug/1 mL (NDC 44567-602-24)</t>
  </si>
  <si>
    <t>Dexmedetomidine Hydrochloride, Injection, 4 ug/1 mL (NDC 44567-603-24)</t>
  </si>
  <si>
    <t>Dexmedetomidine Hydrochloride, Injection, 100 ug/1 mL (NDC 67457-251-02)</t>
  </si>
  <si>
    <t>Par Health, USA LLC</t>
  </si>
  <si>
    <t>Dexmedetomidine Hydrochloride, Injection, 100 ug/1 mL (NDC 42023-146-25)</t>
  </si>
  <si>
    <t>Please check wholesalers for inventory</t>
  </si>
  <si>
    <t>Precedex, Injection, 80 mcg/20 mL (4 mcg/mL) (NDC 0409-1660-20)</t>
  </si>
  <si>
    <t>Precedex, Injection, 200 mcg/50 mL (4 mcg/mL) (NDC 0409-1660-50)</t>
  </si>
  <si>
    <t>Precedex, Injection, 400 mcg/100 mL (4 mcg/mL) (NDC 0409-1596-10)</t>
  </si>
  <si>
    <t>Precedex, Injection, 200 mcg/2 mL (100 mcg/mL) (NDC 0409-1638-02)</t>
  </si>
  <si>
    <t>Dexmedetomidine Hydrochloride, Injection, 200 mcg/50 mL (4 ug/1 mL) (NDC 52536-125-10)</t>
  </si>
  <si>
    <t>Dexmedetomidine Hydrochloride, Injection, 400 mcg/100 mL (4 ug/1 mL) (NDC 52536-126-08)</t>
  </si>
  <si>
    <t>Dexmedetomidine Hydrochloride, Injection, 4 ug/1 mL (NDC 42023-186-20)</t>
  </si>
  <si>
    <t>Dexmedetomidine Hydrochloride, Injection, 4 ug/1 mL (NDC 42023-187-10)</t>
  </si>
  <si>
    <t>Dexmedetomidine Hydrochloride, Injection, 200 ug/50 mL (NDC 67457-924-50)</t>
  </si>
  <si>
    <t>Dexmedetomidine Hydrochloride, Injection, 400 ug/100 mL (NDC 67457-925-10)</t>
  </si>
  <si>
    <t>Dexmedetomidine Hydrochloride, Injection, 4 ug/1 mL (NDC 70121-1388-8)</t>
  </si>
  <si>
    <t>Dexmedetomidine Hydrochloride, Injection, 4 ug/1 mL (NDC 70121-1389-7)</t>
  </si>
  <si>
    <t>Dexmedetomidine Hydrochloride, Injection, 4 ug/1 mL (NDC 55150-296-10)</t>
  </si>
  <si>
    <t>Dexmedetomidine Hydrochloride, Injection, 4 ug/1 mL (NDC 55150-297-10)</t>
  </si>
  <si>
    <t>Dexmedetomidine Hydrochloride, Injection, 4 ug/1 mL (NDC 43598-976-58)</t>
  </si>
  <si>
    <t>Dexmedetomidine Hydrochloride, Injection, 4 ug/1 mL (NDC 43598-975-58)</t>
  </si>
  <si>
    <t>Dexmedetomidine Hydrochloride, Injection, 100 ug/1 mL (NDC 71288-505-03)</t>
  </si>
  <si>
    <t>Precedex, Injection, 200 mcg/50 mL (NDC 0409-7838-24)</t>
  </si>
  <si>
    <t>Precedex, Injection, 400 mcg/100 mL (NDC 0409-7853-24)</t>
  </si>
  <si>
    <t>Precedex, Injection, 1000 mcg/250 mL (NDC 0409-7875-12)</t>
  </si>
  <si>
    <t>Precedex, Injection, 80 mcg/20 mL (4 mcg/mL) (NDC 0409-3301-10)</t>
  </si>
  <si>
    <t>Precedex, Injection, 200 mcg/50 mL (4 mcg/mL) (NDC 0409-4596-20)</t>
  </si>
  <si>
    <t>Precedex, Injection, 400 mcg/100 mL (4 mcg/mL) (NDC 0409-0155-02)</t>
  </si>
  <si>
    <t>Precedex, Injection, 400 mcg/100 mL (4 mcg/mL) (NDC 0409-1174-10)</t>
  </si>
  <si>
    <t>Precedex, Injection, 1000 mcg/250 mL Single Dose Glass Bottle (NDC 0409-1434-01)</t>
  </si>
  <si>
    <t>Precedex, Injection, 1000 mcg/250 mL Glass Bottle NovaPlus (NDC 0409-2815-01)</t>
  </si>
  <si>
    <t>Precedex, Injection, 200 mcg/50 mL (4 mcg/mL) (NDC 0409-1454-20)</t>
  </si>
  <si>
    <t>855-273-0154</t>
  </si>
  <si>
    <t>Dexmedetomidine Hydrochloride, Injection, 200 ug/2 mL (NDC 66794-230-42)</t>
  </si>
  <si>
    <t>Marketed by Piramal Critical Care Inc.: 800-414-1901</t>
  </si>
  <si>
    <t>Jiangsu Hengrui Pharmaceuticals Co., Ltd.</t>
  </si>
  <si>
    <t>Dexmedetomidine Hydrochloride, Injection, 80 mcg/20 mL (NDC 0781-3493-95)</t>
  </si>
  <si>
    <t>Marketed by Sandoz Inc.; Customer service: 800-525-8747</t>
  </si>
  <si>
    <t>Dexmedetomidine Hydrochloride, Injection, 200 mcg/50 mL (NDC 0781-3494-95)</t>
  </si>
  <si>
    <t>Dexmedetomidine Hydrochloride, Injection, 400 mcg/100 mL (NDC 0781-3495-95)</t>
  </si>
  <si>
    <t>Dexmedetomidine Hydrochloride, Injection, 100 ug/1 mL (NDC 0143-9532-25)</t>
  </si>
  <si>
    <t>877-835-5472</t>
  </si>
  <si>
    <t>Dexmedetomidine Hydrochloride, Injection, 4 mcg/mL, 50 mL (NDC 70121-1388-1)</t>
  </si>
  <si>
    <t>Dexmedetomidine Hydrochloride, Injection, 4 mcg/mL, 100 mL (NDC 70121-1389-1)</t>
  </si>
  <si>
    <t>Dextrose Monohydrate 10% Injection</t>
  </si>
  <si>
    <t>Dextrose 10% In Plastic Container, Injection, 100 g/1000 mL (NDC 0338-0023-02)</t>
  </si>
  <si>
    <t>Endocrinology/Metabolism; Gastroenterology; Other; Pediatric</t>
  </si>
  <si>
    <t>Dextrose 10% In Plastic Container, Injection, 100 g/1000 mL (NDC 0338-0023-03)</t>
  </si>
  <si>
    <t>Dextrose 10% In Plastic Container, Injection, 100 g/1000 mL (NDC 0338-0023-04)</t>
  </si>
  <si>
    <t>Dextrose Monohydrate 10%, Injection, 10 g/100 mL (NDC 0264-7520-00)</t>
  </si>
  <si>
    <t>Dextrose Monohydrate 10%, Injection, 10 g/100 mL (NDC 0264-7520-10)</t>
  </si>
  <si>
    <t>Dextrose Monohydrate 10%, Injection, 10 g/100 mL (NDC 0264-7520-20)</t>
  </si>
  <si>
    <t>Dextrose 10% In Plastic Container, Injection, 100 mg/1 mL (NDC 63323-824-74)</t>
  </si>
  <si>
    <t>Dextrose 10% In Plastic Container, Injection, 100 mg/1 mL (NDC 63323-824-75)</t>
  </si>
  <si>
    <t>Dextrose 10% In Plastic Container, Injection, 100 mg/1 mL (NDC 63323-824-76)</t>
  </si>
  <si>
    <t>Dextrose 10% In Plastic Container, Injection, 10 g/100 mL (NDC 0990-7930-02)</t>
  </si>
  <si>
    <t>Dextrose 10% In Plastic Container, Injection, 10 g/100 mL (NDC 0990-7930-03)</t>
  </si>
  <si>
    <t>Dextrose 10% In Plastic Container, Injection, 10 g/100 mL (NDC 0990-7930-09)</t>
  </si>
  <si>
    <t>Dextrose 10% In Plastic Container, Injection, 10 g/100 mL (NDC 0990-7938-19)</t>
  </si>
  <si>
    <t>Product discontinued. This product is distributed by ICU Medical. For questions regarding this product, please contact ICU Medical.</t>
  </si>
  <si>
    <t>Dextrose Monohydrate 5% Injection</t>
  </si>
  <si>
    <t>Dextrose 5% In Plastic Container, Injection, 50 mg/1 mL (NDC 65219-464-50)</t>
  </si>
  <si>
    <t>Dextrose 5% In Plastic Container, Injection, 50 mg/1 mL (NDC 65219-458-30)</t>
  </si>
  <si>
    <t>Dextrose 5% In Plastic Container, Injection, 50 mg/1 mL (NDC 65219-460-20)</t>
  </si>
  <si>
    <t>Dextrose 5% In Plastic Container, Injection, 50 mg/1 mL (NDC 65219-462-10)</t>
  </si>
  <si>
    <t>Dextrose 5% In Plastic Container, Injection, 50 mg/1 mL (NDC 65219-456-60)</t>
  </si>
  <si>
    <t>Dextrose 5% In Plastic Container, Injection, 5 g/100 mL (NDC 0990-7922-02)</t>
  </si>
  <si>
    <t>Dextrose 5% In Plastic Container, Injection, 5 g/100 mL (NDC 0990-7922-61)</t>
  </si>
  <si>
    <t>Dextrose 5% In Plastic Container, Injection, 5 g/100 mL (NDC 0990-7923-13)</t>
  </si>
  <si>
    <t>Dextrose 5% In Plastic Container, Injection, 5 g/100 mL (NDC 0990-7923-20)</t>
  </si>
  <si>
    <t>Dextrose 5% In Plastic Container, Injection, 5 g/100 mL (NDC 0990-7923-23)</t>
  </si>
  <si>
    <t>Dextrose 5% In Plastic Container, Injection, 5 g/100 mL (NDC 0990-7923-36)</t>
  </si>
  <si>
    <t>Dextrose 5% In Plastic Container, Injection, 5 g/100 mL (NDC 0990-7923-37)</t>
  </si>
  <si>
    <t>Dextrose 5% In Plastic Container, Injection, 50 g/1000 mL (NDC 0338-0017-10)</t>
  </si>
  <si>
    <t>Dextrose 5% In Plastic Container, Injection, 50 g/1000 mL (NDC 0338-0017-41)</t>
  </si>
  <si>
    <t>Dextrose 5% In Plastic Container, Injection, 50 g/1000 mL (NDC 0338-0017-11)</t>
  </si>
  <si>
    <t>Dextrose 5% In Plastic Container, Injection, 50 g/1000 mL (NDC 0338-0017-31)</t>
  </si>
  <si>
    <t>Dextrose 5% In Plastic Container, Injection, 50 g/1000 mL (NDC 0338-0017-48)</t>
  </si>
  <si>
    <t>Dextrose 5% In Plastic Container, Injection, 50 g/1000 mL (NDC 0338-0017-18)</t>
  </si>
  <si>
    <t>Dextrose 5% In Plastic Container, Injection, 50 g/1000 mL (NDC 0338-0017-38)</t>
  </si>
  <si>
    <t>Dextrose 5% In Plastic Container, Injection, 5 g/100 mL (NDC 0338-0551-11)</t>
  </si>
  <si>
    <t>Dextrose 5% In Plastic Container, Injection, 2.5 g/50 mL (NDC 0338-9664-40)</t>
  </si>
  <si>
    <t>Dextrose 5% In Plastic Container, Injection, 5 g/100 mL (NDC 0338-9666-35)</t>
  </si>
  <si>
    <t>Dextrose 5% In Plastic Container, Injection, 5 g/100 mL (NDC 0338-0551-18)</t>
  </si>
  <si>
    <t>Dextrose 5% In Plastic Container, Injection, 5 g/100 mL (NDC 0338-0070-10)</t>
  </si>
  <si>
    <t>Dextrose 5% In Plastic Container, Injection, 50 g/1000 mL (NDC 0338-0017-02)</t>
  </si>
  <si>
    <t>Dextrose 5% In Plastic Container, Injection, 50 g/1000 mL (NDC 0338-0017-03)</t>
  </si>
  <si>
    <t>Dextrose Monohydrate 5%, Injection, 5 g/100 mL (NDC 0264-7510-10)</t>
  </si>
  <si>
    <t>Dextrose Monohydrate 5%, Injection, 5 g/100 mL (NDC 0264-7510-00)</t>
  </si>
  <si>
    <t>Dextrose Monohydrate 5%, Injection, 5 g/100 mL (NDC 0264-7510-20)</t>
  </si>
  <si>
    <t>Dextrose 5% In Plastic Container, Injection, 50 mg/1 mL (NDC 0264-1510-32)</t>
  </si>
  <si>
    <t>Dextrose 5% In Plastic Container, Injection, 50 mg/1 mL (NDC 0264-1510-31)</t>
  </si>
  <si>
    <t>Dextrose 5% In Plastic Container, Injection, 5 g/100 mL (NDC 0990-7922-03)</t>
  </si>
  <si>
    <t>Dextrose 5% In Plastic Container, Injection, 5 g/100 mL (NDC 0990-7922-55)</t>
  </si>
  <si>
    <t>Dextrose 5% In Plastic Container, Injection, 5 g/100 mL (NDC 0990-7922-09)</t>
  </si>
  <si>
    <t>Dextrose 5% In Plastic Container, Injection, 5 g/100 mL (NDC 0338-0078-20)</t>
  </si>
  <si>
    <t>Dextrose 5% In Plastic Container, Injection, 5 g/100 mL (NDC 0338-0074-30)</t>
  </si>
  <si>
    <t>Dextrose Monohydrate 50% Injection</t>
  </si>
  <si>
    <t>Dextrose Monohydrate 50%, Injection, 25 g/50 mL (NDC 76329-3302-1)</t>
  </si>
  <si>
    <t>Endocrinology/Metabolism; Gastroenterology; Pediatric</t>
  </si>
  <si>
    <t>Dextrose Monohydrate 50%, Injection, 25 g/50 mL (NDC 0409-7517-16)</t>
  </si>
  <si>
    <t>Next Delivery: October 2026; Estimated Recovery: March 2027; Shortage per Manufacturer: Manufacturing Delay</t>
  </si>
  <si>
    <t>Dextrose Monohydrate 50%, Injection, 25 g/50 mL (NDC 0409-6648-02)</t>
  </si>
  <si>
    <t>Next Delivery: November 2026; Estimated Recovery: December 2026. Shortage per Manufacturer: Manufacturing Delay</t>
  </si>
  <si>
    <t>Dextrose Monohydrate 50%, Injection, 50% Dextrose Injection 0.5 g/mL; ABBOJECT® Glass Syringe (NDC 0409-4902-34)</t>
  </si>
  <si>
    <t>Dextrose Monohydrate 70% Injection</t>
  </si>
  <si>
    <t>DEXTROSE 70% IN PLASTIC CONTAINER, Injection, 70 g/100 mL (NDC 0990-7120-07)</t>
  </si>
  <si>
    <t>Dextrose Monohydrate 70%, Injection, 70 g/100 mL (NDC 0264-7387-50)</t>
  </si>
  <si>
    <t>DEXTROSE 70% IN PLASTIC CONTAINER, Injection, 70 g/100 mL (NDC 0990-7918-19)</t>
  </si>
  <si>
    <t>Dextrose Monohydrate 70%, Injection, 70 g/100 mL (NDC 0338-0719-06)</t>
  </si>
  <si>
    <t>Dextrose Monohydrate, Sodium Chloride, Sodium Lactate, Calcium Chloride, Magnesium Chloride Solution</t>
  </si>
  <si>
    <t>Fresenius Medical Care North America</t>
  </si>
  <si>
    <t>800-323-5188</t>
  </si>
  <si>
    <t>DELFLEX, Solution, 18.4 mg/100 mL; 4.25 g/100 mL; 5.08 mg/100 mL; 538 mg/100 mL; 448 mg/100 mL (NDC 46163-212-95)</t>
  </si>
  <si>
    <t>Diclofenac Sodium Tablet, Delayed Release</t>
  </si>
  <si>
    <t>Diclofenac Sodium, Tablet, Delayed Release, 50 mg (NDC 0228-2550-06)</t>
  </si>
  <si>
    <t>Musculoskeletal; Rheumatology</t>
  </si>
  <si>
    <t>Diclofenac Sodium, Tablet, Delayed Release, 50 mg (NDC 0228-2550-11)</t>
  </si>
  <si>
    <t>Diclofenac Sodium, Tablet, Delayed Release, 50 mg (NDC 0228-2550-96)</t>
  </si>
  <si>
    <t>Diclofenac Sodium, Tablet, Delayed Release, 75 mg (NDC 0228-2551-06)</t>
  </si>
  <si>
    <t>Diclofenac Sodium, Tablet, Delayed Release, 75 mg (NDC 0228-2551-11)</t>
  </si>
  <si>
    <t>Diclofenac Sodium, Tablet, Delayed Release, 75 mg (NDC 0228-2551-96)</t>
  </si>
  <si>
    <t>Diltiazem Hydrochloride Injection</t>
  </si>
  <si>
    <t xml:space="preserve">844-646-4398 </t>
  </si>
  <si>
    <t>Diltiazem Hydrochloride, Injection, 100 mg Single Dose ADD-Vantage® Glass Vial (NDC 0409-4350-03)</t>
  </si>
  <si>
    <t>Disopyramide Phosphate Capsule, Extended Release</t>
  </si>
  <si>
    <t>Norpace CR, Capsule, Extended Release, 100 mg (NDC 0025-2732-31)</t>
  </si>
  <si>
    <t>Norpace CR, Capsule, Extended Release, 150 mg (NDC 0025-2742-31)</t>
  </si>
  <si>
    <t>Dobutamine Hydrochloride Injection</t>
  </si>
  <si>
    <t>Dobutamine Hydrochloride In Dextrose 5% In Plastic Container, Injection, 1,000 mg/250mL (4 mg/mL) (NDC 0409-1100-10)</t>
  </si>
  <si>
    <t>Cardiovascular; Pediatric; Renal</t>
  </si>
  <si>
    <t>Dobutamine Hydrochloride In Dextrose 5% In Plastic Container, Injection, 500 mg/250mL (2 mg/mL) (NDC 0409-0151-10)</t>
  </si>
  <si>
    <t>Dobutamine Hydrochloride In Dextrose 5% In Plastic Container, Injection, 250 mg/250mL (1 mg/mL) (NDC 0409-0025-10)</t>
  </si>
  <si>
    <t>Dobutamine Hydrochloride In Dextrose 5% In Plastic Container, Injection, 200 mg/100 mL (NDC 0338-1075-02)</t>
  </si>
  <si>
    <t>Dobutamine Hydrochloride In Dextrose 5% In Plastic Container, Injection, 400 mg/100 mL (NDC 0338-1077-02)</t>
  </si>
  <si>
    <t>Hainan Poly Pharm. Co., Ltd.</t>
  </si>
  <si>
    <t>Slate Run Pharmaceuticals, LLC: 844-529-8988</t>
  </si>
  <si>
    <t>Dobutamine Hydrochloride, Injection, 250 mg/20 mL (NDC 70436-203-80)</t>
  </si>
  <si>
    <t>Dobutamine Hydrochloride, Injection, 250 mg/20mL (12.5 mg/1 mL) (NDC 0409-2344-88)</t>
  </si>
  <si>
    <t>Next Delivery and Estimated Recovery: December 2027; Shortage per Manufacturer: Manufacturing Delay</t>
  </si>
  <si>
    <t>Dobutamine Hydrochloride, Injection, 250 mg/20mL (12.5 mg/1 mL) (NDC 0409-2344-01)</t>
  </si>
  <si>
    <t>Dobutamine Hydrochloride, Injection, 250 mg/20mL (12.5 mg/1 mL) (NDC 0409-2344-02)</t>
  </si>
  <si>
    <t>Dobutamine Hydrochloride In Dextrose 5% In Plastic Container, Injection, 100 mg/100 mL (NDC 0338-1073-02)</t>
  </si>
  <si>
    <t>Docetaxel Injection</t>
  </si>
  <si>
    <t>Docetaxel, Injection, 10 mg/1 mL (NDC 50742-431-08)</t>
  </si>
  <si>
    <t>Docetaxel, Injection, 10 mg/1 mL (NDC 50742-463-16)</t>
  </si>
  <si>
    <t>Donepezil Hydrochloride; Memantine Hydrochloride Capsule, Extended Release</t>
  </si>
  <si>
    <t>Donepezil Hydrochloride; Memantine Hydrochloride, Capsule, Extended Release, 10 mg; 28 mg (NDC 69238-1247-3)</t>
  </si>
  <si>
    <t>Donepezil Hydrochloride; Memantine Hydrochloride, Capsule, Extended Release, 10 mg; 14 mg (NDC 69238-1248-3)</t>
  </si>
  <si>
    <t>Dopamine Hydrochloride Injection</t>
  </si>
  <si>
    <t>Dopamine Hydrochloride In Dextrose 5% In Plastic Container, Injection, 400 mg/250 mL (1.6 mg/1 mL) (NDC 0409-0042-12)</t>
  </si>
  <si>
    <t>Dopamine Hydrochloride In Dextrose 5% In Plastic Container, Injection, 800 mg/250 mL (3.2 mg/1 mL) (NDC 0409-1858-12)</t>
  </si>
  <si>
    <t>Dopamine Hydrochloride In Dextrose 5% In Plastic Container, Injection, 80 mg/100 mL (NDC 0338-1005-03)</t>
  </si>
  <si>
    <t>Dopamine Hydrochloride In Dextrose 5% In Plastic Container, Injection, 160 mg/100 mL (NDC 0338-1007-02)</t>
  </si>
  <si>
    <t>Dopamine Hydrochloride In Dextrose 5% In Plastic Container, Injection, 160 mg/100 mL (NDC 0338-1007-03)</t>
  </si>
  <si>
    <t>Dopamine Hydrochloride In Dextrose 5% In Plastic Container, Injection, 80 mg/100 mL (NDC 0338-1005-02)</t>
  </si>
  <si>
    <t>Dopamine Hydrochloride In Dextrose 5% In Plastic Container, Injection, 800 mg/500 mL (1.6 mg/1 mL) (NDC 0409-7809-24)</t>
  </si>
  <si>
    <t>Dopamine Hydrochloride, Injection, 200 mg/5mL (40 mg/1 mL) (NDC 0409-5820-01)</t>
  </si>
  <si>
    <t>Dopamine Hydrochloride, Injection, 400 mg/10mL (40 mg/1 mL) (NDC 0409-9104-20)</t>
  </si>
  <si>
    <t>Dopamine Hydrochloride, Injection, 40 mg/1 mL (NDC 0143-9252-25)</t>
  </si>
  <si>
    <t>Dopamine Hydrochloride, Injection, 40 mg/1 mL (NDC 0143-9254-25)</t>
  </si>
  <si>
    <t>Doxercalciferol Injection</t>
  </si>
  <si>
    <t>Sanofi-Aventis U.S. LLC</t>
  </si>
  <si>
    <t>800-633-1610</t>
  </si>
  <si>
    <t>Hectorol, Injection, 4 mcg/2 mL injection 50 single-dose vials (NDC 58468-0123-1)</t>
  </si>
  <si>
    <t>Hectorol, Injection, 2 mcg/mL injection 50 single-dose vials (NDC 58468-0126-1)</t>
  </si>
  <si>
    <t>Hectorol, Injection, 4 mcg/2 mL injection 50 multiple-dose vials (NDC 58468-0127-1)</t>
  </si>
  <si>
    <t>Doxycycline Hyclate Tablet</t>
  </si>
  <si>
    <t>Mylan Pharmaceuticals Inc., a Viatris Company</t>
  </si>
  <si>
    <t>Doxycycline Hyclate, Tablet, 100 mg (NDC 0378-0167-02)</t>
  </si>
  <si>
    <t>Doxycycline Hyclate, Tablet, 100 mg (NDC 0378-0167-13)</t>
  </si>
  <si>
    <t>Doxycycline Hyclate Tablet, Delayed Release</t>
  </si>
  <si>
    <t>Doxycycline Hyclate, Tablet, Delayed Release, 50 mg (NDC 0591-4550-22)</t>
  </si>
  <si>
    <t>Doxycycline Hyclate, Tablet, Delayed Release, 200 mg (NDC 0591-4575-60)</t>
  </si>
  <si>
    <t>Doxylamine Succinate and Pyridoxine  Hydrochloride Tablet, Delayed Release</t>
  </si>
  <si>
    <t>Doxylamine Succinate and Pyridoxine  Hydrochloride, Tablet, Delayed Release, 10 mg; 10 mg (NDC 0378-4615-01)</t>
  </si>
  <si>
    <t>Echothiophate Iodide Ophthalmic Solution</t>
  </si>
  <si>
    <t>Fera Pharmaceuticals</t>
  </si>
  <si>
    <t>516-277-1449</t>
  </si>
  <si>
    <t>Phospholine Iodide, Ophthalmic Solution, 0.125% (NDC 48102-053-05)</t>
  </si>
  <si>
    <t>Available through limited distribution by Walgreens Specialty Pharmacy.</t>
  </si>
  <si>
    <t>Emtricitabine Capsule</t>
  </si>
  <si>
    <t>Gilead Sciences, Inc.</t>
  </si>
  <si>
    <t>800-445-3235</t>
  </si>
  <si>
    <t>Emtriva, Capsule, 200 mg (NDC 61958-0601-1)</t>
  </si>
  <si>
    <t>Product expected to be available until March 2027</t>
  </si>
  <si>
    <t>Emtricitabine Oral Solution</t>
  </si>
  <si>
    <t>Emtriva, Oral Solution, 10 mg/1 mL (NDC 61958-0602-1)</t>
  </si>
  <si>
    <t>Enoxaparin Sodium Injection</t>
  </si>
  <si>
    <t>Lovenox, Injection, 40 mg/.4 mL (NDC 0075-0620-40)</t>
  </si>
  <si>
    <t>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t>
  </si>
  <si>
    <t>800-631-1610</t>
  </si>
  <si>
    <t>Lovenox, Injection, 60 mg/.6 mL (NDC 0075-0621-60)</t>
  </si>
  <si>
    <t>Lovenox, Injection, 80 mg/.8 mL (NDC 0075-0622-80)</t>
  </si>
  <si>
    <t>Lovenox, Injection, 100 mg/1 mL (NDC 0075-0623-00)</t>
  </si>
  <si>
    <t>Lovenox, Injection, 30 mg/.3 mL (NDC 0075-0624-30)</t>
  </si>
  <si>
    <t>Lovenox, Injection, 300 mg/3 mL (NDC 0075-0626-03)</t>
  </si>
  <si>
    <t>Lovenox, Injection, 120 mg/.8 mL (NDC 0075-2912-01)</t>
  </si>
  <si>
    <t>Lovenox, Injection, 150 mg/1 mL (NDC 0075-2915-01)</t>
  </si>
  <si>
    <t>Lovenox, Injection, 30 mg/.3 mL (NDC 0075-8013-10)</t>
  </si>
  <si>
    <t>Lovenox, Injection, 40 mg/.4 mL (NDC 0075-8014-10)</t>
  </si>
  <si>
    <t>Lovenox, Injection, 60 mg/.6 mL (NDC 0075-8016-10)</t>
  </si>
  <si>
    <t>Lovenox, Injection, 80 mg/.8 mL (NDC 0075-8018-10)</t>
  </si>
  <si>
    <t>Lovenox, Injection, 100 mg/1 mL (NDC 0075-8020-10)</t>
  </si>
  <si>
    <t>Lovenox, Injection, 120 mg/.8 mL (NDC 0075-8022-10)</t>
  </si>
  <si>
    <t>Lovenox, Injection, 150 mg/1 mL (NDC 0075-8025-10)</t>
  </si>
  <si>
    <t>Lovenox, Injection, 300 mg/3 mL (NDC 0075-8030-01)</t>
  </si>
  <si>
    <t>Enoxaparin Sodium, Injection, 30 mg/.3 mL (NDC 0955-1003-10)</t>
  </si>
  <si>
    <t>Enoxaparin Sodium, Injection, 40 mg/.4 mL (NDC 0955-1004-10)</t>
  </si>
  <si>
    <t>Enoxaparin Sodium, Injection, 60 mg/.6 mL (NDC 0955-1006-10)</t>
  </si>
  <si>
    <t>Enoxaparin Sodium, Injection, 80 mg/.8 mL (NDC 0955-1008-10)</t>
  </si>
  <si>
    <t>Enoxaparin Sodium, Injection, 100 mg/1 mL (NDC 0955-1010-10)</t>
  </si>
  <si>
    <t>Enoxaparin Sodium, Injection, 120 mg/.8 mL (NDC 0955-1012-10)</t>
  </si>
  <si>
    <t>Enoxaparin Sodium, Injection, 150 mg/1 mL (NDC 0955-1015-10)</t>
  </si>
  <si>
    <t>Enoxaparin Sodium, Injection, 300 mg/3 mL (NDC 0955-1016-01)</t>
  </si>
  <si>
    <t>Epinephrine Bitartrate, Lidocaine Hydrochloride Injection</t>
  </si>
  <si>
    <t>Xylocaine, Injection, .01 mg/1 mL; 10 mg/1 mL (NDC 63323-482-17)</t>
  </si>
  <si>
    <t>Anesthesia; Pediatric</t>
  </si>
  <si>
    <t>Xylocaine, Injection, .005 mg/1 mL; 10 mg/1 mL (NDC 63323-487-17)</t>
  </si>
  <si>
    <t>Xylocaine, Injection, .005 mg/1 mL; 15 mg/1 mL (NDC 63323-488-17)</t>
  </si>
  <si>
    <t>Xylocaine, Injection, .005 mg/1 mL; 20 mg/1 mL (NDC 63323-489-17)</t>
  </si>
  <si>
    <t>Lidocaine Hydrochloride And Epinephrine, Injection, 250 mg/50 mL (0.5%; 1:200,000) (NDC 0409-3177-01)</t>
  </si>
  <si>
    <t>Lidocaine Hydrochloride And Epinephrine, Injection, 200 mg/20 mL (1%; 1:100,000) (NDC 0409-3178-01)</t>
  </si>
  <si>
    <t>Lidocaine Hydrochloride And Epinephrine, Injection, 300 mg/30 mL (1%; 1:100,000) (NDC 0409-3178-02)</t>
  </si>
  <si>
    <t>Next Delivery: January 2027; Estimated Recovery: June 2027; Shortage per Manufacturer: Manufacturing Delay</t>
  </si>
  <si>
    <t>Lidocaine Hydrochloride And Epinephrine, Injection, 500 mg/50 mL (1%; 1:100,000) (NDC 0409-3178-03)</t>
  </si>
  <si>
    <t>Limited Supply Available. Next Delivery: April 2027; Estimated Recovery: June 2027; Shortage per Manufacturer: Manufacturing Delay</t>
  </si>
  <si>
    <t>Lidocaine Hydrochloride And Epinephrine, Injection, 75 mg/5 mL (1.5%; 1:200,000) (NDC 0409-1209-01)</t>
  </si>
  <si>
    <t>Lidocaine Hydrochloride And Epinephrine, Injection, 450 mg/30 mL (1.5%; 1:200,000) (NDC 0409-3181-01)</t>
  </si>
  <si>
    <t>Limited Availalbility</t>
  </si>
  <si>
    <t>Limited Supply Available. Next Delivery and Estimated Recovery: June 2027; Shortage per Manufacturer: Manufacturing Delay</t>
  </si>
  <si>
    <t>Lidocaine Hydrochloride And Epinephrine, Injection, 400 mg/20 mL (2%; 1:100,000) (NDC 0409-3182-01)</t>
  </si>
  <si>
    <t>Lidocaine Hydrochloride and Epinephrine, Injection, 600 mg/30 mL (2%; 1:100,000) (NDC 0409-3182-02)</t>
  </si>
  <si>
    <t>Lidocaine Hydrochloride And Epinephrine, Injection, 1 g/50 mL (2%; 1:100,000) (NDC 0409-3182-03)</t>
  </si>
  <si>
    <t>Lidocaine Hydrochloride And Epinephrine, Injection, 400 mg/20 mL (2%; 1:200,000) (NDC 0409-3183-01)</t>
  </si>
  <si>
    <t>Limited Supply Available. Next Delivery: January 2027; Estimated Recovery: March 2027; Shortage per Manufacturer: Manufacturing Delay</t>
  </si>
  <si>
    <t>Xylocaine, Injection, .005 mg/1 mL; 5 mg/1 mL (NDC 63323-481-57)</t>
  </si>
  <si>
    <t>Xylocaine, Injection, .01 mg/1 mL; 10 mg/1 mL (NDC 63323-482-27)</t>
  </si>
  <si>
    <t>Xylocaine, Injection, .01 mg/1 mL; 10 mg/1 mL (NDC 63323-482-57)</t>
  </si>
  <si>
    <t>Xylocaine, Injection, .01 mg/1 mL; 20 mg/1 mL (NDC 63323-483-27)</t>
  </si>
  <si>
    <t>Xylocaine, Injection, .01 mg/1 mL; 20 mg/1 mL (NDC 63323-483-57)</t>
  </si>
  <si>
    <t>Xylocaine, Injection, .005 mg/1 mL; 10 mg/1 mL (NDC 63323-487-37)</t>
  </si>
  <si>
    <t>Xylocaine, Injection, .005 mg/1 mL; 15 mg/1 mL (NDC 63323-488-37)</t>
  </si>
  <si>
    <t>Xylocaine, Injection, .005 mg/1 mL; 20 mg/1 mL (NDC 63323-489-27)</t>
  </si>
  <si>
    <t>Epinephrine Injection</t>
  </si>
  <si>
    <t>Epinephrine, Injection, .1 mg/1 mL (NDC 0409-4933-01)</t>
  </si>
  <si>
    <t>Epinephrine, Injection, .1 mg/1 mL (NDC 0409-4933-10)</t>
  </si>
  <si>
    <t>Etomidate Injection</t>
  </si>
  <si>
    <t>Caplin Steriles, Ltd.</t>
  </si>
  <si>
    <t>908-803-2586</t>
  </si>
  <si>
    <t>Etomidate, Injection, 2 mg/mL (NDC 72485-508-10)</t>
  </si>
  <si>
    <t>Etomidate, Injection, 2 mg/mL (NDC 72485-509-10)</t>
  </si>
  <si>
    <t>Etomidate, Injection, 20 mg/10 mL (NDC 55150-221-10)</t>
  </si>
  <si>
    <t>Etomidate, Injection, 40 mg/20 mL (NDC 55150-222-20)</t>
  </si>
  <si>
    <t>833-291-9645</t>
  </si>
  <si>
    <t>Etomidate, Injection, 2 mg/1 mL (NDC 72266-146-10)</t>
  </si>
  <si>
    <t>Distributed by Fosun Pharma USA, Inc.. To order, contact: 833-291-9645.</t>
  </si>
  <si>
    <t>Etomidate, Injection, 2 mg/1 mL (NDC 72266-147-10)</t>
  </si>
  <si>
    <t>Etomidate, Injection, 2 mg/1 mL (NDC 0143-9506-10)</t>
  </si>
  <si>
    <t>Etomidate, Injection, 2 mg/1 mL (NDC 0143-9507-10)</t>
  </si>
  <si>
    <t>Etomidate, Injection, 2 mg/1 mL (NDC 0143-9310-10)</t>
  </si>
  <si>
    <t>Novaplus label</t>
  </si>
  <si>
    <t>Etomidate, Injection, 2 mg/1 mL (NDC 0143-9311-10)</t>
  </si>
  <si>
    <t>Etomidate, Injection, 2 mg/1 mL (NDC 67457-902-10)</t>
  </si>
  <si>
    <t>Etomidate, Injection, 2 mg/1 mL (NDC 67457-903-20)</t>
  </si>
  <si>
    <t>Amidate, Injection, 2 mg/1 mL (NDC 0409-6695-01)</t>
  </si>
  <si>
    <t>Amidate, Injection, 2 mg/mL (NDC 0409-6695-02)</t>
  </si>
  <si>
    <t>800-551-7176</t>
  </si>
  <si>
    <t>Etomidate, Injection, 2mg/1 mL (NDC 65219-445-10)</t>
  </si>
  <si>
    <t>Check wholesalers for inventory; Marketed by Fresenius Kabi</t>
  </si>
  <si>
    <t>Etomidate, Injection, 2mg/mL (NDC 65219-447-20)</t>
  </si>
  <si>
    <t>Etomidate, Injection, 2 mg/1 mL (NDC 72572-160-10)</t>
  </si>
  <si>
    <t>Etomidate, Injection, 2 mg/1 mL (NDC 72572-161-10)</t>
  </si>
  <si>
    <t>Etravirine Tablet</t>
  </si>
  <si>
    <t>Janssen Research and Development</t>
  </si>
  <si>
    <t>800-526-7736</t>
  </si>
  <si>
    <t>Etravirine, Tablet, 100 mg (NDC 10147-0570-1)</t>
  </si>
  <si>
    <t>Intelence, Tablet, 100 mg (NDC 59676-570-01)</t>
  </si>
  <si>
    <t>Everolimus Tablet</t>
  </si>
  <si>
    <t>Everolimus, Tablet, 2.5 mg (NDC 49884-119-91)</t>
  </si>
  <si>
    <t>Transplant</t>
  </si>
  <si>
    <t>Everolimus, Tablet, 5 mg (NDC 49884-125-91)</t>
  </si>
  <si>
    <t>Everolimus, Tablet, 7.5 mg (NDC 49884-127-91)</t>
  </si>
  <si>
    <t>Everolimus, Tablet, 10 mg (NDC 49884-128-91)</t>
  </si>
  <si>
    <t>Everolimus, Tablet, 2.5 mg (NDC 0093-7766-24)</t>
  </si>
  <si>
    <t>Everolimus, Tablet, 5 mg (NDC 0093-7767-24)</t>
  </si>
  <si>
    <t>Everolimus, Tablet, 7.5 mg (NDC 0093-7768-24)</t>
  </si>
  <si>
    <t>Everolimus, Tablet, 10 mg (NDC 0093-7769-24)</t>
  </si>
  <si>
    <t>Everolimus, Tablet, 2 mg (NDC 0378-0005-85)</t>
  </si>
  <si>
    <t>Everolimus, Tablet, 3 mg (NDC 0378-0006-85)</t>
  </si>
  <si>
    <t>Everolimus, Tablet, 5 mg (NDC 0378-0007-85)</t>
  </si>
  <si>
    <t>Everolimus, Tablet, .25 mg (NDC 49884-158-02)</t>
  </si>
  <si>
    <t>A business decision was made to withdraw from sale.</t>
  </si>
  <si>
    <t>Everolimus, Tablet, .5 mg (NDC 49884-159-02)</t>
  </si>
  <si>
    <t>Everolimus, Tablet, .75 mg (NDC 49884-160-02)</t>
  </si>
  <si>
    <t>Everolimus, Tablet, 1 mg (NDC 49884-283-02)</t>
  </si>
  <si>
    <t>Felodipine Tablet, Extended Release</t>
  </si>
  <si>
    <t>(800) 828-9393</t>
  </si>
  <si>
    <t>Felodipine, Tablet, Extended Release, 2.5 mg (NDC 0603-3581-21)</t>
  </si>
  <si>
    <t>Discontinuation in the manufacturing of the drug product</t>
  </si>
  <si>
    <t>Felodipine, Tablet, Extended Release, 2.5 mg (NDC 0603-3581-28)</t>
  </si>
  <si>
    <t>Felodipine, Tablet, Extended Release, 5 mg (NDC 0603-3582-21)</t>
  </si>
  <si>
    <t>Felodipine, Tablet, Extended Release, 5 mg (NDC 0603-3582-28)</t>
  </si>
  <si>
    <t>Felodipine Tablet, Film Coated, Extended Release</t>
  </si>
  <si>
    <t>Felodipine, Tablet, Film Coated, Extended Release, 10 mg (NDC 0603-3583-21)</t>
  </si>
  <si>
    <t>Felodipine, Tablet, Film Coated, Extended Release, 10 mg (NDC 0603-3583-28)</t>
  </si>
  <si>
    <t>Fentanyl Citrate Injection</t>
  </si>
  <si>
    <t>Fentanyl Citrate, Injection, 2,500 mcg/50 mL (50 mcg/mL) Single Dose Glass Fliptop Vial (NDC 0409-9094-55)</t>
  </si>
  <si>
    <t>Analgesia/Addiction; Pediatric</t>
  </si>
  <si>
    <t>Fentanyl Citrate, Injection, 50 mcg/1 mL (NDC 0641-6247-25)</t>
  </si>
  <si>
    <t>Additional lots will be scheduled for manufacturing to meet demand.  Product will be made available as it is released.</t>
  </si>
  <si>
    <t>Fentanyl Citrate, Injection, 50 ug/1 mL (NDC 63323-808-11)</t>
  </si>
  <si>
    <t>Fentanyl Citrate, Injection, 100 mcg/2 mL (50 ug/1 mL) (NDC 0409-9094-22)</t>
  </si>
  <si>
    <t>Fentanyl Citrate, Injection, 250 mcg/5 mL (50 ug/1 mL) (NDC 0409-9094-25)</t>
  </si>
  <si>
    <t>Fentanyl Citrate, Injection, 500 mcg/10 mL (50 ug/1 mL) (NDC 0409-9094-28)</t>
  </si>
  <si>
    <t>Fentanyl Citrate, Injection, 1000 mcg/20 mL (50 ug/1 mL) (NDC 0409-9094-31)</t>
  </si>
  <si>
    <t>Limited Supply Available. Next Delivery: November 2026; Estimated Recovery: December 2026</t>
  </si>
  <si>
    <t>Fentanyl Citrate, Injection, 2500 mcg/50 mL (50 ug/1 mL) (NDC 0409-9094-61)</t>
  </si>
  <si>
    <t>Fentanyl Citrate, Injection, 50 ug/1 mL (NDC 0641-6024-10)</t>
  </si>
  <si>
    <t>Inventory available in vial presentations.</t>
  </si>
  <si>
    <t>Fentanyl Citrate, Injection, 50 ug/1 mL (NDC 0641-6025-10)</t>
  </si>
  <si>
    <t>Fentanyl Citrate, Injection, 50 ug/1 mL (NDC 0641-6026-05)</t>
  </si>
  <si>
    <t>Fentanyl Citrate, Injection, 50 mcg/1 mL (NDC 0641-6027-25)</t>
  </si>
  <si>
    <t>Fentanyl Citrate, Injection, 50 mcg/1 mL (NDC 0641-6028-25)</t>
  </si>
  <si>
    <t>Fentanyl Citrate, Injection, 50 mcg/1 mL (NDC 0641-6029-25)</t>
  </si>
  <si>
    <t>Fentanyl Citrate, Injection, 50 mcg/1 mL (NDC 0641-6030-01)</t>
  </si>
  <si>
    <t>Fentanyl Citrate Preservative Free, Injection, .05 mg/1 mL (NDC 63323-806-20)</t>
  </si>
  <si>
    <t>Fentanyl Citrate Preservative Free, Injection, .05 mg/1 mL (NDC 63323-806-50)</t>
  </si>
  <si>
    <t>Fentanyl Citrate Preservative Free, Injection, .05 mg/1 mL (NDC 63323-806-01)</t>
  </si>
  <si>
    <t>Fentanyl Citrate Preservative Free, Injection, .05 mg/1 mL (NDC 63323-806-02)</t>
  </si>
  <si>
    <t>Fentanyl Citrate Preservative Free, Injection, .05 mg/1 mL (NDC 63323-806-05)</t>
  </si>
  <si>
    <t>Fluocinonide Ointment</t>
  </si>
  <si>
    <t>Fluocinonide, Ointment, .5 mg/1 g (NDC 0093-0264-15)</t>
  </si>
  <si>
    <t>Fluocinonide, Ointment, .5 mg/1 g (NDC 0093-0264-30)</t>
  </si>
  <si>
    <t>Fluocinonide, Ointment, .5 mg/1 g (NDC 0093-0264-92)</t>
  </si>
  <si>
    <t>Flurazepam Hydrochloride Capsule</t>
  </si>
  <si>
    <t>1-844-874-7464</t>
  </si>
  <si>
    <t>Flurazepam Hydrochloride, Capsule, 15 mg (NDC 0378-4415-01)</t>
  </si>
  <si>
    <t>Anticipated availability: Q4 2026; Delay is due to manufacturing delays at the contract manufacturing facility.</t>
  </si>
  <si>
    <t>Regulatory delay</t>
  </si>
  <si>
    <t>Neurology; Other</t>
  </si>
  <si>
    <t>Flurazepam Hydrochloride, Capsule, 30 mg (NDC 0378-4430-01)</t>
  </si>
  <si>
    <t>Chartwell Molecular Holdings LLC</t>
  </si>
  <si>
    <t>845-268-5000 Ext. 510</t>
  </si>
  <si>
    <t>Flurazepam Hydrochloride, Capsule, 15 mg (NDC 62135-736-30)</t>
  </si>
  <si>
    <t>Flurazepam Hydrochloride, Capsule, 30 mg (NDC 62135-737-30)</t>
  </si>
  <si>
    <t>Flurazepam Hydrochloride, Capsule, 15 mg (NDC 62135-736-90)</t>
  </si>
  <si>
    <t>Oncology; Other</t>
  </si>
  <si>
    <t>Flurazepam Hydrochloride, Capsule, 30 mg (NDC 62135-737-90)</t>
  </si>
  <si>
    <t>Fluticasone Propionate and Salmeterol Xinafoate Aerosol, Metered</t>
  </si>
  <si>
    <t>GlaxoSmithKline</t>
  </si>
  <si>
    <t>888-825-5249</t>
  </si>
  <si>
    <t>Advair HFA, Aerosol, Metered, 45 ug; 21 ug (NDC 0173-0715-22)</t>
  </si>
  <si>
    <t>The anticipated date that GSK will cease distribution of the presentation is approximately December 31, 2026.  The 120 dose presentation of this product will still be available.</t>
  </si>
  <si>
    <t>Advair HFA, Aerosol, Metered, 115 ug; 21 ug (NDC 0173-0716-22)</t>
  </si>
  <si>
    <t>Advair HFA, Aerosol, Metered, 230 ug; 21 ug (NDC 0173-0717-22)</t>
  </si>
  <si>
    <t>Fluvastatin Sodium Tablet, Extended Release</t>
  </si>
  <si>
    <t>Fluvastatin Sodium, Tablet, Extended Release, 80 mg (NDC 0781-8017-01)</t>
  </si>
  <si>
    <t>Fluvastatin Sodium, Tablet, Extended Release, 80 mg (NDC 0781-8017-31)</t>
  </si>
  <si>
    <t>Lescol XL, Tablet, Extended Release, 80 mg (NDC 66758-211-31)</t>
  </si>
  <si>
    <t>Fosaprepitant Dimeglumine Injection</t>
  </si>
  <si>
    <t>Fosaprepitant Dimeglumine, Injection, 150 mg/5 mL (NDC 63323-972-10)</t>
  </si>
  <si>
    <t>Frovatriptan Succinate Tablet</t>
  </si>
  <si>
    <t>Frova, Tablet, 2.5 mg (NDC 63481-025-09)</t>
  </si>
  <si>
    <t>Frova, Tablet, 2.5 mg (NDC 0603-3718-34)</t>
  </si>
  <si>
    <t>Fulvestrant Injection</t>
  </si>
  <si>
    <t>Fulvestrant, Injection, 250 mg per 5mL (NDC 63323-715-05)</t>
  </si>
  <si>
    <t>Furosemide Injection</t>
  </si>
  <si>
    <t>Sagent Pharmaceuticals: 866-625-1618</t>
  </si>
  <si>
    <t>Furosemide, Injection, 10 mg/1 mL (NDC 25021-311-02)</t>
  </si>
  <si>
    <t>Distributed by Sagent Pharmaceuticals; Discontinuation of the manufacture of the drug</t>
  </si>
  <si>
    <t>Furosemide, Injection, 10 mg/1 mL (NDC 25021-311-04)</t>
  </si>
  <si>
    <t>Furosemide, Injection, 10 mg/1 mL (NDC 25021-311-10)</t>
  </si>
  <si>
    <t>Furosemide, Injection, 10 mg/1 mL (NDC 16729-500-08)</t>
  </si>
  <si>
    <t>Furosemide, Injection, 10 mg/1 mL (NDC 16729-501-43)</t>
  </si>
  <si>
    <t>Furosemide, Injection, 10 mg/1 mL (NDC 16729-502-43)</t>
  </si>
  <si>
    <t>Furosemide, Injection, 100 mg/ 10mL (10 mg/1 mL) (NDC 0409-6102-27)</t>
  </si>
  <si>
    <t>Furosemide, Injection, 10 mg/mL, 2 mL (NDC 71288-205-03)</t>
  </si>
  <si>
    <t>Furosemide, Injection, 10 mg/1 mL (NDC 71288-203-05)</t>
  </si>
  <si>
    <t>Furosemide, Injection, 10 mg/1 mL (NDC 71288-203-11)</t>
  </si>
  <si>
    <t>Distributed by Sagent Pharmaceuticals: 1-866-625-1618, Discontinued product</t>
  </si>
  <si>
    <t>https://www.accessdata.fda.gov/scripts/drugshortages/dsp_ActiveIngredientDetails.cfm?AI=Furosemide%20Injection&amp;st=d</t>
  </si>
  <si>
    <t>866-625-1918</t>
  </si>
  <si>
    <t>Furosemide, Injection, 10 mg/1 mL (NDC 63323-280-02)</t>
  </si>
  <si>
    <t>Furosemide, Injection, 10 mg/1 mL (NDC 63323-280-04)</t>
  </si>
  <si>
    <t>Furosemide, Injection, 10 mg/1 mL (NDC 63323-280-10)</t>
  </si>
  <si>
    <t>Furosemide, Injection, 20 mg/2 mL (NDC 55150-322-25)</t>
  </si>
  <si>
    <t>Furosemide, Injection, 40 mg/4 mL (NDC 55150-323-25)</t>
  </si>
  <si>
    <t>Furosemide, Injection, 100 mg/10 mL (NDC 55150-324-25)</t>
  </si>
  <si>
    <t>Furosemide, Injection, 10 mg/1 mL (NDC 36000-284-25)</t>
  </si>
  <si>
    <t>Furosemide, Injection, 10 mg/1 mL (NDC 36000-282-25)</t>
  </si>
  <si>
    <t>Furosemide, Injection, 10 mg/1 mL (NDC 36000-283-25)</t>
  </si>
  <si>
    <t>Avet Pharmaceuticals, Inc.</t>
  </si>
  <si>
    <t>855-228-9470</t>
  </si>
  <si>
    <t>Furosemide, Injection, 10 mg/1 mL (NDC 23155-473-41)</t>
  </si>
  <si>
    <t>Furosemide, Injection, 10 mg/1 mL (NDC 23155-473-42)</t>
  </si>
  <si>
    <t>Furosemide, Injection, 10 mg/1 mL (NDC 23155-473-44)</t>
  </si>
  <si>
    <t>Furosemide, Injection, 20 mg/2 mL (10 mg/1 mL) (NDC 0409-6102-02)</t>
  </si>
  <si>
    <t>Furosemide, Injection, 40 mg/4 mL (10 mg/1 mL) (NDC 0409-6102-04)</t>
  </si>
  <si>
    <t>Furosemide, Injection, 100 mg/ 10mL (10 mg/1 mL) (NDC 0409-6102-10)</t>
  </si>
  <si>
    <t>Furosemide, Injection, 20 mg/2 mL (10 mg/1 mL) (NDC 0409-6102-25)</t>
  </si>
  <si>
    <t>Furosemide, Injection, 40 mg/4 mL (10 mg/1 mL) (NDC 0409-6102-26)</t>
  </si>
  <si>
    <t>Furosemide Oral Solution</t>
  </si>
  <si>
    <t>Furosemide, Oral Solution, 40 mg/5 mL (NDC 0054-3298-63)</t>
  </si>
  <si>
    <t>Furosemide, Oral Solution, 10 mg/1 mL (NDC 0054-3294-50)</t>
  </si>
  <si>
    <t>Furosemide, Oral Solution, 10 mg/1 mL (NDC 0054-3294-46)</t>
  </si>
  <si>
    <t>Gadobutrol Injection</t>
  </si>
  <si>
    <t>Gadobutrol, Injection, 604.72 mg/mL (NDC 65219-281-02)</t>
  </si>
  <si>
    <t>Discontinuance of single dose vials, the other two Imaging Bulk Package(IBP) strengths are to remain in supply: the IBP strengths (18.1416 g/30 mL and 39.3068 g/65 mL); Marketed by Fresenius Kabi, USA</t>
  </si>
  <si>
    <t>Gadobutrol, Injection, 604.72 mg/mL (NDC 65219-281-07)</t>
  </si>
  <si>
    <t>Gadobutrol, Injection, 604.72 mg/mL (NDC 65219-281-10)</t>
  </si>
  <si>
    <t>Gadobutrol, Injection, 604.72 mg/mL (NDC 65219-281-15)</t>
  </si>
  <si>
    <t>Gadoterate Meglumine Injection</t>
  </si>
  <si>
    <t>888-386-1800</t>
  </si>
  <si>
    <t>Gadoterate Meglumine, Injection, 376.9 mg/1 mL (NDC 65219-080-05)</t>
  </si>
  <si>
    <t>Marketed by Fresenius Kabi, USA; Discontinuation of the manufacture of the drug</t>
  </si>
  <si>
    <t>Gadoterate Meglumine, Injection, 376.9 mg/1 mL (NDC 65219-082-10)</t>
  </si>
  <si>
    <t>Gadoterate Meglumine, Injection, 376.9 mg/1 mL (NDC 65219-084-15)</t>
  </si>
  <si>
    <t>Gadoterate Meglumine, Injection, 376.9 mg/1 mL (NDC 65219-086-20)</t>
  </si>
  <si>
    <t>Marketed by Fresenius Kabi, USA; Customer service: 888-386-1300</t>
  </si>
  <si>
    <t>Gemfibrozil Tablet</t>
  </si>
  <si>
    <t>Lopid, Tablet, 600 mg (NDC 0071-0737-20)</t>
  </si>
  <si>
    <t>Glyburide Tablet</t>
  </si>
  <si>
    <t>Diabeta, Tablet, 5 mg (NDC 0093-9364-01)</t>
  </si>
  <si>
    <t>Diabeta, Tablet, 5 mg (NDC 0093-9364-10)</t>
  </si>
  <si>
    <t>Diabeta, Tablet, 2.5 mg (NDC 0093-9433-01)</t>
  </si>
  <si>
    <t>Diabeta, Tablet, 1.25 mg (NDC 0093-9477-53)</t>
  </si>
  <si>
    <t>Glycerol Phenylbutyrate Oral Liquid</t>
  </si>
  <si>
    <t>Amgen Inc.</t>
  </si>
  <si>
    <t>800-772-6436</t>
  </si>
  <si>
    <t>RAVICTI, Oral Liquid, 1.1 g/1 mL (NDC 75987-050-06)</t>
  </si>
  <si>
    <t>Inborn Errors</t>
  </si>
  <si>
    <t>RAVICTI, Oral Liquid, 1.1 g/1 mL (NDC 75987-050-07)</t>
  </si>
  <si>
    <t>Glycopyrrolate Injection</t>
  </si>
  <si>
    <t>Glycopyrrolate, Injection, .2 mg/1 mL (NDC 63323-578-01)</t>
  </si>
  <si>
    <t>Glycopyrrolate, Injection, 0.4 mg per 2 mL (NDC 63323-578-02)</t>
  </si>
  <si>
    <t>Glycopyrrolate, Injection, 1 mg per 5 mL (NDC 63323-578-05)</t>
  </si>
  <si>
    <t>Glycopyrrolate, Injection, 0.2 mg per 1 mL (NDC 65219-801-01)</t>
  </si>
  <si>
    <t>Guanfacine Hydrochloride Tablet, Extended Release</t>
  </si>
  <si>
    <t>Actavis Pharma, Inc.</t>
  </si>
  <si>
    <t>Guanfacine Hydrochloride, Tablet, Extended Release, 1 mg (NDC 0228-2850-11)</t>
  </si>
  <si>
    <t>Guanfacine Hydrochloride, Tablet, Extended Release, 2 mg (NDC 0228-2851-11)</t>
  </si>
  <si>
    <t>Guanfacine Hydrochloride, Tablet, Extended Release, 3 mg (NDC 0228-2853-11)</t>
  </si>
  <si>
    <t>Guanfacine Hydrochloride, Tablet, Extended Release, 4 mg (NDC 0228-2855-11)</t>
  </si>
  <si>
    <t>Haloperidol Decanoate Injection</t>
  </si>
  <si>
    <t>Haloperidol Decanoate, Injection, 50 mg/1 mL (NDC 63323-469-01)</t>
  </si>
  <si>
    <t>Haloperidol Decanoate, Injection, 50 mg/1 mL (NDC 63323-469-05)</t>
  </si>
  <si>
    <t>Heparin Sodium Injection</t>
  </si>
  <si>
    <t>Heparin Sodium 2,000 Units in Sodium Chloride 0.9% in Plastic Container, Injection, 200 [USP'U]/100 mL (NDC 0264-9872-00)</t>
  </si>
  <si>
    <t>Estimated recovery: late Q4 2026; Manufacturing delays</t>
  </si>
  <si>
    <t>Heparin Sodium In Sodium Chloride, Injection, 200 [USP'U]/100 mL (NDC 0338-0433-04)</t>
  </si>
  <si>
    <t>Heparin Sodium In Sodium Chloride, Injection, 200 [USP'U]/100 mL (NDC 0338-0431-03)</t>
  </si>
  <si>
    <t>Heparin Sodium, Injection, 200 [USP'U]/100 mL (NDC 63323-519-77)</t>
  </si>
  <si>
    <t>Heparin Sodium, Injection, 200 [USP'U]/100 mL (NDC 63323-519-10)</t>
  </si>
  <si>
    <t>Heparin Sodium 1,000 Units In Sodium Chloride 0.9% In Plastic Container, Injection, 200 [USP'U]/100 mL (NDC 0264-9872-10)</t>
  </si>
  <si>
    <t>Heparin Sodium, Injection, 1,000 Units/500 mL (2 Units/mL) (NDC 0409-1005-20)</t>
  </si>
  <si>
    <t>Heparin Sodium, Injection, 2,000 Units/1,000 mL (2 Units/mL) (NDC 0409-2222-12)</t>
  </si>
  <si>
    <t>Hydrochlorothiazide Capsule</t>
  </si>
  <si>
    <t>Microzide, Capsule, 12.5 mg (NDC 0591-0347-01)</t>
  </si>
  <si>
    <t>Microzide, Capsule, 12.5 mg (NDC 0591-0347-05)</t>
  </si>
  <si>
    <t>Hydrocortisone Acetate Suppository</t>
  </si>
  <si>
    <t>Hydrocortisone Acetate, Suppository, 25 mg (NDC 0574-7090-12)</t>
  </si>
  <si>
    <t>Analgesia/Addiction; Other</t>
  </si>
  <si>
    <t>Hydrocortisone Acetate, Suppository, 30 mg (NDC 0574-7093-12)</t>
  </si>
  <si>
    <t>Hydromorphone Hydrochloride Injection</t>
  </si>
  <si>
    <t>Hydromorphone Hydrochloride, Injection, 0.5 mg/0.5 mL NexJect™ Single-dose Syringe Luer Lock (no needle) (NDC 0409-4264-01)</t>
  </si>
  <si>
    <t>Hydromorphone Hydrochloride, Injection, 0.25 mg/ 0.5 mL NexJect™ Single-dose Syringe Luer Lock (no needle) (NDC 0409-1805-01)</t>
  </si>
  <si>
    <t>Dilaudid, Injection, 1 mg/1 mL (NDC 76045-009-06)</t>
  </si>
  <si>
    <t>Hydromorphone Hydrochloride, Injection, 2 mg/1 mL (NDC 0409-3365-10)</t>
  </si>
  <si>
    <t>Hydromorphone Hydrochloride, Injection, 1 mg/1 mL (NDC 0409-1283-37)</t>
  </si>
  <si>
    <t>Hydromorphone Hydrochloride, Injection, 2 mg/1 mL (NDC 0409-1312-36)</t>
  </si>
  <si>
    <t>Dilaudid, Injection, 1 mg/1 mL (NDC 76045-009-11)</t>
  </si>
  <si>
    <t>Dilaudid, Injection, .2 mg/1 mL (NDC 76045-121-11)</t>
  </si>
  <si>
    <t>Dilaudid, Injection, 2 mg/1 mL (NDC 76045-010-11)</t>
  </si>
  <si>
    <t>Next release not available at this time.  Check wholesalers for inventory.</t>
  </si>
  <si>
    <t>Hydromorphone Hydrochloride, Injection, 1 mg/1 mL (NDC 63323-852-25)</t>
  </si>
  <si>
    <t>Hydromorphone Hydrochloride, Injection, 2 mg/1 mL (NDC 63323-853-25)</t>
  </si>
  <si>
    <t>Hydromorphone Hydrochloride, Injection, 4 mg/1 mL (NDC 63323-854-10)</t>
  </si>
  <si>
    <t>Hydromorphone Hydrochloride, Injection, 10 mg/1 mL (NDC 63323-851-10)</t>
  </si>
  <si>
    <t>Hydromorphone Hydrochloride, Injection, 10 mg/1 mL (NDC 63323-851-15)</t>
  </si>
  <si>
    <t>Hydromorphone Hydrochloride, Injection, 10 mg/1 mL (NDC 63323-851-50)</t>
  </si>
  <si>
    <t>Hydromorphone Hydrochloride, Injection, 1 mg/1 mL Syringes (NDC 0409-1283-31)</t>
  </si>
  <si>
    <t>Hydromorphone Hydrochloride, Injection, 2 mg/1 mL Syringes (NDC 0409-1312-30)</t>
  </si>
  <si>
    <t>Hydromorphone Hydrochloride, Injection, 4 mg/1 mL Syringes (NDC 0409-1304-31)</t>
  </si>
  <si>
    <t>Hydromorphone Hydrochloride, Injection, 10 mg/1 mL (NDC 0409-2634-01)</t>
  </si>
  <si>
    <t>Hydromorphone Hydrochloride, Injection, 50 mg/5 mL (10 mg/mL) (NDC 0409-2634-05)</t>
  </si>
  <si>
    <t>Hydromorphone Hydrochloride, Injection, 500 mg/50 mL (10 mg/mL) (NDC 0409-2634-50)</t>
  </si>
  <si>
    <t>Hydromorphone Hydrochloride, Injection, 10 mg/1 mL (NDC 0703-0110-03)</t>
  </si>
  <si>
    <t>Hydromorphone Hydrochloride, Injection, 10 mg/1 mL (NDC 0703-0113-03)</t>
  </si>
  <si>
    <t>Hydromorphone Hydrochloride, Injection, 10 mg/1 mL (NDC 0703-0018-01)</t>
  </si>
  <si>
    <t>Hydromorphone Hydrochloride, Injection, 2 mg/1 mL (NDC 0641-0121-25)</t>
  </si>
  <si>
    <t>Hydromorphone Hydrochloride, Injection, 2 mg/1 mL (NDC 0641-6254-01)</t>
  </si>
  <si>
    <t>Hydromorphone Hydrochloride Suppository</t>
  </si>
  <si>
    <t>Hydromorphone Hydrochloride, Suppository, 3 mg (NDC 0574-7224-06)</t>
  </si>
  <si>
    <t>Hydroxocobalamin Injection</t>
  </si>
  <si>
    <t>BTG International Inc.</t>
  </si>
  <si>
    <t>1 877 377 3784</t>
  </si>
  <si>
    <t>Cyanokit, Injection, 5 g/250mL (NDC 50633-310-11)</t>
  </si>
  <si>
    <t>Cyanokit is available to order. To address the drug shortage, BTG International Inc (a SERB Pharmaceuticals company) coordinated with the U.S. Food and Drug Administration (FDA) to make the following impacted batches available to U.S. patients during this period of shortage.</t>
  </si>
  <si>
    <t>https://www.fda.gov/media/185400/download</t>
  </si>
  <si>
    <t>Hydroxocobalamin, Injection, 1000 MCG/ML, 30 ML Multi-Dose Vial (NDC 0591-2888-30)</t>
  </si>
  <si>
    <t>Hydroxychloroquine Sulfate Tablet</t>
  </si>
  <si>
    <t>Hydroxychloroquine Sulfate, Tablet, 200 mg (NDC 0093-2401-01)</t>
  </si>
  <si>
    <t>Anti-Infective; Other; Rheumatology</t>
  </si>
  <si>
    <t>Icatibant Acetate Injection</t>
  </si>
  <si>
    <t>847-550-2300</t>
  </si>
  <si>
    <t>Icatibant Acetate, Injection, 10 mg/1 mL (NDC 63323-574-86)</t>
  </si>
  <si>
    <t>Discontinuation of the manufacturer of the drug</t>
  </si>
  <si>
    <t>Icatibant Acetate, Injection, 10 mg/1 mL (NDC 63323-574-93)</t>
  </si>
  <si>
    <t>Icosapent Ethyl Capsule</t>
  </si>
  <si>
    <t>Icosapent Ethyl, Capsule, 1 g (NDC 60429-005-12)</t>
  </si>
  <si>
    <t>Icosapent Ethyl, Capsule, 1 g (NDC 61474-9711-1)</t>
  </si>
  <si>
    <t>Idelalisib Tablet</t>
  </si>
  <si>
    <t>Zydelig, Tablet, 100 mg (NDC 61958-1701-1)</t>
  </si>
  <si>
    <t>Discontinuation in the manufacturing of the drug</t>
  </si>
  <si>
    <t>Zydelig, Tablet, 150 mg (NDC 61958-1702-1)</t>
  </si>
  <si>
    <t>Ifosfamide Injection</t>
  </si>
  <si>
    <t>Ifosfamide, Injection, 1 g/20 mL (NDC 10019-925-01)</t>
  </si>
  <si>
    <t>Oncology; Pediatric</t>
  </si>
  <si>
    <t>Ifosfamide, Injection, 3 g/60 mL (NDC 10019-926-02)</t>
  </si>
  <si>
    <t>IFEX, Injection, 1 g/20 mL (NDC 0338-3991-01)</t>
  </si>
  <si>
    <t>IFEX, Injection, 3 g/60 mL (NDC 0338-3993-01)</t>
  </si>
  <si>
    <t>Ifosfamide, Injection, 50 mg/1 mL (NDC 0143-9531-01)</t>
  </si>
  <si>
    <t>Ifosfamide, Injection, 50 mg/1 mL (NDC 0143-9530-01)</t>
  </si>
  <si>
    <t>Ifosfamide, Injection, 1 g/1 (NDC 63323-142-10)</t>
  </si>
  <si>
    <t>877-373-4657</t>
  </si>
  <si>
    <t>Ifosfamide, Injection, 1 g/1 (NDC 21586-211-02)</t>
  </si>
  <si>
    <t>https://www.fda.gov/media/194567/download</t>
  </si>
  <si>
    <t>Imipenem and Cilastatin Injection</t>
  </si>
  <si>
    <t>Merck Sharp &amp; Dohme Corp.</t>
  </si>
  <si>
    <t>Primaxin, Injection, 500mg (NDC 0006-3516-59)</t>
  </si>
  <si>
    <t>To be discontinued approximately 11/30/2026</t>
  </si>
  <si>
    <t>Imipenem Anhydrous, Cilastatin, and Relebactam Anhydrous Injection</t>
  </si>
  <si>
    <t>RECARBRIO, Injection, 500 mg/100 mL; 500 mg/100 mL; 250 mg/100 mL (NDC 0006-3856-02)</t>
  </si>
  <si>
    <t>To be discontinued on or near late September 2026.</t>
  </si>
  <si>
    <t>Insulin Glargine-aglr Injection</t>
  </si>
  <si>
    <t>Eli Lilly and Co.</t>
  </si>
  <si>
    <t>800-545-5979</t>
  </si>
  <si>
    <t>Rezvoglar, Injection, 100 [iU]/1 mL (NDC 0002-8980-05)</t>
  </si>
  <si>
    <t>A business decision was made to discontinue manufacture of the drug. Distribution projected to end June 2027. If patients or prescribers have any questions, the Lilly Answers Center (1-800-545-5979) is available Monday through Friday from 9am to 8pm for assistance.</t>
  </si>
  <si>
    <t>Insulin Lispro Injection</t>
  </si>
  <si>
    <t>Insulin Lispro Junior KwikPen, Injection, 100 [iU]/1 mL (NDC 0002-7752-05)</t>
  </si>
  <si>
    <t>Insulin Lispro Protamine and Insulin Lispro Injection</t>
  </si>
  <si>
    <t>Humalog Mix 75/25, Injection, 100 [iU]/1 mL (NDC 0002-8233-05)</t>
  </si>
  <si>
    <t>Irinotecan Hydrochloride Injection</t>
  </si>
  <si>
    <t>Irinotecan Hydrochloride, Injection, 40 mg/2 mL (NDC 50742-401-02)</t>
  </si>
  <si>
    <t>Irinotecan Hydrochloride, Injection, 100 mg/5 mL (NDC 50742-402-05)</t>
  </si>
  <si>
    <t>Iron Sucrose Injection</t>
  </si>
  <si>
    <t>Iron Sucrose, Injection, 50 mg/2.5 mL (NDC 67457-957-99)</t>
  </si>
  <si>
    <t>A business decision has been made to discontinue of 2.5mL presentation only. Continuity of supply is forecasted across all other presentations of Iron Sucrose: 67457-639-10 Iron Sucrose 20mg/mL 10mL SDV 5PK 67457-638-10 Iron Sucrose 20mg/mL 5mL SDV 10PK 67457-638-25 Iron Sucrose 20mg/mL 5mL SDV 25PK.</t>
  </si>
  <si>
    <t>Isocarboxazid Tablet</t>
  </si>
  <si>
    <t>Lifsa Drugs LLC</t>
  </si>
  <si>
    <t>833.627.0070</t>
  </si>
  <si>
    <t>Marplan, Tablet, 10 mg, 100 count bottle (NDC 72336-032-01)</t>
  </si>
  <si>
    <t>Itraconazole Capsule</t>
  </si>
  <si>
    <t>Janssen Pharmaceuticals</t>
  </si>
  <si>
    <t>800-JANSSEN (1-800-526-7736)</t>
  </si>
  <si>
    <t>Sporanox, Capsule, 100 mg (NDC 10147-1700-3)</t>
  </si>
  <si>
    <t>Anti-Infective; Other</t>
  </si>
  <si>
    <t>Sporanox, Capsule, 100 mg (NDC 50458-290-01)</t>
  </si>
  <si>
    <t>Sporanox, Capsule, 100 mg (NDC 50458-290-04)</t>
  </si>
  <si>
    <t>Ivabradine Hydrochloride Tablet</t>
  </si>
  <si>
    <t>1-800-772-6436</t>
  </si>
  <si>
    <t>Corlanor, Tablet, eq. 5 mg base (NDC 55513-800-60)</t>
  </si>
  <si>
    <t>Discontinuation of the manufacture of the drug product</t>
  </si>
  <si>
    <t>Corlanor, Tablet, eq. 7.5 mg base (NDC 55513-810-60)</t>
  </si>
  <si>
    <t>Ivabradine Solution</t>
  </si>
  <si>
    <t>Corlanor, Solution, 5 mg/5 mL (NDC 55513-813-28)</t>
  </si>
  <si>
    <t>Ivermectin Tablet</t>
  </si>
  <si>
    <t>STROMECTOL, Tablet, 3 mg (NDC 0006-0032-01)</t>
  </si>
  <si>
    <t>Product will be discontinued on 10/31/2026</t>
  </si>
  <si>
    <t>Ketamine Hydrochloride Injection</t>
  </si>
  <si>
    <t>Ketamine Hydrochloride, Injection, 500 mg/5mL (100 mg/mL); Multiple Dose Glass Fliptop Vial Novaplus (NDC 0409-0040-10)</t>
  </si>
  <si>
    <t>Ketorolac Tromethamine Injection</t>
  </si>
  <si>
    <t>Alembic Pharmaceuticals</t>
  </si>
  <si>
    <t>908-393-9604</t>
  </si>
  <si>
    <t>Ketorolac Tromethamine, Injection, 15 mg/1 mL (NDC 62332-599-25)</t>
  </si>
  <si>
    <t>Ketorolac Tromethamine, Injection, 30 mg/1 mL (NDC 62332-600-25)</t>
  </si>
  <si>
    <t>Ketorolac Tromethamine, Injection, 60 mg/2 mL (NDC 62332-601-25)</t>
  </si>
  <si>
    <t>Ketorolac Tromethamine, Injection, 30 mg/1 mL (NDC 25021-701-01)</t>
  </si>
  <si>
    <t>Ketorolac Tromethamine, Injection, 15 mg/1 mL (NDC 25021-700-01)</t>
  </si>
  <si>
    <t>Ketorolac Tromethamine, Injection, 30 mg/1 mL (NDC 25021-701-02)</t>
  </si>
  <si>
    <t>Ketorolac Tromethamine, Injection, 15 mg/1 mL (NDC 63323-161-01)</t>
  </si>
  <si>
    <t>Ketorolac Tromethamine, Injection, 30 mg/1 mL (NDC 63323-162-01)</t>
  </si>
  <si>
    <t>Ketorolac Tromethamine, Injection, 30 mg/1 mL (NDC 63323-162-02)</t>
  </si>
  <si>
    <t>Ketorolac Tromethamine, Injection, 15 mg/1 mL (NDC 0641-6041-25)</t>
  </si>
  <si>
    <t>Ketorolac Tromethamine, Injection, 30 mg/1 mL (NDC 0641-6042-25)</t>
  </si>
  <si>
    <t>Ketorolac Tromethamine, Injection, 30 mg/1 mL (NDC 0641-6043-25)</t>
  </si>
  <si>
    <t>Ketorolac Tromethamine, Injection, 30 mg/1 mL (NDC 72266-118-25)</t>
  </si>
  <si>
    <t>Ketorolac Tromethamine, Injection, 30 mg/1 mL (NDC 72266-119-25)</t>
  </si>
  <si>
    <t>Ketorolac Tromethamine, Injection, 15 mg/1 mL (NDC 0409-3793-01)</t>
  </si>
  <si>
    <t>Next Delivery and Estimated Recovery: December 2027</t>
  </si>
  <si>
    <t>Ketorolac Tromethamine, Injection, 30 mg/1 mL (NDC 0409-3795-01)</t>
  </si>
  <si>
    <t>Next Delivery and Estimated Recovery: June 2027; Shortage per Manufacturer: Manufacturing Delay</t>
  </si>
  <si>
    <t>Ketorolac Tromethamine, Injection, 60 mg/2 mL (30 mg/mL) (NDC 0409-3796-01)</t>
  </si>
  <si>
    <t>Ketorolac Tromethamine, Injection, 15 mg/1 mL (NDC 0338-0069-10)</t>
  </si>
  <si>
    <t>Ketorolac Tromethamine, Injection, 30 mg/1 mL (NDC 0338-0072-25)</t>
  </si>
  <si>
    <t>Ketorolac Tromethamine, Injection, 15 mg/1 mL (NDC 76045-107-10)</t>
  </si>
  <si>
    <t>Ketorolac Tromethamine, Injection, 30 mg/1 mL (NDC 76045-104-10)</t>
  </si>
  <si>
    <t>Ketorolac Tromethamine, Injection, 60 mg/2 mL (NDC 76045-105-20)</t>
  </si>
  <si>
    <t>Ketorolac Tromethamine Tablet</t>
  </si>
  <si>
    <t>877-446-3679</t>
  </si>
  <si>
    <t>Ketorolac Tromethamine, Tablet, 10 mg (NDC 0378-1134-01)</t>
  </si>
  <si>
    <t>Lamivudine Tablet</t>
  </si>
  <si>
    <t>ViiV Healthcare Company</t>
  </si>
  <si>
    <t>800-844-8872</t>
  </si>
  <si>
    <t>Epivir, Tablet, 150 mg (NDC 49702-203-18)</t>
  </si>
  <si>
    <t>The anticipated date that ViiV will cease distribution of the products is approximately April 15, 2027; Discontinuation of the manufacture of the drug</t>
  </si>
  <si>
    <t>Epivir, Tablet, 300 mg (NDC 49702-204-13)</t>
  </si>
  <si>
    <t>Lamotrigine Tablet, Extended Release</t>
  </si>
  <si>
    <t>Par Health, Inc.</t>
  </si>
  <si>
    <t>Lamotrigine, Tablet, Extended Release, 25 mg (NDC 49884-561-11)</t>
  </si>
  <si>
    <t>Lamotrigine, Tablet, Extended Release, 50 mg (NDC 49884-562-11)</t>
  </si>
  <si>
    <t>Lamotrigine, Tablet, Extended Release, 100 mg (NDC 49884-563-11)</t>
  </si>
  <si>
    <t>Lamotrigine, Tablet, Extended Release, 200 mg (NDC 49884-564-11)</t>
  </si>
  <si>
    <t>Lamotrigine, Tablet, Extended Release, 250 mg (NDC 49884-604-11)</t>
  </si>
  <si>
    <t>Lamotrigine, Tablet, Extended Release, 300 mg (NDC 49884-605-11)</t>
  </si>
  <si>
    <t>Lasmiditan Succinate Tablet</t>
  </si>
  <si>
    <t>Reyvow, Tablet, 50 mg (NDC 0002-4312-08)</t>
  </si>
  <si>
    <t>A business decision was made to discontinue manufacture of the 50 mg and 100 mg tablets. Distribution will end on May 31, 2026.</t>
  </si>
  <si>
    <t>Reyvow, Tablet, 50 mg (NDC 0002-4312-61)</t>
  </si>
  <si>
    <t>Reyvow, Tablet, 50 mg (NDC 0002-4312-62)</t>
  </si>
  <si>
    <t>Reyvow, Tablet, 100 mg (NDC 0002-4491-08)</t>
  </si>
  <si>
    <t>Reyvow, Tablet, 100 mg (NDC 0002-4491-61)</t>
  </si>
  <si>
    <t>Reyvow, Tablet, 100 mg (NDC 0002-4491-62)</t>
  </si>
  <si>
    <t>Leflunomide Tablet</t>
  </si>
  <si>
    <t>800-981-2491</t>
  </si>
  <si>
    <t>Arava, Tablet, 10 mg (NDC 0088-2160-30)</t>
  </si>
  <si>
    <t>Arava, Tablet, 20 mg (NDC 0088-2161-30)</t>
  </si>
  <si>
    <t>Arava, Tablet, 100 mg (NDC 0088-2162-33)</t>
  </si>
  <si>
    <t>Leflunomide, Tablet, 10 mg (NDC 0955-1735-30)</t>
  </si>
  <si>
    <t>Leflunomide, Tablet, 20 mg (NDC 0955-1737-30)</t>
  </si>
  <si>
    <t>Leuprolide Acetate Injection</t>
  </si>
  <si>
    <t>866.525.7270</t>
  </si>
  <si>
    <t>Leuprolide Acetate, Injection, 14 mg/2.8 mL (1 mg/0.2 mL) (NDC 70121-2537-6)</t>
  </si>
  <si>
    <t>Lidocaine Hydrochloride Injection</t>
  </si>
  <si>
    <t>Anthea Pharma</t>
  </si>
  <si>
    <t>Avenacy, LLC: 877-283-6229</t>
  </si>
  <si>
    <t>Lidocaine Hydrochloride, Injection, 100 mg/10 mL (NDC 83634-651-10)</t>
  </si>
  <si>
    <t>Lidocaine Hydrochloride, Injection, 200 mg/20 mL (NDC 83634-651-20)</t>
  </si>
  <si>
    <t>Lidocaine Hydrochloride, Injection, 500 mg/50 mL (NDC 83634-651-50)</t>
  </si>
  <si>
    <t>Lidocaine Hydrochloride, Injection, 20 mg/2 mL (NDC 83634-653-02)</t>
  </si>
  <si>
    <t>Lidocaine Hydochloride, Injection, 50 mg/5 mL (NDC 83634-653-05)</t>
  </si>
  <si>
    <t>Lidocaine Hydrochloride, Injection, 300 mg/30 mL (NDC 83634-653-30)</t>
  </si>
  <si>
    <t>Lidocaine Hydrochloride, Injection, 2%, USP (For Cardiac Use Only)  100 mg/5 mL (20 mg/mL) LifeShield® ABBOJECT® Glass Syringe (20 G x 1 1/2) (NDC 0409-4903-34)"</t>
  </si>
  <si>
    <t>Lidocaine Hydrochloride, Injection, 1%, USP (For Cardiac Use Only) 50 mg/5 mL (10 mg/mL) LifeShield™ ABBOJECT® Glass Syringe (20 G x 1 1/2) (NDC 0409-4904-34)"</t>
  </si>
  <si>
    <t>Lidocaine Hydrochloride Preservative Free, Injection, 300 mg/20 mL (1.5%; 15 mg/mL) (NDC 0409-4776-01)</t>
  </si>
  <si>
    <t>Lidocaine Hydrochloride, Injection, 10 mg/1 mL (NDC 55150-159-74)</t>
  </si>
  <si>
    <t>Lidocaine Hydrochloride, Injection, 10 mg/1 mL (NDC 55150-161-02)</t>
  </si>
  <si>
    <t>Lidocaine Hydrochloride, Injection, 10 mg/1 mL (NDC 55150-162-05)</t>
  </si>
  <si>
    <t>Lidocaine Hydrochloride, Injection, 10 mg/1 mL (NDC 55150-163-30)</t>
  </si>
  <si>
    <t>Lidocaine Hydrochloride, Injection, 20 mg/mL (NDC 55150-164-02)</t>
  </si>
  <si>
    <t>Lidocaine Hydrochloride, Injection, 20 mg/1 mL (NDC 55150-165-05)</t>
  </si>
  <si>
    <t>Lidocaine Hydrochloride, Injection, 10 mg/mL (NDC 55150-251-10)</t>
  </si>
  <si>
    <t>Lidocaine Hydrochloride, Injection, 10 mg/mL (NDC 55150-252-20)</t>
  </si>
  <si>
    <t>Lidocaine Hydrochloride, Injection, 20 mg/mL (NDC 55150-254-10)</t>
  </si>
  <si>
    <t>On backorder. Recovery: late-November 2026; Check wholesalers for inventory</t>
  </si>
  <si>
    <t>Lidocaine Hydrochloride, Injection, 20 mg/mL (NDC 55150-255-20)</t>
  </si>
  <si>
    <t>Lidocaine Hydrochloride, Preservative Free, Injection, 10 mg/1 mL (NDC 0143-9595-25)</t>
  </si>
  <si>
    <t>Lidocaine Hydrochloride, Preservative Free, Injection, 20 mg/1 mL (NDC 0143-9594-25)</t>
  </si>
  <si>
    <t>Lidocaine Hydrochloride, Injection, 10 mg/1 mL (NDC 0143-9577-10)</t>
  </si>
  <si>
    <t>Lidocaine Hydrochloride, Injection, 20 mg/1 mL (NDC 0143-9575-10)</t>
  </si>
  <si>
    <t>Spectra Medical Devices, LLC</t>
  </si>
  <si>
    <t>978-657-0889 ext. 5231</t>
  </si>
  <si>
    <t>Lidocaine Hydrochloride, Injection, 10 mg/1 mL (NDC 65282-1605-1)</t>
  </si>
  <si>
    <t>Xylocaine, Injection, 10 mg/1 mL (NDC 63323-492-31)</t>
  </si>
  <si>
    <t>Lidocaine Hydrochloride And Dextrose, Injection, 4 mg/1 mL (NDC 0338-0409-03)</t>
  </si>
  <si>
    <t>Lidocaine Hydrochloride And Dextrose, Injection, 8 mg/1 mL (NDC 0338-0411-02)</t>
  </si>
  <si>
    <t>Lidocaine Hydrochloride And Dextrose, Injection, 5 g/100 mL; .8 g/100 mL (NDC 0264-9598-20)</t>
  </si>
  <si>
    <t>Lidocaine Hydrochloride And Dextrose, Injection, 5 g/100 mL; .4 g/100 mL (NDC 0264-9594-20)</t>
  </si>
  <si>
    <t>Lidocaine Hydrochloride And Dextrose, Injection, 5 g/100 mL; .4 g/100 mL (NDC 0264-9594-10)</t>
  </si>
  <si>
    <t>Xylocaine, Injection, 5 mg/1 mL (NDC 63323-484-57)</t>
  </si>
  <si>
    <t>Xylocaine, Injection, 5 mg/1 mL (NDC 63323-491-57)</t>
  </si>
  <si>
    <t>Lidocaine Hydrochloride In Plastic Container, Injection, 10 mg/1 mL (NDC 63323-201-02)</t>
  </si>
  <si>
    <t>Lidocaine Hydrochloride, Injection, 10 mg/1 mL (NDC 63323-201-10)</t>
  </si>
  <si>
    <t>Xylocaine, Injection, 10 mg/1 mL (NDC 63323-485-27)</t>
  </si>
  <si>
    <t>Xylocaine, Injection, 10 mg/1 mL (NDC 63323-485-57)</t>
  </si>
  <si>
    <t>Xylocaine, Injection, 10 mg/1 mL (NDC 63323-492-27)</t>
  </si>
  <si>
    <t>Xylocaine, Injection, 10 mg/1 mL (NDC 63323-492-57)</t>
  </si>
  <si>
    <t>Xylocaine, Injection, 10 mg/1 mL (NDC 63323-492-37)</t>
  </si>
  <si>
    <t>Lidocaine Hydrochloride Preservative Free In Plastic Container, Injection, 50 mg/5mL (1%, 10 mg/1 mL) Syringes (NDC 0409-9137-05)</t>
  </si>
  <si>
    <t>Lidocaine Hydrochloride Preservative Free, Injection, 20 mg/2 mL (1%; 10 mg/mL) (NDC 0409-4713-32)</t>
  </si>
  <si>
    <t>Next Delivery and Estimated Recovery: March 2027; Shortage per Manufacturer: Manufacturing Delay</t>
  </si>
  <si>
    <t>Lidocaine Hydrochloride In Plastic Container, Injection, 200 mg/20 mL (1%; 10 mg/mL) (NDC 0409-4276-01)</t>
  </si>
  <si>
    <t>Lidocaine Hydrochloride, Injection, 300 mg/30 mL (1%; 10 mg/mL) (NDC 0409-4279-02)</t>
  </si>
  <si>
    <t>Lidocaine Hydrochloride In Plastic Container, Injection, 500 mg/50 mL (1%; 10 mg/mL) (NDC 0409-4276-02)</t>
  </si>
  <si>
    <t>Lidocaine Hydrochloride, Injection, 40 mg/2 mL (2%; 20 mg/mL) (NDC 0409-4282-01)</t>
  </si>
  <si>
    <t>Lidocaine Hydrochloride, Injection, 200 mg/10 mL (2%; 20 mg/mL) (NDC 0409-4282-02)</t>
  </si>
  <si>
    <t>Lidocaine Hydrochloride, Injection, 100 mg/5 mL (2%; 20 mg/mL) (NDC 0409-2066-05)</t>
  </si>
  <si>
    <t>Lidocaine Hydrochloride In Plastic Container, Injection, 400 mg/20 mL (2%; 20 mg/mL) (NDC 0409-4277-01)</t>
  </si>
  <si>
    <t>Lidocaine Hydrochloride In Plastic Container, Injection, 1,000 mg/50 mL (2%; 20 mg/mL) (NDC 0409-4277-02)</t>
  </si>
  <si>
    <t>Lidocaine Hydrochloride Preservative Free, Injection, 200 mg/5 mL (4%; 40 mg/mL) (NDC 0409-4283-01)</t>
  </si>
  <si>
    <t>Lidocaine Hydrochloride Preservative Free In Plastic Container, Injection, 100 mg/5mL (2%,20 mg/1 mL) Syringes (NDC 0409-1323-05)</t>
  </si>
  <si>
    <t>Lidocaine Hydrochloride, Injection, 20 mg/1 mL (NDC 76329-3390-1)</t>
  </si>
  <si>
    <t>Xylocaine, Injection, 15 mg/1 mL (NDC 63323-493-97)</t>
  </si>
  <si>
    <t>Xylocaine, Injection, 15 mg/1 mL (NDC 63323-493-91)</t>
  </si>
  <si>
    <t>Lidocaine Hydrochloride, Injection, 20 mg/1 mL (NDC 63323-202-02)</t>
  </si>
  <si>
    <t>Lidocaine Hydrochloride Preservative Free, Injection, 20 mg/1 mL (NDC 63323-208-05)</t>
  </si>
  <si>
    <t>Xylocaine, Injection, 20 mg/1 mL (NDC 63323-486-17)</t>
  </si>
  <si>
    <t>Xylocaine, Injection, 20 mg/1 mL (NDC 63323-486-27)</t>
  </si>
  <si>
    <t>Xylocaine, Injection, 20 mg/1 mL (NDC 63323-486-57)</t>
  </si>
  <si>
    <t>Xylocaine, Injection, 20 mg/1 mL (NDC 63323-495-27)</t>
  </si>
  <si>
    <t>Xylocaine, Injection, 20 mg/1 mL (NDC 63323-495-07)</t>
  </si>
  <si>
    <t>Xylocaine, Injection, 20 mg/1 mL (NDC 63323-496-97)</t>
  </si>
  <si>
    <t>Lidocaine Hydrochloride In Plastic Container, Injection, 250 mg/50 mL (0.5%; 5 mg/mL) (NDC 0409-4275-01)</t>
  </si>
  <si>
    <t>Lidocaine Hydrochloride, Injection, 250 mg/50 mL (0.5%; 5 mg/mL) (NDC 0409-4278-01)</t>
  </si>
  <si>
    <t>Lidocaine Hydrochloride Preservative Free, Injection, 50 mg/5 mL (1%; 10 mg/mL) (NDC 0409-4713-02)</t>
  </si>
  <si>
    <t>Lidocaine Hydrochloride, Injection, 20 mg/mL (NDC 55150-256-50)</t>
  </si>
  <si>
    <t>Huons Co., Ltd. (South Korea)</t>
  </si>
  <si>
    <t>intbiz@huons.com</t>
  </si>
  <si>
    <t>Lidocaine Hydrochloride, Injection, 10 mg/1 mL (NDC 73293-0001-2)</t>
  </si>
  <si>
    <t>Lincomycin Hydrochloride Injection</t>
  </si>
  <si>
    <t>XGen Pharmaceuticals DJB, Inc.</t>
  </si>
  <si>
    <t>866-390-4411</t>
  </si>
  <si>
    <t>Lincomycin Hydrochloride, Injection, 600 mg/2 mL vial x 10 count (NDC 39822-0350-2)</t>
  </si>
  <si>
    <t>Lincomycin Hydrochloride, Injection, 3 grams/10 mL vial x 10 count (NDC 39822-0355-6)</t>
  </si>
  <si>
    <t>Lincocin, Injection, 2 mL multiple dose vial (NDC 0009-0104-04)</t>
  </si>
  <si>
    <t>Liraglutide Injection</t>
  </si>
  <si>
    <t>Liraglutide, Injection, 6 mg/1 mL (NDC 0143-9144-03)</t>
  </si>
  <si>
    <t>Liraglutide, Injection, 6 mg/1 mL (NDC 0143-9144-02)</t>
  </si>
  <si>
    <t>Liraglutide, Injection, 6 mg/1 mL (NDC 71288-563-84)</t>
  </si>
  <si>
    <t>Liraglutide, Injection, 6 mg/1 mL (NDC 71288-563-85)</t>
  </si>
  <si>
    <t>Novo Nordisk, Inc.</t>
  </si>
  <si>
    <t>833-493-4689</t>
  </si>
  <si>
    <t>Saxenda, Injection, 6 mg/1 mL (NDC 0169-2800-15)</t>
  </si>
  <si>
    <t>Product will be available until discontinuation in January 2027</t>
  </si>
  <si>
    <t>https://www.accessdata.fda.gov/scripts/drugshortages/dsp_ActiveIngredientDetails.cfm?AI=Liraglutide+Injection&amp;st=d</t>
  </si>
  <si>
    <t>Liraglutide, Injection, 6 mg/1 mL (NDC 0480-3667-20)</t>
  </si>
  <si>
    <t>Distributed by Teva</t>
  </si>
  <si>
    <t>Liraglutide, Injection, 6 mg/1 mL (NDC 0480-3667-22)</t>
  </si>
  <si>
    <t>Victoza, Injection, 6 mg/1 mL (NDC 0169-4060-12)</t>
  </si>
  <si>
    <t>Estimated shortage duration: TBD</t>
  </si>
  <si>
    <t>Victoza, Injection, 6 mg/1 mL (NDC 0169-4060-13)</t>
  </si>
  <si>
    <t>Product will be available until discontinuation in January 2027; Discontinuation of the manufacture of the drug</t>
  </si>
  <si>
    <t>888-838-2872</t>
  </si>
  <si>
    <t>Liraglutide, Injection, 6 mg/1 mL (NDC 0480-7250-46)</t>
  </si>
  <si>
    <t>Lisdexamfetamine Dimesylate Capsule</t>
  </si>
  <si>
    <t>Rhodes Pharmaceuticals L.P.</t>
  </si>
  <si>
    <t>888-827-0616</t>
  </si>
  <si>
    <t>Lisdexamfetamine Dimesylate, Capsule, 10 mg (NDC 42858-161-01)</t>
  </si>
  <si>
    <t>Lisdexamfetamine Dimesylate, Capsule, 20 mg (NDC 42858-162-01)</t>
  </si>
  <si>
    <t>Lisdexamfetamine Dimesylate, Capsule, 30 mg (NDC 42858-163-01)</t>
  </si>
  <si>
    <t>Lisdexamfetamine Dimesylate, Capsule, 40 mg (NDC 42858-164-01)</t>
  </si>
  <si>
    <t>Lisdexamfetamine Dimesylate, Capsule, 60 mg (NDC 42858-166-01)</t>
  </si>
  <si>
    <t>Lisdexamfetamine Dimesylate, Capsule, 50 mg (NDC 42858-165-01)</t>
  </si>
  <si>
    <t>Lisdexamfetamine Dimesylate, Capsule, 70 mg (NDC 42858-167-01)</t>
  </si>
  <si>
    <t>Lisdexamfetamine Dimesylate, Capsule, 10 mg (NDC 47781-562-01)</t>
  </si>
  <si>
    <t>Lisdexamfetamine Dimesylate, Capsule, 20 mg (NDC 47781-563-01)</t>
  </si>
  <si>
    <t>Lisdexamfetamine Dimesylate, Capsule, 30 mg (NDC 47781-564-01)</t>
  </si>
  <si>
    <t>Lisdexamfetamine Dimesylate, Capsule, 40 mg (NDC 47781-565-01)</t>
  </si>
  <si>
    <t>Lisdexamfetamine Dimesylate, Capsule, 50 mg (NDC 47781-566-01)</t>
  </si>
  <si>
    <t>Lisdexamfetamine Dimesylate, Capsule, 60 mg (NDC 47781-567-01)</t>
  </si>
  <si>
    <t>Lisdexamfetamine Dimesylate, Capsule, 70 mg (NDC 47781-568-01)</t>
  </si>
  <si>
    <t>Lisdexamfetamine Dimesylate, Capsule, 10 mg (NDC 60505-4739-1)</t>
  </si>
  <si>
    <t>Lisdexamfetamine Dimesylate, Capsule, 20 mg (NDC 60505-4740-1)</t>
  </si>
  <si>
    <t>Lisdexamfetamine Dimesylate, Capsule, 30 mg (NDC 60505-4741-1)</t>
  </si>
  <si>
    <t>Lisdexamfetamine Dimesylate, Capsule, 40 mg (NDC 60505-4742-1)</t>
  </si>
  <si>
    <t>Lisdexamfetamine Dimesylate, Capsule, 50 mg (NDC 60505-4743-1)</t>
  </si>
  <si>
    <t>Lisdexamfetamine Dimesylate, Capsule, 60 mg (NDC 60505-4744-1)</t>
  </si>
  <si>
    <t>Lisdexamfetamine Dimesylate, Capsule, 70 mg (NDC 60505-4745-1)</t>
  </si>
  <si>
    <t>Lisdexamfetamine Dimesylate, Capsule, 10 mg (NDC 0378-6854-77)</t>
  </si>
  <si>
    <t>Lisdexamfetamine Dimesylate, Capsule, 20 mg (NDC 0378-6855-77)</t>
  </si>
  <si>
    <t>Lisdexamfetamine Dimesylate, Capsule, 30 mg (NDC 0378-6856-77)</t>
  </si>
  <si>
    <t>Lisdexamfetamine Dimesylate, Capsule, 40 mg (NDC 0378-6857-77)</t>
  </si>
  <si>
    <t>Lisdexamfetamine Dimesylate, Capsule, 50 mg (NDC 0378-6858-77)</t>
  </si>
  <si>
    <t>Lisdexamfetamine Dimesylate, Capsule, 60 mg (NDC 0378-6859-77)</t>
  </si>
  <si>
    <t>Lisdexamfetamine Dimesylate, Capsule, 70 mg (NDC 0378-6860-77)</t>
  </si>
  <si>
    <t>Sun Pharmaceutical Industries, Inc.</t>
  </si>
  <si>
    <t>800-818-4555</t>
  </si>
  <si>
    <t>Lisdexamfetamine Dimesylate, Capsule, 10 mg (NDC 57664-046-88)</t>
  </si>
  <si>
    <t>Estimated Recovery: TBD</t>
  </si>
  <si>
    <t>Lisdexamfetamine Dimesylate, Capsule, 20 mg (NDC 57664-047-88)</t>
  </si>
  <si>
    <t>Lisdexamfetamine Dimesylate, Capsule, 30 mg (NDC 57664-048-88)</t>
  </si>
  <si>
    <t>Lisdexamfetamine Dimesylate, Capsule, 40 mg (NDC 57664-049-88)</t>
  </si>
  <si>
    <t>Lisdexamfetamine Dimesylate, Capsule, 50 mg (NDC 57664-050-88)</t>
  </si>
  <si>
    <t>Lisdexamfetamine Dimesylate, Capsule, 60 mg (NDC 57664-051-88)</t>
  </si>
  <si>
    <t>Lisdexamfetamine Dimesylate, Capsule, 70 mg (NDC 57664-052-88)</t>
  </si>
  <si>
    <t>Lisdexamfetamine Dimesylate, Capsule, 10 mg (NDC 0406-5111-01)</t>
  </si>
  <si>
    <t>Lisdexamfetamine Dimesylate, Capsule, 20 mg (NDC 0406-5112-01)</t>
  </si>
  <si>
    <t>Lisdexamfetamine Dimesylate, Capsule, 30 mg (NDC 0406-5113-01)</t>
  </si>
  <si>
    <t>Lisdexamfetamine Dimesylate, Capsule, 40 mg (NDC 0406-5114-01)</t>
  </si>
  <si>
    <t>Lisdexamfetamine Dimesylate, Capsule, 50 mg (NDC 0406-5115-01)</t>
  </si>
  <si>
    <t>Lisdexamfetamine Dimesylate, Capsule, 60 mg (NDC 0406-5116-01)</t>
  </si>
  <si>
    <t>Lisdexamfetamine Dimesylate, Capsule, 70 mg (NDC 0406-5117-01)</t>
  </si>
  <si>
    <t>Lisdexamfetamine Dimesylate, Capsule, 20 mg (NDC 0054-0370-25)</t>
  </si>
  <si>
    <t>Lisdexamfetamine Dimesylate, Capsule, 30 mg (NDC 0054-0371-25)</t>
  </si>
  <si>
    <t>Lisdexamfetamine Dimesylate, Capsule, 40 mg (NDC 0054-0372-25)</t>
  </si>
  <si>
    <t>Lisdexamfetamine Dimesylate, Capsule, 50 mg (NDC 0054-0373-25)</t>
  </si>
  <si>
    <t>Lisdexamfetamine Dimesylate, Capsule, 60 mg (NDC 0054-0374-25)</t>
  </si>
  <si>
    <t>Lisdexamfetamine Dimesylate, Capsule, 70 mg (NDC 0054-0375-25)</t>
  </si>
  <si>
    <t>Lisdexamfetamine Dimesylate, Capsule, 10 mg (NDC 0527-4661-37)</t>
  </si>
  <si>
    <t>Lisdexamfetamine Dimesylate, Capsule, 20 mg (NDC 0527-4662-37)</t>
  </si>
  <si>
    <t>Lisdexamfetamine Dimesylate, Capsule, 30 mg (NDC 0527-4663-37)</t>
  </si>
  <si>
    <t>Lisdexamfetamine Dimesylate, Capsule, 40 mg (NDC 0527-4664-37)</t>
  </si>
  <si>
    <t>Lisdexamfetamine Dimesylate, Capsule, 50 mg (NDC 0527-4665-37)</t>
  </si>
  <si>
    <t>Lisdexamfetamine Dimesylate, Capsule, 60 mg (NDC 0527-4666-37)</t>
  </si>
  <si>
    <t>Lisdexamfetamine Dimesylate, Capsule, 70 mg (NDC 0527-4667-37)</t>
  </si>
  <si>
    <t>Lisdexamfetamine Dimesylate, Capsule, 20 mg (NDC 65162-023-09)</t>
  </si>
  <si>
    <t>Lisdexamfetamine Dimesylate, Capsule, 30 mg (NDC 65162-024-09)</t>
  </si>
  <si>
    <t>Lisdexamfetamine Dimesylate, Capsule, 40 mg (NDC 65162-025-09)</t>
  </si>
  <si>
    <t>Lisdexamfetamine Dimesylate, Capsule, 50 mg (NDC 65162-026-09)</t>
  </si>
  <si>
    <t>Lisdexamfetamine Dimesylate, Capsule, 60 mg (NDC 65162-027-09)</t>
  </si>
  <si>
    <t>Lisdexamfetamine Dimesylate, Capsule, 70 mg (NDC 65162-028-09)</t>
  </si>
  <si>
    <t>Solco Healthcare US, LLC</t>
  </si>
  <si>
    <t>866-931-9829</t>
  </si>
  <si>
    <t>Lisdexamfetamine Dimesylate, Capsule, 10 mg (NDC 43547-602-10)</t>
  </si>
  <si>
    <t>Lisdexamfetamine Dimesylate, Capsule, 20 mg (NDC 43547-603-10)</t>
  </si>
  <si>
    <t>Lisdexamfetamine Dimesylate, Capsule, 30 mg (NDC 43547-604-10)</t>
  </si>
  <si>
    <t>Lisdexamfetamine Dimesylate, Capsule, 40 mg (NDC 43547-605-10)</t>
  </si>
  <si>
    <t>Lisdexamfetamine Dimesylate, Capsule, 50 mg (NDC 43547-606-10)</t>
  </si>
  <si>
    <t>Lisdexamfetamine Dimesylate, Capsule, 60 mg (NDC 43547-607-10)</t>
  </si>
  <si>
    <t>Lisdexamfetamine Dimesylate, Capsule, 70 mg (NDC 43547-608-10)</t>
  </si>
  <si>
    <t>877-TAKEDA-7 (1-877-825-3327)</t>
  </si>
  <si>
    <t>Vyvanse, Capsule, 10 mg (NDC 59417-101-10)</t>
  </si>
  <si>
    <t>Vyvanse, Capsule, 20 mg (NDC 59417-102-10)</t>
  </si>
  <si>
    <t>Vyvanse, Capsule, 30 mg (NDC 59417-103-10)</t>
  </si>
  <si>
    <t>Vyvanse, Capsule, 40 mg (NDC 59417-104-10)</t>
  </si>
  <si>
    <t>Vyvanse, Capsule, 50 mg (NDC 59417-105-10)</t>
  </si>
  <si>
    <t>Vyvanse, Capsule, 60 mg (NDC 59417-106-10)</t>
  </si>
  <si>
    <t>Vyvanse, Capsule, 70 mg (NDC 59417-107-10)</t>
  </si>
  <si>
    <t>Lisdexamfetamine Dimesylate, Capsule, 10 mg (NDC 64850-550-01)</t>
  </si>
  <si>
    <t>Lisdexamfetamine Dimesylate, Capsule, 20 mg (NDC 64850-551-01)</t>
  </si>
  <si>
    <t>Lisdexamfetamine Dimesylate, Capsule, 30 mg (NDC 64850-552-01)</t>
  </si>
  <si>
    <t>Lisdexamfetamine Dimesylate, Capsule, 40 mg (NDC 64850-553-01)</t>
  </si>
  <si>
    <t>Lisdexamfetamine Dimesylate, Capsule, 50 mg (NDC 64850-554-01)</t>
  </si>
  <si>
    <t>Lisdexamfetamine Dimesylate, Capsule, 60 mg (NDC 64850-555-01)</t>
  </si>
  <si>
    <t>Lisdexamfetamine Dimesylate, Capsule, 70 mg (NDC 64850-556-01)</t>
  </si>
  <si>
    <t>Lisdexamfetamine Dimesylate, Capsule, 10 mg (NDC 0480-3565-01)</t>
  </si>
  <si>
    <t>Lisdexamfetamine Dimesylate, Capsule, 20 mg (NDC 0480-3566-01)</t>
  </si>
  <si>
    <t>Lisdexamfetamine Dimesylate, Capsule, 30 mg (NDC 0480-3567-01)</t>
  </si>
  <si>
    <t>Lisdexamfetamine Dimesylate, Capsule, 40 mg (NDC 0480-3568-01)</t>
  </si>
  <si>
    <t>Lisdexamfetamine Dimesylate, Capsule, 50 mg (NDC 0480-3569-01)</t>
  </si>
  <si>
    <t>Lisdexamfetamine Dimesylate, Capsule, 60 mg (NDC 0480-3570-01)</t>
  </si>
  <si>
    <t>Lisdexamfetamine Dimesylate, Capsule, 70 mg (NDC 0480-3564-01)</t>
  </si>
  <si>
    <t>Lisdexamfetamine Dimesylate, Capsule, 10 mg (NDC 0054-0660-25)</t>
  </si>
  <si>
    <t>Lisdexamfetamine Dimesylate Tablet, Chewable</t>
  </si>
  <si>
    <t>Vyvanse, Tablet, Chewable, 10 mg (NDC 59417-115-01)</t>
  </si>
  <si>
    <t>Vyvanse, Tablet, Chewable, 20 mg (NDC 59417-116-01)</t>
  </si>
  <si>
    <t>Vyvanse, Tablet, Chewable, 30 mg (NDC 59417-117-01)</t>
  </si>
  <si>
    <t>Vyvanse, Tablet, Chewable, 40 mg (NDC 59417-118-01)</t>
  </si>
  <si>
    <t>Vyvanse, Tablet, Chewable, 50 mg (NDC 59417-119-01)</t>
  </si>
  <si>
    <t>Vyvanse, Tablet, Chewable, 60 mg (NDC 59417-120-01)</t>
  </si>
  <si>
    <t>Lisdexamfetamine Dimesylate, Tablet, Chewable, 10 mg (NDC 57664-083-88)</t>
  </si>
  <si>
    <t>Lisdexamfetamine Dimesylate, Tablet, Chewable, 20 mg (NDC 57664-084-88)</t>
  </si>
  <si>
    <t>Lisdexamfetamine Dimesylate, Tablet, Chewable, 30 mg (NDC 57664-085-88)</t>
  </si>
  <si>
    <t>Lisdexamfetamine Dimesylate, Tablet, Chewable, 50 mg (NDC 57664-087-88)</t>
  </si>
  <si>
    <t>Lisdexamfetamine Dimesylate, Tablet, Chewable, 60 mg (NDC 57664-088-88)</t>
  </si>
  <si>
    <t>Lisdexamfetamine Dimesylate, Tablet, Chewable, 40 mg (NDC 57664-086-88)</t>
  </si>
  <si>
    <t>Novadoz Pharmaceuticals LLC</t>
  </si>
  <si>
    <t>(855) 668-2369; customerservice@novadozpharma.com</t>
  </si>
  <si>
    <t>Lisdexamfetamine Dimesylate, Tablet, Chewable, 10 mg (NDC 72205-132-91)</t>
  </si>
  <si>
    <t>Lisdexamfetamine Dimesylate, Tablet, Chewable, 20 mg (NDC 72205-133-91)</t>
  </si>
  <si>
    <t>Lisdexamfetamine Dimesylate, Tablet, Chewable, 30 mg (NDC 72205-134-91)</t>
  </si>
  <si>
    <t>Lisdexamfetamine Dimesylate, Tablet, Chewable, 40 mg (NDC 72205-135-91)</t>
  </si>
  <si>
    <t>Lisdexamfetamine Dimesylate, Tablet, Chewable, 50 mg (NDC 72205-136-91)</t>
  </si>
  <si>
    <t>Lisdexamfetamine Dimesylate, Tablet, Chewable, 60 mg (NDC 72205-137-91)</t>
  </si>
  <si>
    <t>Lopinavir and Ritonavir Oral Solution</t>
  </si>
  <si>
    <t>AbbVie Inc.</t>
  </si>
  <si>
    <t>800-633-9110</t>
  </si>
  <si>
    <t>Kaletra, Oral Solution, 80 mg/1 mL; 20 mg/1 mL (NDC 0074-3956-46)</t>
  </si>
  <si>
    <t>Lopinavir and Ritonavir Tablet</t>
  </si>
  <si>
    <t>Kaletra, Tablet, 100 mg; 25 mg (NDC 0074-0522-60)</t>
  </si>
  <si>
    <t>Kaletra, Tablet, 100 mg; 25 mg (NDC 0074-3008-60)</t>
  </si>
  <si>
    <t>Kaletra, Tablet, 200 mg; 50 mg (NDC 0074-6799-22)</t>
  </si>
  <si>
    <t>Kaletra, Tablet, 200 mg; 50 mg (NDC 0074-4014-12)</t>
  </si>
  <si>
    <t>Lorazepam Injection</t>
  </si>
  <si>
    <t>Lorazepam, Injection, 4 mg/1 mL (NDC 0641-6047-10)</t>
  </si>
  <si>
    <t>Lorazepam, Injection, 2 mg/1 mL (NDC 65219-368-02)</t>
  </si>
  <si>
    <t>Ativan, Injection, 2 mg/1 mL (NDC 0641-6001-25)</t>
  </si>
  <si>
    <t>Ativan, Injection, 2 mg/1 mL (NDC 0641-6000-10)</t>
  </si>
  <si>
    <t>Ativan, Injection, 4 mg/1 mL (NDC 0641-6003-25)</t>
  </si>
  <si>
    <t>Ativan, Injection, 4 mg/1 mL (NDC 0641-6002-10)</t>
  </si>
  <si>
    <t>Lorazepam, Injection, 2 mg/1 mL (NDC 0641-6044-25)</t>
  </si>
  <si>
    <t>Lorazepam, Injection, 2 mg/1 mL (NDC 0641-6046-10)</t>
  </si>
  <si>
    <t>Lorazepam, Injection, 4 mg/1 mL (NDC 0641-6045-25)</t>
  </si>
  <si>
    <t>Lorazepam, Injection, 2 mg/1 mL Syringes (NDC 0409-1985-30)</t>
  </si>
  <si>
    <t>Lorazepam, Injection, 2 mg/1 mL (NDC 76329-8261-1)</t>
  </si>
  <si>
    <t>Lorlatinib Tablet</t>
  </si>
  <si>
    <t>Lorbrena, Tablet, 25 mg; 120 tablets bottle with a child-resistant closure (NDC 0069-0227-03)</t>
  </si>
  <si>
    <t>Supply expected to exhaust 6/30/2026; NDC 0069-0227-01 25 mg; 30 tablets bottle with a child-resistant closure will continue to be manufactured; Discontinuation of the manufacture of this presentation</t>
  </si>
  <si>
    <t>Maraviroc Solution</t>
  </si>
  <si>
    <t>877-844-8872</t>
  </si>
  <si>
    <t>Selzentry, Solution, 20 mg/mL Oral Solution Kit | 230 mL Oral Solution per Bottle | 1 Bottle per Carton  (NDC 49702-260-55)</t>
  </si>
  <si>
    <t>The anticipated date that GSK will cease distribution of the product is approximately August 1, 2026.</t>
  </si>
  <si>
    <t>Medroxyprogesterone Acetate Tablet</t>
  </si>
  <si>
    <t>PROVERA, Tablet, 10 mg (NDC 0009-0051-01)</t>
  </si>
  <si>
    <t>Discontinuation of the manufacture of the drug; Withdrawal from sale expected September 2026.</t>
  </si>
  <si>
    <t>Urology</t>
  </si>
  <si>
    <t>PROVERA, Tablet, 2.5 mg (NDC 0009-0065-01)</t>
  </si>
  <si>
    <t>Discontinuation of the manufacture of the drug; Withdrawal from sale expected early October 2026.</t>
  </si>
  <si>
    <t>Melphalan Hydrochloride Injection</t>
  </si>
  <si>
    <t>Melphalan Hydrochloride, Injection, Kit (NDC 63323-760-20)</t>
  </si>
  <si>
    <t>Meperidine Hydrochloride Injection</t>
  </si>
  <si>
    <t>Meperidine Hydrochloride, Injection, 25 mg/1 mL (NDC 0641-6052-25)</t>
  </si>
  <si>
    <t>Meperidine Hydrochloride, Injection, 50 mg/1 mL (NDC 0641-6053-25)</t>
  </si>
  <si>
    <t>Meperidine Hydrochloride, Injection, 100 mg/1 mL (NDC 0641-6054-25)</t>
  </si>
  <si>
    <t>Demerol, Injection, 25 mg/1 mL (NDC 0409-1176-30)</t>
  </si>
  <si>
    <t>Demerol, Injection, 50 mg/1 mL (NDC 0409-1178-30)</t>
  </si>
  <si>
    <t>Demerol, Injection, 50 mg/1 mL (NDC 0409-1181-30)</t>
  </si>
  <si>
    <t>Mesalamine Capsule, Extended Release</t>
  </si>
  <si>
    <t>877 825 3327</t>
  </si>
  <si>
    <t>Pentasa, Capsule, Extended Release, 250 mg (NDC 54092-189-81)</t>
  </si>
  <si>
    <t>Product is anticipated to be available until December 31, 2027</t>
  </si>
  <si>
    <t>Pentasa, Capsule, Extended Release, 500 mg (NDC 54092-191-12)</t>
  </si>
  <si>
    <t>Mesalamine, Capsule, Extended Release, .375 g (NDC 0378-1375-78)</t>
  </si>
  <si>
    <t>Metformin Hydrochloride Tablet, Extended Release</t>
  </si>
  <si>
    <t>Metformin Hydrochloride, Tablet, Extended Release, 1000 mg (NDC 0378-6001-91)</t>
  </si>
  <si>
    <t>A business decision was made was discontinue manufacture of the drug product.</t>
  </si>
  <si>
    <t>Metformin Hydrochloride, Tablet, Extended Release, 500 mg (NDC 0378-6002-91)</t>
  </si>
  <si>
    <t>Methotrexate Sodium Injection</t>
  </si>
  <si>
    <t>Methotrexate, Preservative Free, Injection, 1 g (NDC 0143-9830-01)</t>
  </si>
  <si>
    <t>Additional lots will be available in the November 2026 timeframe.  Short Dated Prodcut Available.</t>
  </si>
  <si>
    <t>Rheumatology; Oncology</t>
  </si>
  <si>
    <t>Methotrexate, Preservative Free, Injection, 25 mg/1 mL (NDC 0143-9519-10)</t>
  </si>
  <si>
    <t>Methotrexate Sodium Preservative Free, Injection, 25 mg/1 mL (NDC 0703-3671-01)</t>
  </si>
  <si>
    <t>Methotrexate Sodium Preservative Free, Injection, 25 mg/1 mL (NDC 0703-3675-01)</t>
  </si>
  <si>
    <t>Estimated Recovery: Novemeber 2026</t>
  </si>
  <si>
    <t>Methotrexate Sodium Preservative Free, Injection, 25 mg/1 mL (NDC 0703-3678-01)</t>
  </si>
  <si>
    <t>Methotrexate Sodium, Injection, 50 mg/2 mL (25 mg/mL) (NDC 61703-350-38)</t>
  </si>
  <si>
    <t>Methotrexate Sodium, Injection, 50 mg/2 mL  (25 mg/mL) (NDC 61703-350-10)</t>
  </si>
  <si>
    <t>Methotrexate Sodium, Injection, 1 g/40 mL (25 mg/mL) (NDC 61703-408-41)</t>
  </si>
  <si>
    <t>Methotrexate Sodium, Injection, 1 g/40 mL (25 mg/mL) (NDC 61703-408-25)</t>
  </si>
  <si>
    <t>Methotrexate Sodium, Injection, 1 g/40 mL (25 mg/mL) (NDC 61703-124-40)</t>
  </si>
  <si>
    <t>Methotrexate Preservative Free, Injection, 1 g (NDC 63323-122-50)</t>
  </si>
  <si>
    <t>Methotrexate Sodium, Injection, 25 mg/1 mL (NDC 63323-123-10)</t>
  </si>
  <si>
    <t>Methotrexate Sodium Preservative Free, Injection, 25 mg/1 mL (NDC 16729-277-30)</t>
  </si>
  <si>
    <t>Methotrexate Sodium Preservative Free, Injection, 25 mg/1 mL (NDC 16729-277-35)</t>
  </si>
  <si>
    <t>Short dated inventory with expiry of 8/31/2027 available; Estimated recovery: Jan 2027</t>
  </si>
  <si>
    <t>Methylphenidate Film, Extended Release</t>
  </si>
  <si>
    <t>Noven Pharmaceuticals, Inc.</t>
  </si>
  <si>
    <t>800-455-8070</t>
  </si>
  <si>
    <t>Methylphenidate, Film, Extended Release, 10 mg (NDC 0574-2410-65)</t>
  </si>
  <si>
    <t>Distributed by Padagis US LLC</t>
  </si>
  <si>
    <t>Methylphenidate, Film, Extended Release, 15 mg (NDC 0574-2415-65)</t>
  </si>
  <si>
    <t>Methylphenidate, Film, Extended Release, 20 mg (NDC 0574-2420-65)</t>
  </si>
  <si>
    <t>Methylphenidate, Film, Extended Release, 30 mg (NDC 0574-2430-65)</t>
  </si>
  <si>
    <t>Methylphenidate Hydrochloride Tablet, Extended Release</t>
  </si>
  <si>
    <t>Methylphenidate Hydrochloride, Tablet, Extended Release, 18 mg (NDC 62175-310-37)</t>
  </si>
  <si>
    <t>Methylphenidate Hydrochloride, Tablet, Extended Release, 27 mg (NDC 62175-311-37)</t>
  </si>
  <si>
    <t>Methylphenidate Hydrochloride, Tablet, Extended Release, 36 mg (NDC 62175-312-37)</t>
  </si>
  <si>
    <t>Methylphenidate Hydrochloride, Tablet, Extended Release, 54 mg (NDC 62175-313-37)</t>
  </si>
  <si>
    <t>Methylphenidate Hydrochloride, Tablet, Extended Release, 18 mg (NDC 62037-725-01)</t>
  </si>
  <si>
    <t>Methylphenidate Hydrochloride, Tablet, Extended Release, 27 mg (NDC 62037-734-01)</t>
  </si>
  <si>
    <t>Methylphenidate Hydrochloride, Tablet, Extended Release, 36 mg (NDC 62037-726-01)</t>
  </si>
  <si>
    <t>Methylphenidate Hydrochloride, Tablet, Extended Release, 54 mg (NDC 62037-727-01)</t>
  </si>
  <si>
    <t>Trigen Laboratories, LLC</t>
  </si>
  <si>
    <t>800-541-4802</t>
  </si>
  <si>
    <t>Methylphenidate Hydrochloride, Tablet, Extended Release, 18 mg (NDC 13811-706-10)</t>
  </si>
  <si>
    <t>Methylphenidate Hydrochloride, Tablet, Extended Release, 27 mg (NDC 13811-707-10)</t>
  </si>
  <si>
    <t>Methylphenidate Hydrochloride, Tablet, Extended Release, 36 mg (NDC 13811-708-10)</t>
  </si>
  <si>
    <t>Methylphenidate Hydrochloride, Tablet, Extended Release, 45 mg (NDC 13811-711-30)</t>
  </si>
  <si>
    <t>Methylphenidate Hydrochloride, Tablet, Extended Release, 54 mg (NDC 13811-709-10)</t>
  </si>
  <si>
    <t>Methylphenidate Hydrochloride, Tablet, Extended Release, 63 mg (NDC 13811-700-30)</t>
  </si>
  <si>
    <t>Methylphenidate Hydrochloride, Tablet, Extended Release, 72 mg (NDC 13811-710-30)</t>
  </si>
  <si>
    <t>800-JANSSEN (1-800-526-7736) Monday through Friday from 9:00 AM to 8:00 PM ET</t>
  </si>
  <si>
    <t>Concerta, Tablet, Extended Release, 18 mg (NDC 50458-585-01)</t>
  </si>
  <si>
    <t>Concerta, Tablet, Extended Release, 27 mg (NDC 50458-588-01)</t>
  </si>
  <si>
    <t>Concerta, Tablet, Extended Release, 36 mg (NDC 50458-586-01)</t>
  </si>
  <si>
    <t>Concerta, Tablet, Extended Release, 54 mg (NDC 50458-587-01)</t>
  </si>
  <si>
    <t>Methylphenidate Hydrochloride, Tablet, Extended Release, 18 mg (NDC 57664-606-88)</t>
  </si>
  <si>
    <t>Currently not marketed</t>
  </si>
  <si>
    <t>Methylphenidate Hydrochloride, Tablet, Extended Release, 27 mg (NDC 57664-607-88)</t>
  </si>
  <si>
    <t>Methylphenidate Hydrochloride, Tablet, Extended Release, 36 mg (NDC 57664-608-88)</t>
  </si>
  <si>
    <t>Methylphenidate Hydrochloride, Tablet, Extended Release, 54 mg (NDC 57664-609-88)</t>
  </si>
  <si>
    <t>Vertical Pharmaceuticals, LLC</t>
  </si>
  <si>
    <t>Relexxii, Tablet, Extended Release, 18 mg (NDC 68025-095-30)</t>
  </si>
  <si>
    <t>Relexxii, Tablet, Extended Release, 27 mg (NDC 68025-096-30)</t>
  </si>
  <si>
    <t>Relexxii, Tablet, Extended Release, 36 mg (NDC 68025-097-30)</t>
  </si>
  <si>
    <t>Relexxii, Tablet, Extended Release, 54 mg (NDC 68025-098-30)</t>
  </si>
  <si>
    <t>Relexxii, Tablet, Extended Release, 18 mg (NDC 68025-095-10)</t>
  </si>
  <si>
    <t>Relexxii, Tablet, Extended Release, 27 mg (NDC 68025-096-10)</t>
  </si>
  <si>
    <t>Relexxii, Tablet, Extended Release, 36 mg (NDC 68025-097-10)</t>
  </si>
  <si>
    <t>Relexxii, Tablet, Extended Release, 45 mg (NDC 68025-088-30)</t>
  </si>
  <si>
    <t>Relexxii, Tablet, Extended Release, 54 mg (NDC 68025-098-10)</t>
  </si>
  <si>
    <t>Relexxii, Tablet, Extended Release, 63 mg (NDC 68025-089-30)</t>
  </si>
  <si>
    <t>Relexxii, Tablet, Extended Release, 72 mg (NDC 68025-084-30)</t>
  </si>
  <si>
    <t>Methylprednisolone Acetate Injection</t>
  </si>
  <si>
    <t>Methylprednisolone Acetate, Injection, 40 mg/1 mL (NDC 55150-313-01)</t>
  </si>
  <si>
    <t>Methylprednisolone Acetate, Injection, 80 mg/1 mL (NDC 55150-314-01)</t>
  </si>
  <si>
    <t>Methylprednisolone Acetate, Injection, 40 mg/1 mL (NDC 25021-820-10)</t>
  </si>
  <si>
    <t>Methylprednisolone Acetate, Injection, 40 mg/1 mL (NDC 25021-820-05)</t>
  </si>
  <si>
    <t>Methylprednisolone Acetate, Injection, 80 mg/1 mL (NDC 25021-821-05)</t>
  </si>
  <si>
    <t>Methylprednisolone Acetate, Injection, 80 mg/1 mL (NDC 42023-240-01)</t>
  </si>
  <si>
    <t>Methylprednisolone Acetate, Injection, 40 mg/1 mL (NDC 70121-1573-1)</t>
  </si>
  <si>
    <t>Methylprednisolone Acetate, Injection, 40 mg/1 mL (NDC 70121-1573-5)</t>
  </si>
  <si>
    <t>Methylprednisolone Acetate, Injection, 80 mg/1 mL (NDC 70121-1574-1)</t>
  </si>
  <si>
    <t>Methylprednisolone Acetate, Injection, 80 mg/1 mL (NDC 70121-1574-5)</t>
  </si>
  <si>
    <t>Depo-medrol, Injection, 20 mg/1 mL (NDC 0009-0274-01)</t>
  </si>
  <si>
    <t>Depo-medrol, Injection, 40 mg/1 mL (NDC 0009-0280-02)</t>
  </si>
  <si>
    <t>Depo-medrol, Injection, 40 mg/1 mL (NDC 0009-0280-03)</t>
  </si>
  <si>
    <t>Depo-medrol, Injection, 40 mg/1 mL (NDC 0009-0280-51)</t>
  </si>
  <si>
    <t>Depo-medrol, Injection, 40 mg/1 mL (NDC 0009-0280-52)</t>
  </si>
  <si>
    <t>Depo-medrol, Injection, 80 mg/1 mL (NDC 0009-0306-02)</t>
  </si>
  <si>
    <t>Depo-medrol, Injection, 80 mg/1 mL (NDC 0009-0306-12)</t>
  </si>
  <si>
    <t>Depo-medrol, Injection, 40 mg/1 mL (NDC 0009-3073-01)</t>
  </si>
  <si>
    <t>Depo-medrol, Injection, 40 mg/1 mL (NDC 0009-3073-03)</t>
  </si>
  <si>
    <t>Depo-medrol, Injection, 40 mg/1 mL (NDC 0009-3073-22)</t>
  </si>
  <si>
    <t>Depo-medrol, Injection, 40 mg/1 mL (NDC 0009-3073-23)</t>
  </si>
  <si>
    <t>Depo-medrol, Injection, 80 mg/1 mL (NDC 0009-3475-01)</t>
  </si>
  <si>
    <t>Depo-medrol, Injection, 80 mg/1 mL (NDC 0009-3475-03)</t>
  </si>
  <si>
    <t>Metoprolol Succinate Tablet, Extended Release</t>
  </si>
  <si>
    <t>Metoprolol Succinate, Tablet, Extended Release, 50 mg (NDC 45963-676-11)</t>
  </si>
  <si>
    <t>Metoprolol Succinate, Tablet, Extended Release, 50 mg (NDC 45963-676-96)</t>
  </si>
  <si>
    <t>Metoprolol Succinate, Tablet, Extended Release, 100 mg (NDC 45963-677-11)</t>
  </si>
  <si>
    <t>Metoprolol Succinate, Tablet, Extended Release, 100 mg (NDC 45963-677-96)</t>
  </si>
  <si>
    <t>Metoprolol Succinate, Tablet, Extended Release, 200 mg (NDC 45963-678-11)</t>
  </si>
  <si>
    <t>Metoprolol Succinate, Tablet, Extended Release, 25 mg (NDC 45963-709-11)</t>
  </si>
  <si>
    <t>Metoprolol Succinate, Tablet, Extended Release, 25 mg (NDC 45963-709-96)</t>
  </si>
  <si>
    <t>Metronidazole Injection</t>
  </si>
  <si>
    <t>Flagyl I.v. Rtu In Plastic Container, Injection, 500 mg/100 mL (NDC 0338-1055-48)</t>
  </si>
  <si>
    <t>Distributed by Sun Pharma</t>
  </si>
  <si>
    <t>Metronidazole In Plastic Container, Injection, 500 mg/100 mL (NDC 47335-993-01)</t>
  </si>
  <si>
    <t>InfoRLife SA</t>
  </si>
  <si>
    <t>Sagent: 866-625-1618</t>
  </si>
  <si>
    <t>Metronidazole in Flexible Container, Injection, 500 mg/100 mL (NDC 0409-0152-24)</t>
  </si>
  <si>
    <t>Labeler: Hospira Inc.</t>
  </si>
  <si>
    <t>Metronidazole, Injection, 500 mg/100 mL (NDC 25021-131-82)</t>
  </si>
  <si>
    <t>Micafungin Sodium Injection</t>
  </si>
  <si>
    <t xml:space="preserve"> 800-828-9393</t>
  </si>
  <si>
    <t>Micafungin Sodium, Injection, 10 mg/1 mL (NDC 42023-229-10)</t>
  </si>
  <si>
    <t>Micafungin Sodium, Injection, 20 mg/1 mL (NDC 42023-230-10)</t>
  </si>
  <si>
    <t>Midazolam Hydrochloride Injection</t>
  </si>
  <si>
    <t>Midazolam Hydrochloride Preservative Free, Injection, 2 mg/2mL (1 mg/mL) (NDC 0409-0001-25)</t>
  </si>
  <si>
    <t>Limited Supply Available. Next Delivery: December 2026; Estimated Recovery: March 2027</t>
  </si>
  <si>
    <t>Anesthesia; Neurology</t>
  </si>
  <si>
    <t>Avet Pharmaceuticals, Inc.: 855-228-9470; Sagent Pharmaceuticals: 866-625-1618</t>
  </si>
  <si>
    <t>Midazolam Hydrochloride, Injection, 1 mg/1 mL (NDC 25021-655-02)</t>
  </si>
  <si>
    <t>Estimated recovery: TBD; Distributed by Sagent Pharmaceuticals</t>
  </si>
  <si>
    <t>Midazolam Hydrochloride, Injection, 5 mg/1 mL (NDC 25021-661-10)</t>
  </si>
  <si>
    <t>WG Critical Care</t>
  </si>
  <si>
    <t>888-493-0861</t>
  </si>
  <si>
    <t>Midazolam In 0.9% Sodium Chloride, Injection, 1 mg/1 mL (NDC 44567-610-10)</t>
  </si>
  <si>
    <t>Midazolam In 0.9% Sodium Chloride, Injection, 1 mg/1 mL (NDC 44567-611-10)</t>
  </si>
  <si>
    <t>Midazolam Hydrochloride, Injection, 5 mg/1 mL (NDC 23155-601-42)</t>
  </si>
  <si>
    <t>Midazolam Hydrochloride, Injection, 5 mg/1 mL (NDC 23155-601-41)</t>
  </si>
  <si>
    <t>Midazolam Hydrochloride, Injection, 1 mg/1 mL (NDC 23155-600-41)</t>
  </si>
  <si>
    <t>Midazolam Hydrochloride, Injection, 1 mg/1 mL (NDC 63323-411-10)</t>
  </si>
  <si>
    <t>Midazolam Hydrochloride Preservative Free, Injection, 2 mg/2 mL (NDC 76045-211-20)</t>
  </si>
  <si>
    <t>Midazolam Hydrochloride, Injection, 1 mg/1 mL (NDC 63323-411-12)</t>
  </si>
  <si>
    <t>Midazolam Hydrochloride, Injection, 1 mg/1 mL (NDC 63323-411-25)</t>
  </si>
  <si>
    <t>Midazolam Hydrochloride, Injection, 5 mg/1 mL (NDC 63323-412-25)</t>
  </si>
  <si>
    <t>Midazolam Hydrochloride, Injection, 5 mg/1 mL (NDC 63323-412-10)</t>
  </si>
  <si>
    <t>Midazolam Hydrochloride, Injection, 5 mg/1 mL (NDC 63323-412-02)</t>
  </si>
  <si>
    <t>Midazolam Hydrochloride, Injection, 1 mg/1 mL (NDC 0641-6056-10)</t>
  </si>
  <si>
    <t>Additional lots are scheduled to be manufactured. Product will be made available as it is released.</t>
  </si>
  <si>
    <t>Midazolam Hydrochloride, Injection, 1 mg/1 mL (NDC 0641-6057-25)</t>
  </si>
  <si>
    <t>Midazolam Hydrochloride, Injection, 1 mg/1 mL (NDC 0641-6059-01)</t>
  </si>
  <si>
    <t>Midazolam Hydrochloride, Injection, 5 mg/1 mL (NDC 0641-6061-25)</t>
  </si>
  <si>
    <t>Midazolam Hydrochloride, Injection, 5 mg/1 mL (NDC 0641-6060-10)</t>
  </si>
  <si>
    <t>Midazolam Hydrochloride Preservative Free, Injection, 2 mg/2mL (1 mg/mL) (NDC 0409-2305-17)</t>
  </si>
  <si>
    <t>Next Estimated Delivery and Estimated Recovery: December 2026</t>
  </si>
  <si>
    <t>Midazolam Hydrochloride Preservative Free, Injection, 5 mg/5 mL (1 mg/mL) (NDC 0409-2305-05)</t>
  </si>
  <si>
    <t>Limited Supply Available. Next Delivery: October 2026; Estimated Recovery: March 2027</t>
  </si>
  <si>
    <t>Midazolam Hydrochloride Preservative Free, Injection, 5 mg/mL (5 mg/mL) (NDC 0409-2308-01)</t>
  </si>
  <si>
    <t>Midazolam Hydrochloride, Injection, 50 mg/10 mL (5 mg/mL) (NDC 0409-2596-05)</t>
  </si>
  <si>
    <t>Midazolam Hydrochloride Preservative Free, Injection, 10 mg/2 mL (5 mg/mL) (NDC 0409-2308-02)</t>
  </si>
  <si>
    <t>Midazolam Hydrochloride, Injection, 25 mg/5 mL (5 mg/mL) (NDC 0409-2596-03)</t>
  </si>
  <si>
    <t>Midazolam Hydrochloride, Injection, 10 mg/10 mL (1 mg/mL) (NDC 0409-2587-05)</t>
  </si>
  <si>
    <t>Mirikizumab-mrkz Injection</t>
  </si>
  <si>
    <t>Omvoh, Injection, 100 mg/1 mL (NDC 0002-8011-27)</t>
  </si>
  <si>
    <t>A business decision was made to discontinue. Distribution will end April 2026. The 200 mg/2 mL injection presentation (NDC 0002-3116-11) will remain.</t>
  </si>
  <si>
    <t>Gastroenterology; Other</t>
  </si>
  <si>
    <t>Omvoh, Injection, 100 mg/1 mL (NDC 0002-8870-27)</t>
  </si>
  <si>
    <t>A business decision was made to discontinue. Distribution will end April 2026. The 200 mg/2 mL injection presentation (NDC 0002-1442-11) will remain.</t>
  </si>
  <si>
    <t>Molnupiravir Capsule</t>
  </si>
  <si>
    <t>Lagevrio, Capsule, 200 mg (NDC 0006-5055-06)</t>
  </si>
  <si>
    <t>Lagevrio, Capsule, 200 mg (NDC 0006-5055-07)</t>
  </si>
  <si>
    <t>Lagevrio, Capsule, 200 mg (NDC 0006-5055-09)</t>
  </si>
  <si>
    <t>Montelukast Sodium Tablet, Chewable</t>
  </si>
  <si>
    <t>Organon</t>
  </si>
  <si>
    <t>844-674-3200</t>
  </si>
  <si>
    <t>Singulair, Tablet, Chewable, 4 mg (NDC 78206-170-01)</t>
  </si>
  <si>
    <t>Morphine Sulfate Injection</t>
  </si>
  <si>
    <t>Piramal Critical Care Inc.</t>
  </si>
  <si>
    <t>800-414-1901</t>
  </si>
  <si>
    <t>Mitigo, Injection, 200 mg/20 mL (NDC 66794-160-02)</t>
  </si>
  <si>
    <t>Mitigo, Injection, 500 mg/20 mL (NDC 66794-162-02)</t>
  </si>
  <si>
    <t>Duramorph, Injection, 1 mg/1 mL (NDC 0641-6019-10)</t>
  </si>
  <si>
    <t>Duramorph, Injection, .5 mg/1 mL (NDC 0641-6020-10)</t>
  </si>
  <si>
    <t>Infumorph 200 (Preservative-Free Morphine Sulfate Sterile Solution), Injection, 10 mg/1 mL (NDC 0641-6039-01)</t>
  </si>
  <si>
    <t>Infumorph 500 (Preservative-Free Morphine Sulfate Sterile Solution), Injection, 25 mg/1 mL (NDC 0641-6040-01)</t>
  </si>
  <si>
    <t>Morphine Sulfate, Injection, 1 mg/1 mL (NDC 76329-1912-1)</t>
  </si>
  <si>
    <t>Morphine Sulfate, Injection, 2 mg/1 mL (NDC 63323-452-01)</t>
  </si>
  <si>
    <t>Morphine Sulfate, Injection, 4 mg/1 mL (NDC 63323-454-01)</t>
  </si>
  <si>
    <t>Morphine Sulfate, Injection, 5 mg/1 mL (NDC 63323-455-01)</t>
  </si>
  <si>
    <t>Morphine Sulfate, Injection, 10 mg/1 mL (NDC 63323-451-01)</t>
  </si>
  <si>
    <t>Morphine Sulfate, Injection, 4 mg/1 mL (NDC 0641-6125-25)</t>
  </si>
  <si>
    <t>Morphine Sulfate, Injection, 8 mg/1 mL (NDC 0641-6126-25)</t>
  </si>
  <si>
    <t>Morphine Sulfate, Injection, 10 mg/1 mL (NDC 0641-6127-25)</t>
  </si>
  <si>
    <t>Morphine Sulfate, Injection, 2 mg/1 mL Syringes (NDC 0409-1890-01)</t>
  </si>
  <si>
    <t>Morphine Sulfate, Injection, 4 mg/1 mL Syringes (NDC 0409-1891-01)</t>
  </si>
  <si>
    <t>Morphine Sulfate, Injection, 10 mg/1 mL Syringes (NDC 0409-1893-01)</t>
  </si>
  <si>
    <t>Morphine Sulfate, Injection, 5 mg/10 mL (0.5 mg/mL) (NDC 0409-3814-12)</t>
  </si>
  <si>
    <t>Morphine Sulfate, Injection, 10 mg/10 mL (1 mg/mL) (NDC 0409-3815-12)</t>
  </si>
  <si>
    <t>Morphine Sulfate, Injection, 50 mg/1 mL (NDC 0409-1896-20)</t>
  </si>
  <si>
    <t>Next Delivery: February 2027; Estimated Recovery: June 2027; Shortage per Manufacturer: Manufacturing Delay</t>
  </si>
  <si>
    <t>Morphine Sulfate, Injection, 2 mg/1 mL (NDC 76045-004-11)</t>
  </si>
  <si>
    <t>Morphine Sulfate, Injection, 4 mg/1 mL (NDC 76045-005-11)</t>
  </si>
  <si>
    <t>Morphine Sulfate, Injection, 50 mg/1 mL (NDC 0409-2022-01)</t>
  </si>
  <si>
    <t>Morphine Sulfate, Injection, 2 mg/1 mL (NDC 0409-1890-23)</t>
  </si>
  <si>
    <t>Morphine Sulfate Suppository</t>
  </si>
  <si>
    <t>Morphine Sulfate, Suppository, 5 mg (NDC 0574-7110-12)</t>
  </si>
  <si>
    <t>Morphine Sulfate, Suppository, 10 mg (NDC 0574-7112-12)</t>
  </si>
  <si>
    <t>Morphine Sulfate, Suppository, 20 mg (NDC 0574-7114-12)</t>
  </si>
  <si>
    <t>Morphine Sulfate, Suppository, 30 mg (NDC 0574-7116-12)</t>
  </si>
  <si>
    <t>Morphine Sulfate Tablet</t>
  </si>
  <si>
    <t>Upsher-Smith Laboratories, LLC</t>
  </si>
  <si>
    <t>763-315-2000</t>
  </si>
  <si>
    <t>Morphine Sulfate, Tablet, 15 mg (NDC 0832-0273-11)</t>
  </si>
  <si>
    <t>Morphine Sulfate, Tablet, 30 mg (NDC 0832-0274-11)</t>
  </si>
  <si>
    <t>Moxifloxacin Injection</t>
  </si>
  <si>
    <t>Moxifloxacin, Injection, 400mg per 250mL (NDC 63323-850-74)</t>
  </si>
  <si>
    <t>Nebivolol Hydrochloride Tablet</t>
  </si>
  <si>
    <t>Torrent Pharmaceuticals Limited</t>
  </si>
  <si>
    <t>908-280-3333</t>
  </si>
  <si>
    <t>Nebivolol Hydrochloride, Tablet, 2.5 mg (NDC 13668-353-01)</t>
  </si>
  <si>
    <t>Nebivolol Hydrochloride, Tablet, 2.5 mg (NDC 13668-353-05)</t>
  </si>
  <si>
    <t>Nebivolol Hydrochloride, Tablet, 2.5 mg (NDC 13668-353-30)</t>
  </si>
  <si>
    <t>Nebivolol Hydrochloride, Tablet, 2.5 mg (NDC 13668-353-90)</t>
  </si>
  <si>
    <t>Nebivolol Hydrochloride, Tablet, 5 mg (NDC 13668-354-01)</t>
  </si>
  <si>
    <t>Nebivolol Hydrochloride, Tablet, 5 mg (NDC 13668-354-05)</t>
  </si>
  <si>
    <t>Nebivolol Hydrochloride, Tablet, 5 mg (NDC 13668-354-30)</t>
  </si>
  <si>
    <t>Nebivolol Hydrochloride, Tablet, 5 mg (NDC 13668-354-90)</t>
  </si>
  <si>
    <t>Nebivolol Hydrochloride, Tablet, 10 mg (NDC 13668-355-01)</t>
  </si>
  <si>
    <t>Nebivolol Hydrochloride, Tablet, 10 mg (NDC 13668-355-05)</t>
  </si>
  <si>
    <t>Nebivolol Hydrochloride, Tablet, 10 mg (NDC 13668-355-30)</t>
  </si>
  <si>
    <t>Nebivolol Hydrochloride, Tablet, 10 mg (NDC 13668-355-90)</t>
  </si>
  <si>
    <t>Nebivolol Hydrochloride, Tablet, 20 mg (NDC 13668-356-01)</t>
  </si>
  <si>
    <t>Nebivolol Hydrochloride, Tablet, 20 mg (NDC 13668-356-05)</t>
  </si>
  <si>
    <t>Nebivolol Hydrochloride, Tablet, 20 mg (NDC 13668-356-30)</t>
  </si>
  <si>
    <t>Nebivolol Hydrochloride, Tablet, 20 mg (NDC 13668-356-90)</t>
  </si>
  <si>
    <t>Neostigmine Methylsulfate Injection</t>
  </si>
  <si>
    <t>Neostigmine Methylsulfate, Injection, .5 mg/1 mL (NDC 63323-413-10)</t>
  </si>
  <si>
    <t>Nilutamide Tablet</t>
  </si>
  <si>
    <t>Advanz Pharma (US) Corp.</t>
  </si>
  <si>
    <t>847-283-7921</t>
  </si>
  <si>
    <t>Nilandron, Tablet, 150 mg (NDC 59212-111-14)</t>
  </si>
  <si>
    <t>Product to expire in March 2026; Discontinuation of the manufacture of the drug</t>
  </si>
  <si>
    <t>Nilandron, Tablet, 150 mg (NDC 66993-212-38)</t>
  </si>
  <si>
    <t>Nitrofurantoin Oral Suspension</t>
  </si>
  <si>
    <t>Nitrofurantoin, Oral Suspension, 25 mg/5 mL (NDC 69238-2512-9)</t>
  </si>
  <si>
    <t>Nitroglycerin Ointment</t>
  </si>
  <si>
    <t>800-678-1605</t>
  </si>
  <si>
    <t>Rectiv, Ointment, 0.4% (NDC 58914-301-80)</t>
  </si>
  <si>
    <t>Oxaliplatin Injection</t>
  </si>
  <si>
    <t>Oxaliplatin, Injection, 5 mg/mL (NDC 63323-750-10)</t>
  </si>
  <si>
    <t>Oxaliplatin, Injection, 5 mg/mL (NDC 63323-750-20)</t>
  </si>
  <si>
    <t>Oxaliplatin, Injection, 5 mg/1 mL (NDC 25021-233-10)</t>
  </si>
  <si>
    <t>Marketed by Sagent Pharmaceuticals; Discontinuation of the manufacture of the drug</t>
  </si>
  <si>
    <t>Oxaliplatin, Injection, 5 mg/1 mL (NDC 25021-233-20)</t>
  </si>
  <si>
    <t>Palbociclib Capsule</t>
  </si>
  <si>
    <t>Ibrance, Capsule, 75 mg (NDC 0069-0187-21)</t>
  </si>
  <si>
    <t>Discontinuation of the manufacturing of the capsule presentation. 75 mg Tablet 
NDC 0069-0284-03 will continue to be manufactured.</t>
  </si>
  <si>
    <t>Ibrance, Capsule, 100 mg (NDC 0069-0188-21)</t>
  </si>
  <si>
    <t>Discontinuation of the manufacturing of the capsule presentation. 100 mg Tablet NDC 0069-0486-03 will continue to be manufactured.</t>
  </si>
  <si>
    <t>Palonosetron Hydrochloride Injection</t>
  </si>
  <si>
    <t>Palonosetron Hydrochloride, Injection, .25 mg/5 mL (NDC 0703-4094-01)</t>
  </si>
  <si>
    <t>Palovarotene Capsule</t>
  </si>
  <si>
    <t>Ipsen Biopharmaceuticals, Inc.</t>
  </si>
  <si>
    <t>(855)-463-5127</t>
  </si>
  <si>
    <t>SOHONOS, Capsule, 2.5 mg (NDC 15054-0025-1)</t>
  </si>
  <si>
    <t>Musculoskeletal</t>
  </si>
  <si>
    <t>Peginterferon alfa-2a Injection</t>
  </si>
  <si>
    <t>pharmaand GmbH (pharma&amp;)</t>
  </si>
  <si>
    <t>800-506-8501, email: medinfo.us@pharmaand.com</t>
  </si>
  <si>
    <t>Pegasys, Injection, 180 ug/1 mL (NDC 82154-0449-1)</t>
  </si>
  <si>
    <t>(NDC 82154-0451-4) – Available</t>
  </si>
  <si>
    <t>Pegasys, Injection, 180 ug/.5 mL (NDC 82154-0451-4)</t>
  </si>
  <si>
    <t>Penicillin G Benzathine Injection</t>
  </si>
  <si>
    <t>Laboratorios Atral</t>
  </si>
  <si>
    <t>Mark Cuban Cost Plus Drug Company: 682-428-8081</t>
  </si>
  <si>
    <t>Lentocilin, Injection, 1200000 U/4 mL (NDC 84383-110-01)</t>
  </si>
  <si>
    <t>https://www.fda.gov/media/193578/download</t>
  </si>
  <si>
    <t>Bicillin L-A, Injection, 600000 [iU]/1 mL (NDC 60793-700-10)</t>
  </si>
  <si>
    <t>Next Delivery: October 2027; Estimated Recovery: December 2027; Shortage per Manufacturer: Manufacturing Delay</t>
  </si>
  <si>
    <t>https://www.fda.gov/media/190713/download</t>
  </si>
  <si>
    <t>Bicillin L-A, Injection, 1200000 [iU]/2 mL (NDC 60793-701-10)</t>
  </si>
  <si>
    <t>Limited Supply Available. Next Delivery: November 2026; Estimated Recovery: September 2027; Shortage per Manufacturer: Manufacturing Delay</t>
  </si>
  <si>
    <t>Bicillin L-A, Injection, 2400000 [iU]/4 mL (NDC 60793-702-10)</t>
  </si>
  <si>
    <t>Pentamidine Isethionate Injection</t>
  </si>
  <si>
    <t>Pentamidine Isethionate, Injection, 300 mg/3 mL (NDC 39822-3050-2)</t>
  </si>
  <si>
    <t>Pentostatin Injection</t>
  </si>
  <si>
    <t>Nipent, Injection, 10 mg, single dose vial (NDC 0409-0801-01)</t>
  </si>
  <si>
    <t>Peritoneal Dialysis Solution</t>
  </si>
  <si>
    <t>DELFLEX® w/Dextrose, Solution, 1.5% Low Mg/Low Ca 2L, 5/cs (NDC 46163-206-92)</t>
  </si>
  <si>
    <t>The NDC codes are being discontinued, to be replaced with NDC labeler code #46163.</t>
  </si>
  <si>
    <t>DELFLEX® w/Dextrose, Solution, 4.25% Low Mg/Low Ca 2L, 5/cs (NDC 46163-212-92)</t>
  </si>
  <si>
    <t>DELFLEX® w/Dextrose, Solution, 4.25% Low Mg/Low Ca 2.5L/3L, 5/cs (NDC 46163-212-94)</t>
  </si>
  <si>
    <t>DELFLEX® w/Dextrose, Solution, 1.5% Low Mg/Low Ca 2.5L/3L, 5/cs (NDC 49230-206-94)</t>
  </si>
  <si>
    <t>DELFLEX® w/Dextrose, Solution, 2.5% Low Mg/Low Ca 2L, 5/cs (NDC 49230-209-92)</t>
  </si>
  <si>
    <t>DELFLEX® w/Dextrose, Solution, 2.5% Low Mg/Low Ca 2.5L/3L, 5/cs (NDC 49230-209-94)</t>
  </si>
  <si>
    <t>Phenobarbital Tablet</t>
  </si>
  <si>
    <t>Phenobarbital, Tablet, 16.2 mg (NDC 0603-5165-21)</t>
  </si>
  <si>
    <t>Analgesia/Addiction; Neurology; Other</t>
  </si>
  <si>
    <t>Phenobarbital, Tablet, 16.2 mg (NDC 0603-5165-32)</t>
  </si>
  <si>
    <t>Phenobarbital, Tablet, 32.4 mg (NDC 0603-5166-21)</t>
  </si>
  <si>
    <t>Phenobarbital, Tablet, 32.4 mg (NDC 0603-5166-32)</t>
  </si>
  <si>
    <t>Phenobarbital, Tablet, 64.8 mg (NDC 0603-5167-21)</t>
  </si>
  <si>
    <t>Phenobarbital, Tablet, 64.8 mg (NDC 0603-5167-32)</t>
  </si>
  <si>
    <t>Phenobarbital, Tablet, 97.2 mg (NDC 0603-5168-21)</t>
  </si>
  <si>
    <t>Phenobarbital, Tablet, 97.2 mg (NDC 0603-5168-32)</t>
  </si>
  <si>
    <t>Phenoxybenzamine Hydrochloride Capsule</t>
  </si>
  <si>
    <t>Dibenzyline, Capsule, 10 mg (NDC 59212-001-01)</t>
  </si>
  <si>
    <t>Dibenzyline, Capsule, 10 mg (NDC 59212-001-02)</t>
  </si>
  <si>
    <t>Dibenzyline, Capsule, 10 mg (NDC 66993-066-02)</t>
  </si>
  <si>
    <t>Pilocarpine Hydrochloride Ophthalmic Solution</t>
  </si>
  <si>
    <t>Vuity, Ophthalmic Solution, 12.5 mg/1 mL (NDC 0074-7098-01)</t>
  </si>
  <si>
    <t>Vuity, Ophthalmic Solution, 12.5 mg/1 mL (NDC 0074-7098-03)</t>
  </si>
  <si>
    <t>Vuity, Ophthalmic Solution, 12.5 mg/1 mL (NDC 0074-7098-04)</t>
  </si>
  <si>
    <t>Vuity, Ophthalmic Solution, 12.5 mg/1 mL (NDC 0074-7098-05)</t>
  </si>
  <si>
    <t>Vuity, Ophthalmic Solution, 12.5 mg/1 mL (NDC 0074-7098-06)</t>
  </si>
  <si>
    <t>Pindolol Tablet</t>
  </si>
  <si>
    <t>Pindolol, Tablet, 5 mg (NDC 57664-655-88)</t>
  </si>
  <si>
    <t>Discontinuation of the manufacture of the drug; Expiry date of last distributed batch January 2027</t>
  </si>
  <si>
    <t>Pindolol, Tablet, 10 mg (NDC 57664-656-88)</t>
  </si>
  <si>
    <t>Discontinuation of the manufacture of the drug; Expiry date of last distributed batch October 2026</t>
  </si>
  <si>
    <t>Piperacillin and Tazobactam Injection</t>
  </si>
  <si>
    <t>Piperacillin and Tazobactam, Injection, 2.25 g vial (NDC 65219-434-20)</t>
  </si>
  <si>
    <t>Plerixafor Injection</t>
  </si>
  <si>
    <t>888-391-6300 www.fresenius-kabi.com</t>
  </si>
  <si>
    <t>Plerixafor, Injection, 24 mg per 1.2 mL (20 mg per mL) (NDC 65219-284-12)</t>
  </si>
  <si>
    <t>Podofilox Topical Gel</t>
  </si>
  <si>
    <t>Condylox , Topical Gel, 0.5% (NDC 0023-6118-03)</t>
  </si>
  <si>
    <t>Dermatology; Other</t>
  </si>
  <si>
    <t>Podophyllum Resin Topical Tincture</t>
  </si>
  <si>
    <t>Podocon 25, Topical Tincture, 1 mg/4 mL (NDC 0574-0601-15)</t>
  </si>
  <si>
    <t>Polyethylene glycol 3350, Sodium Ascorbate, Sodium Sulfate Anhydrous, Ascorbic Acid, Sodium Chloride, and Potassium Chloride  Oral Solution</t>
  </si>
  <si>
    <t>Plenvu, Oral Solution, KIT (NDC 65649-400-01)</t>
  </si>
  <si>
    <t>Posaconazole Injection</t>
  </si>
  <si>
    <t>Noxafil, Injection, 18 mg/1 mL (NDC 0085-4331-01)</t>
  </si>
  <si>
    <t>Potassium Chloride Tablet, Extended Release</t>
  </si>
  <si>
    <t>Potassium Chloride, Tablet, Extended Release, 10 meq (NDC 62037-710-01)</t>
  </si>
  <si>
    <t>Endocrinology/Metabolism; Gastroenterology</t>
  </si>
  <si>
    <t>Potassium Chloride, Tablet, Extended Release, 20 meq (NDC 62037-720-01)</t>
  </si>
  <si>
    <t>Potassium Chloride, Tablet, Extended Release, 20 meq (NDC 62037-720-05)</t>
  </si>
  <si>
    <t>Potassium Chloride, Tablet, Extended Release, 20 meq (NDC 62037-720-10)</t>
  </si>
  <si>
    <t>Potassium Chloride, Sodium Chloride, Calcium Chloride, and Magnesium Chloride Injection, Solution</t>
  </si>
  <si>
    <t>Cardioplegic Solution, Injection, Solution, 17.6 mg/100 mL; 325.3 mg/100 mL; 119.3 mg/100 mL; 643 mg/100 mL (NDC 65219-258-10)</t>
  </si>
  <si>
    <t>Pramlintide Acetate Injection</t>
  </si>
  <si>
    <t>AstraZeneca AB</t>
  </si>
  <si>
    <t>800-236-9933</t>
  </si>
  <si>
    <t>SymlinPen® 60 , Injection, 1000 ug/1 mL (NDC 0310-6615-02)</t>
  </si>
  <si>
    <t>SymlinPen® 120 , Injection, 1000 ug/1 mL (NDC 0310-6627-02)</t>
  </si>
  <si>
    <t>Prazosin Hydrochloride Capsule</t>
  </si>
  <si>
    <t>Minipress, Capsule, 1 mg (NDC 0069-4310-71)</t>
  </si>
  <si>
    <t>Discontinuation of the manufacture of the drug. Supply expected to exhaust in August 2023</t>
  </si>
  <si>
    <t>Minipress, Capsule, 2 mg (NDC 0069-4370-71)</t>
  </si>
  <si>
    <t>Discontinuation of the manufacture of the drug. Supply expected to exhaust in September 2023</t>
  </si>
  <si>
    <t>Minipress, Capsule, 5 mg (NDC 0069-4380-71)</t>
  </si>
  <si>
    <t>Progesterone Vaginal Gel</t>
  </si>
  <si>
    <t>Crinone, Vaginal Gel, 4% (NDC 0023-6150-04)</t>
  </si>
  <si>
    <t>Promethazine Hydrochloride Injection</t>
  </si>
  <si>
    <t>Promethazine Hydrochloride, Injection, 25 mg/1 mL (NDC 39822-5525-3)</t>
  </si>
  <si>
    <t>Analgesia/Addiction; Gastroenterology; Other; Pulmonary/Allergy</t>
  </si>
  <si>
    <t>Promethazine Hydrochloride, Injection, 50 mg/1 mL (NDC 39822-5550-6)</t>
  </si>
  <si>
    <t>Unvailable</t>
  </si>
  <si>
    <t>Promethazine Hydrochloride, Injection, 25 mg/1 mL (NDC 0641-0928-25)</t>
  </si>
  <si>
    <t>Analgesia/Addiction; Gastroenterology; Pediatric; Pulmonary/Allergy</t>
  </si>
  <si>
    <t>Promethazine Hydrochloride, Injection, 50 mg/1 mL (NDC 0641-0929-25)</t>
  </si>
  <si>
    <t>Promethazine Hydrochloride, Injection, 25 mg/1 mL (NDC 0641-1495-35)</t>
  </si>
  <si>
    <t>Promethazine Hydrochloride, Injection, 50 mg/1 mL (NDC 0641-1496-35)</t>
  </si>
  <si>
    <t>Phenergan, Injection, 25 mg/1 mL (NDC 0641-6084-25)</t>
  </si>
  <si>
    <t>Phenergan, Injection, 50 mg/1 mL (NDC 0641-6085-25)</t>
  </si>
  <si>
    <t>Phenergan, Injection, 25 mg/1 mL (NDC 0641-6082-25)</t>
  </si>
  <si>
    <t>Phenergan, Injection, 50 mg/1 mL (NDC 0641-6083-25)</t>
  </si>
  <si>
    <t>Propranolol Hydrochloride Injection</t>
  </si>
  <si>
    <t>Propranolol Hydrochloride, Injection, 1 mg/1 mL (NDC 63323-604-01)</t>
  </si>
  <si>
    <t>Next release: November 2026. Check wholesalers for inventory.</t>
  </si>
  <si>
    <t>Propranolol Hydrochloride, Injection, 1 mg/1 mL (NDC 0143-9872-10)</t>
  </si>
  <si>
    <t>Quinapril Hydrochloride Tablet</t>
  </si>
  <si>
    <t>845-268-5000 x 510 or Chartwell Customer service at cs@chartwellpharma.com</t>
  </si>
  <si>
    <t>Quinapril Hydrochloride, Tablet, 5 mg (NDC 62135-484-60)</t>
  </si>
  <si>
    <t>Quinapril Hydrochloride, Tablet, 10 mg (NDC 62135-485-90)</t>
  </si>
  <si>
    <t>Quinapril Hydrochloride, Tablet, 20 mg (NDC 62135-486-90)</t>
  </si>
  <si>
    <t>Quinapril Hydrochloride, Tablet, 40 mg (NDC 62135-487-90)</t>
  </si>
  <si>
    <t>Quinapril Hydrochloride, Tablet, 5 mg (NDC 43547-410-09)</t>
  </si>
  <si>
    <t>Not available. Long-term backorder for all NDCs. No estimated release date at this time.</t>
  </si>
  <si>
    <t>Quinapril Hydrochloride, Tablet, 10 mg (NDC 43547-411-09)</t>
  </si>
  <si>
    <t>Quinapril Hydrochloride, Tablet, 20 mg (NDC 43547-412-09)</t>
  </si>
  <si>
    <t>Quinapril Hydrochloride, Tablet, 40 mg (NDC 43547-413-09)</t>
  </si>
  <si>
    <t>Lupin Pharmaceuticals, Inc.</t>
  </si>
  <si>
    <t>866-587-4617</t>
  </si>
  <si>
    <t>Quinapril Hydrochloride, Tablet, 5 mg (NDC 68180-556-09)</t>
  </si>
  <si>
    <t>Quinapril Hydrochloride, Tablet, 10 mg (NDC 68180-557-09)</t>
  </si>
  <si>
    <t>Quinapril Hydrochloride, Tablet, 20 mg (NDC 68180-558-09)</t>
  </si>
  <si>
    <t>Quinapril Hydrochloride, Tablet, 40 mg (NDC 68180-554-09)</t>
  </si>
  <si>
    <t>Quinapril Hydrochloride, Tablet, 5 mg (NDC 65862-617-90)</t>
  </si>
  <si>
    <t>Quinapril Hydrochloride, Tablet, 10 mg (NDC 65862-618-90)</t>
  </si>
  <si>
    <t>Quinapril Hydrochloride, Tablet, 40 mg (NDC 65862-620-90)</t>
  </si>
  <si>
    <t>Quinapril/Hydrochlorothiazide Tablet</t>
  </si>
  <si>
    <t>Quinapril Hydrochloride And Hydrochlorothiazide, Tablet, 12.5 mg; 10 mg (NDC 65862-161-90)</t>
  </si>
  <si>
    <t>Quinapril Hydrochloride And Hydrochlorothiazide, Tablet, 12.5 mg; 20 mg (NDC 65862-162-90)</t>
  </si>
  <si>
    <t>Quinapril Hydrochloride And Hydrochlorothiazide, Tablet, 25 mg; 20 mg (NDC 65862-163-90)</t>
  </si>
  <si>
    <t>Quinapril/Hydrochlorothiazide, Tablet, 25 mg; 20 mg (NDC 62135-669-90)</t>
  </si>
  <si>
    <t>Quinapril/Hydrochlorothiazide, Tablet, 12.5 mg; 20 mg (NDC 62135-668-90)</t>
  </si>
  <si>
    <t>Quinapril/Hydrochlorothiazide, Tablet, 12.5 mg; 10 mg (NDC 62135-667-90)</t>
  </si>
  <si>
    <t>Ramelteon Tablet</t>
  </si>
  <si>
    <t>877-825-3327</t>
  </si>
  <si>
    <t>Rozerem, Tablet, 8 mg (NDC 64764-805-10)</t>
  </si>
  <si>
    <t>Product is expected to be available through February 2027.</t>
  </si>
  <si>
    <t>Rozerem, Tablet, 8 mg (NDC 64764-805-30)</t>
  </si>
  <si>
    <t>Product is expected to be available through June 2027.</t>
  </si>
  <si>
    <t>Remifentanil Hydrochloride Injection</t>
  </si>
  <si>
    <t>Ultiva, Injection, 1 mg/1 mL (NDC 72078-034-01)</t>
  </si>
  <si>
    <t>Ultiva, Injection, 2 mg (NDC 72078-035-02)</t>
  </si>
  <si>
    <t>Ultiva, Injection, 5 mg (NDC 72078-036-05)</t>
  </si>
  <si>
    <t>Remifentanil Hydrochloride, Injection, 1 mg per vial (NDC 0143-9391-10)</t>
  </si>
  <si>
    <t>Remifentanil Hydrochloride, Injection, 2 mg per vial (NDC 0143-9392-10)</t>
  </si>
  <si>
    <t>Remifentanil Hydrochloride, Injection, 5 mg per vial (NDC 0143-9393-10)</t>
  </si>
  <si>
    <t>Remifentanil Hydrochloride, Injection, 1 mg/1 mL (NDC 63323-723-03)</t>
  </si>
  <si>
    <t>Remifentanil Hydrochloride, Injection, 1 mg/1 mL (NDC 63323-724-05)</t>
  </si>
  <si>
    <t>Remifentanil Hydrochloride, Injection, 1 mg/1 mL (NDC 63323-725-10)</t>
  </si>
  <si>
    <t>Riboflavin 5-phosphate  Ophthalmic Solution</t>
  </si>
  <si>
    <t>Glaukos Corporation</t>
  </si>
  <si>
    <t>949-367-9600</t>
  </si>
  <si>
    <t>Photrexa Cross-linking Kit, Ophthalmic Solution, Kit (NDC 25357-025-03)</t>
  </si>
  <si>
    <t>Discontinuing manufacture of the product as of July 2026.</t>
  </si>
  <si>
    <t>Rifampin Capsule</t>
  </si>
  <si>
    <t>Rifampin, Capsule, 150 mg (NDC 42806-801-30)</t>
  </si>
  <si>
    <t>Rifampin, Capsule, 150 mg (NDC 42806-801-01)</t>
  </si>
  <si>
    <t>Rifampin, Capsule, 300 mg (NDC 42806-799-30)</t>
  </si>
  <si>
    <t>Rifampin, Capsule, 300 mg (NDC 42806-799-60)</t>
  </si>
  <si>
    <t>Rifampin, Capsule, 300 mg (NDC 42806-799-01)</t>
  </si>
  <si>
    <t>Rifampin, Capsule, 300 mg (NDC 42806-799-05)</t>
  </si>
  <si>
    <t>Rifampin, Capsule, 150 mg (NDC 68180-658-06)</t>
  </si>
  <si>
    <t>Rifampin, Capsule, 300 mg (NDC 68180-659-06)</t>
  </si>
  <si>
    <t>Rifampin, Capsule, 300 mg (NDC 68180-659-07)</t>
  </si>
  <si>
    <t>Rifampin Injection</t>
  </si>
  <si>
    <t>Rifampin, Injection, 600 mg (NDC 63323-351-20)</t>
  </si>
  <si>
    <t>Rifadin, Injection, 600 mg (NDC 0068-0597-01)</t>
  </si>
  <si>
    <t>https://www.accessdata.fda.gov/scripts/drugshortages/dsp_ActiveIngredientDetails.cfm?AI=Rifampin%20Injection&amp;st=d</t>
  </si>
  <si>
    <t>Rifampin, Injection, 600 mg (NDC 67457-445-60)</t>
  </si>
  <si>
    <t>Estimated recovery: Q4 2026</t>
  </si>
  <si>
    <t>Rifadin, Injection, 600 mg/10 mL (NDC 0068-0597-01)</t>
  </si>
  <si>
    <t>Rifapentine Tablet, Film Coated</t>
  </si>
  <si>
    <t>800-633-1610 Option 7</t>
  </si>
  <si>
    <t>Priftin, Tablet, Film Coated, 150 mg (NDC 0088-2102-24)</t>
  </si>
  <si>
    <t>Riluzole Oral Suspension</t>
  </si>
  <si>
    <t>EDW Pharma, Inc. (formerly Italfarmaco Pharma, Inc.)</t>
  </si>
  <si>
    <t>610-937-6172</t>
  </si>
  <si>
    <t>Teglutik, Oral Suspension, 5 mg/1 mL (NDC 70726-0305-1)</t>
  </si>
  <si>
    <t>https://www.fda.gov/media/177206/download</t>
  </si>
  <si>
    <t>Teglutik, Oral Suspension, 5 mg/1 mL (NDC 70726-0306-1)</t>
  </si>
  <si>
    <t>https://www.fda.gov/media/185612/download?attachment</t>
  </si>
  <si>
    <t>Tiglutik, Oral Suspension, 50 mg/10 mL (NDC 70726-0303-1)</t>
  </si>
  <si>
    <t>Teglutik, Oral Suspension, 5 mg/1 mL (NDC 70726-0304-1)</t>
  </si>
  <si>
    <t>https://www.fda.gov/media/185611/download?attachment</t>
  </si>
  <si>
    <t>Ritonavir Oral Powder</t>
  </si>
  <si>
    <t>Norvir, Oral Powder, 100 mg (NDC 0074-3399-30)</t>
  </si>
  <si>
    <t>Ritonavir Tablet</t>
  </si>
  <si>
    <t>Norvir, Tablet, 100 mg (NDC 0074-2340-30)</t>
  </si>
  <si>
    <t>Rivaroxaban For Suspension</t>
  </si>
  <si>
    <t>Xarelto, For Suspension, 155 mg (NDC 50458-575-01)</t>
  </si>
  <si>
    <t>Business Decision</t>
  </si>
  <si>
    <t>Rivastigmine Film, Extended Release</t>
  </si>
  <si>
    <t>Rivastigmine, Film, Extended Release, 4.6 mg/24 h (NDC 0378-9070-93)</t>
  </si>
  <si>
    <t>Rocuronium Bromide Injection</t>
  </si>
  <si>
    <t>Rocuronium Bromide, Injection, 10 mg/1 mL (NDC 71288-700-06)</t>
  </si>
  <si>
    <t>Rocuronium Bromide, Injection, 10 mg/1 mL (NDC 71288-718-11)</t>
  </si>
  <si>
    <t>Rocuronium Bromide, Injection, 10 mg/1 mL (NDC 65219-065-05)</t>
  </si>
  <si>
    <t>Rocuronium Bromide, Injection, 50 mg/5 mL (NDC 66794-228-41)</t>
  </si>
  <si>
    <t>Rocuronium Bromide, Injection, 100 mg/10 mL (NDC 66794-229-41)</t>
  </si>
  <si>
    <t>Rocuronium Bromide, Injection, 10 mg/1 mL (NDC 67457-228-10)</t>
  </si>
  <si>
    <t>Rocuronium Bromide, Injection, 100 mg/10 mL (NDC 55150-226-10)</t>
  </si>
  <si>
    <t>Rocuronium Bromide, Injection, 50 mg/5 mL (NDC 55150-225-05)</t>
  </si>
  <si>
    <t>Rocuronium Bromide, Injection, 50 mg/5 mL (NDC 43066-007-10)</t>
  </si>
  <si>
    <t>Rocuronium Bromide, Injection, 100 mg/10 mL (NDC 43066-013-10)</t>
  </si>
  <si>
    <t>Rocuronium Bromide, Injection, 10 mg/1 mL (NDC 0143-9250-10)</t>
  </si>
  <si>
    <t>Additional lots will be available.  Product will be made available as it is released.</t>
  </si>
  <si>
    <t>Rocuronium Bromide, Injection, 10 mg/1 mL (NDC 0143-9251-10)</t>
  </si>
  <si>
    <t>Additional lots will be available. Product will be made available as it is released.</t>
  </si>
  <si>
    <t>Rocuronium Bromide, Injection, 10 mg/1 mL (NDC 65219-444-10)</t>
  </si>
  <si>
    <t>Rocuronium Bromide, Injection, 10 mg/1 mL (NDC 65219-442-05)</t>
  </si>
  <si>
    <t>Rocuronium Bromide, Injection, 10 mg/1 mL (NDC 63323-426-05)</t>
  </si>
  <si>
    <t>Rocuronium Bromide, Injection, 10 mg/1 mL (NDC 63323-426-10)</t>
  </si>
  <si>
    <t>Rocuronium Bromide, Injection, 50 mg/5 mL (NDC 39822-4200-2)</t>
  </si>
  <si>
    <t>Tamarang is the application holder and X-Gen is the distributor/labeler</t>
  </si>
  <si>
    <t>Rocuronium Bromide, Injection, 100 mg/10 mL (NDC 39822-4200-6)</t>
  </si>
  <si>
    <t>Rocuronium Bromide, Injection, 10 mg/1 mL (NDC 25021-687-05)</t>
  </si>
  <si>
    <t>Rocuronium Bromide, Injection, 10 mg/1 mL (NDC 67457-228-05)</t>
  </si>
  <si>
    <t>Rocuronium Bromide, Injection, 10 mg/1 mL (NDC 0781-3220-95)</t>
  </si>
  <si>
    <t>Rocuronium Bromide, Injection, 10 mg/1 mL (NDC 0781-3220-92)</t>
  </si>
  <si>
    <t>Rocuronium Bromide, Injection, 50 mg/5 mL (10 mg/mL) (NDC 0409-3189-10)</t>
  </si>
  <si>
    <t>Rocuronium Bromide, Injection, 50 mg/5 mL (10 mg/mL) (NDC 0409-1403-10)</t>
  </si>
  <si>
    <t>Rocuronium Bromide, Injection, 100 mg/10 mL (10 mg/mL) (NDC 0409-7037-10)</t>
  </si>
  <si>
    <t>Rocuronium Bromide, Injection, 100 mg/10 mL (10 mg/mL) (NDC 0409-5160-10)</t>
  </si>
  <si>
    <t>Ropivacaine Hydrochloride Injection</t>
  </si>
  <si>
    <t>Ropivacaine Hydrochloride, Injection, 2 mg/1 mL (NDC 25021-671-66)</t>
  </si>
  <si>
    <t>Ropivacaine Hydrochloride, Injection, 2 mg/1 mL (NDC 25021-671-67)</t>
  </si>
  <si>
    <t>Ropivacaine Hydrochloride, Injection, 5 mg/1 mL (NDC 70069-064-01)</t>
  </si>
  <si>
    <t>Ropivacaine Hydrochloride, Injection, 5 mg/1 mL (NDC 70069-064-10)</t>
  </si>
  <si>
    <t>Ropivacaine Hydrochloride, Injection, 5 mg/1 mL (NDC 70069-064-25)</t>
  </si>
  <si>
    <t>Ropivacaine Hydrochloride, Injection, 2 mg/1 mL (NDC 43066-015-10)</t>
  </si>
  <si>
    <t>Ropivacaine Hydrochloride, Injection, 5 mg/1 mL (NDC 43066-019-10)</t>
  </si>
  <si>
    <t>Ropivacaine Hydrochloride, Injection, 5 mg/1 mL (NDC 43066-023-10)</t>
  </si>
  <si>
    <t>Ropivacaine Hydrochloride, Injection, 10 mg/1 mL (NDC 43066-027-10)</t>
  </si>
  <si>
    <t>Ropivacaine Hydrochloride, Injection, 5 mg/1 mL (NDC 25021-652-82)</t>
  </si>
  <si>
    <t>Ropivacaine Hydrochloride, Injection, 5 mg/1 mL (NDC 25021-652-87)</t>
  </si>
  <si>
    <t>Ropivacaine Hydrochloride, Injection, 2 mg/1 mL (NDC 25021-671-82)</t>
  </si>
  <si>
    <t>Ropivacaine Hydrochloride, Injection, 2 mg/1 mL (NDC 25021-671-87)</t>
  </si>
  <si>
    <t>Ropivacaine Hydrochloride, Injection, 2 mg/1 mL (NDC 55150-195-20)</t>
  </si>
  <si>
    <t>Ropivacaine Hydrochloride, Injection, 2 mg/1 mL (NDC 55150-196-99)</t>
  </si>
  <si>
    <t>Ropivacaine Hydrochloride, Injection, 5 mg/1 mL (NDC 55150-197-20)</t>
  </si>
  <si>
    <t>Ropivacaine Hydrochloride, Injection, 5 mg/1 mL (NDC 55150-198-30)</t>
  </si>
  <si>
    <t>Ropivacaine Hydrochloride, Injection, 7.5 mg/1 mL (NDC 55150-199-20)</t>
  </si>
  <si>
    <t>Ropivacaine Hydrochloride, Injection, 10 mg/1 mL (NDC 55150-200-10)</t>
  </si>
  <si>
    <t>Ropivacaine Hydrochloride, Injection, 10 mg/1 mL (NDC 55150-201-20)</t>
  </si>
  <si>
    <t>Naropin, Injection, 2 mg/1 mL (NDC 63323-285-10)</t>
  </si>
  <si>
    <t>Naropin, Injection, 2 mg/1 mL (NDC 63323-285-20)</t>
  </si>
  <si>
    <t>Naropin, Injection, 5 mg/1 mL (NDC 63323-286-20)</t>
  </si>
  <si>
    <t>Naropin, Injection, 7.5 mg/1 mL (NDC 63323-287-20)</t>
  </si>
  <si>
    <t>Naropin, Injection, 10 mg/1 mL (NDC 63323-288-10)</t>
  </si>
  <si>
    <t>Naropin, Injection, 10 mg/1 mL (NDC 63323-288-20)</t>
  </si>
  <si>
    <t>Naropin, Injection, 2 mg/1 mL (NDC 63323-285-61)</t>
  </si>
  <si>
    <t>Naropin, Injection, 2 mg/1 mL (NDC 63323-285-63)</t>
  </si>
  <si>
    <t>Naropin, Injection, 2 mg/1 mL (NDC 63323-285-65)</t>
  </si>
  <si>
    <t>Naropin, Injection, 2 mg/1 mL (NDC 63323-285-64)</t>
  </si>
  <si>
    <t>Naropin, Injection, 5 mg/1 mL (NDC 63323-286-00)</t>
  </si>
  <si>
    <t>Naropin, Injection, 5 mg/1 mL (NDC 63323-286-63)</t>
  </si>
  <si>
    <t>Naropin, Injection, 2 mg/1 mL (NDC 63323-285-13)</t>
  </si>
  <si>
    <t>Naropin, Injection, 2 mg/1 mL (NDC 63323-285-23)</t>
  </si>
  <si>
    <t>Naropin, Injection, 5 mg/1 mL (NDC 63323-286-35)</t>
  </si>
  <si>
    <t>Naropin, Injection, 5 mg/1 mL (NDC 63323-286-23)</t>
  </si>
  <si>
    <t>Naropin, Injection, 7.5 mg/1 mL (NDC 63323-287-21)</t>
  </si>
  <si>
    <t>Naropin, Injection, 10 mg/1 mL (NDC 63323-288-11)</t>
  </si>
  <si>
    <t>Naropin, Injection, 10 mg/1 mL (NDC 63323-288-21)</t>
  </si>
  <si>
    <t>Naropin, Injection, 5 mg/1 mL (NDC 63323-286-31)</t>
  </si>
  <si>
    <t>Naropin, Injection, 2 mg/1 mL (NDC 65219-632-10)</t>
  </si>
  <si>
    <t>Naropin, Injection, 2 mg/1 mL (NDC 65219-632-20)</t>
  </si>
  <si>
    <t>Ropivacaine Hydrochloride, Injection, 2 mg/1 mL (NDC 70069-061-10)</t>
  </si>
  <si>
    <t>Ropivacaine Hydrochloride, Injection, 2 mg/1 mL (NDC 70069-061-25)</t>
  </si>
  <si>
    <t>Ropivacaine Hydrochloride, Injection, 2 mg/1 mL (NDC 70069-062-10)</t>
  </si>
  <si>
    <t>Ropivacaine Hydrochloride, Injection, 2 mg/1 mL (NDC 70069-062-25)</t>
  </si>
  <si>
    <t>Ropivacaine Hydrochloride, Injection, 5 mg/1 mL (NDC 70069-063-25)</t>
  </si>
  <si>
    <t>Ropivacaine Hydrochloride, Injection, 10 mg/1 mL (NDC 70069-067-10)</t>
  </si>
  <si>
    <t>Ropivacaine Hydrochloride, Injection, 10 mg/1 mL (NDC 70069-067-25)</t>
  </si>
  <si>
    <t>Scopolamine Transdermal System</t>
  </si>
  <si>
    <t>Scopolamine, Transdermal System, 1 mg (NDC 45802-580-46)</t>
  </si>
  <si>
    <t>Gastroenterology; Neurology; Other</t>
  </si>
  <si>
    <t>Semaglutide Tablet</t>
  </si>
  <si>
    <t>Rybelsus, Tablet, 3 mg (NDC 0169-4303-30)</t>
  </si>
  <si>
    <t>Discontinuation of the manufacture of the drug. These products will be replaced by Ozempic (semaglutide) tablets.</t>
  </si>
  <si>
    <t>Rybelsus, Tablet, 7 mg (NDC 0169-4307-30)</t>
  </si>
  <si>
    <t>Rybelsus, Tablet, 14 mg (NDC 0169-4314-30)</t>
  </si>
  <si>
    <t>Sodium Acetate Injection</t>
  </si>
  <si>
    <t>Sodium Acetate, Injection, 164 mg/1 mL (NDC 70069-047-25)</t>
  </si>
  <si>
    <t>Endocrinology/Metabolism; Gastroenterology; Pediatric; Total Parenteral Nutrition</t>
  </si>
  <si>
    <t>Sodium Acetate, Injection, 164 mg/1 mL (NDC 70069-048-20)</t>
  </si>
  <si>
    <t>Milla Pharmaceuticals</t>
  </si>
  <si>
    <t>833-251-8463</t>
  </si>
  <si>
    <t>Sodium Acetate, Injection, 40 mEq/20mL (2 mEq/mL) (NDC 71357-002-10)</t>
  </si>
  <si>
    <t>Sodium Acetate, Injection, 40 mEq/20mL (2 mEq/mL) (NDC 0641-6261-01)</t>
  </si>
  <si>
    <t>Sodium Acetate, Injection, 100 mEq/50mL (2 mEq/mL) (NDC 0641-6262-01)</t>
  </si>
  <si>
    <t>Sodium Acetate, Injection, 400 mEq/100mL (4 mEq/mL) (NDC 71357-009-10)</t>
  </si>
  <si>
    <t>Sodium Acetate, Injection, 100 mEq/50 mL (2 mEq/mL) (NDC 0409-3299-05)</t>
  </si>
  <si>
    <t>Sodium Acetate, Injection, 200 mEq/100 mL (2 mEq/mL) (NDC 0409-3299-06)</t>
  </si>
  <si>
    <t>Sodium Acetate, Injection, 40 mEq/20 mL (2 mEq/mL) (NDC 0409-7299-73)</t>
  </si>
  <si>
    <t>Sodium Acetate, Injection, 4 meq/100 mL (NDC 63323-032-00)</t>
  </si>
  <si>
    <t>Sodium Acetate, Injection, 100 mEq/50mL (2 mEq/mL) (NDC 71357-007-10)</t>
  </si>
  <si>
    <t>Sodium Acetate, Injection, 200 mEq/100mL (2 mEq/mL) (NDC 71357-008-10)</t>
  </si>
  <si>
    <t>Sodium Acetate, Injection, 200 mEq/100 mL (2 mEq/mL) (NDC 0409-3299-25)</t>
  </si>
  <si>
    <t>Sodium Acetate, Injection, 100 mEq/50 mL (2 mEq/mL) (NDC 0409-3299-26)</t>
  </si>
  <si>
    <t>Sodium Acetate, Injection, 40 mEq/20 mL (2 mEq/mL) (NDC 0409-7299-25)</t>
  </si>
  <si>
    <t>Sodium Bicarbonate Injection</t>
  </si>
  <si>
    <t>Exela Pharma Sciences, LLC</t>
  </si>
  <si>
    <t>828-758-5474 ext. 154</t>
  </si>
  <si>
    <t>Sodium Bicarbonate, Injection, 84 mg/1 mL (NDC 51754-5011-4)</t>
  </si>
  <si>
    <t>Sodium Bicarbonate, Injection, 42 mg/1 mL (NDC 51754-5012-4)</t>
  </si>
  <si>
    <t>Sodium Bicarbonate, Injection, 2.5 mEq/5 mL (4.2%, 0.5 mEq/mL) (NDC 0409-5555-02)</t>
  </si>
  <si>
    <t>Limited Supply Available. Next Delivery: February 2027; Estimated Recovery: March 2027</t>
  </si>
  <si>
    <t>Sodium Bicarbonate, Injection, 2.5 mEq/5 mL (4.2%, 0.5 mEq/mL) (NDC 0409-5555-01)</t>
  </si>
  <si>
    <t>Sodium Bicarbonate, Injection, 50 mEq/50 mL (8.4%, 1 mEq/mL) (NDC 0409-6625-14)</t>
  </si>
  <si>
    <t>Sodium Bicarbonate, Injection, 50 mEq/50 mL (8.4%, 1 mEq/mL) (NDC 0409-6625-35)</t>
  </si>
  <si>
    <t>Sodium Bicarbonate, Injection, 84 mg/1 mL (NDC 51754-5001-5)</t>
  </si>
  <si>
    <t>Sodium Bicarbonate, Injection, 84 mg/1 mL (NDC 76329-3352-1)</t>
  </si>
  <si>
    <t>Sodium Bicarbonate, Injection, 42 mg/1 mL (NDC 63323-083-05)</t>
  </si>
  <si>
    <t>Check wholesalers for inventory.</t>
  </si>
  <si>
    <t>Sodium Bicarbonate, Injection, 84 mg/1 mL (NDC 63323-089-50)</t>
  </si>
  <si>
    <t>Long Grove Pharmaceuticals LLC</t>
  </si>
  <si>
    <t>833-268-5559</t>
  </si>
  <si>
    <t>Sodium Bicarbonate, Injection, 84 mg/1 mL (NDC 81298-7620-3)</t>
  </si>
  <si>
    <t>Sodium Bicarbonate, Injection, 84 mg/1 mL (NDC 0409-4900-14)</t>
  </si>
  <si>
    <t>Sodium Bicarbonate, Injection, 75 mg/1 mL (NDC 0409-4916-14)</t>
  </si>
  <si>
    <t>Sodium Bicarbonate, Injection, 42 mg/1 mL (NDC 0409-5534-14)</t>
  </si>
  <si>
    <t>Sodium Bicarbonate, Injection, 84 mg/1 mL (NDC 0409-6637-14)</t>
  </si>
  <si>
    <t>Sodium Chloride 0.9% Injection</t>
  </si>
  <si>
    <t>Sodium Chloride 0.9%, Injection, 250 mL  ADD-Vantage® Flexible Container (NDC 0409-7101-02)</t>
  </si>
  <si>
    <t>Gastroenterology; Other; Renal</t>
  </si>
  <si>
    <t>Sodium Chloride 0.9%, Injection, 50 mL  ADD-Vantage® Flexible Container (NDC 0409-7101-66)</t>
  </si>
  <si>
    <t>Sodium Chloride 0.9%, Injection, 100 mL  ADD-Vantage® Flexible Container (NDC 0409-7101-67)</t>
  </si>
  <si>
    <t>Sodium Oxybate Solution</t>
  </si>
  <si>
    <t>800-525-7270</t>
  </si>
  <si>
    <t>Sodium Oxybate, Solution, .5 g/1 mL (NDC 69238-2391-1)</t>
  </si>
  <si>
    <t>Somatropin Injection</t>
  </si>
  <si>
    <t>Norditropin, Injection, 30 mg/3 mL (NDC 0169-7703-21)</t>
  </si>
  <si>
    <t>Spironolactone Tablet</t>
  </si>
  <si>
    <t>Aldactone, Tablet, 25 mg (NDC 0025-1001-31)</t>
  </si>
  <si>
    <t>Aldactone, Tablet, 100 mg (NDC 0025-1031-31)</t>
  </si>
  <si>
    <t>Sterile Water Injection</t>
  </si>
  <si>
    <t>Sterile Water, Injection, 1 mL/1 mL (NDC 0641-6147-10)</t>
  </si>
  <si>
    <t>Sterile Water, Injection, 1 mL/1 mL (NDC 0409-4887-10)</t>
  </si>
  <si>
    <t>Sterile Water, Injection, 1 mL/1 mL (NDC 0409-4887-20)</t>
  </si>
  <si>
    <t>Sterile Water, Injection, 1 mL/1 mL (NDC 0409-4887-50)</t>
  </si>
  <si>
    <t>Sterile Water, Injection, 1 mL/1 mL (NDC 0409-4887-99)</t>
  </si>
  <si>
    <t>Sterile Water For Injection In Plastic Container, Injection, 1 mL/1 mL (NDC 63323-185-10)</t>
  </si>
  <si>
    <t>Sterile Water For Injection In Plastic Container, Injection, 1 mL/1 mL (NDC 63323-185-20)</t>
  </si>
  <si>
    <t>Sterile Water For Injection In Plastic Container, Injection, 1 mL/1 mL (NDC 63323-185-50)</t>
  </si>
  <si>
    <t>Sterile Water, Injection, 10 mL/10 mL (NDC 64253-020-30)</t>
  </si>
  <si>
    <t>Bacteriostatic Water For Injection In Plastic Container, Injection, 1 mL/1 mL (NDC 0409-3977-03)</t>
  </si>
  <si>
    <t>Sterile Water, Injection, 1000 mL/1000 mL (NDC 63323-178-76)</t>
  </si>
  <si>
    <t>Sterile Water, Injection, 1 mL/1 mL (NDC 0487-6105-01)</t>
  </si>
  <si>
    <t>Small amount of inventory available with 12/31/2026 dating</t>
  </si>
  <si>
    <t>Sterile Water Irrigant</t>
  </si>
  <si>
    <t>Sterile Water In Plastic Container, Irrigant, 1 mL/1 mL (NDC 0990-6139-22)</t>
  </si>
  <si>
    <t>Gastroenterology; Other; Pediatric</t>
  </si>
  <si>
    <t>https://www.fda.gov/media/182619/download?attachment</t>
  </si>
  <si>
    <t>Sterile Water In Plastic Container, Irrigant, 1 mL/1 mL (NDC 0990-6139-03)</t>
  </si>
  <si>
    <t>Sterile Water In Plastic Container, Irrigant, 1 mL/1 mL (NDC 0990-7139-09)</t>
  </si>
  <si>
    <t>Sterile Water In Plastic Container, Irrigant, 1 mL/1 mL (NDC 0990-7139-36)</t>
  </si>
  <si>
    <t>Sterile Water, Irrigant, 100 mL/100 mL (NDC 0338-0004-02)</t>
  </si>
  <si>
    <t>Sterile Water, Irrigant, 100 mL/100 mL (NDC 0338-0004-03)</t>
  </si>
  <si>
    <t>Sterile Water, Irrigant, 100 mL/100 mL (NDC 0338-0004-04)</t>
  </si>
  <si>
    <t>Estimated Recovery: January 2027</t>
  </si>
  <si>
    <t>Sterile Water In Plastic Container, Irrigant, 1 mL/1 mL (NDC 0264-2101-10)</t>
  </si>
  <si>
    <t>Sterile Water In Plastic Container, Irrigant, 1 mL/1 mL (NDC 0264-2101-00)</t>
  </si>
  <si>
    <t>Streptozocin Powder, For Solution</t>
  </si>
  <si>
    <t>Zanosar, Powder, For Solution, 100 mg/1 mL (NDC 0703-4636-01)</t>
  </si>
  <si>
    <t>ESTEVE PHARMACEUTICALS, S.A.</t>
  </si>
  <si>
    <t>USSZTOrders@esteve.com</t>
  </si>
  <si>
    <t>Zanosar, Powder, For Solution, 1 g/10 mL (NDC 68118-100-01)</t>
  </si>
  <si>
    <t>https://www.fda.gov/media/194857/download</t>
  </si>
  <si>
    <t>Succinylcholine Chloride Injection</t>
  </si>
  <si>
    <t>Succinylcholine Chloride, Injection, 20 mg/1 mL (NDC 63323-943-10)</t>
  </si>
  <si>
    <t>Sufentanil Citrate Injection</t>
  </si>
  <si>
    <t>Sufentanil Citrate, Injection, 50 ug/1 mL (NDC 0409-3382-21)</t>
  </si>
  <si>
    <t>Sufentanil Citrate, Injection, 50 mcg/1 mL (NDC 17478-050-01)</t>
  </si>
  <si>
    <t>Sufentanil Citrate, Injection, 50 mcg/1 mL (NDC 17478-050-02)</t>
  </si>
  <si>
    <t>Sufentanil Citrate, Injection, 50 mcg/1 mL (NDC 17478-050-05)</t>
  </si>
  <si>
    <t>Sulconazole Nitrate Solution</t>
  </si>
  <si>
    <t>Journey Medical Corporation</t>
  </si>
  <si>
    <t>480-434-6670</t>
  </si>
  <si>
    <t>Exelderm, Solution, 1.0% 5 mL (NDC 69489-721-05)</t>
  </si>
  <si>
    <t>Exelderm, Solution, 1.0% 30 mL (NDC 69489-721-30)</t>
  </si>
  <si>
    <t>Sulconazole Nitrate, Solution, 30 mL (NDC 72143-321-30)</t>
  </si>
  <si>
    <t>Discontinuation of the manufacture of the drug. Manufactured for JG Pharma</t>
  </si>
  <si>
    <t>Tazemetostat Hydrobromide Tablet</t>
  </si>
  <si>
    <t>Epizyme, Inc. (An Ipsen Company)</t>
  </si>
  <si>
    <t>Tazverik, Tablet, 200 mg (NDC 72607-100-00)</t>
  </si>
  <si>
    <t>Technetium TC-99M Pyrophosphate Kit Injection</t>
  </si>
  <si>
    <t>Curium US LLC</t>
  </si>
  <si>
    <t>888-744-1414</t>
  </si>
  <si>
    <t>Technescan PYP, Injection, 11.9 mg/10 mL; 3.2 mg/10 mL (NDC 69945-094-20)</t>
  </si>
  <si>
    <t>CIS-PYRO, Injection, 12 mg/10 mL (NDC 45567-0060-1)</t>
  </si>
  <si>
    <t>CIS-PYRO, Injection, 12 mg/10 mL (NDC 45567-0060-2)</t>
  </si>
  <si>
    <t>Tiagabine Hydrochloride Tablet</t>
  </si>
  <si>
    <t>Tiagabine Hydrochloride, Tablet, 2mg 30 count (NDC 0093-5030-56)</t>
  </si>
  <si>
    <t>Tiagabine Hydrochloride, Tablet, 4mg 30 count (NDC 0093-5031-56)</t>
  </si>
  <si>
    <t>Tiagabine Hydrochloride, Tablet, 12mg 30 count (NDC 0093-8072-56)</t>
  </si>
  <si>
    <t>Tiagabine Hydrochloride, Tablet, 16mg 30 count (NDC 0093-8076-56)</t>
  </si>
  <si>
    <t>Tobramycin Sulfate Injection</t>
  </si>
  <si>
    <t>Tobramycin Sulfate, Injection, 80 mg/2 mL (40 mg/mL); 2 mL Multiple Dose Glass Fliptop Vial (NDC 0409-3578-01)</t>
  </si>
  <si>
    <t>Travoprost Ophthalmic Solution</t>
  </si>
  <si>
    <t>Travoprost, Ophthalmic Solution, 0.004%, 2.5 mL (NDC 0378-9651-32)</t>
  </si>
  <si>
    <t>Travoprost, Ophthalmic Solution, 0.004%, 5 mL (NDC 0378-9651-50)</t>
  </si>
  <si>
    <t>Triamcinolone Acetonide Injection</t>
  </si>
  <si>
    <t>Harrow Eye, LLC</t>
  </si>
  <si>
    <t>(615) 733-4734</t>
  </si>
  <si>
    <t>Triesence, Injection, 40 mg/1 mL (NDC 82667-800-01)</t>
  </si>
  <si>
    <t>Triamcinolone Hexacetonide Injection</t>
  </si>
  <si>
    <t>Medexus</t>
  </si>
  <si>
    <t>1-855-336-3322 Option 9</t>
  </si>
  <si>
    <t>Hexatrione, Injection, 40 mg/2 mL (NDC 59137-570-01)</t>
  </si>
  <si>
    <t>https://www.fda.gov/files/drugs/published/hexatrione_dhcp_09-15-2026_with_pi.pdf</t>
  </si>
  <si>
    <t>Ursodiol Capsule</t>
  </si>
  <si>
    <t>Strides Pharma Inc.</t>
  </si>
  <si>
    <t>877-244-9825</t>
  </si>
  <si>
    <t>Ursodiol, Capsule, 300 mg (NDC 64380-844-06)</t>
  </si>
  <si>
    <t>Valproate Sodium Injection</t>
  </si>
  <si>
    <t>Valproate Sodium, Injection, 500 mg/5 mL (NDC 0143-9785-10)</t>
  </si>
  <si>
    <t>Valproate Sodium, Injection, 100 mg/1 mL (NDC 63323-494-05)</t>
  </si>
  <si>
    <t>Valsartan Tablet</t>
  </si>
  <si>
    <t>Valsartan, Tablet, 40 mg (NDC 0378-5807-93)</t>
  </si>
  <si>
    <t>Valsartan, Tablet, 80 mg (NDC 0378-5813-77)</t>
  </si>
  <si>
    <t>Valsartan, Tablet, 160 mg (NDC 0378-5814-77)</t>
  </si>
  <si>
    <t>Valsartan, Tablet, 320 mg (NDC 0378-5815-77)</t>
  </si>
  <si>
    <t>Vancomycin Hydrochloride Injection</t>
  </si>
  <si>
    <t>Vancomycin Hydrochloride, Injection, 10 g Vial NovaPlus (NDC 0409-5017-01)</t>
  </si>
  <si>
    <t>Verapamil Hydrochloride Injection</t>
  </si>
  <si>
    <t>Verapamil Hydrochloride, Injection, 2.5 mg/1 mL (NDC 0409-9633-05)</t>
  </si>
  <si>
    <t>Vigabatrin Tablet</t>
  </si>
  <si>
    <t>Vigabatrin, Tablet, 500 mg (NDC 0054-0652-25)</t>
  </si>
  <si>
    <t>The decision to discontinue this drug product was due to a business decision and not due to any reasons of safety or effectiveness.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</si>
</sst>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0.0%"/>
  </numFmts>
  <fonts count="6">
    <font>
      <sz val="10.0"/>
      <color rgb="FF000000"/>
      <name val="Arial"/>
      <scheme val="minor"/>
    </font>
    <font>
      <color theme="1"/>
      <name val="Arial"/>
      <scheme val="minor"/>
    </font>
    <font>
      <b/>
      <color theme="1"/>
      <name val="Arial"/>
      <scheme val="minor"/>
    </font>
    <font>
      <b/>
      <sz val="14.0"/>
      <color theme="1"/>
      <name val="Arial"/>
      <scheme val="minor"/>
    </font>
    <font>
      <sz val="18.0"/>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1" numFmtId="164" xfId="0" applyAlignment="1" applyFont="1" applyNumberFormat="1">
      <alignment readingOrder="0"/>
    </xf>
    <xf borderId="0" fillId="0" fontId="1" numFmtId="0" xfId="0" applyFont="1"/>
    <xf borderId="0" fillId="0" fontId="1" numFmtId="0" xfId="0" applyAlignment="1" applyFont="1">
      <alignment horizontal="right"/>
    </xf>
    <xf borderId="0" fillId="0" fontId="1" numFmtId="0" xfId="0" applyAlignment="1" applyFont="1">
      <alignment horizontal="right" readingOrder="0"/>
    </xf>
    <xf borderId="0" fillId="0" fontId="1" numFmtId="165" xfId="0" applyAlignment="1" applyFont="1" applyNumberFormat="1">
      <alignment readingOrder="0"/>
    </xf>
    <xf borderId="0" fillId="0" fontId="2" numFmtId="3" xfId="0" applyFont="1" applyNumberFormat="1"/>
    <xf borderId="0" fillId="0" fontId="1" numFmtId="164" xfId="0" applyFont="1" applyNumberFormat="1"/>
    <xf borderId="0" fillId="0" fontId="1" numFmtId="3" xfId="0" applyFont="1" applyNumberFormat="1"/>
    <xf borderId="0" fillId="0" fontId="1" numFmtId="166" xfId="0" applyFont="1" applyNumberFormat="1"/>
    <xf borderId="0" fillId="0" fontId="1" numFmtId="165" xfId="0" applyFont="1" applyNumberFormat="1"/>
    <xf borderId="0" fillId="0" fontId="3" numFmtId="0" xfId="0" applyAlignment="1" applyFont="1">
      <alignment readingOrder="0"/>
    </xf>
    <xf borderId="0" fillId="0" fontId="4" numFmtId="0" xfId="0" applyFont="1"/>
    <xf borderId="0" fillId="0" fontId="4" numFmtId="166" xfId="0" applyFont="1" applyNumberFormat="1"/>
    <xf borderId="0" fillId="0" fontId="1" numFmtId="0" xfId="0" applyAlignment="1" applyFont="1">
      <alignment horizontal="center" readingOrder="0"/>
    </xf>
    <xf quotePrefix="1" borderId="0" fillId="0" fontId="1"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Pediatric medicines are the most widely affected</a:t>
            </a:r>
          </a:p>
        </c:rich>
      </c:tx>
      <c:overlay val="0"/>
    </c:title>
    <c:plotArea>
      <c:layout/>
      <c:barChart>
        <c:barDir val="bar"/>
        <c:varyColors val="0"/>
        <c:ser>
          <c:idx val="0"/>
          <c:order val="0"/>
          <c:tx>
            <c:strRef>
              <c:f>analysis!$I$25</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analysis!$H$26:$H$44</c:f>
            </c:strRef>
          </c:cat>
          <c:val>
            <c:numRef>
              <c:f>analysis!$I$26:$I$44</c:f>
              <c:numCache/>
            </c:numRef>
          </c:val>
        </c:ser>
        <c:axId val="533828421"/>
        <c:axId val="1630746577"/>
      </c:barChart>
      <c:catAx>
        <c:axId val="53382842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30746577"/>
      </c:catAx>
      <c:valAx>
        <c:axId val="16307465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33828421"/>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2023 is when the most current shortages began</a:t>
            </a:r>
          </a:p>
        </c:rich>
      </c:tx>
      <c:overlay val="0"/>
    </c:title>
    <c:plotArea>
      <c:layout/>
      <c:barChart>
        <c:barDir val="col"/>
        <c:varyColors val="0"/>
        <c:ser>
          <c:idx val="0"/>
          <c:order val="0"/>
          <c:tx>
            <c:strRef>
              <c:f>analysis!$N$2</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analysis!$L$3:$L$15</c:f>
            </c:strRef>
          </c:cat>
          <c:val>
            <c:numRef>
              <c:f>analysis!$N$3:$N$15</c:f>
              <c:numCache/>
            </c:numRef>
          </c:val>
        </c:ser>
        <c:axId val="1342691221"/>
        <c:axId val="404057122"/>
      </c:barChart>
      <c:catAx>
        <c:axId val="13426912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04057122"/>
      </c:catAx>
      <c:valAx>
        <c:axId val="4040571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2691221"/>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When a reason is given, the most common one is "Other"</a:t>
            </a:r>
          </a:p>
        </c:rich>
      </c:tx>
      <c:overlay val="0"/>
    </c:title>
    <c:plotArea>
      <c:layout/>
      <c:barChart>
        <c:barDir val="bar"/>
        <c:varyColors val="0"/>
        <c:ser>
          <c:idx val="0"/>
          <c:order val="0"/>
          <c:tx>
            <c:strRef>
              <c:f>analysis!$E$2</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analysis!$D$3:$D$10</c:f>
            </c:strRef>
          </c:cat>
          <c:val>
            <c:numRef>
              <c:f>analysis!$E$3:$E$10</c:f>
              <c:numCache/>
            </c:numRef>
          </c:val>
        </c:ser>
        <c:axId val="184958250"/>
        <c:axId val="589391207"/>
      </c:barChart>
      <c:catAx>
        <c:axId val="18495825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89391207"/>
      </c:catAx>
      <c:valAx>
        <c:axId val="5893912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958250"/>
        <c:crosses val="max"/>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Three manufacturers account for 36% of current shortage records</a:t>
            </a:r>
          </a:p>
        </c:rich>
      </c:tx>
      <c:overlay val="0"/>
    </c:title>
    <c:plotArea>
      <c:layout/>
      <c:barChart>
        <c:barDir val="bar"/>
        <c:varyColors val="0"/>
        <c:ser>
          <c:idx val="0"/>
          <c:order val="0"/>
          <c:tx>
            <c:strRef>
              <c:f>analysis!$X$2</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analysis!$W$3:$W$12</c:f>
            </c:strRef>
          </c:cat>
          <c:val>
            <c:numRef>
              <c:f>analysis!$X$3:$X$12</c:f>
              <c:numCache/>
            </c:numRef>
          </c:val>
        </c:ser>
        <c:axId val="1067291619"/>
        <c:axId val="227516329"/>
      </c:barChart>
      <c:catAx>
        <c:axId val="106729161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27516329"/>
      </c:catAx>
      <c:valAx>
        <c:axId val="2275163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67291619"/>
        <c:crosses val="max"/>
      </c:valAx>
    </c:plotArea>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171450</xdr:rowOff>
    </xdr:from>
    <xdr:ext cx="9734550" cy="55530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4</xdr:row>
      <xdr:rowOff>171450</xdr:rowOff>
    </xdr:from>
    <xdr:ext cx="8620125" cy="55530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34</xdr:row>
      <xdr:rowOff>190500</xdr:rowOff>
    </xdr:from>
    <xdr:ext cx="9734550" cy="55530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0</xdr:colOff>
      <xdr:row>34</xdr:row>
      <xdr:rowOff>190500</xdr:rowOff>
    </xdr:from>
    <xdr:ext cx="8620125" cy="55530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1606" sheet="clean"/>
  </cacheSource>
  <cacheFields>
    <cacheField name="Generic Name" numFmtId="0">
      <sharedItems>
        <s v="Acetaminophen; Oxycodone Hydrochloride Tablet"/>
        <s v="Activated Charcoal Oral Suspension"/>
        <s v="Adalimumab-adaz Injection"/>
        <s v="Adalimumab-ryvk Kit"/>
        <s v="Albuterol Sulfate Solution"/>
        <s v="Allopurinol Tablet"/>
        <s v="Alteplase Injection"/>
        <s v="Amino Acid Injection"/>
        <s v="Amphetamine Aspartate Monohydrate, Amphetamine Sulfate, Dextroamphetamine Saccharate, Dextroamphetamine Sulfate Tablet"/>
        <s v="Ampicillin Sodium Injection"/>
        <s v="Anagrelide Hydrochloride Capsule"/>
        <s v="Aprepitant Oral Powder for Suspension"/>
        <s v="Arsenic Trioxide Injection"/>
        <s v="Aspirin Suppository"/>
        <s v="Atazanavir Sulfate; Cobicistat Tablet"/>
        <s v="Atropine Sulfate Injection"/>
        <s v="Azacitidine Injection"/>
        <s v="Azithromycin Injection"/>
        <s v="Azithromycin Tablet"/>
        <s v="Bacitracin Ophthalmic Ointment"/>
        <s v="Belladonna and Opium Suppository"/>
        <s v="Bendamustine Hydrochloride Injection, Solution"/>
        <s v="Benztropine Mesylate Injection"/>
        <s v="Bumetanide Injection"/>
        <s v="Bupivacaine Hydrochloride Injection"/>
        <s v="Bupivacaine Hydrochloride, Epinephrine Bitartrate Injection"/>
        <s v="Calcitriol Capsule"/>
        <s v="Calcium Chloride Injection"/>
        <s v="Calcium Chloride; Dextrose; Magnesium Chloride; Sodium Chloride; Sodium Lactate Intraperitoneal Injection, Solution"/>
        <s v="Carbamazepine Capsule, Extended Release"/>
        <s v="Carboplatin Injection"/>
        <s v="Caspofungin Acetate Injection"/>
        <s v="Cefepime Hydrochloride Injection"/>
        <s v="Cefotaxime Sodium Powder, for Solution"/>
        <s v="Ceftazidime Injection"/>
        <s v="Cetrorelix Acetate Injection"/>
        <s v="Chlorothiazide Oral Suspension"/>
        <s v="Cisatracurium Besylate Injection"/>
        <s v="Clindamycin Hydrochloride Capsule"/>
        <s v="Clindamycin Palmitate Hydrochloride Injection"/>
        <s v="Clindamycin Phosphate Injection"/>
        <s v="Clonazepam Tablet"/>
        <s v="Conivaptan Hydrochloride Injection"/>
        <s v="Crinecerfont Capsule"/>
        <s v="Cromolyn Sodium Concentrate"/>
        <s v="Dacomitinib Tablet"/>
        <s v="Dapsone Gel"/>
        <s v="Daptomycin Injection"/>
        <s v="Decitabine Injection"/>
        <s v="Deferiprone Tablet"/>
        <s v="Dehydrated Alcohol Injection, Solution"/>
        <s v="Desflurane Liquid for Inhalation"/>
        <s v="Desmopressin Acetate Spray"/>
        <s v="Dexamethasone Sodium Phosphate Injection"/>
        <s v="Dexmedetomidine Hydrochloride Injection"/>
        <s v="Dextrose Monohydrate 10% Injection"/>
        <s v="Dextrose Monohydrate 5% Injection"/>
        <s v="Dextrose Monohydrate 50% Injection"/>
        <s v="Dextrose Monohydrate 70% Injection"/>
        <s v="Dextrose Monohydrate, Sodium Chloride, Sodium Lactate, Calcium Chloride, Magnesium Chloride Solution"/>
        <s v="Diclofenac Sodium Tablet, Delayed Release"/>
        <s v="Diltiazem Hydrochloride Injection"/>
        <s v="Disopyramide Phosphate Capsule, Extended Release"/>
        <s v="Dobutamine Hydrochloride Injection"/>
        <s v="Docetaxel Injection"/>
        <s v="Donepezil Hydrochloride; Memantine Hydrochloride Capsule, Extended Release"/>
        <s v="Dopamine Hydrochloride Injection"/>
        <s v="Doxercalciferol Injection"/>
        <s v="Doxycycline Hyclate Tablet"/>
        <s v="Doxycycline Hyclate Tablet, Delayed Release"/>
        <s v="Doxylamine Succinate and Pyridoxine  Hydrochloride Tablet, Delayed Release"/>
        <s v="Echothiophate Iodide Ophthalmic Solution"/>
        <s v="Emtricitabine Capsule"/>
        <s v="Emtricitabine Oral Solution"/>
        <s v="Enoxaparin Sodium Injection"/>
        <s v="Epinephrine Bitartrate, Lidocaine Hydrochloride Injection"/>
        <s v="Epinephrine Injection"/>
        <s v="Etomidate Injection"/>
        <s v="Etravirine Tablet"/>
        <s v="Everolimus Tablet"/>
        <s v="Felodipine Tablet, Extended Release"/>
        <s v="Felodipine Tablet, Film Coated, Extended Release"/>
        <s v="Fentanyl Citrate Injection"/>
        <s v="Fluocinonide Ointment"/>
        <s v="Flurazepam Hydrochloride Capsule"/>
        <s v="Fluticasone Propionate and Salmeterol Xinafoate Aerosol, Metered"/>
        <s v="Fluvastatin Sodium Tablet, Extended Release"/>
        <s v="Fosaprepitant Dimeglumine Injection"/>
        <s v="Frovatriptan Succinate Tablet"/>
        <s v="Fulvestrant Injection"/>
        <s v="Furosemide Injection"/>
        <s v="Furosemide Oral Solution"/>
        <s v="Gadobutrol Injection"/>
        <s v="Gadoterate Meglumine Injection"/>
        <s v="Gemfibrozil Tablet"/>
        <s v="Glyburide Tablet"/>
        <s v="Glycerol Phenylbutyrate Oral Liquid"/>
        <s v="Glycopyrrolate Injection"/>
        <s v="Guanfacine Hydrochloride Tablet, Extended Release"/>
        <s v="Haloperidol Decanoate Injection"/>
        <s v="Heparin Sodium Injection"/>
        <s v="Hydrochlorothiazide Capsule"/>
        <s v="Hydrocortisone Acetate Suppository"/>
        <s v="Hydromorphone Hydrochloride Injection"/>
        <s v="Hydromorphone Hydrochloride Suppository"/>
        <s v="Hydroxocobalamin Injection"/>
        <s v="Hydroxychloroquine Sulfate Tablet"/>
        <s v="Icatibant Acetate Injection"/>
        <s v="Icosapent Ethyl Capsule"/>
        <s v="Idelalisib Tablet"/>
        <s v="Ifosfamide Injection"/>
        <s v="Imipenem and Cilastatin Injection"/>
        <s v="Imipenem Anhydrous, Cilastatin, and Relebactam Anhydrous Injection"/>
        <s v="Insulin Glargine-aglr Injection"/>
        <s v="Insulin Lispro Injection"/>
        <s v="Insulin Lispro Protamine and Insulin Lispro Injection"/>
        <s v="Irinotecan Hydrochloride Injection"/>
        <s v="Iron Sucrose Injection"/>
        <s v="Isocarboxazid Tablet"/>
        <s v="Itraconazole Capsule"/>
        <s v="Ivabradine Hydrochloride Tablet"/>
        <s v="Ivabradine Solution"/>
        <s v="Ivermectin Tablet"/>
        <s v="Ketamine Hydrochloride Injection"/>
        <s v="Ketorolac Tromethamine Injection"/>
        <s v="Ketorolac Tromethamine Tablet"/>
        <s v="Lamivudine Tablet"/>
        <s v="Lamotrigine Tablet, Extended Release"/>
        <s v="Lasmiditan Succinate Tablet"/>
        <s v="Leflunomide Tablet"/>
        <s v="Leuprolide Acetate Injection"/>
        <s v="Lidocaine Hydrochloride Injection"/>
        <s v="Lincomycin Hydrochloride Injection"/>
        <s v="Liraglutide Injection"/>
        <s v="Lisdexamfetamine Dimesylate Capsule"/>
        <s v="Lisdexamfetamine Dimesylate Tablet, Chewable"/>
        <s v="Lopinavir and Ritonavir Oral Solution"/>
        <s v="Lopinavir and Ritonavir Tablet"/>
        <s v="Lorazepam Injection"/>
        <s v="Lorlatinib Tablet"/>
        <s v="Maraviroc Solution"/>
        <s v="Medroxyprogesterone Acetate Tablet"/>
        <s v="Melphalan Hydrochloride Injection"/>
        <s v="Meperidine Hydrochloride Injection"/>
        <s v="Mesalamine Capsule, Extended Release"/>
        <s v="Metformin Hydrochloride Tablet, Extended Release"/>
        <s v="Methotrexate Sodium Injection"/>
        <s v="Methylphenidate Film, Extended Release"/>
        <s v="Methylphenidate Hydrochloride Tablet, Extended Release"/>
        <s v="Methylprednisolone Acetate Injection"/>
        <s v="Metoprolol Succinate Tablet, Extended Release"/>
        <s v="Metronidazole Injection"/>
        <s v="Micafungin Sodium Injection"/>
        <s v="Midazolam Hydrochloride Injection"/>
        <s v="Mirikizumab-mrkz Injection"/>
        <s v="Molnupiravir Capsule"/>
        <s v="Montelukast Sodium Tablet, Chewable"/>
        <s v="Morphine Sulfate Injection"/>
        <s v="Morphine Sulfate Suppository"/>
        <s v="Morphine Sulfate Tablet"/>
        <s v="Moxifloxacin Injection"/>
        <s v="Nebivolol Hydrochloride Tablet"/>
        <s v="Neostigmine Methylsulfate Injection"/>
        <s v="Nilutamide Tablet"/>
        <s v="Nitrofurantoin Oral Suspension"/>
        <s v="Nitroglycerin Ointment"/>
        <s v="Oxaliplatin Injection"/>
        <s v="Palbociclib Capsule"/>
        <s v="Palonosetron Hydrochloride Injection"/>
        <s v="Palovarotene Capsule"/>
        <s v="Peginterferon alfa-2a Injection"/>
        <s v="Penicillin G Benzathine Injection"/>
        <s v="Pentamidine Isethionate Injection"/>
        <s v="Pentostatin Injection"/>
        <s v="Peritoneal Dialysis Solution"/>
        <s v="Phenobarbital Tablet"/>
        <s v="Phenoxybenzamine Hydrochloride Capsule"/>
        <s v="Pilocarpine Hydrochloride Ophthalmic Solution"/>
        <s v="Pindolol Tablet"/>
        <s v="Piperacillin and Tazobactam Injection"/>
        <s v="Plerixafor Injection"/>
        <s v="Podofilox Topical Gel"/>
        <s v="Podophyllum Resin Topical Tincture"/>
        <s v="Polyethylene glycol 3350, Sodium Ascorbate, Sodium Sulfate Anhydrous, Ascorbic Acid, Sodium Chloride, and Potassium Chloride  Oral Solution"/>
        <s v="Posaconazole Injection"/>
        <s v="Potassium Chloride Tablet, Extended Release"/>
        <s v="Potassium Chloride, Sodium Chloride, Calcium Chloride, and Magnesium Chloride Injection, Solution"/>
        <s v="Pramlintide Acetate Injection"/>
        <s v="Prazosin Hydrochloride Capsule"/>
        <s v="Progesterone Vaginal Gel"/>
        <s v="Promethazine Hydrochloride Injection"/>
        <s v="Propranolol Hydrochloride Injection"/>
        <s v="Quinapril Hydrochloride Tablet"/>
        <s v="Quinapril/Hydrochlorothiazide Tablet"/>
        <s v="Ramelteon Tablet"/>
        <s v="Remifentanil Hydrochloride Injection"/>
        <s v="Riboflavin 5-phosphate  Ophthalmic Solution"/>
        <s v="Rifampin Capsule"/>
        <s v="Rifampin Injection"/>
        <s v="Rifapentine Tablet, Film Coated"/>
        <s v="Riluzole Oral Suspension"/>
        <s v="Ritonavir Oral Powder"/>
        <s v="Ritonavir Tablet"/>
        <s v="Rivaroxaban For Suspension"/>
        <s v="Rivastigmine Film, Extended Release"/>
        <s v="Rocuronium Bromide Injection"/>
        <s v="Ropivacaine Hydrochloride Injection"/>
        <s v="Scopolamine Transdermal System"/>
        <s v="Semaglutide Tablet"/>
        <s v="Sodium Acetate Injection"/>
        <s v="Sodium Bicarbonate Injection"/>
        <s v="Sodium Chloride 0.9% Injection"/>
        <s v="Sodium Oxybate Solution"/>
        <s v="Somatropin Injection"/>
        <s v="Spironolactone Tablet"/>
        <s v="Sterile Water Injection"/>
        <s v="Sterile Water Irrigant"/>
        <s v="Streptozocin Powder, For Solution"/>
        <s v="Succinylcholine Chloride Injection"/>
        <s v="Sufentanil Citrate Injection"/>
        <s v="Sulconazole Nitrate Solution"/>
        <s v="Tazemetostat Hydrobromide Tablet"/>
        <s v="Technetium TC-99M Pyrophosphate Kit Injection"/>
        <s v="Tiagabine Hydrochloride Tablet"/>
        <s v="Tobramycin Sulfate Injection"/>
        <s v="Travoprost Ophthalmic Solution"/>
        <s v="Triamcinolone Acetonide Injection"/>
        <s v="Triamcinolone Hexacetonide Injection"/>
        <s v="Ursodiol Capsule"/>
        <s v="Valproate Sodium Injection"/>
        <s v="Valsartan Tablet"/>
        <s v="Vancomycin Hydrochloride Injection"/>
        <s v="Verapamil Hydrochloride Injection"/>
        <s v="Vigabatrin Tablet"/>
      </sharedItems>
    </cacheField>
    <cacheField name="Company Name" numFmtId="0">
      <sharedItems>
        <s v="Endo Pharmaceuticals, Inc."/>
        <s v="Padagis US LLC"/>
        <s v="Sandoz Inc."/>
        <s v="Teva Pharmaceuticals USA, Inc."/>
        <s v="Ritedose Pharmaceuticals, LLC"/>
        <s v="Rising Pharma Holdings, Inc."/>
        <s v="Nephron Pharmaceuticals Corporation"/>
        <s v="Genentech, Inc"/>
        <s v="Baxter Healthcare"/>
        <s v="B. Braun Medical Inc."/>
        <s v="Otsuka ICU Medical LLC"/>
        <s v="SpecGx LLC"/>
        <s v="Epic Pharma, LLC"/>
        <s v="Alvogen"/>
        <s v="Sunrise Pharmaceutical, Inc."/>
        <s v="Lannett Company, Inc."/>
        <s v="Oryza Pharmaceuticals Inc."/>
        <s v="Elite Laboratories, Inc."/>
        <s v="Aurobindo Pharma USA"/>
        <s v="Granules Pharmaceuticals Inc."/>
        <s v="Merck Sharp &amp; Dohme LLC"/>
        <s v="Ingenus Pharmaceuticals LLC"/>
        <s v="Fresenius Kabi USA, LLC"/>
        <s v="Bristol Myers Squibb Co."/>
        <s v="Hospira, Inc., a Pfizer Company"/>
        <s v="Medefil, Inc."/>
        <s v="Amphastar Pharmaceuticals, Inc."/>
        <s v="American Regent, Inc."/>
        <s v="Hikma Pharmaceuticals USA, Inc."/>
        <s v="Accord Healthcare Inc."/>
        <s v="Somerset Therapeutics, LLC"/>
        <s v="Dr. Reddy's Laboratories, Inc."/>
        <s v="Armas Pharmaceuticals Inc"/>
        <s v="Meitheal Pharmaceuticals, Inc."/>
        <s v="Eugia US LLC"/>
        <s v="Pfizer Inc."/>
        <s v="Cephalon, LLC (a wholly owned subsidiary of Teva Pharmaceutical Industries, Ltd.)"/>
        <s v="Mullan Pharmaceutical Inc."/>
        <s v="Sagent Pharmaceuticals"/>
        <s v="MSN Laboratories Private Limited"/>
        <s v="Huons Co., Ltd"/>
        <s v="Kindos Pharmaceuticals Co. Ltd."/>
        <s v="Aspiro Pharma Limited"/>
        <s v="ONESOURCE SPECIALTY PTE LTD"/>
        <s v="Vantive US Healthcare LLC"/>
        <s v="Takeda Pharmaceuticals USA Inc."/>
        <s v="Avyxa Pharma, LLC"/>
        <s v="Gland Pharma Limited"/>
        <s v="Teyro Labs"/>
        <s v="Jiangsu Hengrui Pharmaceuticals Co. (US Agent eVenus Pharmaceutical Laboratories, Inc.)"/>
        <s v="SteriMax, Inc."/>
        <s v="Salix Pharmaceuticals, a division of Bausch Health US, LLC"/>
        <s v="Amneal Pharmaceuticals"/>
        <s v="Rubicon Research Private Limited"/>
        <s v="Cheplapharm Arzneimittel GmbH"/>
        <s v="Prinston Pharmaceutical, Inc."/>
        <s v="Cumberland Pharmaceuticals Inc."/>
        <s v="Neurocrine Biosciences, Inc."/>
        <s v="Ailex Pharmaceuticals"/>
        <s v="Micro Labs LTD"/>
        <s v="Mylan Specialty, a Viatris Company"/>
        <s v="Chiesi USA, Inc."/>
        <s v="Ferring"/>
        <s v="Apotex Corp."/>
        <s v="Mylan Institutional, a Viatris Company"/>
        <s v="Slayback Pharma"/>
        <s v="Azurity Pharmaceuticals, Inc"/>
        <s v="HQ Specialty Pharma"/>
        <s v="Par Health, USA LLC"/>
        <s v="Jiangsu Hengrui Pharmaceuticals Co., Ltd."/>
        <s v="Fresenius Medical Care North America"/>
        <s v="Hainan Poly Pharm. Co., Ltd."/>
        <s v="Sanofi-Aventis U.S. LLC"/>
        <s v="Mylan Pharmaceuticals Inc., a Viatris Company"/>
        <s v="Fera Pharmaceuticals"/>
        <s v="Gilead Sciences, Inc."/>
        <s v="Caplin Steriles, Ltd."/>
        <s v="Janssen Research and Development"/>
        <s v="Chartwell Molecular Holdings LLC"/>
        <s v="GlaxoSmithKline"/>
        <s v="Avet Pharmaceuticals, Inc."/>
        <s v="Amgen Inc."/>
        <s v="Actavis Pharma, Inc."/>
        <s v="BTG International Inc."/>
        <s v="Merck Sharp &amp; Dohme Corp."/>
        <s v="Eli Lilly and Co."/>
        <s v="Lifsa Drugs LLC"/>
        <s v="Janssen Pharmaceuticals"/>
        <s v="Alembic Pharmaceuticals"/>
        <s v="ViiV Healthcare Company"/>
        <s v="Par Health, Inc."/>
        <s v="Anthea Pharma"/>
        <s v="Spectra Medical Devices, LLC"/>
        <s v="Huons Co., Ltd. (South Korea)"/>
        <s v="XGen Pharmaceuticals DJB, Inc."/>
        <s v="Novo Nordisk, Inc."/>
        <s v="Rhodes Pharmaceuticals L.P."/>
        <s v="Sun Pharmaceutical Industries, Inc."/>
        <s v="Solco Healthcare US, LLC"/>
        <s v="Novadoz Pharmaceuticals LLC"/>
        <s v="AbbVie Inc."/>
        <s v="Noven Pharmaceuticals, Inc."/>
        <s v="Trigen Laboratories, LLC"/>
        <s v="Vertical Pharmaceuticals, LLC"/>
        <s v="InfoRLife SA"/>
        <s v="WG Critical Care"/>
        <s v="Organon"/>
        <s v="Piramal Critical Care Inc."/>
        <s v="Upsher-Smith Laboratories, LLC"/>
        <s v="Torrent Pharmaceuticals Limited"/>
        <s v="Advanz Pharma (US) Corp."/>
        <s v="Ipsen Biopharmaceuticals, Inc."/>
        <s v="pharmaand GmbH (pharma&amp;)"/>
        <s v="Laboratorios Atral"/>
        <s v="AstraZeneca AB"/>
        <s v="Lupin Pharmaceuticals, Inc."/>
        <s v="Glaukos Corporation"/>
        <s v="EDW Pharma, Inc. (formerly Italfarmaco Pharma, Inc.)"/>
        <s v="Milla Pharmaceuticals"/>
        <s v="Exela Pharma Sciences, LLC"/>
        <s v="Long Grove Pharmaceuticals LLC"/>
        <s v="ESTEVE PHARMACEUTICALS, S.A."/>
        <s v="Journey Medical Corporation"/>
        <s v="Epizyme, Inc. (An Ipsen Company)"/>
        <s v="Curium US LLC"/>
        <s v="Harrow Eye, LLC"/>
        <s v="Medexus"/>
        <s v="Strides Pharma Inc."/>
      </sharedItems>
    </cacheField>
    <cacheField name="Presentation" numFmtId="0">
      <sharedItems>
        <s v="Acetaminophen; Oxycodone Hydrochloride, Tablet, 325 mg; 5 mg (NDC 60951-602-70)"/>
        <s v="Acetaminophen; Oxycodone Hydrochloride, Tablet, 325 mg; 5 mg (NDC 60951-602-85)"/>
        <s v="Acetaminophen; Oxycodone Hydrochloride, Tablet, 325 mg; 7.5 mg (NDC 60951-700-70)"/>
        <s v="Acetaminophen; Oxycodone Hydrochloride, Tablet, 325 mg; 2.5 mg (NDC 60951-701-70)"/>
        <s v="Acetaminophen; Oxycodone Hydrochloride, Tablet, 325 mg; 10 mg (NDC 60951-712-70)"/>
        <s v="Acetaminophen; Oxycodone Hydrochloride, Tablet, 325 mg; 2.5 mg (NDC 63481-627-70)"/>
        <s v="Actidose, Oral Suspension, 208 mg/1 mL (NDC 0574-0520-74)"/>
        <s v="Actidose, Oral Suspension, 208 mg/1 mL (NDC 0574-0520-76)"/>
        <s v="Actidose Aqua, Oral Suspension, 208 mg/1 mL (NDC 0574-0521-25)"/>
        <s v="Actidose Aqua, Oral Suspension, 208 mg/1 mL (NDC 0574-0521-74)"/>
        <s v="Actidose Aqua, Oral Suspension, 208 mg/1 mL (NDC 0574-0521-76)"/>
        <s v="Hyrimoz, Injection, Kit (NDC 61314-531-64)"/>
        <s v="Hyrimoz, Injection, Kit (NDC 61314-517-36)"/>
        <s v="Hyrimoz, Injection, 40 mg/.4 mL (NDC 61314-473-64)"/>
        <s v="Hyrimoz, Injection, 80 mg/.8 mL (NDC 61314-454-68)"/>
        <s v="Hyrimoz, Injection, 80 mg/.8 mL (NDC 61314-454-36)"/>
        <s v="Simlandi, Kit, Kit (NDC 51759-523-21)"/>
        <s v="Albuterol Sulfate, Solution, 2.5 mg/.5 mL (NDC 76204-027-01)"/>
        <s v="Albuterol Sulfate, Solution, 2.5 mg/.5 mL (NDC 64980-642-03)"/>
        <s v="Albuterol Sulfate, Solution, 2.5 mg/.5 mL (NDC 0487-9901-30)"/>
        <s v="Allopurinol, Tablet, 100 mg (NDC 0591-5543-01)"/>
        <s v="Allopurinol, Tablet, 100 mg (NDC 0591-5543-10)"/>
        <s v="Allopurinol, Tablet, 300 mg (NDC 0591-5544-01)"/>
        <s v="Allopurinol, Tablet, 300 mg (NDC 0591-5544-05)"/>
        <s v="Activase, Injection, 1 KIT in 1 CARTON (50242-085-27) * 100 mL in 1 VIAL, SINGLE-USE * 100 mL in 1 VIAL, SINGLE USE (NDC 50242-085-27)"/>
        <s v="Premasol 10% Sulfite Free in VIAFLEX Plastic Container, Injection, 0.1 (NDC 0338-1130-03)"/>
        <s v="Premasol 10% Sulfite Free in VIAFLEX Plastic Container, Injection, 0.1 (NDC 0338-1130-04)"/>
        <s v="Premasol 10% Sulfite Free in VIAFLEX Plastic Container, Injection, 0.1 (NDC 0338-1130-06)"/>
        <s v="TrophAmine 10%, Injection, 0.1 (NDC 0264-1933-10)"/>
        <s v="PROSOL 20% SULFITE FREE IN PLASTIC CONTAINER, Injection, 2.76 g/100 mL; 1.96 g/100 mL; 600 mg/100 mL; 1.02 g/100 mL; 2.06 g/100 mL; 1.18 g/100 mL; 1.08 g/100 mL; 1.08 g/100 mL; 1.35 g/100 mL; 760 mg/100 mL; 1 g/100 mL; 1.34 g/100 mL; 1.02 g/100 mL; 980 mg"/>
        <s v="Travasol, Injection, 2.07 g/100 mL; 1.15 g/100 mL; 1.03 g/100 mL; 480 mg/100 mL; 600 mg/100 mL; 730 mg/100 mL; 580 mg/100 mL; 400 mg/100 mL; 560 mg/100 mL; 680 mg/100 mL; 500 mg/100 mL; 420 mg/100 mL; 180 mg/100 mL; 40 mg/100 mL; 580 mg/100 mL (NDC 0338-0"/>
        <s v="Clinisol 15% Sulfite Free In Plastic Container, Injection, 0.15 (NDC 0338-0502-03)"/>
        <s v="Plenamine, Injection, 0.15 (NDC 0264-4500-05)"/>
        <s v="Plenamine, Injection, 0.15 (NDC 0264-4500-00)"/>
        <s v="Aminosyn II 15% In Plastic Container, Injection, 0.15 (NDC 0990-7171-17)"/>
        <s v="Aminosyn II 10% In Plastic Container, Injection, 0.1 (NDC 0990-7172-17)"/>
        <s v="Aminosyn-PF 7%, Injection, 0.07 (NDC 0990-4178-03)"/>
        <s v="Aminosyn-PF 10%, Injection, 0.1 (NDC 0990-4179-05)"/>
        <s v="Clinisol 15% Sulfite Free In Plastic Container, Injection, 0.15 (NDC 0338-0502-06)"/>
        <s v="Amphetamine Aspartate Monohydrate, Amphetamine Sulfate, Dextroamphetamine Saccharate, Dextroamphetamine Sulfate, Tablet, 1.875 mg; 1.875 mg; 1.875 mg; 1.875 mg (NDC 0406-8884-01)"/>
        <s v="Amphetamine Aspartate Monohydrate, Amphetamine Sulfate, Dextroamphetamine Saccharate, Dextroamphetamine Sulfate, Tablet, 3.75 mg; 3.75 mg; 3.75 mg; 3.75 mg (NDC 0406-8885-01)"/>
        <s v="Amphetamine Aspartate Monohydrate, Amphetamine Sulfate, Dextroamphetamine Saccharate, Dextroamphetamine Sulfate, Tablet, 1.25 mg; 1.25 mg; 1.25 mg; 1.25 mg (NDC 0406-8891-01)"/>
        <s v="Amphetamine Aspartate Monohydrate, Amphetamine Sulfate, Dextroamphetamine Saccharate, Dextroamphetamine Sulfate, Tablet, 2.5 mg; 2.5 mg; 2.5 mg; 2.5 mg (NDC 0406-8892-01)"/>
        <s v="Amphetamine Aspartate Monohydrate, Amphetamine Sulfate, Dextroamphetamine Saccharate, Dextroamphetamine Sulfate, Tablet, 5 mg; 5 mg; 5 mg; 5 mg (NDC 0406-8893-01)"/>
        <s v="Amphetamine Aspartate Monohydrate, Amphetamine Sulfate, Dextroamphetamine Saccharate, Dextroamphetamine Sulfate, Tablet, 7.5 mg; 7.5 mg; 7.5 mg; 7.5 mg (NDC 0406-8894-01)"/>
        <s v="Amphetamine Aspartate Monohydrate, Amphetamine Sulfate, Dextroamphetamine Saccharate, Dextroamphetamine Sulfate, Tablet, 5 mg; 5 mg; 5 mg; 5 mg (NDC 42806-344-01)"/>
        <s v="Amphetamine Aspartate Monohydrate, Amphetamine Sulfate, Dextroamphetamine Saccharate, Dextroamphetamine Sulfate, Tablet, 2.5 mg; 2.5 mg; 2.5 mg; 2.5 mg (NDC 42806-341-01)"/>
        <s v="Amphetamine Aspartate Monohydrate, Amphetamine Sulfate, Dextroamphetamine Saccharate, Dextroamphetamine Sulfate, Tablet, 3.75 mg; 3.75 mg; 3.75 mg; 3.75 mg (NDC 42806-343-01)"/>
        <s v="Amphetamine Aspartate Monohydrate, Amphetamine Sulfate, Dextroamphetamine Saccharate, Dextroamphetamine Sulfate, Tablet, 7.5 mg; 7.5 mg; 7.5 mg; 7.5 mg (NDC 42806-345-01)"/>
        <s v="Amphetamine Aspartate Monohydrate, Amphetamine Sulfate, Dextroamphetamine Saccharate, Dextroamphetamine Sulfate, Tablet, 1.25 mg; 1.25 mg; 1.25 mg; 1.25 mg (NDC 42806-339-01)"/>
        <s v="Amphetamine Aspartate Monohydrate, Amphetamine Sulfate, Dextroamphetamine Saccharate, Dextroamphetamine Sulfate, Tablet, 5mg (NDC 47781-174-01)"/>
        <s v="Amphetamine Aspartate Monohydrate, Amphetamine Sulfate, Dextroamphetamine Saccharate, Dextroamphetamine Sulfate, Tablet, 10mg (NDC 47781-176-01)"/>
        <s v="Amphetamine Aspartate Monohydrate, Amphetamine Sulfate, Dextroamphetamine Saccharate, Dextroamphetamine Sulfate, Tablet, 15mg (NDC 47781-178-01)"/>
        <s v="Amphetamine Aspartate Monohydrate, Amphetamine Sulfate, Dextroamphetamine Saccharate, Dextroamphetamine Sulfate, Tablet, 20mg (NDC 47781-179-01)"/>
        <s v="Amphetamine Aspartate Monohydrate, Amphetamine Sulfate, Dextroamphetamine Saccharate, Dextroamphetamine Sulfate, Tablet, 30mg (NDC 47781-180-01)"/>
        <s v="Amphetamine Aspartate Monohydrate, Amphetamine Sulfate, Dextroamphetamine Saccharate, Dextroamphetamine Sulfate, Tablet, 1.25 mg; 1.25 mg; 1.25 mg; 1.25 mg (NDC 11534-190-01)"/>
        <s v="Amphetamine Aspartate Monohydrate, Amphetamine Sulfate, Dextroamphetamine Saccharate, Dextroamphetamine Sulfate, Tablet, 2.5 mg; 2.5 mg; 2.5 mg; 2.5 mg (NDC 11534-192-01)"/>
        <s v="Amphetamine Aspartate Monohydrate, Amphetamine Sulfate, Dextroamphetamine Saccharate, Dextroamphetamine Sulfate, Tablet, 1.875 mg; 1.875 mg; 1.875 mg; 1.875 mg (NDC 11534-191-01)"/>
        <s v="Amphetamine Aspartate Monohydrate, Amphetamine Sulfate, Dextroamphetamine Saccharate, Dextroamphetamine Sulfate, Tablet, 3.125 mg; 3.125 mg; 3.125 mg; 3.125 mg (NDC 11534-193-01)"/>
        <s v="Amphetamine Aspartate Monohydrate, Amphetamine Sulfate, Dextroamphetamine Saccharate, Dextroamphetamine Sulfate, Tablet, 3.75 mg; 3.75 mg; 3.75 mg; 3.75 mg (NDC 11534-194-01)"/>
        <s v="Amphetamine Aspartate Monohydrate, Amphetamine Sulfate, Dextroamphetamine Saccharate, Dextroamphetamine Sulfate, Tablet, 5 mg; 5 mg; 5 mg; 5 mg (NDC 11534-195-01)"/>
        <s v="Amphetamine Aspartate Monohydrate, Amphetamine Sulfate, Dextroamphetamine Saccharate, Dextroamphetamine Sulfate, Tablet, 7.5 mg; 7.5 mg; 7.5 mg; 7.5 mg (NDC 11534-196-01)"/>
        <s v="Amphetamine Aspartate Monohydrate, Amphetamine Sulfate, Dextroamphetamine Saccharate, Dextroamphetamine Sulfate, Tablet, 1.25 mg; 1.25 mg; 1.25 mg; 1.25 mg (NDC 0527-0760-37)"/>
        <s v="Amphetamine Aspartate Monohydrate, Amphetamine Sulfate, Dextroamphetamine Saccharate, Dextroamphetamine Sulfate, Tablet, 1.875 mg; 1.875 mg; 1.875 mg; 1.875 mg (NDC 0527-0761-37)"/>
        <s v="Amphetamine Aspartate Monohydrate, Amphetamine Sulfate, Dextroamphetamine Saccharate, Dextroamphetamine Sulfate, Tablet, 2.5 mg; 2.5 mg; 2.5 mg; 2.5 mg (NDC 0527-1502-37)"/>
        <s v="Amphetamine Aspartate Monohydrate, Amphetamine Sulfate, Dextroamphetamine Saccharate, Dextroamphetamine Sulfate, Tablet, 3.125 mg; 3.125 mg; 3.125 mg; 3.125 mg (NDC 0527-0763-37)"/>
        <s v="Amphetamine Aspartate Monohydrate, Amphetamine Sulfate, Dextroamphetamine Saccharate, Dextroamphetamine Sulfate, Tablet, 3.75 mg; 3.75 mg; 3.75 mg; 3.75 mg (NDC 0527-0764-37)"/>
        <s v="Amphetamine Aspartate Monohydrate, Amphetamine Sulfate, Dextroamphetamine Saccharate, Dextroamphetamine Sulfate, Tablet, 5 mg; 5 mg; 5 mg; 5 mg (NDC 0527-1505-37)"/>
        <s v="Amphetamine Aspartate Monohydrate, Amphetamine Sulfate, Dextroamphetamine Saccharate, Dextroamphetamine Sulfate, Tablet, 7.5 mg; 7.5 mg; 7.5 mg; 7.5 mg (NDC 0527-0766-37)"/>
        <s v="Amphetamine Aspartate Monohydrate, Amphetamine Sulfate, Dextroamphetamine Saccharate, Dextroamphetamine Sulfate, Tablet, 1.25 mg; 1.25 mg; 1.25 mg; 1.25 mg (NDC 72516-016-01)"/>
        <s v="Amphetamine Aspartate Monohydrate, Amphetamine Sulfate, Dextroamphetamine Saccharate, Dextroamphetamine Sulfate, Tablet, 2.5 mg; 2.5 mg; 2.5 mg; 2.5 mg (NDC 72516-014-01)"/>
        <s v="Amphetamine Aspartate Monohydrate, Amphetamine Sulfate, Dextroamphetamine Saccharate, Dextroamphetamine Sulfate, Tablet, 3.75 mg; 3.75 mg; 3.75 mg; 3.75 mg (NDC 72516-013-01)"/>
        <s v="Amphetamine Aspartate Monohydrate, Amphetamine Sulfate, Dextroamphetamine Saccharate, Dextroamphetamine Sulfate, Tablet, 5 mg; 5 mg; 5 mg; 5 mg (NDC 72516-012-01)"/>
        <s v="Amphetamine Aspartate Monohydrate, Amphetamine Sulfate, Dextroamphetamine Saccharate, Dextroamphetamine Sulfate, Tablet, 7.5 mg; 7.5 mg; 7.5 mg; 7.5 mg (NDC 72516-011-01)"/>
        <s v="Amphetamine Aspartate Monohydrate, Amphetamine Sulfate, Dextroamphetamine Saccharate, Dextroamphetamine Sulfate, Tablet, 7.5 mg; 7.5 mg; 7.5 mg; 7.5 mg (NDC 0185-2099-01)"/>
        <s v="Amphetamine Aspartate Monohydrate, Amphetamine Sulfate, Dextroamphetamine Saccharate, Dextroamphetamine Sulfate, Tablet, 5 mg; 5 mg; 5 mg; 5 mg (NDC 0185-0853-01)"/>
        <s v="Amphetamine Aspartate Monohydrate, Amphetamine Sulfate, Dextroamphetamine Saccharate, Dextroamphetamine Sulfate, Tablet, 2.5 mg; 2.5 mg; 2.5 mg; 2.5 mg (NDC 0185-0842-01)"/>
        <s v="Amphetamine Aspartate Monohydrate, Amphetamine Sulfate, Dextroamphetamine Saccharate, Dextroamphetamine Sulfate, Tablet, 1.25 mg; 1.25 mg; 1.25 mg; 1.25 mg (NDC 0185-2098-01)"/>
        <s v="Adderall, Tablet, 2.5 mg; 2.5 mg; 2.5 mg; 2.5 mg (NDC 57844-110-01)"/>
        <s v="Adderall, Tablet, 3.125 mg; 3.125 mg; 3.125 mg; 3.125 mg (NDC 57844-112-01)"/>
        <s v="Adderall, Tablet, 3.75 mg; 3.75 mg; 3.75 mg; 3.75 mg (NDC 57844-115-01)"/>
        <s v="Adderall, Tablet, 5 mg; 5 mg; 5 mg; 5 mg (NDC 57844-120-01)"/>
        <s v="Adderall, Tablet, 7.5 mg; 7.5 mg; 7.5 mg; 7.5 mg (NDC 57844-130-01)"/>
        <s v="Adderall, Tablet, 1.25 mg; 1.25 mg; 1.25 mg; 1.25 mg (NDC 57844-105-01)"/>
        <s v="Adderall, Tablet, 1.875 mg; 1.875 mg; 1.875 mg; 1.875 mg (NDC 57844-117-01)"/>
        <s v="Amphetamine Aspartate Monohydrate, Amphetamine Sulfate, Dextroamphetamine Saccharate, Dextroamphetamine Sulfate, Tablet, 3.125 mg; 3.125 mg; 3.125 mg; 3.125 mg (NDC 0555-0776-02)"/>
        <s v="Amphetamine Aspartate Monohydrate, Amphetamine Sulfate, Dextroamphetamine Saccharate, Dextroamphetamine Sulfate, Tablet, 3.75 mg; 3.75 mg; 3.75 mg; 3.75 mg (NDC 0555-0777-02)"/>
        <s v="Amphetamine Aspartate Monohydrate, Amphetamine Sulfate, Dextroamphetamine Saccharate, Dextroamphetamine Sulfate, Tablet, 1.875 mg; 1.875 mg; 1.875 mg; 1.875 mg (NDC 0555-0775-02)"/>
        <s v="Amphetamine Aspartate Monohydrate, Amphetamine Sulfate, Dextroamphetamine Saccharate, Dextroamphetamine Sulfate, Tablet, 2.5 mg; 2.5 mg; 2.5 mg; 2.5 mg (NDC 0555-0972-02)"/>
        <s v="Amphetamine Aspartate Monohydrate, Amphetamine Sulfate, Dextroamphetamine Saccharate, Dextroamphetamine Sulfate, Tablet, 5 mg; 5 mg; 5 mg; 5 mg (NDC 0555-0973-02)"/>
        <s v="Amphetamine Aspartate Monohydrate, Amphetamine Sulfate, Dextroamphetamine Saccharate, Dextroamphetamine Sulfate, Tablet, 7.5 mg; 7.5 mg; 7.5 mg; 7.5 mg (NDC 0555-0974-02)"/>
        <s v="Amphetamine Aspartate Monohydrate, Amphetamine Sulfate, Dextroamphetamine Saccharate, Dextroamphetamine Sulfate, Tablet, 1.25 mg; 1.25 mg; 1.25 mg; 1.25 mg (NDC 0555-0971-02)"/>
        <s v="Amphetamine Aspartate Monohydrate, Amphetamine Sulfate, Dextroamphetamine Saccharate, Dextroamphetamine Sulfate, Tablet, 1.25 mg; 1.25 mg; 1.25 mg; 1.25 mg (NDC 64850-500-01)"/>
        <s v="Amphetamine Aspartate Monohydrate, Amphetamine Sulfate, Dextroamphetamine Saccharate, Dextroamphetamine Sulfate, Tablet, 1.875 mg; 1.875 mg; 1.875 mg; 1.875 mg (NDC 64850-501-01)"/>
        <s v="Amphetamine Aspartate Monohydrate, Amphetamine Sulfate, Dextroamphetamine Saccharate, Dextroamphetamine Sulfate, Tablet, 2.5 mg; 2.5 mg; 2.5 mg; 2.5 mg (NDC 64850-502-01)"/>
        <s v="Amphetamine Aspartate Monohydrate, Amphetamine Sulfate, Dextroamphetamine Saccharate, Dextroamphetamine Sulfate, Tablet, 3.125 mg; 3.125 mg; 3.125 mg; 3.125 mg (NDC 64850-503-01)"/>
        <s v="Amphetamine Aspartate Monohydrate, Amphetamine Sulfate, Dextroamphetamine Saccharate, Dextroamphetamine Sulfate, Tablet, 3.75 mg; 3.75 mg; 3.75 mg; 3.75 mg (NDC 64850-504-01)"/>
        <s v="Amphetamine Aspartate Monohydrate, Amphetamine Sulfate, Dextroamphetamine Saccharate, Dextroamphetamine Sulfate, Tablet, 5 mg; 5 mg; 5 mg; 5 mg (NDC 64850-505-01)"/>
        <s v="Amphetamine Aspartate Monohydrate, Amphetamine Sulfate, Dextroamphetamine Saccharate, Dextroamphetamine Sulfate, Tablet, 7.5 mg; 7.5 mg; 7.5 mg; 7.5 mg (NDC 64850-506-01)"/>
        <s v="Amphetamine Aspartate Monohydrate, Amphetamine Sulfate, Dextroamphetamine Saccharate, Dextroamphetamine Sulfate, Tablet, 1.25 mg; 1.25 mg; 1.25 mg; 1.25 mg (NDC 13107-068-01)"/>
        <s v="Amphetamine Aspartate Monohydrate, Amphetamine Sulfate, Dextroamphetamine Saccharate, Dextroamphetamine Sulfate, Tablet, 1.875 mg; 1.875 mg; 1.875 mg; 1.875 mg (NDC 13107-069-01)"/>
        <s v="Amphetamine Aspartate Monohydrate, Amphetamine Sulfate, Dextroamphetamine Saccharate, Dextroamphetamine Sulfate, Tablet, 2.5 mg; 2.5 mg; 2.5 mg; 2.5 mg (NDC 13107-070-01)"/>
        <s v="Amphetamine Aspartate Monohydrate, Amphetamine Sulfate, Dextroamphetamine Saccharate, Dextroamphetamine Sulfate, Tablet, 3.75 mg; 3.75 mg; 3.75 mg; 3.75 mg (NDC 13107-072-01)"/>
        <s v="Amphetamine Aspartate Monohydrate, Amphetamine Sulfate, Dextroamphetamine Saccharate, Dextroamphetamine Sulfate, Tablet, 5 mg; 5 mg; 5 mg; 5 mg (NDC 13107-073-01)"/>
        <s v="Amphetamine Aspartate Monohydrate, Amphetamine Sulfate, Dextroamphetamine Saccharate, Dextroamphetamine Sulfate, Tablet, 7.5 mg; 7.5 mg; 7.5 mg; 7.5 mg (NDC 13107-074-01)"/>
        <s v="Amphetamine Aspartate Monohydrate, Amphetamine Sulfate, Dextroamphetamine Saccharate, Dextroamphetamine Sulfate, Tablet, 1.25 mg; 1.25 mg; 1.25 mg; 1.25 mg (NDC 70010-111-01)"/>
        <s v="Amphetamine Aspartate Monohydrate, Amphetamine Sulfate, Dextroamphetamine Saccharate, Dextroamphetamine Sulfate, Tablet, 1.875 mg; 1.875 mg; 1.875 mg; 1.875 mg (NDC 70010-112-01)"/>
        <s v="Amphetamine Aspartate Monohydrate, Amphetamine Sulfate, Dextroamphetamine Saccharate, Dextroamphetamine Sulfate, Tablet, 2.5 mg; 2.5 mg; 2.5 mg; 2.5 mg (NDC 70010-113-01)"/>
        <s v="Amphetamine Aspartate Monohydrate, Amphetamine Sulfate, Dextroamphetamine Saccharate, Dextroamphetamine Sulfate, Tablet, 3.125 mg; 3.125 mg; 3.125 mg; 3.125 mg (NDC 70010-114-01)"/>
        <s v="Amphetamine Aspartate Monohydrate, Amphetamine Sulfate, Dextroamphetamine Saccharate, Dextroamphetamine Sulfate, Tablet, 3.75 mg; 3.75 mg; 3.75 mg; 3.75 mg (NDC 70010-115-01)"/>
        <s v="Amphetamine Aspartate Monohydrate, Amphetamine Sulfate, Dextroamphetamine Saccharate, Dextroamphetamine Sulfate, Tablet, 5 mg; 5 mg; 5 mg; 5 mg (NDC 70010-116-01)"/>
        <s v="Amphetamine Aspartate Monohydrate, Amphetamine Sulfate, Dextroamphetamine Saccharate, Dextroamphetamine Sulfate, Tablet, 7.5 mg; 7.5 mg; 7.5 mg; 7.5 mg (NDC 70010-117-01)"/>
        <s v="Ampicillin Sodium, Injection, 1 g (NDC 0781-9404-95)"/>
        <s v="Ampicillin Sodium, Injection, 2 g (NDC 0781-9408-95)"/>
        <s v="Ampicillin Sodium, Injection, 10 g (NDC 0781-9409-95)"/>
        <s v="Ampicillin Sodium, Injection, 1 g (NDC 0781-9412-92)"/>
        <s v="Ampicillin Sodium, Injection, 2 g (NDC 0781-9413-92)"/>
        <s v="Anagrelide Hydrochloride, Capsule, 1 mg (NDC 0172-5240-60)"/>
        <s v="Anagrelide Hydrochloride, Capsule, 0.5 mg (NDC 0172-5241-60)"/>
        <s v="Emend, Oral Powder for Suspension, 125 mg (NDC 0006-3066-03)"/>
        <s v="Arsenic Trioxide, Injection, 1 mg/1 mL (NDC 50742-438-10)"/>
        <s v="Arsenic Trioxide, Injection, 1 mg/1 mL (NDC 63323-637-10)"/>
        <s v="Aspirin, Suppository, 300 mg (NDC 0574-7034-12)"/>
        <s v="Evotaz, Tablet, 300 mg; 150 mg (NDC 0003-3641-11)"/>
        <s v="Atropine Sulfate, Injection, (Adult) 0.5 mg/5 mL (0.1 mg/mL) LifeShield® ABBOJECT® Glass Syringe (20 G x 1 1/2) (NDC 0409-4910-34)&quot;"/>
        <s v="Atropine Sulfate, Injection, (Adult)1 mg/10 mL (0.1 mg/mL) LifeShield® ABBOJECT® Glass Syringe (20 G x 1 1/2)  (NDC 0409-4911-34)&quot;"/>
        <s v="Atropine Sulfate, Injection, 1 mg/10 mL (0.1 mg/mL) Syringes (NDC 64253-400-91)"/>
        <s v="Atropine Sulfate, Injection, .4 mg/1 mL (NDC 63323-580-20)"/>
        <s v="Atropine Sulfate, Injection, .1 mg/1 mL (NDC 76329-3340-1)"/>
        <s v="Atropine Sulfate, Injection, 1 mg/10 mL (0.1 mg/mL) Syringes (NDC 0409-1630-10)"/>
        <s v="Atropine Sulfate, Injection, 0.25 mg/5 mL (0.05 mg/mL) Syringes (NDC 0409-9630-05)"/>
        <s v="Atropine Sulfate, Injection, 1 mg/1 mL (NDC 0517-1001-25)"/>
        <s v="Atropine Sulfate, Injection, 0.4 mg/1 mL (NDC 0641-6251-10)"/>
        <s v="Atropine Sulfate, Injection, .4 mg/1 mL (NDC 16729-525-08)"/>
        <s v="Atropine Sulfate, Injection, .4 mg/1 mL (NDC 16729-512-43)"/>
        <s v="Atropine Sulfate, Injection, 1 mg/1 mL (NDC 16729-526-08)"/>
        <s v="Atropine Sulfate, Injection, .05 mg/1 mL (NDC 16729-483-03)"/>
        <s v="Atropine Sulfate, Injection, 0.1 mg/1 mL (NDC 16729-484-45)"/>
        <s v="Atropine Sulfate, Injection, .1 mg/1 mL (NDC 16729-484-90)"/>
        <s v="Atropine Sulfate, Injection, .4 mg/1 mL (NDC 0517-1004-25)"/>
        <s v="Atropine Sulfate, Injection, .4 mg/1 mL (NDC 70069-631-25)"/>
        <s v="Atropine Sulfate, Injection, 1 mg/1 mL (NDC 70069-641-25)"/>
        <s v="Atropine Sulfate, Injection, .4 mg/1 mL (NDC 70069-481-10)"/>
        <s v="Vidaza, Injection, 100 mg (NDC 59572-102-01)"/>
        <s v="Azacitidine, Injection, 100 mg/30 mL (NDC 63323-771-39)"/>
        <s v="Azacitidine, Injection, 100 mg/ Vial (NDC 0143-9606-01)"/>
        <s v="Azacitidine, Injection, 100 mg (NDC 43598-305-62)"/>
        <s v="Azacitidine, Injection, 100 mg (NDC 72485-201-01)"/>
        <s v="Azacitidine, Injection, 100 mg (NDC 16729-306-10)"/>
        <s v="Azacitidine, Injection, 100 mg (NDC 68001-313-56)"/>
        <s v="Azacitidine, Injection, 100 mg/30 mL (NDC 71288-115-30)"/>
        <s v="Azacitidine, Injection, 100 mg/4 mL (NDC 55150-393-01)"/>
        <s v="Zithromax IV, Injection, 500 mg/5 mL (NDC 0069-3150-83)"/>
        <s v="Zithromax, Tablet, 500 mg (NDC 0069-3070-30)"/>
        <s v="Zithromax, Tablet, 250 mg (NDC 0069-4061-01)"/>
        <s v="Bacitracin, Ophthalmic Ointment, 3.5 g (NDC 0574-4022-35)"/>
        <s v="Belladonna and Opium, Suppository, 16.2 mg; 60 mg (NDC 0574-7040-04)"/>
        <s v="Belladonna and Opium, Suppository, 16.2 mg; 60 mg (NDC 0574-7040-12)"/>
        <s v="Belladonna and Opium, Suppository, 16.2 mg; 30 mg (NDC 0574-7045-04)"/>
        <s v="Belladonna and Opium, Suppository, 16.2 mg; 30 mg (NDC 0574-7045-12)"/>
        <s v="Treanda, Injection, Solution, 25 mg/5 mL, 1 vial, Single-Dose in 1 carton (NDC 63459-390-08)"/>
        <s v="Benztropine Mesylate, Injection, 1 mg/1 mL (NDC 63323-970-02)"/>
        <s v="Bumetanide, Injection, 1 mg/4 mL (0.25 mg/mL) (NDC 83301-0080-2)"/>
        <s v="Bumetanide, Injection, 2.5 mg/10 mL (0.25 mg/mL) (NDC 83301-0081-2)"/>
        <s v="Bumetanide, Injection, .25 mg/1 mL (NDC 25021-321-04)"/>
        <s v="Bumetanide, Injection, .25 mg/1 mL (NDC 25021-321-10)"/>
        <s v="Bumetanide, Injection, .25 mg/1 mL (NDC 65219-570-04)"/>
        <s v="Bumetanide, Injection, .25 mg/1 mL (NDC 65219-572-10)"/>
        <s v="Bumetanide, Injection, 0.25 mg/mL, 4mL (NDC 72205-101-01)"/>
        <s v="Bumetanide, Injection, 0.25 mg/1 mL (NDC 72205-101-07)"/>
        <s v="Bumetanide, Injection, 0.25 mg/mL, 10 mL (NDC 72205-102-01)"/>
        <s v="Bumetanide, Injection, 0.25 mg/1 mL (NDC 72205-102-07)"/>
        <s v="Bumetanide, Injection, .25 mg/1 mL (NDC 0641-6008-10)"/>
        <s v="Bumetanide, Injection, .25 mg/1 mL (NDC 0641-6007-10)"/>
        <s v="Sensorcaine, Injection, 2.5 mg/1 mL (NDC 63323-465-57)"/>
        <s v="Sensorcaine, Injection, 5 mg/1 mL (NDC 63323-467-57)"/>
        <s v="Sensorcaine, Injection, 2.5 mg/1 mL (NDC 63323-464-17)"/>
        <s v="Sensorcaine, Injection, 2.5 mg/1 mL (NDC 63323-464-37)"/>
        <s v="Sensorcaine, Injection, 2.5 mg/1 mL (NDC 63323-464-31)"/>
        <s v="Sensorcaine, Injection, 5 mg/1 mL (NDC 63323-466-17)"/>
        <s v="Sensorcaine, Injection, 5 mg/1 mL (NDC 63323-466-37)"/>
        <s v="Sensorcaine, Injection, 5 mg/1 mL (NDC 63323-466-31)"/>
        <s v="Sensorcaine, Injection, 7.5 mg/1 mL (NDC 63323-472-17)"/>
        <s v="Sensorcaine, Injection, 7.5 mg/1 mL (NDC 63323-472-37)"/>
        <s v="Bupivacaine Hydrochloride, Injection, 2.5 mg/1 mL (NDC 55150-167-10)"/>
        <s v="Bupivacaine Hydrochloride, Injection, 2.5 mg/1 mL (NDC 55150-168-30)"/>
        <s v="Bupivacaine Hydrochloride, Injection, 5 mg/1 mL (NDC 55150-169-10)"/>
        <s v="Bupivacaine Hydrochloride, Injection, 5 mg/1 mL (NDC 55150-170-30)"/>
        <s v="Bupivacaine Hydrochloride, Injection, 7.5 mg/1 mL (NDC 55150-171-10)"/>
        <s v="Bupivacaine Hydrochloride, Injection, 7.5 mg/1 mL (NDC 55150-172-30)"/>
        <s v="Bupivacaine Hydrochloride, Injection, 2.5 mg/1 mL (NDC 55150-249-50)"/>
        <s v="Bupivacaine Hydrochloride, Injection, 5 mg/1 mL (NDC 55150-250-50)"/>
        <s v="Bupivacaine Hydrochloride, Injection, 25 mg/10 mL (2.5 mg/mL) (NDC 0409-1159-01)"/>
        <s v="Bupivacaine Hydrochloride, Injection, 75 mg/30 mL (2.5 mg/mL) (NDC 0409-1159-02)"/>
        <s v="Bupivacaine Hydrochloride, Injection, 125 mg/50 mL (2.5 mg/mL) (NDC 0409-1160-01)"/>
        <s v="Bupivacaine Hydrochloride, Injection, 50 mg/10 mL (5 mg/mL) (NDC 0409-1162-01)"/>
        <s v="Bupivacaine Hydrochloride, Injection, 150 mg/30 mL (5 mg/mL) (NDC 0409-1162-02)"/>
        <s v="Bupivacaine Hydrochloride, Injection, 250 mg/50 mL (5 mg/mL) (NDC 0409-1163-01)"/>
        <s v="Bupivacaine Hydrochloride, Injection, 7.5 mg/1 mL (NDC 0409-1165-01)"/>
        <s v="Bupivacaine Hydrochloride, Injection, 225 mg/30 mL (7.5 mg/mL) (NDC 0409-1165-02)"/>
        <s v="Bupivacaine Hydrochloride, Injection, Bupivacaine Spinal 15 mg/2 mL (7.5 mg/mL in 8.25% dextrose) (NDC 0409-3613-01)"/>
        <s v="Marcaine, Injection, Marcaine 125 mg/50 mL (2.5 mg/mL) (NDC 0409-1160-01)"/>
        <s v="Marcaine, Injection, Marcaine 75 mg/10 mL (7.5 mg/mL) (NDC 0409-1165-01)"/>
        <s v="Marcaine, Injection, Marcaine 225 mg/30 mL (7.5 mg/mL) (NDC 0409-2253-01)"/>
        <s v="Bupivacaine Hydrochloride, Injection, 7.5 mg/1 mL (NDC 73293-0002-2)"/>
        <s v="Bupivacaine Hydrochloride, Injection, 2.5 mg/1 mL (NDC 71288-723-52)"/>
        <s v="Bupivacaine Hydrochloride, Injection, 5 mg/1 mL (NDC 71288-726-52)"/>
        <s v="Bupivacaine Hydrochloride, Injection, 2.5 mg/1 mL (NDC 71288-722-32)"/>
        <s v="Bupivacaine Hydrochloride, Injection, 5 mg/1 mL (NDC 71288-725-32)"/>
        <s v="Bupivacaine Hydrochloride, Injection, 7.5 mg/1 mL (NDC 71288-728-32)"/>
        <s v="Bupivacaine Hydrochloride, Injection, 2.5 mg/1 mL (NDC 70069-752-25)"/>
        <s v="Bupivacaine Hydrochloride, Injection, 5 mg/1 mL (NDC 70069-753-25)"/>
        <s v="Marcaine, Injection, 0.75% 15 mg/2 mL (7.5 mg/mL) in Dextrose 8.25% (NDC 0409-1761-10)"/>
        <s v="Marcaine, Injection, 0.75% 15 mg/2 mL (NDC 0409-1761-62)"/>
        <s v="Bupivacaine Hydrochloride, Injection, 2.5 mg/1 mL (NDC 31722-275-32)"/>
        <s v="Bupivacaine Hydrochloride, Injection, 5 mg/1 mL (NDC 31722-276-32)"/>
        <s v="Bupivacaine Hydrochloride, Injection, 7.5 mg/1 mL (NDC 31722-277-32)"/>
        <s v="Bupivacaine Hydrochloride, Injection, 2.5 mg/1 mL (NDC 31722-275-34)"/>
        <s v="Bupivacaine Hydrochloride, Injection, 5 mg/1 mL (NDC 31722-276-34)"/>
        <s v="Bupivacaine Hydrochloride, Injection, 7.5 mg/1 mL (NDC 31722-277-34)"/>
        <s v="Bupivacaine Hydrochloride, Injection, 2.5 mg/1 mL (NDC 70069-752-01)"/>
        <s v="Bupivacaine Hydrochloride, Injection, 2.5 mg/1 mL (NDC 70069-752-10)"/>
        <s v="Bupivacaine Hydrochloride, Injection, 5 mg/1 mL (NDC 70069-753-01)"/>
        <s v="Bupivacaine Hydrochloride, Injection, 5 mg/1 mL (NDC 70069-753-10)"/>
        <s v="Bupivacaine Hydrochloride PRESERVATIVE FREE, Injection, 2.5 mg/1 mL&#10;5mg / 1mL (NDC 72266-263-10)"/>
        <s v="Marcaine, Injection, 150 mg/30 mL (5 mg/mL) (NDC 0409-1530-01)"/>
        <s v="Marcaine, Injection, 25 mg/10 mL (2.5 mg/mL) (NDC 0409-2510-01)"/>
        <s v="Marcaine, Injection, 50 mg/10 mL (5 mg/mL) (NDC 0409-5010-01)"/>
        <s v="Marcaine, Injection, 75 mg/30 mL (2.5 mg/mL) (NDC 0409-7535-01)"/>
        <s v="Marcaine, Injection, 250 mg/50 mL (NDC 0409-0525-25)"/>
        <s v="Marcaine, Injection, 225 mg/30 mL (NDC 0409-2253-25)"/>
        <s v="Bupivacaine Hydrochloride And Epinephrine, Injection, 25 mg/10 mL (2.5 mg/mL) (NDC 0409-9042-01)"/>
        <s v="Bupivacaine Hydrochloride And Epinephrine, Injection, 75 mg/30 mL (2.5 mg/mL) (NDC 0409-9042-17)"/>
        <s v="Bupivacaine Hydrochloride and Epinephrine, Injection, 125 mg/50 mL (2.5 mg/mL) (NDC 0409-9043-01)"/>
        <s v="Bupivacaine Hydrochloride And Epinephrine, Injection, 50 mg/10 mL (5 mg/mL) (NDC 0409-9045-01)"/>
        <s v="Bupivacaine Hydrochloride and Epinephrine, Injection, 150 mg/30 mL (5 mg/mL) (NDC 0409-9045-17)"/>
        <s v="Bupivacaine Hydrochloride And Epinephrine, Injection, 250 mg/50 mL (5 mg/mL) (NDC 0409-9046-01)"/>
        <s v="Marcaine With Epinephrine, Injection, Marcaine with Epinephrine 1:200,000 as the bitartrate 25 mg/10 mL (2.5 mg/mL 1:200,000) (NDC 0409-1746-10)"/>
        <s v="Marcaine With Epinephrine, Injection, Marcaine with Epinephrine 1:200,000 as the bitartrate 75 mg/30 mL (2.5 mg/mL 1:200,000) (NDC 0409-1746-30)"/>
        <s v="Marcaine With Epinephrine, Injection, Marcaine with Epinephrine 1:200,000 as the bitartrate 50 mg/10 mL (5 mg/mL 1:200,000) (NDC 0409-1749-10)"/>
        <s v="Marcaine With Epinephrine, Injection, Marcaine with Epinephrine 1:200,000 as the bitartrate 150 mg/30 mL (5 mg/mL 1:200,000) (NDC 0409-1749-29)"/>
        <s v="Marcaine With Epinephrine, Injection, Marcaine with Epinephrine 1:200,000 as the bitartrate 125 mg/50 mL (2.5 mg/mL 1:200,000) (NDC 0409-1752-50)"/>
        <s v="Marcaine With Epinephrine, Injection, Marcaine with Epinephrine 1:200,000 as the bitartrate 250 mg/50 mL (5 mg/mL 1:200,000) (NDC 0409-1755-50)"/>
        <s v="Sensorcaine, Injection, 2.5 mg/1 mL; .005 mg/1 mL (NDC 63323-461-57)"/>
        <s v="Sensorcaine, Injection, 5 mg/1 mL; .005 mg/1 mL (NDC 63323-463-57)"/>
        <s v="Sensorcaine, Injection, 2.5 mg/1 mL; .005 mg/1 mL (NDC 63323-468-17)"/>
        <s v="Sensorcaine, Injection, 2.5 mg/1 mL; .005 mg/1 mL (NDC 63323-468-37)"/>
        <s v="Sensorcaine, Injection, 5 mg/1 mL; .005 mg/1 mL (NDC 63323-462-17)"/>
        <s v="Sensorcaine, Injection, 5 mg/1 mL; .005 mg/1 mL (NDC 63323-462-37)"/>
        <s v="Sensorcaine, Injection, 5 mg/1 mL; .005 mg/1 mL (NDC 63323-462-31)"/>
        <s v="Sensorcaine, Injection, 7.5 mg/1 mL; .005 mg/1 mL (NDC 63323-460-37)"/>
        <s v="Calcitriol, Capsule, .25 ug (NDC 0093-7352-01)"/>
        <s v="Calcitriol, Capsule, .5 ug (NDC 0093-7353-01)"/>
        <s v="Calcium Chloride, Injection, 100 mg/1 mL (NDC 0409-4928-34)"/>
        <s v="DIANEAL PD-2 with Dextrose, Intraperitoneal Injection, Solution, 25.7 mg/100 mL; 1.5 g/100 mL; 5.08 mg/100 mL; 538 mg/100 mL; 448 mg/100 mL (NDC 0941-0426-52)"/>
        <s v="DIANEAL PD-2 with Dextrose, Intraperitoneal Injection, Solution, 25.7 mg/100 mL; 1.5 g/100 mL; 5.08 mg/100 mL; 538 mg/100 mL; 448 mg/100 mL (NDC 0941-0426-53)"/>
        <s v="DIANEAL PD-2 with Dextrose, Intraperitoneal Injection, Solution, 25.7 mg/100 mL; 2.5 g/100 mL; 5.08 mg/100 mL; 538 mg/100 mL; 448 mg/100 mL (NDC 0941-0427-52)"/>
        <s v="DIANEAL PD-2 with Dextrose, Intraperitoneal Injection, Solution, 25.7 mg/100 mL; 2.5 g/100 mL; 5.08 mg/100 mL; 538 mg/100 mL; 448 mg/100 mL (NDC 0941-0427-53)"/>
        <s v="DIANEAL PD-2 with Dextrose, Intraperitoneal Injection, Solution, 25.7 mg/100 mL; 4.25 g/100 mL; 5.08 mg/100 mL; 538 mg/100 mL; 448 mg/100 mL (NDC 0941-0429-52)"/>
        <s v="DIANEAL PD-2 with Dextrose, Intraperitoneal Injection, Solution, 25.7 mg/100 mL; 4.25 g/100 mL; 5.08 mg/100 mL; 538 mg/100 mL; 448 mg/100 mL (NDC 0941-0429-53)"/>
        <s v="DIANEAL Low Calcium with Dextrose, Intraperitoneal Injection, Solution, 18.3 mg/100 mL; 1.5 g/100 mL; 5.08 mg/100 mL; 538 mg/100 mL; 448 mg/100 mL (NDC 0941-0409-07)"/>
        <s v="DIANEAL PD-2 with Dextrose, Intraperitoneal Injection, Solution, 25.7 mg/100 mL; 1.5 g/100 mL; 5.08 mg/100 mL; 538 mg/100 mL; 448 mg/100 mL (NDC 0941-0411-06)"/>
        <s v="DIANEAL PD-2 with Dextrose, Intraperitoneal Injection, Solution, 25.7 mg/100 mL; 1.5 g/100 mL; 5.08 mg/100 mL; 538 mg/100 mL; 448 mg/100 mL (NDC 0941-0411-07)"/>
        <s v="DIANEAL PD-2 with Dextrose, Intraperitoneal Injection, Solution, 25.7 mg/100 mL; 2.5 g/100 mL; 5.08 mg/100 mL; 538 mg/100 mL; 448 mg/100 mL (NDC 0941-0413-06)"/>
        <s v="DIANEAL PD-2 with Dextrose, Intraperitoneal Injection, Solution, 25.7 mg/100 mL; 2.5 g/100 mL; 5.08 mg/100 mL; 538 mg/100 mL; 448 mg/100 mL (NDC 0941-0413-07)"/>
        <s v="DIANEAL PD-2 with Dextrose, Intraperitoneal Injection, Solution, 25.7 mg/100 mL; 4.25 g/100 mL; 5.08 mg/100 mL; 538 mg/100 mL; 448 mg/100 mL (NDC 0941-0415-06)"/>
        <s v="DIANEAL PD-2 with Dextrose, Intraperitoneal Injection, Solution, 25.7 mg/100 mL; 4.25 g/100 mL; 5.08 mg/100 mL; 538 mg/100 mL; 448 mg/100 mL (NDC 0941-0415-07)"/>
        <s v="DIANEAL Low Calcium with Dextrose, Intraperitoneal Injection, Solution, 18.3 mg/100 mL; 1.5 g/100 mL; 5.08 mg/100 mL; 538 mg/100 mL; 448 mg/100 mL (NDC 0941-0424-51)"/>
        <s v="DIANEAL Low Calcium with Dextrose, Intraperitoneal Injection, Solution, 18.3 mg/100 mL; 2.5 g/100 mL; 5.08 mg/100 mL; 538 mg/100 mL; 448 mg/100 mL (NDC 0941-0430-51)"/>
        <s v="DIANEAL Low Calcium with Dextrose, Intraperitoneal Injection, Solution, 18.3 mg/100 mL; 4.25 g/100 mL; 5.08 mg/100 mL; 538 mg/100 mL; 448 mg/100 mL (NDC 0941-0433-51)"/>
        <s v="DIANEAL Low Calcium with Dextrose, Intraperitoneal Injection, Solution, 18.3 mg/100 mL; 4.25 g/100 mL; 5.08 mg/100 mL; 538 mg/100 mL; 448 mg/100 mL (NDC 0941-0459-05)"/>
        <s v="DIANEAL Low Calcium with Dextrose, Intraperitoneal Injection, Solution, 18.3 mg/100 mL; 2.5 g/100 mL; 5.08 mg/100 mL; 538 mg/100 mL; 448 mg/100 mL (NDC 0941-0457-05)"/>
        <s v="Carbatrol, Capsule, Extended Release, 100 mg (NDC 54092-171-12)"/>
        <s v="Carbatrol, Capsule, Extended Release, 200 mg (NDC 54092-172-12)"/>
        <s v="Carbatrol, Capsule, Extended Release, 300 mg (NDC 54092-173-12)"/>
        <s v="Kyxata, Injection, 80 mg/8 mL (10 mg/mL) (NDC 83831-141-08)"/>
        <s v="Kyxata, Injection, 500 mg/50 mL (10 mg/mL) (NDC 83831-142-50)"/>
        <s v="Carboplatin, Injection, 450 mg/45 mL (NDC 50742-447-45)"/>
        <s v="Carboplatin, Injection, 600 mg/60 mL (NDC 50742-448-60)"/>
        <s v="Carboplatin, Injection, 10 mg/1 mL (NDC 16729-295-33)"/>
        <s v="Carboplatin, Injection, 10 mg/1 mL (NDC 16729-295-31)"/>
        <s v="Carboplatin, Injection, 50mg/5mL (NDC 54288-164-01)"/>
        <s v="Carboplatin, Injection, 150mg/15mL (NDC 54288-165-01)"/>
        <s v="Carboplatin, Injection, 450mg/45mL (NDC 54288-166-01)"/>
        <s v="Carboplatin, Injection, 600 mg/65 mL (NDC 54288-167-01)"/>
        <s v="Carboplatin, Injection, 450 mg/45 mL (NDC 55150-335-01)"/>
        <s v="Carboplatin, Injection, 600 mg/60 mL (NDC 55150-386-01)"/>
        <s v="Carboplatin, Injection, 10 mg/1 mL (NDC 16729-295-34)"/>
        <s v="Carboplatin, Injection, 10 mg/1 mL (NDC 16729-295-12)"/>
        <s v="Carboplatin, Injection, 10 mg/1 mL (NDC 63323-172-60)"/>
        <s v="Carboplatin, Injection, 10 mg/1 mL (NDC 0703-4239-01)"/>
        <s v="Carboplatin, Injection, 50 mg/5 mL (10 mg/mL) (NDC 61703-339-18)"/>
        <s v="Carboplatin, Injection, 50 mg/5 mL (10 mg/mL) (NDC 61703-360-18)"/>
        <s v="Carboplatin, Injection, 150 mg/15 mL (10 mg/mL) (NDC 61703-339-22)"/>
        <s v="Carboplatin, Injection, 150 mg/15 mL (10 mg/mL) (NDC 61703-150-05)"/>
        <s v="Carboplatin, Injection, 450 mg/45 mL (10 mg/mL) (NDC 61703-339-50)"/>
        <s v="Carboplatin, Injection, 450 mg/45 mL (10 mg/mL) (NDC 61703-262-05)"/>
        <s v="Carboplatin, Injection, 600 mg/60 mL (10 mg/mL) (NDC 61703-339-56)"/>
        <s v="Carboplatin, Injection, 600 mg/60 mL (10 mg/mL) (NDC 61703-600-05)"/>
        <s v="Carboplatin, Injection, 10 mg/1 mL (NDC 0703-4244-01)"/>
        <s v="Carboplatin, Injection, 10 mg/1 mL (NDC 0703-4246-01)"/>
        <s v="Carboplatin, Injection, 10 mg/1 mL (NDC 0703-4248-01)"/>
        <s v="Carboplatin, Injection, 50 mg/5 mL (10 mg/mL) Multiple Dose Vial (NDC 60505-6282-1)"/>
        <s v="Carboplatin, Injection, 150 mg/15 mL (10 mg/mL) Multiple Dose Vial (NDC 60505-6282-3)"/>
        <s v="Carboplatin, Injection, 450 mg/45 mL (10 mg/mL) Multiple Dose Vial (NDC 60505-6282-6)"/>
        <s v="Carboplatin, Injection, 600 mg/60 mL (10 mg/mL) Multiple Dose Vial (NDC 60505-6282-7)"/>
        <s v="Carboplatin, Injection, 50 mg/5 mL (NDC 69339-364-05)"/>
        <s v="Carboplatin, Injection, 150 mg/15 mL (NDC 69339-365-15)"/>
        <s v="Carboplatin, Injection, 450 mg/45 mL (NDC 69339-366-45)"/>
        <s v="Carboplatin, Injection, 600 mg/60 mL (NDC 69339-367-60)"/>
        <s v="Caspofungin Acetate, Injection, 5 mg/1 mL (NDC 0781-3421-94)"/>
        <s v="Caspofungin Acetate, Injection, 7 mg/1 mL (NDC 0781-3423-94)"/>
        <s v="Caspofungin Acetate, Injection, 7 mg/1 mL (NDC 63323-358-10)"/>
        <s v="Cefepime Hydrochloride, Injection, 1 g (NDC 63323-326-20)"/>
        <s v="Cefepime Hydrochloride, Injection, 2 g (NDC 63323-340-20)"/>
        <s v="Cefotaxime Sodium, Powder, for Solution, 500 mg (NDC 0143-9930-10)"/>
        <s v="Cefotaxime Sodium, Powder, for Solution, 1 g (NDC 0143-9931-25)"/>
        <s v="Cefotaxime Sodium, Powder, for Solution, 2 g (NDC 0143-9933-25)"/>
        <s v="Cefotaxime Sodium, Powder, for Solution, 10 g (NDC 0143-9935-01)"/>
        <s v="Cefotaxime Sodium, Powder, for Solution, 2 g (NDC 21586-012-02)"/>
        <s v="Cefotaxime Sodium, Powder, for Solution, 1 g (NDC 21586-011-02)"/>
        <s v="Tazicef, Injection, 1 g (NDC 0409-5092-16)"/>
        <s v="Tazicef, Injection, 2 g (NDC 0409-5093-11)"/>
        <s v="Cetrorelix Acetate, Injection, Kit (NDC 0480-5795-08)"/>
        <s v="Diuril, Oral Suspension, 250 mg/5mL (NDC 65649-311-12)"/>
        <s v="Cisatracurium Besylate, Injection, 20 mg/10 mL (2 mg/mL) Multidose Vial (NDC 0409-1208-01)"/>
        <s v="Cisatracurium Besylate, Injection, 200 mg/20ml (10 mg/mL) Single Dose Vial (NDC 0409-1103-01)"/>
        <s v="Cisatracurium Besylate, Injection, 10 mg/5ml (2 mg/mL) Single Dose Vial (NDC 0409-1098-02)"/>
        <s v="Cleocin Hydrochloride, Capsule, 150 mg (NDC 0009-0225-02)"/>
        <s v="Cleocin Hydrochloride, Capsule, 75 mg (NDC 0009-0331-02)"/>
        <s v="Cleocin Hydrochloride, Capsule, 300 mg (NDC 0009-0395-14)"/>
        <s v="Clindamycin Palmitate Hydrochloride, Injection, 75 mg/5 mL (NDC 53746-468-19)"/>
        <s v="Cleocin Phosphate, Injection, Cleocin Phosphate 300 mg/2 mL (150 mg/mL) (NDC 0009-0870-26)"/>
        <s v="Cleocin Phosphate, Injection, Cleocin Phosphate 600 mg/4 mL (150 mg/mL) (NDC 0009-0775-26)"/>
        <s v="Cleocin Phosphate, Injection, Cleocin Phosphate 900 mg/6 mL (150 mg/mL) (NDC 0009-0902-18)"/>
        <s v="Clindamycin Phosphate, Injection, 150 mg/1 mL (NDC 25021-115-02)"/>
        <s v="Clindamycin Phosphate, Injection, 150 mg/1 mL (NDC 25021-115-04)"/>
        <s v="Clindamycin Phosphate, Injection, 150 mg/1 mL (NDC 25021-115-06)"/>
        <s v="Clindamycin Phosphate, Injection, 300 mg/50 mL (NDC 0338-9545-50)"/>
        <s v="Clindamycin Phosphate, Injection, 300 mg/50 mL (NDC 0338-9549-50)"/>
        <s v="Clindamycin Phosphate, Injection, 900 mg/50 mL (NDC 0338-9553-50)"/>
        <s v="Clindamycin Phosphate, Injection, 300 mg/50 mL (NDC 0338-3410-50)"/>
        <s v="Clindamycin Phosphate, Injection, 600 mg/50 mL (NDC 0338-3612-50)"/>
        <s v="Clindamycin Phosphate, Injection, 900 mg/50 mL (NDC 0338-3814-50)"/>
        <s v="Clindamycin Phosphate In 5% Dextrose In Plastic Container, Injection, 6 mg/1 mL (NDC 0781-3288-09)"/>
        <s v="Clindamycin Phosphate In 5% Dextrose In Plastic Container, Injection, 12 mg/1 mL (NDC 0781-3289-09)"/>
        <s v="Clindamycin Phosphate In 5% Dextrose In Plastic Container, Injection, 18 mg/1 mL (NDC 0781-3290-09)"/>
        <s v="Clindamycin Phosphate In 5% Dextrose In Plastic Container, Injection, 12 mg/1 mL (NDC 72572-074-24)"/>
        <s v="Clindamycin Phosphate In 5% Dextrose In Plastic Container, Injection, 18 mg/1 mL (NDC 72572-076-24)"/>
        <s v="Cleocin Phosphate, Injection, 600 mg/4 mL (150 mg/mL); 4 mL Vial (NDC 0009-0775-26)"/>
        <s v="Cleocin Phosphate, Injection, 300 mg/2 mL (150 mg/mL); 2 mL Vial (NDC 0009-0870-26)"/>
        <s v="Cleocin Phosphate, Injection, 900 mg/6 mL (150 mg/mL); 6 mL Vial (NDC 0009-0902-18)"/>
        <s v="Cleocin Phosphate, Injection, 300 mg/2 mL (150 mg/mL); 2 mL Vial NovaPlus (NDC 0009-3051-02)"/>
        <s v="Cleocin Phosphate, Injection, 600 mg/4 mL (150 mg/mL); 4 mL Vial NovaPlus (NDC 0009-4073-04)"/>
        <s v="Cleocin Phosphate, Injection, 900 mg/6 mL (150 mg/mL); 6 mL Vial NovaPlus (NDC 0009-5095-06)"/>
        <s v="Clonazepam, Tablet, .5 mg (NDC 72888-152-30)"/>
        <s v="Clonazepam, Tablet, .5 mg (NDC 72888-152-01)"/>
        <s v="Clonazepam, Tablet, .5 mg (NDC 72888-152-05)"/>
        <s v="Clonazepam, Tablet, 1 mg (NDC 72888-153-30)"/>
        <s v="Clonazepam, Tablet, 1 mg (NDC 72888-153-01)"/>
        <s v="Clonazepam, Tablet, 1 mg (NDC 72888-153-05)"/>
        <s v="Clonazepam, Tablet, 2 mg (NDC 72888-154-30)"/>
        <s v="Clonazepam, Tablet, 2 mg (NDC 72888-154-01)"/>
        <s v="Clonazepam, Tablet, 2 mg (NDC 72888-154-05)"/>
        <s v="Clonazepam, Tablet, .5 mg (NDC 72888-152-00)"/>
        <s v="Clonazepam, Tablet, 1 mg (NDC 72888-153-00)"/>
        <s v="Clonazepam, Tablet, .5 mg (NDC 59651-722-01)"/>
        <s v="Clonazepam, Tablet, .5 mg (NDC 59651-722-99)"/>
        <s v="Clonazepam, Tablet, 1 mg (NDC 59651-723-01)"/>
        <s v="Clonazepam, Tablet, 1 mg (NDC 59651-723-99)"/>
        <s v="Clonazepam, Tablet, 2 mg (NDC 59651-724-01)"/>
        <s v="Clonazepam, Tablet, 2 mg (NDC 59651-724-05)"/>
        <s v="Clonazepam, Tablet, .5 mg (NDC 16729-136-00)"/>
        <s v="Clonazepam, Tablet, .5 mg (NDC 16729-136-16)"/>
        <s v="Clonazepam, Tablet, 1 mg (NDC 16729-137-00)"/>
        <s v="Clonazepam, Tablet, 1 mg (NDC 16729-137-16)"/>
        <s v="Clonazepam, Tablet, 2 mg (NDC 16729-138-00)"/>
        <s v="Clonazepam, Tablet, 2 mg (NDC 16729-138-16)"/>
        <s v="Klonopin, Tablet, .5 mg (NDC 61269-605-10)"/>
        <s v="Klonopin, Tablet, 1 mg (NDC 61269-610-10)"/>
        <s v="Klonopin, Tablet, 2 mg (NDC 61269-620-10)"/>
        <s v="Clonazepam, Tablet, .5 mg (NDC 43547-406-10)"/>
        <s v="Clonazepam, Tablet, .5 mg (NDC 43547-406-11)"/>
        <s v="Clonazepam, Tablet, .5 mg (NDC 43547-406-50)"/>
        <s v="Clonazepam, Tablet, 1 mg (NDC 43547-407-10)"/>
        <s v="Clonazepam, Tablet, 1 mg (NDC 43547-407-11)"/>
        <s v="Clonazepam, Tablet, 1 mg (NDC 43547-407-50)"/>
        <s v="Clonazepam, Tablet, 2 mg (NDC 43547-408-10)"/>
        <s v="Clonazepam, Tablet, 2 mg (NDC 43547-408-50)"/>
        <s v="Clonazepam, Tablet, .5 mg (NDC 0093-0832-01)"/>
        <s v="Clonazepam, Tablet, .5 mg (NDC 0093-0832-05)"/>
        <s v="Clonazepam, Tablet, 1 mg (NDC 0093-3212-01)"/>
        <s v="Clonazepam, Tablet, 1 mg (NDC 0093-3212-05)"/>
        <s v="Clonazepam, Tablet, 2 mg (NDC 0093-3213-01)"/>
        <s v="Clonazepam, Tablet, 2 mg (NDC 0093-3213-05)"/>
        <s v="Vaprisol Dextrose In Plastic Container, Injection, 20 mg/100 mL (NDC 66220-160-10)"/>
        <s v="Crenessity, Capsule, 25 mg (NDC 70370-5025-1)"/>
        <s v="Cromolyn Sodium, Concentrate, 100 mg/5 mL (NDC 81665-104-96)"/>
        <s v="Cromolyn Sodium, Concentrate, 100 mg/5 mL (NDC 69784-200-96)"/>
        <s v="Cromolyn Sodium, Concentrate, 100 mg/5 mL (NDC 76204-025-96)"/>
        <s v="Cromolyn Sodium, Concentrate, 100 mg/5 mL (NDC 16571-600-96)"/>
        <s v="Cromolyn Sodium, Concentrate, 100 mg/5 mL (NDC 42571-132-52)"/>
        <s v="Gastrocrom, Concentrate, 20 mg/1 mL (NDC 0037-0678-96)"/>
        <s v="Vizimpro, Tablet, 15 mg (NDC 0069-0197-30)"/>
        <s v="Vizimpro, Tablet, 30 mg (NDC 0069-1198-30)"/>
        <s v="Vizimpro, Tablet, 45 mg (NDC 0069-2299-30)"/>
        <s v="Dapsone, Gel, 7.5% (NDC 69238-1627-6)"/>
        <s v="Daptomycin, Injection, 500 mg/10 mL (NDC 0143-9378-01)"/>
        <s v="Daptomycin, Injection, 500 mg/10 mL (NDC 57884-3151-1)"/>
        <s v="Decitabine, Injection, 50 mg (NDC 50742-430-01)"/>
        <s v="Decitabine, Injection, 50 mg (NDC 68001-573-41)"/>
        <s v="Ferriprox, Tablet, 500 mg (NDC 10122-100-10)"/>
        <s v="Dehydrated Alcohol, Injection, Solution, 1 mL/1 mL (10 pack) (NDC 16729-710-45)"/>
        <s v="Desflurane, Liquid for Inhalation, 240 mL/240 mL (NDC 0781-6172-86)"/>
        <s v="Desmopressin Acetate, Spray, 10 ug/.1 mL (NDC 69918-501-05)"/>
        <s v="Stimate, Spray, 1.5 mg/1 mL (NDC 0053-6871-00)"/>
        <s v="Ddavp, Spray, .1 ug/1 mL (NDC 55566-2500-0)"/>
        <s v="Desmopressin Acetate (needs No Refrigeration), Spray, 10 ug (NDC 60505-0815-0)"/>
        <s v="Dexamethasone Sodium Phosphate, Injection, 10 mg/1 mL (NDC 55150-304-25)"/>
        <s v="Dexamethasone Sodium Phosphate, Injection, 4 mg/1 mL (NDC 76045-0210-10)"/>
        <s v="Dexamethasone Sodium Phosphate, Injection, 10 mg/1 mL (NDC 76045-0212-10)"/>
        <s v="Dexamethasone Sodium Phosphate, Injection, 4 mg/1 mL (NDC 67457-423-12)"/>
        <s v="Dexamethasone Sodium Phosphate, Injection, 4 mg/1 mL (NDC 67457-422-54)"/>
        <s v="Dexamethasone Sodium Phosphate, Injection, 4 mg/1 mL (NDC 67457-421-30)"/>
        <s v="Dexamethasone Sodium Phosphate, Injection, 10 mg/1 mL (NDC 67457-420-10)"/>
        <s v="Dexamethasone Sodium Phosphate Preservative Free, Injection, 10 mg/1 mL (NDC 70069-021-25)"/>
        <s v="Dexamethasone Sodium Phosphate, Injection, 4 mg/1 mL (NDC 63323-165-05)"/>
        <s v="Dexamethasone Sodium Phosphate, Injection, 10 mg/1 mL (NDC 63323-516-10)"/>
        <s v="Dexamethasone Sodium Phosphate, Injection, 4 mg/1 mL (NDC 63323-165-30)"/>
        <s v="Dexamethasone Sodium Phosphate, Injection, 4 mg/1 mL (NDC 63323-165-01)"/>
        <s v="Dexamethasone Sodium Phosphate Preservative Free, Injection, 10 mg/1 mL (NDC 63323-506-01)"/>
        <s v="Dexamethasone Sodium Phosphate, Injection, 4 mg/1 mL (NDC 0641-6145-25)"/>
        <s v="Dexamethasone Sodium Phosphate, Injection, 4 mg/1 mL (NDC 0641-6146-25)"/>
        <s v="Dexamethasone Sodium Phosphate, Injection, 10 mg/1 mL (NDC 0641-0367-25)"/>
        <s v="Dexamethasone Sodium Phosphate, Injection, 10 mg/1 mL (NDC 70069-025-10)"/>
        <s v="Dexamethasone Sodium Phosphate, Injection, 10 mg/1 mL (NDC 76045-212-10)"/>
        <s v="Dexamethasone Sodium Phosphate, Injection, 4 mg/1 mL (NDC 76045-210-10)"/>
        <s v="Dexmedetomidine Hydrochloride, Injection, 100 ug/1 mL (NDC 70069-758-04)"/>
        <s v="Dexmedetomidine Hydrochloride, Injection, 100 ug/1 mL (NDC 70069-759-04)"/>
        <s v="Dexmedetomidine Hydrochloride, Injection, 4 ug/1 mL (NDC 71225-126-05)"/>
        <s v="Dexmedetomidine Hydrochloride, Injection, 4 ug/1 mL (NDC 71225-126-06)"/>
        <s v="Dexmedetomidine Hydrochloride, Injection, 200 mcg/50 mL (4 ug/1 mL) (NDC 72572-127-10)"/>
        <s v="Dexmedetomidine Hydrochloride, Injection, 400 mcg/100 mL (4 ug/1 mL) (NDC 72572-128-08)"/>
        <s v="Dexmedetomidine Hydrochloride, Injection, 200 mcg/2 mL (NDC 83634-600-02)"/>
        <s v="Dexmedetomidine Hydrochloride, Injection, 100 ug/1 mL (NDC 16729-239-93)"/>
        <s v="Dexmedetomidine Hydrochloride, Injection, 100 ug/1 mL (NDC 16729-432-93)"/>
        <s v="Dexmedetomidine Hydrochloride, Injection, 100 ug/1 mL (NDC 55150-209-02)"/>
        <s v="Dexmedetomidine Hydrochloride, Injection, 200 ug/50 mL (NDC 0338-9555-24)"/>
        <s v="Dexmedetomidine Hydrochloride, Injection, 400 ug/100 mL (NDC 0338-9557-12)"/>
        <s v="Dexmedetomidine Hydrochloride, Injection, 200 ug/50 mL (NDC 43066-555-24)"/>
        <s v="Dexmedetomidine Hydrochloride, Injection, 400 ug/100 mL (NDC 43066-557-12)"/>
        <s v="Dexmedetomidine Hydrochloride, Injection, 4 ug/1 mL (NDC 63323-671-20)"/>
        <s v="Dexmedetomidine Hydrochloride, Injection, 4 ug/1 mL (NDC 63323-671-50)"/>
        <s v="Dexmedetomidine Hydrochloride, Injection, 4 ug/1 mL (NDC 63323-671-00)"/>
        <s v="Dexmedetomidine Hydrochloride, Injection, 100 ug/1 mL (NDC 63323-421-02)"/>
        <s v="Dexmedetomidine Hydrochloride, Injection, 100 ug/1 mL (NDC 44567-600-04)"/>
        <s v="Dexmedetomidine Hydrochloride, Injection, 100 ug/1 mL (NDC 44567-601-04)"/>
        <s v="Dexmedetomidine Hydrochloride, Injection, 4 ug/1 mL (NDC 44567-602-24)"/>
        <s v="Dexmedetomidine Hydrochloride, Injection, 4 ug/1 mL (NDC 44567-603-24)"/>
        <s v="Dexmedetomidine Hydrochloride, Injection, 100 ug/1 mL (NDC 67457-251-02)"/>
        <s v="Dexmedetomidine Hydrochloride, Injection, 100 ug/1 mL (NDC 42023-146-25)"/>
        <s v="Precedex, Injection, 80 mcg/20 mL (4 mcg/mL) (NDC 0409-1660-20)"/>
        <s v="Precedex, Injection, 200 mcg/50 mL (4 mcg/mL) (NDC 0409-1660-50)"/>
        <s v="Precedex, Injection, 400 mcg/100 mL (4 mcg/mL) (NDC 0409-1596-10)"/>
        <s v="Precedex, Injection, 200 mcg/2 mL (100 mcg/mL) (NDC 0409-1638-02)"/>
        <s v="Dexmedetomidine Hydrochloride, Injection, 200 mcg/50 mL (4 ug/1 mL) (NDC 52536-125-10)"/>
        <s v="Dexmedetomidine Hydrochloride, Injection, 400 mcg/100 mL (4 ug/1 mL) (NDC 52536-126-08)"/>
        <s v="Dexmedetomidine Hydrochloride, Injection, 4 ug/1 mL (NDC 42023-186-20)"/>
        <s v="Dexmedetomidine Hydrochloride, Injection, 4 ug/1 mL (NDC 42023-187-10)"/>
        <s v="Dexmedetomidine Hydrochloride, Injection, 200 ug/50 mL (NDC 67457-924-50)"/>
        <s v="Dexmedetomidine Hydrochloride, Injection, 400 ug/100 mL (NDC 67457-925-10)"/>
        <s v="Dexmedetomidine Hydrochloride, Injection, 4 ug/1 mL (NDC 70121-1388-8)"/>
        <s v="Dexmedetomidine Hydrochloride, Injection, 4 ug/1 mL (NDC 70121-1389-7)"/>
        <s v="Dexmedetomidine Hydrochloride, Injection, 4 ug/1 mL (NDC 55150-296-10)"/>
        <s v="Dexmedetomidine Hydrochloride, Injection, 4 ug/1 mL (NDC 55150-297-10)"/>
        <s v="Dexmedetomidine Hydrochloride, Injection, 4 ug/1 mL (NDC 43598-976-58)"/>
        <s v="Dexmedetomidine Hydrochloride, Injection, 4 ug/1 mL (NDC 43598-975-58)"/>
        <s v="Dexmedetomidine Hydrochloride, Injection, 100 ug/1 mL (NDC 71288-505-03)"/>
        <s v="Precedex, Injection, 200 mcg/50 mL (NDC 0409-7838-24)"/>
        <s v="Precedex, Injection, 400 mcg/100 mL (NDC 0409-7853-24)"/>
        <s v="Precedex, Injection, 1000 mcg/250 mL (NDC 0409-7875-12)"/>
        <s v="Precedex, Injection, 80 mcg/20 mL (4 mcg/mL) (NDC 0409-3301-10)"/>
        <s v="Precedex, Injection, 200 mcg/50 mL (4 mcg/mL) (NDC 0409-4596-20)"/>
        <s v="Precedex, Injection, 400 mcg/100 mL (4 mcg/mL) (NDC 0409-0155-02)"/>
        <s v="Precedex, Injection, 400 mcg/100 mL (4 mcg/mL) (NDC 0409-1174-10)"/>
        <s v="Precedex, Injection, 1000 mcg/250 mL Single Dose Glass Bottle (NDC 0409-1434-01)"/>
        <s v="Precedex, Injection, 1000 mcg/250 mL Glass Bottle NovaPlus (NDC 0409-2815-01)"/>
        <s v="Precedex, Injection, 200 mcg/50 mL (4 mcg/mL) (NDC 0409-1454-20)"/>
        <s v="Dexmedetomidine Hydrochloride, Injection, 200 ug/2 mL (NDC 66794-230-42)"/>
        <s v="Dexmedetomidine Hydrochloride, Injection, 80 mcg/20 mL (NDC 0781-3493-95)"/>
        <s v="Dexmedetomidine Hydrochloride, Injection, 200 mcg/50 mL (NDC 0781-3494-95)"/>
        <s v="Dexmedetomidine Hydrochloride, Injection, 400 mcg/100 mL (NDC 0781-3495-95)"/>
        <s v="Dexmedetomidine Hydrochloride, Injection, 100 ug/1 mL (NDC 0143-9532-25)"/>
        <s v="Dexmedetomidine Hydrochloride, Injection, 4 mcg/mL, 50 mL (NDC 70121-1388-1)"/>
        <s v="Dexmedetomidine Hydrochloride, Injection, 4 mcg/mL, 100 mL (NDC 70121-1389-1)"/>
        <s v="Dextrose 10% In Plastic Container, Injection, 100 g/1000 mL (NDC 0338-0023-02)"/>
        <s v="Dextrose 10% In Plastic Container, Injection, 100 g/1000 mL (NDC 0338-0023-03)"/>
        <s v="Dextrose 10% In Plastic Container, Injection, 100 g/1000 mL (NDC 0338-0023-04)"/>
        <s v="Dextrose Monohydrate 10%, Injection, 10 g/100 mL (NDC 0264-7520-00)"/>
        <s v="Dextrose Monohydrate 10%, Injection, 10 g/100 mL (NDC 0264-7520-10)"/>
        <s v="Dextrose Monohydrate 10%, Injection, 10 g/100 mL (NDC 0264-7520-20)"/>
        <s v="Dextrose 10% In Plastic Container, Injection, 100 mg/1 mL (NDC 63323-824-74)"/>
        <s v="Dextrose 10% In Plastic Container, Injection, 100 mg/1 mL (NDC 63323-824-75)"/>
        <s v="Dextrose 10% In Plastic Container, Injection, 100 mg/1 mL (NDC 63323-824-76)"/>
        <s v="Dextrose 10% In Plastic Container, Injection, 10 g/100 mL (NDC 0990-7930-02)"/>
        <s v="Dextrose 10% In Plastic Container, Injection, 10 g/100 mL (NDC 0990-7930-03)"/>
        <s v="Dextrose 10% In Plastic Container, Injection, 10 g/100 mL (NDC 0990-7930-09)"/>
        <s v="Dextrose 10% In Plastic Container, Injection, 10 g/100 mL (NDC 0990-7938-19)"/>
        <s v="Dextrose 5% In Plastic Container, Injection, 50 mg/1 mL (NDC 65219-464-50)"/>
        <s v="Dextrose 5% In Plastic Container, Injection, 50 mg/1 mL (NDC 65219-458-30)"/>
        <s v="Dextrose 5% In Plastic Container, Injection, 50 mg/1 mL (NDC 65219-460-20)"/>
        <s v="Dextrose 5% In Plastic Container, Injection, 50 mg/1 mL (NDC 65219-462-10)"/>
        <s v="Dextrose 5% In Plastic Container, Injection, 50 mg/1 mL (NDC 65219-456-60)"/>
        <s v="Dextrose 5% In Plastic Container, Injection, 5 g/100 mL (NDC 0990-7922-02)"/>
        <s v="Dextrose 5% In Plastic Container, Injection, 5 g/100 mL (NDC 0990-7922-61)"/>
        <s v="Dextrose 5% In Plastic Container, Injection, 5 g/100 mL (NDC 0990-7923-13)"/>
        <s v="Dextrose 5% In Plastic Container, Injection, 5 g/100 mL (NDC 0990-7923-20)"/>
        <s v="Dextrose 5% In Plastic Container, Injection, 5 g/100 mL (NDC 0990-7923-23)"/>
        <s v="Dextrose 5% In Plastic Container, Injection, 5 g/100 mL (NDC 0990-7923-36)"/>
        <s v="Dextrose 5% In Plastic Container, Injection, 5 g/100 mL (NDC 0990-7923-37)"/>
        <s v="Dextrose 5% In Plastic Container, Injection, 50 g/1000 mL (NDC 0338-0017-10)"/>
        <s v="Dextrose 5% In Plastic Container, Injection, 50 g/1000 mL (NDC 0338-0017-41)"/>
        <s v="Dextrose 5% In Plastic Container, Injection, 50 g/1000 mL (NDC 0338-0017-11)"/>
        <s v="Dextrose 5% In Plastic Container, Injection, 50 g/1000 mL (NDC 0338-0017-31)"/>
        <s v="Dextrose 5% In Plastic Container, Injection, 50 g/1000 mL (NDC 0338-0017-48)"/>
        <s v="Dextrose 5% In Plastic Container, Injection, 50 g/1000 mL (NDC 0338-0017-18)"/>
        <s v="Dextrose 5% In Plastic Container, Injection, 50 g/1000 mL (NDC 0338-0017-38)"/>
        <s v="Dextrose 5% In Plastic Container, Injection, 5 g/100 mL (NDC 0338-0551-11)"/>
        <s v="Dextrose 5% In Plastic Container, Injection, 2.5 g/50 mL (NDC 0338-9664-40)"/>
        <s v="Dextrose 5% In Plastic Container, Injection, 5 g/100 mL (NDC 0338-9666-35)"/>
        <s v="Dextrose 5% In Plastic Container, Injection, 5 g/100 mL (NDC 0338-0551-18)"/>
        <s v="Dextrose 5% In Plastic Container, Injection, 5 g/100 mL (NDC 0338-0070-10)"/>
        <s v="Dextrose 5% In Plastic Container, Injection, 50 g/1000 mL (NDC 0338-0017-02)"/>
        <s v="Dextrose 5% In Plastic Container, Injection, 50 g/1000 mL (NDC 0338-0017-03)"/>
        <s v="Dextrose Monohydrate 5%, Injection, 5 g/100 mL (NDC 0264-7510-10)"/>
        <s v="Dextrose Monohydrate 5%, Injection, 5 g/100 mL (NDC 0264-7510-00)"/>
        <s v="Dextrose Monohydrate 5%, Injection, 5 g/100 mL (NDC 0264-7510-20)"/>
        <s v="Dextrose 5% In Plastic Container, Injection, 50 mg/1 mL (NDC 0264-1510-32)"/>
        <s v="Dextrose 5% In Plastic Container, Injection, 50 mg/1 mL (NDC 0264-1510-31)"/>
        <s v="Dextrose 5% In Plastic Container, Injection, 5 g/100 mL (NDC 0990-7922-03)"/>
        <s v="Dextrose 5% In Plastic Container, Injection, 5 g/100 mL (NDC 0990-7922-55)"/>
        <s v="Dextrose 5% In Plastic Container, Injection, 5 g/100 mL (NDC 0990-7922-09)"/>
        <s v="Dextrose 5% In Plastic Container, Injection, 5 g/100 mL (NDC 0338-0078-20)"/>
        <s v="Dextrose 5% In Plastic Container, Injection, 5 g/100 mL (NDC 0338-0074-30)"/>
        <s v="Dextrose Monohydrate 50%, Injection, 25 g/50 mL (NDC 76329-3302-1)"/>
        <s v="Dextrose Monohydrate 50%, Injection, 25 g/50 mL (NDC 0409-7517-16)"/>
        <s v="Dextrose Monohydrate 50%, Injection, 25 g/50 mL (NDC 0409-6648-02)"/>
        <s v="Dextrose Monohydrate 50%, Injection, 50% Dextrose Injection 0.5 g/mL; ABBOJECT® Glass Syringe (NDC 0409-4902-34)"/>
        <s v="DEXTROSE 70% IN PLASTIC CONTAINER, Injection, 70 g/100 mL (NDC 0990-7120-07)"/>
        <s v="Dextrose Monohydrate 70%, Injection, 70 g/100 mL (NDC 0264-7387-50)"/>
        <s v="DEXTROSE 70% IN PLASTIC CONTAINER, Injection, 70 g/100 mL (NDC 0990-7918-19)"/>
        <s v="Dextrose Monohydrate 70%, Injection, 70 g/100 mL (NDC 0338-0719-06)"/>
        <s v="DELFLEX, Solution, 18.4 mg/100 mL; 4.25 g/100 mL; 5.08 mg/100 mL; 538 mg/100 mL; 448 mg/100 mL (NDC 46163-212-95)"/>
        <s v="Diclofenac Sodium, Tablet, Delayed Release, 50 mg (NDC 0228-2550-06)"/>
        <s v="Diclofenac Sodium, Tablet, Delayed Release, 50 mg (NDC 0228-2550-11)"/>
        <s v="Diclofenac Sodium, Tablet, Delayed Release, 50 mg (NDC 0228-2550-96)"/>
        <s v="Diclofenac Sodium, Tablet, Delayed Release, 75 mg (NDC 0228-2551-06)"/>
        <s v="Diclofenac Sodium, Tablet, Delayed Release, 75 mg (NDC 0228-2551-11)"/>
        <s v="Diclofenac Sodium, Tablet, Delayed Release, 75 mg (NDC 0228-2551-96)"/>
        <s v="Diltiazem Hydrochloride, Injection, 100 mg Single Dose ADD-Vantage® Glass Vial (NDC 0409-4350-03)"/>
        <s v="Norpace CR, Capsule, Extended Release, 100 mg (NDC 0025-2732-31)"/>
        <s v="Norpace CR, Capsule, Extended Release, 150 mg (NDC 0025-2742-31)"/>
        <s v="Dobutamine Hydrochloride In Dextrose 5% In Plastic Container, Injection, 1,000 mg/250mL (4 mg/mL) (NDC 0409-1100-10)"/>
        <s v="Dobutamine Hydrochloride In Dextrose 5% In Plastic Container, Injection, 500 mg/250mL (2 mg/mL) (NDC 0409-0151-10)"/>
        <s v="Dobutamine Hydrochloride In Dextrose 5% In Plastic Container, Injection, 250 mg/250mL (1 mg/mL) (NDC 0409-0025-10)"/>
        <s v="Dobutamine Hydrochloride In Dextrose 5% In Plastic Container, Injection, 200 mg/100 mL (NDC 0338-1075-02)"/>
        <s v="Dobutamine Hydrochloride In Dextrose 5% In Plastic Container, Injection, 400 mg/100 mL (NDC 0338-1077-02)"/>
        <s v="Dobutamine Hydrochloride, Injection, 250 mg/20 mL (NDC 70436-203-80)"/>
        <s v="Dobutamine Hydrochloride, Injection, 250 mg/20mL (12.5 mg/1 mL) (NDC 0409-2344-88)"/>
        <s v="Dobutamine Hydrochloride, Injection, 250 mg/20mL (12.5 mg/1 mL) (NDC 0409-2344-01)"/>
        <s v="Dobutamine Hydrochloride, Injection, 250 mg/20mL (12.5 mg/1 mL) (NDC 0409-2344-02)"/>
        <s v="Dobutamine Hydrochloride In Dextrose 5% In Plastic Container, Injection, 100 mg/100 mL (NDC 0338-1073-02)"/>
        <s v="Docetaxel, Injection, 10 mg/1 mL (NDC 50742-431-08)"/>
        <s v="Docetaxel, Injection, 10 mg/1 mL (NDC 50742-463-16)"/>
        <s v="Donepezil Hydrochloride; Memantine Hydrochloride, Capsule, Extended Release, 10 mg; 28 mg (NDC 69238-1247-3)"/>
        <s v="Donepezil Hydrochloride; Memantine Hydrochloride, Capsule, Extended Release, 10 mg; 14 mg (NDC 69238-1248-3)"/>
        <s v="Dopamine Hydrochloride In Dextrose 5% In Plastic Container, Injection, 400 mg/250 mL (1.6 mg/1 mL) (NDC 0409-0042-12)"/>
        <s v="Dopamine Hydrochloride In Dextrose 5% In Plastic Container, Injection, 800 mg/250 mL (3.2 mg/1 mL) (NDC 0409-1858-12)"/>
        <s v="Dopamine Hydrochloride In Dextrose 5% In Plastic Container, Injection, 80 mg/100 mL (NDC 0338-1005-03)"/>
        <s v="Dopamine Hydrochloride In Dextrose 5% In Plastic Container, Injection, 160 mg/100 mL (NDC 0338-1007-02)"/>
        <s v="Dopamine Hydrochloride In Dextrose 5% In Plastic Container, Injection, 160 mg/100 mL (NDC 0338-1007-03)"/>
        <s v="Dopamine Hydrochloride In Dextrose 5% In Plastic Container, Injection, 80 mg/100 mL (NDC 0338-1005-02)"/>
        <s v="Dopamine Hydrochloride In Dextrose 5% In Plastic Container, Injection, 800 mg/500 mL (1.6 mg/1 mL) (NDC 0409-7809-24)"/>
        <s v="Dopamine Hydrochloride, Injection, 200 mg/5mL (40 mg/1 mL) (NDC 0409-5820-01)"/>
        <s v="Dopamine Hydrochloride, Injection, 400 mg/10mL (40 mg/1 mL) (NDC 0409-9104-20)"/>
        <s v="Dopamine Hydrochloride, Injection, 40 mg/1 mL (NDC 0143-9252-25)"/>
        <s v="Dopamine Hydrochloride, Injection, 40 mg/1 mL (NDC 0143-9254-25)"/>
        <s v="Hectorol, Injection, 4 mcg/2 mL injection 50 single-dose vials (NDC 58468-0123-1)"/>
        <s v="Hectorol, Injection, 2 mcg/mL injection 50 single-dose vials (NDC 58468-0126-1)"/>
        <s v="Hectorol, Injection, 4 mcg/2 mL injection 50 multiple-dose vials (NDC 58468-0127-1)"/>
        <s v="Doxycycline Hyclate, Tablet, 100 mg (NDC 0378-0167-02)"/>
        <s v="Doxycycline Hyclate, Tablet, 100 mg (NDC 0378-0167-13)"/>
        <s v="Doxycycline Hyclate, Tablet, Delayed Release, 50 mg (NDC 0591-4550-22)"/>
        <s v="Doxycycline Hyclate, Tablet, Delayed Release, 200 mg (NDC 0591-4575-60)"/>
        <s v="Doxylamine Succinate and Pyridoxine  Hydrochloride, Tablet, Delayed Release, 10 mg; 10 mg (NDC 0378-4615-01)"/>
        <s v="Phospholine Iodide, Ophthalmic Solution, 0.125% (NDC 48102-053-05)"/>
        <s v="Emtriva, Capsule, 200 mg (NDC 61958-0601-1)"/>
        <s v="Emtriva, Oral Solution, 10 mg/1 mL (NDC 61958-0602-1)"/>
        <s v="Lovenox, Injection, 40 mg/.4 mL (NDC 0075-0620-40)"/>
        <s v="Lovenox, Injection, 60 mg/.6 mL (NDC 0075-0621-60)"/>
        <s v="Lovenox, Injection, 80 mg/.8 mL (NDC 0075-0622-80)"/>
        <s v="Lovenox, Injection, 100 mg/1 mL (NDC 0075-0623-00)"/>
        <s v="Lovenox, Injection, 30 mg/.3 mL (NDC 0075-0624-30)"/>
        <s v="Lovenox, Injection, 300 mg/3 mL (NDC 0075-0626-03)"/>
        <s v="Lovenox, Injection, 120 mg/.8 mL (NDC 0075-2912-01)"/>
        <s v="Lovenox, Injection, 150 mg/1 mL (NDC 0075-2915-01)"/>
        <s v="Lovenox, Injection, 30 mg/.3 mL (NDC 0075-8013-10)"/>
        <s v="Lovenox, Injection, 40 mg/.4 mL (NDC 0075-8014-10)"/>
        <s v="Lovenox, Injection, 60 mg/.6 mL (NDC 0075-8016-10)"/>
        <s v="Lovenox, Injection, 80 mg/.8 mL (NDC 0075-8018-10)"/>
        <s v="Lovenox, Injection, 100 mg/1 mL (NDC 0075-8020-10)"/>
        <s v="Lovenox, Injection, 120 mg/.8 mL (NDC 0075-8022-10)"/>
        <s v="Lovenox, Injection, 150 mg/1 mL (NDC 0075-8025-10)"/>
        <s v="Lovenox, Injection, 300 mg/3 mL (NDC 0075-8030-01)"/>
        <s v="Enoxaparin Sodium, Injection, 30 mg/.3 mL (NDC 0955-1003-10)"/>
        <s v="Enoxaparin Sodium, Injection, 40 mg/.4 mL (NDC 0955-1004-10)"/>
        <s v="Enoxaparin Sodium, Injection, 60 mg/.6 mL (NDC 0955-1006-10)"/>
        <s v="Enoxaparin Sodium, Injection, 80 mg/.8 mL (NDC 0955-1008-10)"/>
        <s v="Enoxaparin Sodium, Injection, 100 mg/1 mL (NDC 0955-1010-10)"/>
        <s v="Enoxaparin Sodium, Injection, 120 mg/.8 mL (NDC 0955-1012-10)"/>
        <s v="Enoxaparin Sodium, Injection, 150 mg/1 mL (NDC 0955-1015-10)"/>
        <s v="Enoxaparin Sodium, Injection, 300 mg/3 mL (NDC 0955-1016-01)"/>
        <s v="Xylocaine, Injection, .01 mg/1 mL; 10 mg/1 mL (NDC 63323-482-17)"/>
        <s v="Xylocaine, Injection, .005 mg/1 mL; 10 mg/1 mL (NDC 63323-487-17)"/>
        <s v="Xylocaine, Injection, .005 mg/1 mL; 15 mg/1 mL (NDC 63323-488-17)"/>
        <s v="Xylocaine, Injection, .005 mg/1 mL; 20 mg/1 mL (NDC 63323-489-17)"/>
        <s v="Lidocaine Hydrochloride And Epinephrine, Injection, 250 mg/50 mL (0.5%; 1:200,000) (NDC 0409-3177-01)"/>
        <s v="Lidocaine Hydrochloride And Epinephrine, Injection, 200 mg/20 mL (1%; 1:100,000) (NDC 0409-3178-01)"/>
        <s v="Lidocaine Hydrochloride And Epinephrine, Injection, 300 mg/30 mL (1%; 1:100,000) (NDC 0409-3178-02)"/>
        <s v="Lidocaine Hydrochloride And Epinephrine, Injection, 500 mg/50 mL (1%; 1:100,000) (NDC 0409-3178-03)"/>
        <s v="Lidocaine Hydrochloride And Epinephrine, Injection, 75 mg/5 mL (1.5%; 1:200,000) (NDC 0409-1209-01)"/>
        <s v="Lidocaine Hydrochloride And Epinephrine, Injection, 450 mg/30 mL (1.5%; 1:200,000) (NDC 0409-3181-01)"/>
        <s v="Lidocaine Hydrochloride And Epinephrine, Injection, 400 mg/20 mL (2%; 1:100,000) (NDC 0409-3182-01)"/>
        <s v="Lidocaine Hydrochloride and Epinephrine, Injection, 600 mg/30 mL (2%; 1:100,000) (NDC 0409-3182-02)"/>
        <s v="Lidocaine Hydrochloride And Epinephrine, Injection, 1 g/50 mL (2%; 1:100,000) (NDC 0409-3182-03)"/>
        <s v="Lidocaine Hydrochloride And Epinephrine, Injection, 400 mg/20 mL (2%; 1:200,000) (NDC 0409-3183-01)"/>
        <s v="Xylocaine, Injection, .005 mg/1 mL; 5 mg/1 mL (NDC 63323-481-57)"/>
        <s v="Xylocaine, Injection, .01 mg/1 mL; 10 mg/1 mL (NDC 63323-482-27)"/>
        <s v="Xylocaine, Injection, .01 mg/1 mL; 10 mg/1 mL (NDC 63323-482-57)"/>
        <s v="Xylocaine, Injection, .01 mg/1 mL; 20 mg/1 mL (NDC 63323-483-27)"/>
        <s v="Xylocaine, Injection, .01 mg/1 mL; 20 mg/1 mL (NDC 63323-483-57)"/>
        <s v="Xylocaine, Injection, .005 mg/1 mL; 10 mg/1 mL (NDC 63323-487-37)"/>
        <s v="Xylocaine, Injection, .005 mg/1 mL; 15 mg/1 mL (NDC 63323-488-37)"/>
        <s v="Xylocaine, Injection, .005 mg/1 mL; 20 mg/1 mL (NDC 63323-489-27)"/>
        <s v="Epinephrine, Injection, .1 mg/1 mL (NDC 0409-4933-01)"/>
        <s v="Epinephrine, Injection, .1 mg/1 mL (NDC 0409-4933-10)"/>
        <s v="Etomidate, Injection, 2 mg/mL (NDC 72485-508-10)"/>
        <s v="Etomidate, Injection, 2 mg/mL (NDC 72485-509-10)"/>
        <s v="Etomidate, Injection, 20 mg/10 mL (NDC 55150-221-10)"/>
        <s v="Etomidate, Injection, 40 mg/20 mL (NDC 55150-222-20)"/>
        <s v="Etomidate, Injection, 2 mg/1 mL (NDC 72266-146-10)"/>
        <s v="Etomidate, Injection, 2 mg/1 mL (NDC 72266-147-10)"/>
        <s v="Etomidate, Injection, 2 mg/1 mL (NDC 0143-9506-10)"/>
        <s v="Etomidate, Injection, 2 mg/1 mL (NDC 0143-9507-10)"/>
        <s v="Etomidate, Injection, 2 mg/1 mL (NDC 0143-9310-10)"/>
        <s v="Etomidate, Injection, 2 mg/1 mL (NDC 0143-9311-10)"/>
        <s v="Etomidate, Injection, 2 mg/1 mL (NDC 67457-902-10)"/>
        <s v="Etomidate, Injection, 2 mg/1 mL (NDC 67457-903-20)"/>
        <s v="Amidate, Injection, 2 mg/1 mL (NDC 0409-6695-01)"/>
        <s v="Amidate, Injection, 2 mg/mL (NDC 0409-6695-02)"/>
        <s v="Etomidate, Injection, 2mg/1 mL (NDC 65219-445-10)"/>
        <s v="Etomidate, Injection, 2mg/mL (NDC 65219-447-20)"/>
        <s v="Etomidate, Injection, 2 mg/1 mL (NDC 72572-160-10)"/>
        <s v="Etomidate, Injection, 2 mg/1 mL (NDC 72572-161-10)"/>
        <s v="Etravirine, Tablet, 100 mg (NDC 10147-0570-1)"/>
        <s v="Intelence, Tablet, 100 mg (NDC 59676-570-01)"/>
        <s v="Everolimus, Tablet, 2.5 mg (NDC 49884-119-91)"/>
        <s v="Everolimus, Tablet, 5 mg (NDC 49884-125-91)"/>
        <s v="Everolimus, Tablet, 7.5 mg (NDC 49884-127-91)"/>
        <s v="Everolimus, Tablet, 10 mg (NDC 49884-128-91)"/>
        <s v="Everolimus, Tablet, 2.5 mg (NDC 0093-7766-24)"/>
        <s v="Everolimus, Tablet, 5 mg (NDC 0093-7767-24)"/>
        <s v="Everolimus, Tablet, 7.5 mg (NDC 0093-7768-24)"/>
        <s v="Everolimus, Tablet, 10 mg (NDC 0093-7769-24)"/>
        <s v="Everolimus, Tablet, 2 mg (NDC 0378-0005-85)"/>
        <s v="Everolimus, Tablet, 3 mg (NDC 0378-0006-85)"/>
        <s v="Everolimus, Tablet, 5 mg (NDC 0378-0007-85)"/>
        <s v="Everolimus, Tablet, .25 mg (NDC 49884-158-02)"/>
        <s v="Everolimus, Tablet, .5 mg (NDC 49884-159-02)"/>
        <s v="Everolimus, Tablet, .75 mg (NDC 49884-160-02)"/>
        <s v="Everolimus, Tablet, 1 mg (NDC 49884-283-02)"/>
        <s v="Felodipine, Tablet, Extended Release, 2.5 mg (NDC 0603-3581-21)"/>
        <s v="Felodipine, Tablet, Extended Release, 2.5 mg (NDC 0603-3581-28)"/>
        <s v="Felodipine, Tablet, Extended Release, 5 mg (NDC 0603-3582-21)"/>
        <s v="Felodipine, Tablet, Extended Release, 5 mg (NDC 0603-3582-28)"/>
        <s v="Felodipine, Tablet, Film Coated, Extended Release, 10 mg (NDC 0603-3583-21)"/>
        <s v="Felodipine, Tablet, Film Coated, Extended Release, 10 mg (NDC 0603-3583-28)"/>
        <s v="Fentanyl Citrate, Injection, 2,500 mcg/50 mL (50 mcg/mL) Single Dose Glass Fliptop Vial (NDC 0409-9094-55)"/>
        <s v="Fentanyl Citrate, Injection, 50 mcg/1 mL (NDC 0641-6247-25)"/>
        <s v="Fentanyl Citrate, Injection, 50 ug/1 mL (NDC 63323-808-11)"/>
        <s v="Fentanyl Citrate, Injection, 100 mcg/2 mL (50 ug/1 mL) (NDC 0409-9094-22)"/>
        <s v="Fentanyl Citrate, Injection, 250 mcg/5 mL (50 ug/1 mL) (NDC 0409-9094-25)"/>
        <s v="Fentanyl Citrate, Injection, 500 mcg/10 mL (50 ug/1 mL) (NDC 0409-9094-28)"/>
        <s v="Fentanyl Citrate, Injection, 1000 mcg/20 mL (50 ug/1 mL) (NDC 0409-9094-31)"/>
        <s v="Fentanyl Citrate, Injection, 2500 mcg/50 mL (50 ug/1 mL) (NDC 0409-9094-61)"/>
        <s v="Fentanyl Citrate, Injection, 50 ug/1 mL (NDC 0641-6024-10)"/>
        <s v="Fentanyl Citrate, Injection, 50 ug/1 mL (NDC 0641-6025-10)"/>
        <s v="Fentanyl Citrate, Injection, 50 ug/1 mL (NDC 0641-6026-05)"/>
        <s v="Fentanyl Citrate, Injection, 50 mcg/1 mL (NDC 0641-6027-25)"/>
        <s v="Fentanyl Citrate, Injection, 50 mcg/1 mL (NDC 0641-6028-25)"/>
        <s v="Fentanyl Citrate, Injection, 50 mcg/1 mL (NDC 0641-6029-25)"/>
        <s v="Fentanyl Citrate, Injection, 50 mcg/1 mL (NDC 0641-6030-01)"/>
        <s v="Fentanyl Citrate Preservative Free, Injection, .05 mg/1 mL (NDC 63323-806-20)"/>
        <s v="Fentanyl Citrate Preservative Free, Injection, .05 mg/1 mL (NDC 63323-806-50)"/>
        <s v="Fentanyl Citrate Preservative Free, Injection, .05 mg/1 mL (NDC 63323-806-01)"/>
        <s v="Fentanyl Citrate Preservative Free, Injection, .05 mg/1 mL (NDC 63323-806-02)"/>
        <s v="Fentanyl Citrate Preservative Free, Injection, .05 mg/1 mL (NDC 63323-806-05)"/>
        <s v="Fluocinonide, Ointment, .5 mg/1 g (NDC 0093-0264-15)"/>
        <s v="Fluocinonide, Ointment, .5 mg/1 g (NDC 0093-0264-30)"/>
        <s v="Fluocinonide, Ointment, .5 mg/1 g (NDC 0093-0264-92)"/>
        <s v="Flurazepam Hydrochloride, Capsule, 15 mg (NDC 0378-4415-01)"/>
        <s v="Flurazepam Hydrochloride, Capsule, 30 mg (NDC 0378-4430-01)"/>
        <s v="Flurazepam Hydrochloride, Capsule, 15 mg (NDC 62135-736-30)"/>
        <s v="Flurazepam Hydrochloride, Capsule, 30 mg (NDC 62135-737-30)"/>
        <s v="Flurazepam Hydrochloride, Capsule, 15 mg (NDC 62135-736-90)"/>
        <s v="Flurazepam Hydrochloride, Capsule, 30 mg (NDC 62135-737-90)"/>
        <s v="Advair HFA, Aerosol, Metered, 45 ug; 21 ug (NDC 0173-0715-22)"/>
        <s v="Advair HFA, Aerosol, Metered, 115 ug; 21 ug (NDC 0173-0716-22)"/>
        <s v="Advair HFA, Aerosol, Metered, 230 ug; 21 ug (NDC 0173-0717-22)"/>
        <s v="Fluvastatin Sodium, Tablet, Extended Release, 80 mg (NDC 0781-8017-01)"/>
        <s v="Fluvastatin Sodium, Tablet, Extended Release, 80 mg (NDC 0781-8017-31)"/>
        <s v="Lescol XL, Tablet, Extended Release, 80 mg (NDC 66758-211-31)"/>
        <s v="Fosaprepitant Dimeglumine, Injection, 150 mg/5 mL (NDC 63323-972-10)"/>
        <s v="Frova, Tablet, 2.5 mg (NDC 63481-025-09)"/>
        <s v="Frova, Tablet, 2.5 mg (NDC 0603-3718-34)"/>
        <s v="Fulvestrant, Injection, 250 mg per 5mL (NDC 63323-715-05)"/>
        <s v="Furosemide, Injection, 10 mg/1 mL (NDC 25021-311-02)"/>
        <s v="Furosemide, Injection, 10 mg/1 mL (NDC 25021-311-04)"/>
        <s v="Furosemide, Injection, 10 mg/1 mL (NDC 25021-311-10)"/>
        <s v="Furosemide, Injection, 10 mg/1 mL (NDC 16729-500-08)"/>
        <s v="Furosemide, Injection, 10 mg/1 mL (NDC 16729-501-43)"/>
        <s v="Furosemide, Injection, 10 mg/1 mL (NDC 16729-502-43)"/>
        <s v="Furosemide, Injection, 100 mg/ 10mL (10 mg/1 mL) (NDC 0409-6102-27)"/>
        <s v="Furosemide, Injection, 10 mg/mL, 2 mL (NDC 71288-205-03)"/>
        <s v="Furosemide, Injection, 10 mg/1 mL (NDC 71288-203-05)"/>
        <s v="Furosemide, Injection, 10 mg/1 mL (NDC 71288-203-11)"/>
        <s v="Furosemide, Injection, 10 mg/1 mL (NDC 63323-280-02)"/>
        <s v="Furosemide, Injection, 10 mg/1 mL (NDC 63323-280-04)"/>
        <s v="Furosemide, Injection, 10 mg/1 mL (NDC 63323-280-10)"/>
        <s v="Furosemide, Injection, 20 mg/2 mL (NDC 55150-322-25)"/>
        <s v="Furosemide, Injection, 40 mg/4 mL (NDC 55150-323-25)"/>
        <s v="Furosemide, Injection, 100 mg/10 mL (NDC 55150-324-25)"/>
        <s v="Furosemide, Injection, 10 mg/1 mL (NDC 36000-284-25)"/>
        <s v="Furosemide, Injection, 10 mg/1 mL (NDC 36000-282-25)"/>
        <s v="Furosemide, Injection, 10 mg/1 mL (NDC 36000-283-25)"/>
        <s v="Furosemide, Injection, 10 mg/1 mL (NDC 23155-473-41)"/>
        <s v="Furosemide, Injection, 10 mg/1 mL (NDC 23155-473-42)"/>
        <s v="Furosemide, Injection, 10 mg/1 mL (NDC 23155-473-44)"/>
        <s v="Furosemide, Injection, 20 mg/2 mL (10 mg/1 mL) (NDC 0409-6102-02)"/>
        <s v="Furosemide, Injection, 40 mg/4 mL (10 mg/1 mL) (NDC 0409-6102-04)"/>
        <s v="Furosemide, Injection, 100 mg/ 10mL (10 mg/1 mL) (NDC 0409-6102-10)"/>
        <s v="Furosemide, Injection, 20 mg/2 mL (10 mg/1 mL) (NDC 0409-6102-25)"/>
        <s v="Furosemide, Injection, 40 mg/4 mL (10 mg/1 mL) (NDC 0409-6102-26)"/>
        <s v="Furosemide, Oral Solution, 40 mg/5 mL (NDC 0054-3298-63)"/>
        <s v="Furosemide, Oral Solution, 10 mg/1 mL (NDC 0054-3294-50)"/>
        <s v="Furosemide, Oral Solution, 10 mg/1 mL (NDC 0054-3294-46)"/>
        <s v="Gadobutrol, Injection, 604.72 mg/mL (NDC 65219-281-02)"/>
        <s v="Gadobutrol, Injection, 604.72 mg/mL (NDC 65219-281-07)"/>
        <s v="Gadobutrol, Injection, 604.72 mg/mL (NDC 65219-281-10)"/>
        <s v="Gadobutrol, Injection, 604.72 mg/mL (NDC 65219-281-15)"/>
        <s v="Gadoterate Meglumine, Injection, 376.9 mg/1 mL (NDC 65219-080-05)"/>
        <s v="Gadoterate Meglumine, Injection, 376.9 mg/1 mL (NDC 65219-082-10)"/>
        <s v="Gadoterate Meglumine, Injection, 376.9 mg/1 mL (NDC 65219-084-15)"/>
        <s v="Gadoterate Meglumine, Injection, 376.9 mg/1 mL (NDC 65219-086-20)"/>
        <s v="Lopid, Tablet, 600 mg (NDC 0071-0737-20)"/>
        <s v="Diabeta, Tablet, 5 mg (NDC 0093-9364-01)"/>
        <s v="Diabeta, Tablet, 5 mg (NDC 0093-9364-10)"/>
        <s v="Diabeta, Tablet, 2.5 mg (NDC 0093-9433-01)"/>
        <s v="Diabeta, Tablet, 1.25 mg (NDC 0093-9477-53)"/>
        <s v="RAVICTI, Oral Liquid, 1.1 g/1 mL (NDC 75987-050-06)"/>
        <s v="RAVICTI, Oral Liquid, 1.1 g/1 mL (NDC 75987-050-07)"/>
        <s v="Glycopyrrolate, Injection, .2 mg/1 mL (NDC 63323-578-01)"/>
        <s v="Glycopyrrolate, Injection, 0.4 mg per 2 mL (NDC 63323-578-02)"/>
        <s v="Glycopyrrolate, Injection, 1 mg per 5 mL (NDC 63323-578-05)"/>
        <s v="Glycopyrrolate, Injection, 0.2 mg per 1 mL (NDC 65219-801-01)"/>
        <s v="Guanfacine Hydrochloride, Tablet, Extended Release, 1 mg (NDC 0228-2850-11)"/>
        <s v="Guanfacine Hydrochloride, Tablet, Extended Release, 2 mg (NDC 0228-2851-11)"/>
        <s v="Guanfacine Hydrochloride, Tablet, Extended Release, 3 mg (NDC 0228-2853-11)"/>
        <s v="Guanfacine Hydrochloride, Tablet, Extended Release, 4 mg (NDC 0228-2855-11)"/>
        <s v="Haloperidol Decanoate, Injection, 50 mg/1 mL (NDC 63323-469-01)"/>
        <s v="Haloperidol Decanoate, Injection, 50 mg/1 mL (NDC 63323-469-05)"/>
        <s v="Heparin Sodium 2,000 Units in Sodium Chloride 0.9% in Plastic Container, Injection, 200 [USP'U]/100 mL (NDC 0264-9872-00)"/>
        <s v="Heparin Sodium In Sodium Chloride, Injection, 200 [USP'U]/100 mL (NDC 0338-0433-04)"/>
        <s v="Heparin Sodium In Sodium Chloride, Injection, 200 [USP'U]/100 mL (NDC 0338-0431-03)"/>
        <s v="Heparin Sodium, Injection, 200 [USP'U]/100 mL (NDC 63323-519-77)"/>
        <s v="Heparin Sodium, Injection, 200 [USP'U]/100 mL (NDC 63323-519-10)"/>
        <s v="Heparin Sodium 1,000 Units In Sodium Chloride 0.9% In Plastic Container, Injection, 200 [USP'U]/100 mL (NDC 0264-9872-10)"/>
        <s v="Heparin Sodium, Injection, 1,000 Units/500 mL (2 Units/mL) (NDC 0409-1005-20)"/>
        <s v="Heparin Sodium, Injection, 2,000 Units/1,000 mL (2 Units/mL) (NDC 0409-2222-12)"/>
        <s v="Microzide, Capsule, 12.5 mg (NDC 0591-0347-01)"/>
        <s v="Microzide, Capsule, 12.5 mg (NDC 0591-0347-05)"/>
        <s v="Hydrocortisone Acetate, Suppository, 25 mg (NDC 0574-7090-12)"/>
        <s v="Hydrocortisone Acetate, Suppository, 30 mg (NDC 0574-7093-12)"/>
        <s v="Hydromorphone Hydrochloride, Injection, 0.5 mg/0.5 mL NexJect™ Single-dose Syringe Luer Lock (no needle) (NDC 0409-4264-01)"/>
        <s v="Hydromorphone Hydrochloride, Injection, 0.25 mg/ 0.5 mL NexJect™ Single-dose Syringe Luer Lock (no needle) (NDC 0409-1805-01)"/>
        <s v="Dilaudid, Injection, 1 mg/1 mL (NDC 76045-009-06)"/>
        <s v="Hydromorphone Hydrochloride, Injection, 2 mg/1 mL (NDC 0409-3365-10)"/>
        <s v="Hydromorphone Hydrochloride, Injection, 1 mg/1 mL (NDC 0409-1283-37)"/>
        <s v="Hydromorphone Hydrochloride, Injection, 2 mg/1 mL (NDC 0409-1312-36)"/>
        <s v="Dilaudid, Injection, 1 mg/1 mL (NDC 76045-009-11)"/>
        <s v="Dilaudid, Injection, .2 mg/1 mL (NDC 76045-121-11)"/>
        <s v="Dilaudid, Injection, 2 mg/1 mL (NDC 76045-010-11)"/>
        <s v="Hydromorphone Hydrochloride, Injection, 1 mg/1 mL (NDC 63323-852-25)"/>
        <s v="Hydromorphone Hydrochloride, Injection, 2 mg/1 mL (NDC 63323-853-25)"/>
        <s v="Hydromorphone Hydrochloride, Injection, 4 mg/1 mL (NDC 63323-854-10)"/>
        <s v="Hydromorphone Hydrochloride, Injection, 10 mg/1 mL (NDC 63323-851-10)"/>
        <s v="Hydromorphone Hydrochloride, Injection, 10 mg/1 mL (NDC 63323-851-15)"/>
        <s v="Hydromorphone Hydrochloride, Injection, 10 mg/1 mL (NDC 63323-851-50)"/>
        <s v="Hydromorphone Hydrochloride, Injection, 1 mg/1 mL Syringes (NDC 0409-1283-31)"/>
        <s v="Hydromorphone Hydrochloride, Injection, 2 mg/1 mL Syringes (NDC 0409-1312-30)"/>
        <s v="Hydromorphone Hydrochloride, Injection, 4 mg/1 mL Syringes (NDC 0409-1304-31)"/>
        <s v="Hydromorphone Hydrochloride, Injection, 10 mg/1 mL (NDC 0409-2634-01)"/>
        <s v="Hydromorphone Hydrochloride, Injection, 50 mg/5 mL (10 mg/mL) (NDC 0409-2634-05)"/>
        <s v="Hydromorphone Hydrochloride, Injection, 500 mg/50 mL (10 mg/mL) (NDC 0409-2634-50)"/>
        <s v="Hydromorphone Hydrochloride, Injection, 10 mg/1 mL (NDC 0703-0110-03)"/>
        <s v="Hydromorphone Hydrochloride, Injection, 10 mg/1 mL (NDC 0703-0113-03)"/>
        <s v="Hydromorphone Hydrochloride, Injection, 10 mg/1 mL (NDC 0703-0018-01)"/>
        <s v="Hydromorphone Hydrochloride, Injection, 2 mg/1 mL (NDC 0641-0121-25)"/>
        <s v="Hydromorphone Hydrochloride, Injection, 2 mg/1 mL (NDC 0641-6254-01)"/>
        <s v="Hydromorphone Hydrochloride, Suppository, 3 mg (NDC 0574-7224-06)"/>
        <s v="Cyanokit, Injection, 5 g/250mL (NDC 50633-310-11)"/>
        <s v="Hydroxocobalamin, Injection, 1000 MCG/ML, 30 ML Multi-Dose Vial (NDC 0591-2888-30)"/>
        <s v="Hydroxychloroquine Sulfate, Tablet, 200 mg (NDC 0093-2401-01)"/>
        <s v="Icatibant Acetate, Injection, 10 mg/1 mL (NDC 63323-574-86)"/>
        <s v="Icatibant Acetate, Injection, 10 mg/1 mL (NDC 63323-574-93)"/>
        <s v="Icosapent Ethyl, Capsule, 1 g (NDC 60429-005-12)"/>
        <s v="Icosapent Ethyl, Capsule, 1 g (NDC 61474-9711-1)"/>
        <s v="Zydelig, Tablet, 100 mg (NDC 61958-1701-1)"/>
        <s v="Zydelig, Tablet, 150 mg (NDC 61958-1702-1)"/>
        <s v="Ifosfamide, Injection, 1 g/20 mL (NDC 10019-925-01)"/>
        <s v="Ifosfamide, Injection, 3 g/60 mL (NDC 10019-926-02)"/>
        <s v="IFEX, Injection, 1 g/20 mL (NDC 0338-3991-01)"/>
        <s v="IFEX, Injection, 3 g/60 mL (NDC 0338-3993-01)"/>
        <s v="Ifosfamide, Injection, 50 mg/1 mL (NDC 0143-9531-01)"/>
        <s v="Ifosfamide, Injection, 50 mg/1 mL (NDC 0143-9530-01)"/>
        <s v="Ifosfamide, Injection, 1 g/1 (NDC 63323-142-10)"/>
        <s v="Ifosfamide, Injection, 1 g/1 (NDC 21586-211-02)"/>
        <s v="Primaxin, Injection, 500mg (NDC 0006-3516-59)"/>
        <s v="RECARBRIO, Injection, 500 mg/100 mL; 500 mg/100 mL; 250 mg/100 mL (NDC 0006-3856-02)"/>
        <s v="Rezvoglar, Injection, 100 [iU]/1 mL (NDC 0002-8980-05)"/>
        <s v="Insulin Lispro Junior KwikPen, Injection, 100 [iU]/1 mL (NDC 0002-7752-05)"/>
        <s v="Humalog Mix 75/25, Injection, 100 [iU]/1 mL (NDC 0002-8233-05)"/>
        <s v="Irinotecan Hydrochloride, Injection, 40 mg/2 mL (NDC 50742-401-02)"/>
        <s v="Irinotecan Hydrochloride, Injection, 100 mg/5 mL (NDC 50742-402-05)"/>
        <s v="Iron Sucrose, Injection, 50 mg/2.5 mL (NDC 67457-957-99)"/>
        <s v="Marplan, Tablet, 10 mg, 100 count bottle (NDC 72336-032-01)"/>
        <s v="Sporanox, Capsule, 100 mg (NDC 10147-1700-3)"/>
        <s v="Sporanox, Capsule, 100 mg (NDC 50458-290-01)"/>
        <s v="Sporanox, Capsule, 100 mg (NDC 50458-290-04)"/>
        <s v="Corlanor, Tablet, eq. 5 mg base (NDC 55513-800-60)"/>
        <s v="Corlanor, Tablet, eq. 7.5 mg base (NDC 55513-810-60)"/>
        <s v="Corlanor, Solution, 5 mg/5 mL (NDC 55513-813-28)"/>
        <s v="STROMECTOL, Tablet, 3 mg (NDC 0006-0032-01)"/>
        <s v="Ketamine Hydrochloride, Injection, 500 mg/5mL (100 mg/mL); Multiple Dose Glass Fliptop Vial Novaplus (NDC 0409-0040-10)"/>
        <s v="Ketorolac Tromethamine, Injection, 15 mg/1 mL (NDC 62332-599-25)"/>
        <s v="Ketorolac Tromethamine, Injection, 30 mg/1 mL (NDC 62332-600-25)"/>
        <s v="Ketorolac Tromethamine, Injection, 60 mg/2 mL (NDC 62332-601-25)"/>
        <s v="Ketorolac Tromethamine, Injection, 30 mg/1 mL (NDC 25021-701-01)"/>
        <s v="Ketorolac Tromethamine, Injection, 15 mg/1 mL (NDC 25021-700-01)"/>
        <s v="Ketorolac Tromethamine, Injection, 30 mg/1 mL (NDC 25021-701-02)"/>
        <s v="Ketorolac Tromethamine, Injection, 15 mg/1 mL (NDC 63323-161-01)"/>
        <s v="Ketorolac Tromethamine, Injection, 30 mg/1 mL (NDC 63323-162-01)"/>
        <s v="Ketorolac Tromethamine, Injection, 30 mg/1 mL (NDC 63323-162-02)"/>
        <s v="Ketorolac Tromethamine, Injection, 15 mg/1 mL (NDC 0641-6041-25)"/>
        <s v="Ketorolac Tromethamine, Injection, 30 mg/1 mL (NDC 0641-6042-25)"/>
        <s v="Ketorolac Tromethamine, Injection, 30 mg/1 mL (NDC 0641-6043-25)"/>
        <s v="Ketorolac Tromethamine, Injection, 30 mg/1 mL (NDC 72266-118-25)"/>
        <s v="Ketorolac Tromethamine, Injection, 30 mg/1 mL (NDC 72266-119-25)"/>
        <s v="Ketorolac Tromethamine, Injection, 15 mg/1 mL (NDC 0409-3793-01)"/>
        <s v="Ketorolac Tromethamine, Injection, 30 mg/1 mL (NDC 0409-3795-01)"/>
        <s v="Ketorolac Tromethamine, Injection, 60 mg/2 mL (30 mg/mL) (NDC 0409-3796-01)"/>
        <s v="Ketorolac Tromethamine, Injection, 15 mg/1 mL (NDC 0338-0069-10)"/>
        <s v="Ketorolac Tromethamine, Injection, 30 mg/1 mL (NDC 0338-0072-25)"/>
        <s v="Ketorolac Tromethamine, Injection, 15 mg/1 mL (NDC 76045-107-10)"/>
        <s v="Ketorolac Tromethamine, Injection, 30 mg/1 mL (NDC 76045-104-10)"/>
        <s v="Ketorolac Tromethamine, Injection, 60 mg/2 mL (NDC 76045-105-20)"/>
        <s v="Ketorolac Tromethamine, Tablet, 10 mg (NDC 0378-1134-01)"/>
        <s v="Epivir, Tablet, 150 mg (NDC 49702-203-18)"/>
        <s v="Epivir, Tablet, 300 mg (NDC 49702-204-13)"/>
        <s v="Lamotrigine, Tablet, Extended Release, 25 mg (NDC 49884-561-11)"/>
        <s v="Lamotrigine, Tablet, Extended Release, 50 mg (NDC 49884-562-11)"/>
        <s v="Lamotrigine, Tablet, Extended Release, 100 mg (NDC 49884-563-11)"/>
        <s v="Lamotrigine, Tablet, Extended Release, 200 mg (NDC 49884-564-11)"/>
        <s v="Lamotrigine, Tablet, Extended Release, 250 mg (NDC 49884-604-11)"/>
        <s v="Lamotrigine, Tablet, Extended Release, 300 mg (NDC 49884-605-11)"/>
        <s v="Reyvow, Tablet, 50 mg (NDC 0002-4312-08)"/>
        <s v="Reyvow, Tablet, 50 mg (NDC 0002-4312-61)"/>
        <s v="Reyvow, Tablet, 50 mg (NDC 0002-4312-62)"/>
        <s v="Reyvow, Tablet, 100 mg (NDC 0002-4491-08)"/>
        <s v="Reyvow, Tablet, 100 mg (NDC 0002-4491-61)"/>
        <s v="Reyvow, Tablet, 100 mg (NDC 0002-4491-62)"/>
        <s v="Arava, Tablet, 10 mg (NDC 0088-2160-30)"/>
        <s v="Arava, Tablet, 20 mg (NDC 0088-2161-30)"/>
        <s v="Arava, Tablet, 100 mg (NDC 0088-2162-33)"/>
        <s v="Leflunomide, Tablet, 10 mg (NDC 0955-1735-30)"/>
        <s v="Leflunomide, Tablet, 20 mg (NDC 0955-1737-30)"/>
        <s v="Leuprolide Acetate, Injection, 14 mg/2.8 mL (1 mg/0.2 mL) (NDC 70121-2537-6)"/>
        <s v="Lidocaine Hydrochloride, Injection, 100 mg/10 mL (NDC 83634-651-10)"/>
        <s v="Lidocaine Hydrochloride, Injection, 200 mg/20 mL (NDC 83634-651-20)"/>
        <s v="Lidocaine Hydrochloride, Injection, 500 mg/50 mL (NDC 83634-651-50)"/>
        <s v="Lidocaine Hydrochloride, Injection, 20 mg/2 mL (NDC 83634-653-02)"/>
        <s v="Lidocaine Hydochloride, Injection, 50 mg/5 mL (NDC 83634-653-05)"/>
        <s v="Lidocaine Hydrochloride, Injection, 300 mg/30 mL (NDC 83634-653-30)"/>
        <s v="Lidocaine Hydrochloride, Injection, 2%, USP (For Cardiac Use Only)  100 mg/5 mL (20 mg/mL) LifeShield® ABBOJECT® Glass Syringe (20 G x 1 1/2) (NDC 0409-4903-34)&quot;"/>
        <s v="Lidocaine Hydrochloride, Injection, 1%, USP (For Cardiac Use Only) 50 mg/5 mL (10 mg/mL) LifeShield™ ABBOJECT® Glass Syringe (20 G x 1 1/2) (NDC 0409-4904-34)&quot;"/>
        <s v="Lidocaine Hydrochloride Preservative Free, Injection, 300 mg/20 mL (1.5%; 15 mg/mL) (NDC 0409-4776-01)"/>
        <s v="Lidocaine Hydrochloride, Injection, 10 mg/1 mL (NDC 55150-159-74)"/>
        <s v="Lidocaine Hydrochloride, Injection, 10 mg/1 mL (NDC 55150-161-02)"/>
        <s v="Lidocaine Hydrochloride, Injection, 10 mg/1 mL (NDC 55150-162-05)"/>
        <s v="Lidocaine Hydrochloride, Injection, 10 mg/1 mL (NDC 55150-163-30)"/>
        <s v="Lidocaine Hydrochloride, Injection, 20 mg/mL (NDC 55150-164-02)"/>
        <s v="Lidocaine Hydrochloride, Injection, 20 mg/1 mL (NDC 55150-165-05)"/>
        <s v="Lidocaine Hydrochloride, Injection, 10 mg/mL (NDC 55150-251-10)"/>
        <s v="Lidocaine Hydrochloride, Injection, 10 mg/mL (NDC 55150-252-20)"/>
        <s v="Lidocaine Hydrochloride, Injection, 20 mg/mL (NDC 55150-254-10)"/>
        <s v="Lidocaine Hydrochloride, Injection, 20 mg/mL (NDC 55150-255-20)"/>
        <s v="Lidocaine Hydrochloride, Preservative Free, Injection, 10 mg/1 mL (NDC 0143-9595-25)"/>
        <s v="Lidocaine Hydrochloride, Preservative Free, Injection, 20 mg/1 mL (NDC 0143-9594-25)"/>
        <s v="Lidocaine Hydrochloride, Injection, 10 mg/1 mL (NDC 0143-9577-10)"/>
        <s v="Lidocaine Hydrochloride, Injection, 20 mg/1 mL (NDC 0143-9575-10)"/>
        <s v="Lidocaine Hydrochloride, Injection, 10 mg/1 mL (NDC 65282-1605-1)"/>
        <s v="Xylocaine, Injection, 10 mg/1 mL (NDC 63323-492-31)"/>
        <s v="Lidocaine Hydrochloride And Dextrose, Injection, 4 mg/1 mL (NDC 0338-0409-03)"/>
        <s v="Lidocaine Hydrochloride And Dextrose, Injection, 8 mg/1 mL (NDC 0338-0411-02)"/>
        <s v="Lidocaine Hydrochloride And Dextrose, Injection, 5 g/100 mL; .8 g/100 mL (NDC 0264-9598-20)"/>
        <s v="Lidocaine Hydrochloride And Dextrose, Injection, 5 g/100 mL; .4 g/100 mL (NDC 0264-9594-20)"/>
        <s v="Lidocaine Hydrochloride And Dextrose, Injection, 5 g/100 mL; .4 g/100 mL (NDC 0264-9594-10)"/>
        <s v="Xylocaine, Injection, 5 mg/1 mL (NDC 63323-484-57)"/>
        <s v="Xylocaine, Injection, 5 mg/1 mL (NDC 63323-491-57)"/>
        <s v="Lidocaine Hydrochloride In Plastic Container, Injection, 10 mg/1 mL (NDC 63323-201-02)"/>
        <s v="Lidocaine Hydrochloride, Injection, 10 mg/1 mL (NDC 63323-201-10)"/>
        <s v="Xylocaine, Injection, 10 mg/1 mL (NDC 63323-485-27)"/>
        <s v="Xylocaine, Injection, 10 mg/1 mL (NDC 63323-485-57)"/>
        <s v="Xylocaine, Injection, 10 mg/1 mL (NDC 63323-492-27)"/>
        <s v="Xylocaine, Injection, 10 mg/1 mL (NDC 63323-492-57)"/>
        <s v="Xylocaine, Injection, 10 mg/1 mL (NDC 63323-492-37)"/>
        <s v="Lidocaine Hydrochloride Preservative Free In Plastic Container, Injection, 50 mg/5mL (1%, 10 mg/1 mL) Syringes (NDC 0409-9137-05)"/>
        <s v="Lidocaine Hydrochloride Preservative Free, Injection, 20 mg/2 mL (1%; 10 mg/mL) (NDC 0409-4713-32)"/>
        <s v="Lidocaine Hydrochloride In Plastic Container, Injection, 200 mg/20 mL (1%; 10 mg/mL) (NDC 0409-4276-01)"/>
        <s v="Lidocaine Hydrochloride, Injection, 300 mg/30 mL (1%; 10 mg/mL) (NDC 0409-4279-02)"/>
        <s v="Lidocaine Hydrochloride In Plastic Container, Injection, 500 mg/50 mL (1%; 10 mg/mL) (NDC 0409-4276-02)"/>
        <s v="Lidocaine Hydrochloride, Injection, 40 mg/2 mL (2%; 20 mg/mL) (NDC 0409-4282-01)"/>
        <s v="Lidocaine Hydrochloride, Injection, 200 mg/10 mL (2%; 20 mg/mL) (NDC 0409-4282-02)"/>
        <s v="Lidocaine Hydrochloride, Injection, 100 mg/5 mL (2%; 20 mg/mL) (NDC 0409-2066-05)"/>
        <s v="Lidocaine Hydrochloride In Plastic Container, Injection, 400 mg/20 mL (2%; 20 mg/mL) (NDC 0409-4277-01)"/>
        <s v="Lidocaine Hydrochloride In Plastic Container, Injection, 1,000 mg/50 mL (2%; 20 mg/mL) (NDC 0409-4277-02)"/>
        <s v="Lidocaine Hydrochloride Preservative Free, Injection, 200 mg/5 mL (4%; 40 mg/mL) (NDC 0409-4283-01)"/>
        <s v="Lidocaine Hydrochloride Preservative Free In Plastic Container, Injection, 100 mg/5mL (2%,20 mg/1 mL) Syringes (NDC 0409-1323-05)"/>
        <s v="Lidocaine Hydrochloride, Injection, 20 mg/1 mL (NDC 76329-3390-1)"/>
        <s v="Xylocaine, Injection, 15 mg/1 mL (NDC 63323-493-97)"/>
        <s v="Xylocaine, Injection, 15 mg/1 mL (NDC 63323-493-91)"/>
        <s v="Lidocaine Hydrochloride, Injection, 20 mg/1 mL (NDC 63323-202-02)"/>
        <s v="Lidocaine Hydrochloride Preservative Free, Injection, 20 mg/1 mL (NDC 63323-208-05)"/>
        <s v="Xylocaine, Injection, 20 mg/1 mL (NDC 63323-486-17)"/>
        <s v="Xylocaine, Injection, 20 mg/1 mL (NDC 63323-486-27)"/>
        <s v="Xylocaine, Injection, 20 mg/1 mL (NDC 63323-486-57)"/>
        <s v="Xylocaine, Injection, 20 mg/1 mL (NDC 63323-495-27)"/>
        <s v="Xylocaine, Injection, 20 mg/1 mL (NDC 63323-495-07)"/>
        <s v="Xylocaine, Injection, 20 mg/1 mL (NDC 63323-496-97)"/>
        <s v="Lidocaine Hydrochloride In Plastic Container, Injection, 250 mg/50 mL (0.5%; 5 mg/mL) (NDC 0409-4275-01)"/>
        <s v="Lidocaine Hydrochloride, Injection, 250 mg/50 mL (0.5%; 5 mg/mL) (NDC 0409-4278-01)"/>
        <s v="Lidocaine Hydrochloride Preservative Free, Injection, 50 mg/5 mL (1%; 10 mg/mL) (NDC 0409-4713-02)"/>
        <s v="Lidocaine Hydrochloride, Injection, 20 mg/mL (NDC 55150-256-50)"/>
        <s v="Lidocaine Hydrochloride, Injection, 10 mg/1 mL (NDC 73293-0001-2)"/>
        <s v="Lincomycin Hydrochloride, Injection, 600 mg/2 mL vial x 10 count (NDC 39822-0350-2)"/>
        <s v="Lincomycin Hydrochloride, Injection, 3 grams/10 mL vial x 10 count (NDC 39822-0355-6)"/>
        <s v="Lincocin, Injection, 2 mL multiple dose vial (NDC 0009-0104-04)"/>
        <s v="Liraglutide, Injection, 6 mg/1 mL (NDC 0143-9144-03)"/>
        <s v="Liraglutide, Injection, 6 mg/1 mL (NDC 0143-9144-02)"/>
        <s v="Liraglutide, Injection, 6 mg/1 mL (NDC 71288-563-84)"/>
        <s v="Liraglutide, Injection, 6 mg/1 mL (NDC 71288-563-85)"/>
        <s v="Saxenda, Injection, 6 mg/1 mL (NDC 0169-2800-15)"/>
        <s v="Liraglutide, Injection, 6 mg/1 mL (NDC 0480-3667-20)"/>
        <s v="Liraglutide, Injection, 6 mg/1 mL (NDC 0480-3667-22)"/>
        <s v="Victoza, Injection, 6 mg/1 mL (NDC 0169-4060-12)"/>
        <s v="Victoza, Injection, 6 mg/1 mL (NDC 0169-4060-13)"/>
        <s v="Liraglutide, Injection, 6 mg/1 mL (NDC 0480-7250-46)"/>
        <s v="Lisdexamfetamine Dimesylate, Capsule, 10 mg (NDC 42858-161-01)"/>
        <s v="Lisdexamfetamine Dimesylate, Capsule, 20 mg (NDC 42858-162-01)"/>
        <s v="Lisdexamfetamine Dimesylate, Capsule, 30 mg (NDC 42858-163-01)"/>
        <s v="Lisdexamfetamine Dimesylate, Capsule, 40 mg (NDC 42858-164-01)"/>
        <s v="Lisdexamfetamine Dimesylate, Capsule, 60 mg (NDC 42858-166-01)"/>
        <s v="Lisdexamfetamine Dimesylate, Capsule, 50 mg (NDC 42858-165-01)"/>
        <s v="Lisdexamfetamine Dimesylate, Capsule, 70 mg (NDC 42858-167-01)"/>
        <s v="Lisdexamfetamine Dimesylate, Capsule, 10 mg (NDC 47781-562-01)"/>
        <s v="Lisdexamfetamine Dimesylate, Capsule, 20 mg (NDC 47781-563-01)"/>
        <s v="Lisdexamfetamine Dimesylate, Capsule, 30 mg (NDC 47781-564-01)"/>
        <s v="Lisdexamfetamine Dimesylate, Capsule, 40 mg (NDC 47781-565-01)"/>
        <s v="Lisdexamfetamine Dimesylate, Capsule, 50 mg (NDC 47781-566-01)"/>
        <s v="Lisdexamfetamine Dimesylate, Capsule, 60 mg (NDC 47781-567-01)"/>
        <s v="Lisdexamfetamine Dimesylate, Capsule, 70 mg (NDC 47781-568-01)"/>
        <s v="Lisdexamfetamine Dimesylate, Capsule, 10 mg (NDC 60505-4739-1)"/>
        <s v="Lisdexamfetamine Dimesylate, Capsule, 20 mg (NDC 60505-4740-1)"/>
        <s v="Lisdexamfetamine Dimesylate, Capsule, 30 mg (NDC 60505-4741-1)"/>
        <s v="Lisdexamfetamine Dimesylate, Capsule, 40 mg (NDC 60505-4742-1)"/>
        <s v="Lisdexamfetamine Dimesylate, Capsule, 50 mg (NDC 60505-4743-1)"/>
        <s v="Lisdexamfetamine Dimesylate, Capsule, 60 mg (NDC 60505-4744-1)"/>
        <s v="Lisdexamfetamine Dimesylate, Capsule, 70 mg (NDC 60505-4745-1)"/>
        <s v="Lisdexamfetamine Dimesylate, Capsule, 10 mg (NDC 0378-6854-77)"/>
        <s v="Lisdexamfetamine Dimesylate, Capsule, 20 mg (NDC 0378-6855-77)"/>
        <s v="Lisdexamfetamine Dimesylate, Capsule, 30 mg (NDC 0378-6856-77)"/>
        <s v="Lisdexamfetamine Dimesylate, Capsule, 40 mg (NDC 0378-6857-77)"/>
        <s v="Lisdexamfetamine Dimesylate, Capsule, 50 mg (NDC 0378-6858-77)"/>
        <s v="Lisdexamfetamine Dimesylate, Capsule, 60 mg (NDC 0378-6859-77)"/>
        <s v="Lisdexamfetamine Dimesylate, Capsule, 70 mg (NDC 0378-6860-77)"/>
        <s v="Lisdexamfetamine Dimesylate, Capsule, 10 mg (NDC 57664-046-88)"/>
        <s v="Lisdexamfetamine Dimesylate, Capsule, 20 mg (NDC 57664-047-88)"/>
        <s v="Lisdexamfetamine Dimesylate, Capsule, 30 mg (NDC 57664-048-88)"/>
        <s v="Lisdexamfetamine Dimesylate, Capsule, 40 mg (NDC 57664-049-88)"/>
        <s v="Lisdexamfetamine Dimesylate, Capsule, 50 mg (NDC 57664-050-88)"/>
        <s v="Lisdexamfetamine Dimesylate, Capsule, 60 mg (NDC 57664-051-88)"/>
        <s v="Lisdexamfetamine Dimesylate, Capsule, 70 mg (NDC 57664-052-88)"/>
        <s v="Lisdexamfetamine Dimesylate, Capsule, 10 mg (NDC 0406-5111-01)"/>
        <s v="Lisdexamfetamine Dimesylate, Capsule, 20 mg (NDC 0406-5112-01)"/>
        <s v="Lisdexamfetamine Dimesylate, Capsule, 30 mg (NDC 0406-5113-01)"/>
        <s v="Lisdexamfetamine Dimesylate, Capsule, 40 mg (NDC 0406-5114-01)"/>
        <s v="Lisdexamfetamine Dimesylate, Capsule, 50 mg (NDC 0406-5115-01)"/>
        <s v="Lisdexamfetamine Dimesylate, Capsule, 60 mg (NDC 0406-5116-01)"/>
        <s v="Lisdexamfetamine Dimesylate, Capsule, 70 mg (NDC 0406-5117-01)"/>
        <s v="Lisdexamfetamine Dimesylate, Capsule, 20 mg (NDC 0054-0370-25)"/>
        <s v="Lisdexamfetamine Dimesylate, Capsule, 30 mg (NDC 0054-0371-25)"/>
        <s v="Lisdexamfetamine Dimesylate, Capsule, 40 mg (NDC 0054-0372-25)"/>
        <s v="Lisdexamfetamine Dimesylate, Capsule, 50 mg (NDC 0054-0373-25)"/>
        <s v="Lisdexamfetamine Dimesylate, Capsule, 60 mg (NDC 0054-0374-25)"/>
        <s v="Lisdexamfetamine Dimesylate, Capsule, 70 mg (NDC 0054-0375-25)"/>
        <s v="Lisdexamfetamine Dimesylate, Capsule, 10 mg (NDC 0527-4661-37)"/>
        <s v="Lisdexamfetamine Dimesylate, Capsule, 20 mg (NDC 0527-4662-37)"/>
        <s v="Lisdexamfetamine Dimesylate, Capsule, 30 mg (NDC 0527-4663-37)"/>
        <s v="Lisdexamfetamine Dimesylate, Capsule, 40 mg (NDC 0527-4664-37)"/>
        <s v="Lisdexamfetamine Dimesylate, Capsule, 50 mg (NDC 0527-4665-37)"/>
        <s v="Lisdexamfetamine Dimesylate, Capsule, 60 mg (NDC 0527-4666-37)"/>
        <s v="Lisdexamfetamine Dimesylate, Capsule, 70 mg (NDC 0527-4667-37)"/>
        <s v="Lisdexamfetamine Dimesylate, Capsule, 20 mg (NDC 65162-023-09)"/>
        <s v="Lisdexamfetamine Dimesylate, Capsule, 30 mg (NDC 65162-024-09)"/>
        <s v="Lisdexamfetamine Dimesylate, Capsule, 40 mg (NDC 65162-025-09)"/>
        <s v="Lisdexamfetamine Dimesylate, Capsule, 50 mg (NDC 65162-026-09)"/>
        <s v="Lisdexamfetamine Dimesylate, Capsule, 60 mg (NDC 65162-027-09)"/>
        <s v="Lisdexamfetamine Dimesylate, Capsule, 70 mg (NDC 65162-028-09)"/>
        <s v="Lisdexamfetamine Dimesylate, Capsule, 10 mg (NDC 43547-602-10)"/>
        <s v="Lisdexamfetamine Dimesylate, Capsule, 20 mg (NDC 43547-603-10)"/>
        <s v="Lisdexamfetamine Dimesylate, Capsule, 30 mg (NDC 43547-604-10)"/>
        <s v="Lisdexamfetamine Dimesylate, Capsule, 40 mg (NDC 43547-605-10)"/>
        <s v="Lisdexamfetamine Dimesylate, Capsule, 50 mg (NDC 43547-606-10)"/>
        <s v="Lisdexamfetamine Dimesylate, Capsule, 60 mg (NDC 43547-607-10)"/>
        <s v="Lisdexamfetamine Dimesylate, Capsule, 70 mg (NDC 43547-608-10)"/>
        <s v="Vyvanse, Capsule, 10 mg (NDC 59417-101-10)"/>
        <s v="Vyvanse, Capsule, 20 mg (NDC 59417-102-10)"/>
        <s v="Vyvanse, Capsule, 30 mg (NDC 59417-103-10)"/>
        <s v="Vyvanse, Capsule, 40 mg (NDC 59417-104-10)"/>
        <s v="Vyvanse, Capsule, 50 mg (NDC 59417-105-10)"/>
        <s v="Vyvanse, Capsule, 60 mg (NDC 59417-106-10)"/>
        <s v="Vyvanse, Capsule, 70 mg (NDC 59417-107-10)"/>
        <s v="Lisdexamfetamine Dimesylate, Capsule, 10 mg (NDC 64850-550-01)"/>
        <s v="Lisdexamfetamine Dimesylate, Capsule, 20 mg (NDC 64850-551-01)"/>
        <s v="Lisdexamfetamine Dimesylate, Capsule, 30 mg (NDC 64850-552-01)"/>
        <s v="Lisdexamfetamine Dimesylate, Capsule, 40 mg (NDC 64850-553-01)"/>
        <s v="Lisdexamfetamine Dimesylate, Capsule, 50 mg (NDC 64850-554-01)"/>
        <s v="Lisdexamfetamine Dimesylate, Capsule, 60 mg (NDC 64850-555-01)"/>
        <s v="Lisdexamfetamine Dimesylate, Capsule, 70 mg (NDC 64850-556-01)"/>
        <s v="Lisdexamfetamine Dimesylate, Capsule, 10 mg (NDC 0480-3565-01)"/>
        <s v="Lisdexamfetamine Dimesylate, Capsule, 20 mg (NDC 0480-3566-01)"/>
        <s v="Lisdexamfetamine Dimesylate, Capsule, 30 mg (NDC 0480-3567-01)"/>
        <s v="Lisdexamfetamine Dimesylate, Capsule, 40 mg (NDC 0480-3568-01)"/>
        <s v="Lisdexamfetamine Dimesylate, Capsule, 50 mg (NDC 0480-3569-01)"/>
        <s v="Lisdexamfetamine Dimesylate, Capsule, 60 mg (NDC 0480-3570-01)"/>
        <s v="Lisdexamfetamine Dimesylate, Capsule, 70 mg (NDC 0480-3564-01)"/>
        <s v="Lisdexamfetamine Dimesylate, Capsule, 10 mg (NDC 0054-0660-25)"/>
        <s v="Vyvanse, Tablet, Chewable, 10 mg (NDC 59417-115-01)"/>
        <s v="Vyvanse, Tablet, Chewable, 20 mg (NDC 59417-116-01)"/>
        <s v="Vyvanse, Tablet, Chewable, 30 mg (NDC 59417-117-01)"/>
        <s v="Vyvanse, Tablet, Chewable, 40 mg (NDC 59417-118-01)"/>
        <s v="Vyvanse, Tablet, Chewable, 50 mg (NDC 59417-119-01)"/>
        <s v="Vyvanse, Tablet, Chewable, 60 mg (NDC 59417-120-01)"/>
        <s v="Lisdexamfetamine Dimesylate, Tablet, Chewable, 10 mg (NDC 57664-083-88)"/>
        <s v="Lisdexamfetamine Dimesylate, Tablet, Chewable, 20 mg (NDC 57664-084-88)"/>
        <s v="Lisdexamfetamine Dimesylate, Tablet, Chewable, 30 mg (NDC 57664-085-88)"/>
        <s v="Lisdexamfetamine Dimesylate, Tablet, Chewable, 50 mg (NDC 57664-087-88)"/>
        <s v="Lisdexamfetamine Dimesylate, Tablet, Chewable, 60 mg (NDC 57664-088-88)"/>
        <s v="Lisdexamfetamine Dimesylate, Tablet, Chewable, 40 mg (NDC 57664-086-88)"/>
        <s v="Lisdexamfetamine Dimesylate, Tablet, Chewable, 10 mg (NDC 72205-132-91)"/>
        <s v="Lisdexamfetamine Dimesylate, Tablet, Chewable, 20 mg (NDC 72205-133-91)"/>
        <s v="Lisdexamfetamine Dimesylate, Tablet, Chewable, 30 mg (NDC 72205-134-91)"/>
        <s v="Lisdexamfetamine Dimesylate, Tablet, Chewable, 40 mg (NDC 72205-135-91)"/>
        <s v="Lisdexamfetamine Dimesylate, Tablet, Chewable, 50 mg (NDC 72205-136-91)"/>
        <s v="Lisdexamfetamine Dimesylate, Tablet, Chewable, 60 mg (NDC 72205-137-91)"/>
        <s v="Kaletra, Oral Solution, 80 mg/1 mL; 20 mg/1 mL (NDC 0074-3956-46)"/>
        <s v="Kaletra, Tablet, 100 mg; 25 mg (NDC 0074-0522-60)"/>
        <s v="Kaletra, Tablet, 100 mg; 25 mg (NDC 0074-3008-60)"/>
        <s v="Kaletra, Tablet, 200 mg; 50 mg (NDC 0074-6799-22)"/>
        <s v="Kaletra, Tablet, 200 mg; 50 mg (NDC 0074-4014-12)"/>
        <s v="Lorazepam, Injection, 4 mg/1 mL (NDC 0641-6047-10)"/>
        <s v="Lorazepam, Injection, 2 mg/1 mL (NDC 65219-368-02)"/>
        <s v="Ativan, Injection, 2 mg/1 mL (NDC 0641-6001-25)"/>
        <s v="Ativan, Injection, 2 mg/1 mL (NDC 0641-6000-10)"/>
        <s v="Ativan, Injection, 4 mg/1 mL (NDC 0641-6003-25)"/>
        <s v="Ativan, Injection, 4 mg/1 mL (NDC 0641-6002-10)"/>
        <s v="Lorazepam, Injection, 2 mg/1 mL (NDC 0641-6044-25)"/>
        <s v="Lorazepam, Injection, 2 mg/1 mL (NDC 0641-6046-10)"/>
        <s v="Lorazepam, Injection, 4 mg/1 mL (NDC 0641-6045-25)"/>
        <s v="Lorazepam, Injection, 2 mg/1 mL Syringes (NDC 0409-1985-30)"/>
        <s v="Lorazepam, Injection, 2 mg/1 mL (NDC 76329-8261-1)"/>
        <s v="Lorbrena, Tablet, 25 mg; 120 tablets bottle with a child-resistant closure (NDC 0069-0227-03)"/>
        <s v="Selzentry, Solution, 20 mg/mL Oral Solution Kit | 230 mL Oral Solution per Bottle | 1 Bottle per Carton  (NDC 49702-260-55)"/>
        <s v="PROVERA, Tablet, 10 mg (NDC 0009-0051-01)"/>
        <s v="PROVERA, Tablet, 2.5 mg (NDC 0009-0065-01)"/>
        <s v="Melphalan Hydrochloride, Injection, Kit (NDC 63323-760-20)"/>
        <s v="Meperidine Hydrochloride, Injection, 25 mg/1 mL (NDC 0641-6052-25)"/>
        <s v="Meperidine Hydrochloride, Injection, 50 mg/1 mL (NDC 0641-6053-25)"/>
        <s v="Meperidine Hydrochloride, Injection, 100 mg/1 mL (NDC 0641-6054-25)"/>
        <s v="Demerol, Injection, 25 mg/1 mL (NDC 0409-1176-30)"/>
        <s v="Demerol, Injection, 50 mg/1 mL (NDC 0409-1178-30)"/>
        <s v="Demerol, Injection, 50 mg/1 mL (NDC 0409-1181-30)"/>
        <s v="Pentasa, Capsule, Extended Release, 250 mg (NDC 54092-189-81)"/>
        <s v="Pentasa, Capsule, Extended Release, 500 mg (NDC 54092-191-12)"/>
        <s v="Mesalamine, Capsule, Extended Release, .375 g (NDC 0378-1375-78)"/>
        <s v="Metformin Hydrochloride, Tablet, Extended Release, 1000 mg (NDC 0378-6001-91)"/>
        <s v="Metformin Hydrochloride, Tablet, Extended Release, 500 mg (NDC 0378-6002-91)"/>
        <s v="Methotrexate, Preservative Free, Injection, 1 g (NDC 0143-9830-01)"/>
        <s v="Methotrexate, Preservative Free, Injection, 25 mg/1 mL (NDC 0143-9519-10)"/>
        <s v="Methotrexate Sodium Preservative Free, Injection, 25 mg/1 mL (NDC 0703-3671-01)"/>
        <s v="Methotrexate Sodium Preservative Free, Injection, 25 mg/1 mL (NDC 0703-3675-01)"/>
        <s v="Methotrexate Sodium Preservative Free, Injection, 25 mg/1 mL (NDC 0703-3678-01)"/>
        <s v="Methotrexate Sodium, Injection, 50 mg/2 mL (25 mg/mL) (NDC 61703-350-38)"/>
        <s v="Methotrexate Sodium, Injection, 50 mg/2 mL  (25 mg/mL) (NDC 61703-350-10)"/>
        <s v="Methotrexate Sodium, Injection, 1 g/40 mL (25 mg/mL) (NDC 61703-408-41)"/>
        <s v="Methotrexate Sodium, Injection, 1 g/40 mL (25 mg/mL) (NDC 61703-408-25)"/>
        <s v="Methotrexate Sodium, Injection, 1 g/40 mL (25 mg/mL) (NDC 61703-124-40)"/>
        <s v="Methotrexate Preservative Free, Injection, 1 g (NDC 63323-122-50)"/>
        <s v="Methotrexate Sodium, Injection, 25 mg/1 mL (NDC 63323-123-10)"/>
        <s v="Methotrexate Sodium Preservative Free, Injection, 25 mg/1 mL (NDC 16729-277-30)"/>
        <s v="Methotrexate Sodium Preservative Free, Injection, 25 mg/1 mL (NDC 16729-277-35)"/>
        <s v="Methylphenidate, Film, Extended Release, 10 mg (NDC 0574-2410-65)"/>
        <s v="Methylphenidate, Film, Extended Release, 15 mg (NDC 0574-2415-65)"/>
        <s v="Methylphenidate, Film, Extended Release, 20 mg (NDC 0574-2420-65)"/>
        <s v="Methylphenidate, Film, Extended Release, 30 mg (NDC 0574-2430-65)"/>
        <s v="Methylphenidate Hydrochloride, Tablet, Extended Release, 18 mg (NDC 62175-310-37)"/>
        <s v="Methylphenidate Hydrochloride, Tablet, Extended Release, 27 mg (NDC 62175-311-37)"/>
        <s v="Methylphenidate Hydrochloride, Tablet, Extended Release, 36 mg (NDC 62175-312-37)"/>
        <s v="Methylphenidate Hydrochloride, Tablet, Extended Release, 54 mg (NDC 62175-313-37)"/>
        <s v="Methylphenidate Hydrochloride, Tablet, Extended Release, 18 mg (NDC 62037-725-01)"/>
        <s v="Methylphenidate Hydrochloride, Tablet, Extended Release, 27 mg (NDC 62037-734-01)"/>
        <s v="Methylphenidate Hydrochloride, Tablet, Extended Release, 36 mg (NDC 62037-726-01)"/>
        <s v="Methylphenidate Hydrochloride, Tablet, Extended Release, 54 mg (NDC 62037-727-01)"/>
        <s v="Methylphenidate Hydrochloride, Tablet, Extended Release, 18 mg (NDC 13811-706-10)"/>
        <s v="Methylphenidate Hydrochloride, Tablet, Extended Release, 27 mg (NDC 13811-707-10)"/>
        <s v="Methylphenidate Hydrochloride, Tablet, Extended Release, 36 mg (NDC 13811-708-10)"/>
        <s v="Methylphenidate Hydrochloride, Tablet, Extended Release, 45 mg (NDC 13811-711-30)"/>
        <s v="Methylphenidate Hydrochloride, Tablet, Extended Release, 54 mg (NDC 13811-709-10)"/>
        <s v="Methylphenidate Hydrochloride, Tablet, Extended Release, 63 mg (NDC 13811-700-30)"/>
        <s v="Methylphenidate Hydrochloride, Tablet, Extended Release, 72 mg (NDC 13811-710-30)"/>
        <s v="Concerta, Tablet, Extended Release, 18 mg (NDC 50458-585-01)"/>
        <s v="Concerta, Tablet, Extended Release, 27 mg (NDC 50458-588-01)"/>
        <s v="Concerta, Tablet, Extended Release, 36 mg (NDC 50458-586-01)"/>
        <s v="Concerta, Tablet, Extended Release, 54 mg (NDC 50458-587-01)"/>
        <s v="Methylphenidate Hydrochloride, Tablet, Extended Release, 18 mg (NDC 57664-606-88)"/>
        <s v="Methylphenidate Hydrochloride, Tablet, Extended Release, 27 mg (NDC 57664-607-88)"/>
        <s v="Methylphenidate Hydrochloride, Tablet, Extended Release, 36 mg (NDC 57664-608-88)"/>
        <s v="Methylphenidate Hydrochloride, Tablet, Extended Release, 54 mg (NDC 57664-609-88)"/>
        <s v="Relexxii, Tablet, Extended Release, 18 mg (NDC 68025-095-30)"/>
        <s v="Relexxii, Tablet, Extended Release, 27 mg (NDC 68025-096-30)"/>
        <s v="Relexxii, Tablet, Extended Release, 36 mg (NDC 68025-097-30)"/>
        <s v="Relexxii, Tablet, Extended Release, 54 mg (NDC 68025-098-30)"/>
        <s v="Relexxii, Tablet, Extended Release, 18 mg (NDC 68025-095-10)"/>
        <s v="Relexxii, Tablet, Extended Release, 27 mg (NDC 68025-096-10)"/>
        <s v="Relexxii, Tablet, Extended Release, 36 mg (NDC 68025-097-10)"/>
        <s v="Relexxii, Tablet, Extended Release, 45 mg (NDC 68025-088-30)"/>
        <s v="Relexxii, Tablet, Extended Release, 54 mg (NDC 68025-098-10)"/>
        <s v="Relexxii, Tablet, Extended Release, 63 mg (NDC 68025-089-30)"/>
        <s v="Relexxii, Tablet, Extended Release, 72 mg (NDC 68025-084-30)"/>
        <s v="Methylprednisolone Acetate, Injection, 40 mg/1 mL (NDC 55150-313-01)"/>
        <s v="Methylprednisolone Acetate, Injection, 80 mg/1 mL (NDC 55150-314-01)"/>
        <s v="Methylprednisolone Acetate, Injection, 40 mg/1 mL (NDC 25021-820-10)"/>
        <s v="Methylprednisolone Acetate, Injection, 40 mg/1 mL (NDC 25021-820-05)"/>
        <s v="Methylprednisolone Acetate, Injection, 80 mg/1 mL (NDC 25021-821-05)"/>
        <s v="Methylprednisolone Acetate, Injection, 80 mg/1 mL (NDC 42023-240-01)"/>
        <s v="Methylprednisolone Acetate, Injection, 40 mg/1 mL (NDC 70121-1573-1)"/>
        <s v="Methylprednisolone Acetate, Injection, 40 mg/1 mL (NDC 70121-1573-5)"/>
        <s v="Methylprednisolone Acetate, Injection, 80 mg/1 mL (NDC 70121-1574-1)"/>
        <s v="Methylprednisolone Acetate, Injection, 80 mg/1 mL (NDC 70121-1574-5)"/>
        <s v="Depo-medrol, Injection, 20 mg/1 mL (NDC 0009-0274-01)"/>
        <s v="Depo-medrol, Injection, 40 mg/1 mL (NDC 0009-0280-02)"/>
        <s v="Depo-medrol, Injection, 40 mg/1 mL (NDC 0009-0280-03)"/>
        <s v="Depo-medrol, Injection, 40 mg/1 mL (NDC 0009-0280-51)"/>
        <s v="Depo-medrol, Injection, 40 mg/1 mL (NDC 0009-0280-52)"/>
        <s v="Depo-medrol, Injection, 80 mg/1 mL (NDC 0009-0306-02)"/>
        <s v="Depo-medrol, Injection, 80 mg/1 mL (NDC 0009-0306-12)"/>
        <s v="Depo-medrol, Injection, 40 mg/1 mL (NDC 0009-3073-01)"/>
        <s v="Depo-medrol, Injection, 40 mg/1 mL (NDC 0009-3073-03)"/>
        <s v="Depo-medrol, Injection, 40 mg/1 mL (NDC 0009-3073-22)"/>
        <s v="Depo-medrol, Injection, 40 mg/1 mL (NDC 0009-3073-23)"/>
        <s v="Depo-medrol, Injection, 80 mg/1 mL (NDC 0009-3475-01)"/>
        <s v="Depo-medrol, Injection, 80 mg/1 mL (NDC 0009-3475-03)"/>
        <s v="Metoprolol Succinate, Tablet, Extended Release, 50 mg (NDC 45963-676-11)"/>
        <s v="Metoprolol Succinate, Tablet, Extended Release, 50 mg (NDC 45963-676-96)"/>
        <s v="Metoprolol Succinate, Tablet, Extended Release, 100 mg (NDC 45963-677-11)"/>
        <s v="Metoprolol Succinate, Tablet, Extended Release, 100 mg (NDC 45963-677-96)"/>
        <s v="Metoprolol Succinate, Tablet, Extended Release, 200 mg (NDC 45963-678-11)"/>
        <s v="Metoprolol Succinate, Tablet, Extended Release, 25 mg (NDC 45963-709-11)"/>
        <s v="Metoprolol Succinate, Tablet, Extended Release, 25 mg (NDC 45963-709-96)"/>
        <s v="Flagyl I.v. Rtu In Plastic Container, Injection, 500 mg/100 mL (NDC 0338-1055-48)"/>
        <s v="Metronidazole In Plastic Container, Injection, 500 mg/100 mL (NDC 47335-993-01)"/>
        <s v="Metronidazole in Flexible Container, Injection, 500 mg/100 mL (NDC 0409-0152-24)"/>
        <s v="Metronidazole, Injection, 500 mg/100 mL (NDC 25021-131-82)"/>
        <s v="Micafungin Sodium, Injection, 10 mg/1 mL (NDC 42023-229-10)"/>
        <s v="Micafungin Sodium, Injection, 20 mg/1 mL (NDC 42023-230-10)"/>
        <s v="Midazolam Hydrochloride Preservative Free, Injection, 2 mg/2mL (1 mg/mL) (NDC 0409-0001-25)"/>
        <s v="Midazolam Hydrochloride, Injection, 1 mg/1 mL (NDC 25021-655-02)"/>
        <s v="Midazolam Hydrochloride, Injection, 5 mg/1 mL (NDC 25021-661-10)"/>
        <s v="Midazolam In 0.9% Sodium Chloride, Injection, 1 mg/1 mL (NDC 44567-610-10)"/>
        <s v="Midazolam In 0.9% Sodium Chloride, Injection, 1 mg/1 mL (NDC 44567-611-10)"/>
        <s v="Midazolam Hydrochloride, Injection, 5 mg/1 mL (NDC 23155-601-42)"/>
        <s v="Midazolam Hydrochloride, Injection, 5 mg/1 mL (NDC 23155-601-41)"/>
        <s v="Midazolam Hydrochloride, Injection, 1 mg/1 mL (NDC 23155-600-41)"/>
        <s v="Midazolam Hydrochloride, Injection, 1 mg/1 mL (NDC 63323-411-10)"/>
        <s v="Midazolam Hydrochloride Preservative Free, Injection, 2 mg/2 mL (NDC 76045-211-20)"/>
        <s v="Midazolam Hydrochloride, Injection, 1 mg/1 mL (NDC 63323-411-12)"/>
        <s v="Midazolam Hydrochloride, Injection, 1 mg/1 mL (NDC 63323-411-25)"/>
        <s v="Midazolam Hydrochloride, Injection, 5 mg/1 mL (NDC 63323-412-25)"/>
        <s v="Midazolam Hydrochloride, Injection, 5 mg/1 mL (NDC 63323-412-10)"/>
        <s v="Midazolam Hydrochloride, Injection, 5 mg/1 mL (NDC 63323-412-02)"/>
        <s v="Midazolam Hydrochloride, Injection, 1 mg/1 mL (NDC 0641-6056-10)"/>
        <s v="Midazolam Hydrochloride, Injection, 1 mg/1 mL (NDC 0641-6057-25)"/>
        <s v="Midazolam Hydrochloride, Injection, 1 mg/1 mL (NDC 0641-6059-01)"/>
        <s v="Midazolam Hydrochloride, Injection, 5 mg/1 mL (NDC 0641-6061-25)"/>
        <s v="Midazolam Hydrochloride, Injection, 5 mg/1 mL (NDC 0641-6060-10)"/>
        <s v="Midazolam Hydrochloride Preservative Free, Injection, 2 mg/2mL (1 mg/mL) (NDC 0409-2305-17)"/>
        <s v="Midazolam Hydrochloride Preservative Free, Injection, 5 mg/5 mL (1 mg/mL) (NDC 0409-2305-05)"/>
        <s v="Midazolam Hydrochloride Preservative Free, Injection, 5 mg/mL (5 mg/mL) (NDC 0409-2308-01)"/>
        <s v="Midazolam Hydrochloride, Injection, 50 mg/10 mL (5 mg/mL) (NDC 0409-2596-05)"/>
        <s v="Midazolam Hydrochloride Preservative Free, Injection, 10 mg/2 mL (5 mg/mL) (NDC 0409-2308-02)"/>
        <s v="Midazolam Hydrochloride, Injection, 25 mg/5 mL (5 mg/mL) (NDC 0409-2596-03)"/>
        <s v="Midazolam Hydrochloride, Injection, 10 mg/10 mL (1 mg/mL) (NDC 0409-2587-05)"/>
        <s v="Omvoh, Injection, 100 mg/1 mL (NDC 0002-8011-27)"/>
        <s v="Omvoh, Injection, 100 mg/1 mL (NDC 0002-8870-27)"/>
        <s v="Lagevrio, Capsule, 200 mg (NDC 0006-5055-06)"/>
        <s v="Lagevrio, Capsule, 200 mg (NDC 0006-5055-07)"/>
        <s v="Lagevrio, Capsule, 200 mg (NDC 0006-5055-09)"/>
        <s v="Singulair, Tablet, Chewable, 4 mg (NDC 78206-170-01)"/>
        <s v="Mitigo, Injection, 200 mg/20 mL (NDC 66794-160-02)"/>
        <s v="Mitigo, Injection, 500 mg/20 mL (NDC 66794-162-02)"/>
        <s v="Duramorph, Injection, 1 mg/1 mL (NDC 0641-6019-10)"/>
        <s v="Duramorph, Injection, .5 mg/1 mL (NDC 0641-6020-10)"/>
        <s v="Infumorph 200 (Preservative-Free Morphine Sulfate Sterile Solution), Injection, 10 mg/1 mL (NDC 0641-6039-01)"/>
        <s v="Infumorph 500 (Preservative-Free Morphine Sulfate Sterile Solution), Injection, 25 mg/1 mL (NDC 0641-6040-01)"/>
        <s v="Morphine Sulfate, Injection, 1 mg/1 mL (NDC 76329-1912-1)"/>
        <s v="Morphine Sulfate, Injection, 2 mg/1 mL (NDC 63323-452-01)"/>
        <s v="Morphine Sulfate, Injection, 4 mg/1 mL (NDC 63323-454-01)"/>
        <s v="Morphine Sulfate, Injection, 5 mg/1 mL (NDC 63323-455-01)"/>
        <s v="Morphine Sulfate, Injection, 10 mg/1 mL (NDC 63323-451-01)"/>
        <s v="Morphine Sulfate, Injection, 4 mg/1 mL (NDC 0641-6125-25)"/>
        <s v="Morphine Sulfate, Injection, 8 mg/1 mL (NDC 0641-6126-25)"/>
        <s v="Morphine Sulfate, Injection, 10 mg/1 mL (NDC 0641-6127-25)"/>
        <s v="Morphine Sulfate, Injection, 2 mg/1 mL Syringes (NDC 0409-1890-01)"/>
        <s v="Morphine Sulfate, Injection, 4 mg/1 mL Syringes (NDC 0409-1891-01)"/>
        <s v="Morphine Sulfate, Injection, 10 mg/1 mL Syringes (NDC 0409-1893-01)"/>
        <s v="Morphine Sulfate, Injection, 5 mg/10 mL (0.5 mg/mL) (NDC 0409-3814-12)"/>
        <s v="Morphine Sulfate, Injection, 10 mg/10 mL (1 mg/mL) (NDC 0409-3815-12)"/>
        <s v="Morphine Sulfate, Injection, 50 mg/1 mL (NDC 0409-1896-20)"/>
        <s v="Morphine Sulfate, Injection, 2 mg/1 mL (NDC 76045-004-11)"/>
        <s v="Morphine Sulfate, Injection, 4 mg/1 mL (NDC 76045-005-11)"/>
        <s v="Morphine Sulfate, Injection, 50 mg/1 mL (NDC 0409-2022-01)"/>
        <s v="Morphine Sulfate, Injection, 2 mg/1 mL (NDC 0409-1890-23)"/>
        <s v="Morphine Sulfate, Suppository, 5 mg (NDC 0574-7110-12)"/>
        <s v="Morphine Sulfate, Suppository, 10 mg (NDC 0574-7112-12)"/>
        <s v="Morphine Sulfate, Suppository, 20 mg (NDC 0574-7114-12)"/>
        <s v="Morphine Sulfate, Suppository, 30 mg (NDC 0574-7116-12)"/>
        <s v="Morphine Sulfate, Tablet, 15 mg (NDC 0832-0273-11)"/>
        <s v="Morphine Sulfate, Tablet, 30 mg (NDC 0832-0274-11)"/>
        <s v="Moxifloxacin, Injection, 400mg per 250mL (NDC 63323-850-74)"/>
        <s v="Nebivolol Hydrochloride, Tablet, 2.5 mg (NDC 13668-353-01)"/>
        <s v="Nebivolol Hydrochloride, Tablet, 2.5 mg (NDC 13668-353-05)"/>
        <s v="Nebivolol Hydrochloride, Tablet, 2.5 mg (NDC 13668-353-30)"/>
        <s v="Nebivolol Hydrochloride, Tablet, 2.5 mg (NDC 13668-353-90)"/>
        <s v="Nebivolol Hydrochloride, Tablet, 5 mg (NDC 13668-354-01)"/>
        <s v="Nebivolol Hydrochloride, Tablet, 5 mg (NDC 13668-354-05)"/>
        <s v="Nebivolol Hydrochloride, Tablet, 5 mg (NDC 13668-354-30)"/>
        <s v="Nebivolol Hydrochloride, Tablet, 5 mg (NDC 13668-354-90)"/>
        <s v="Nebivolol Hydrochloride, Tablet, 10 mg (NDC 13668-355-01)"/>
        <s v="Nebivolol Hydrochloride, Tablet, 10 mg (NDC 13668-355-05)"/>
        <s v="Nebivolol Hydrochloride, Tablet, 10 mg (NDC 13668-355-30)"/>
        <s v="Nebivolol Hydrochloride, Tablet, 10 mg (NDC 13668-355-90)"/>
        <s v="Nebivolol Hydrochloride, Tablet, 20 mg (NDC 13668-356-01)"/>
        <s v="Nebivolol Hydrochloride, Tablet, 20 mg (NDC 13668-356-05)"/>
        <s v="Nebivolol Hydrochloride, Tablet, 20 mg (NDC 13668-356-30)"/>
        <s v="Nebivolol Hydrochloride, Tablet, 20 mg (NDC 13668-356-90)"/>
        <s v="Neostigmine Methylsulfate, Injection, .5 mg/1 mL (NDC 63323-413-10)"/>
        <s v="Nilandron, Tablet, 150 mg (NDC 59212-111-14)"/>
        <s v="Nilandron, Tablet, 150 mg (NDC 66993-212-38)"/>
        <s v="Nitrofurantoin, Oral Suspension, 25 mg/5 mL (NDC 69238-2512-9)"/>
        <s v="Rectiv, Ointment, 0.4% (NDC 58914-301-80)"/>
        <s v="Oxaliplatin, Injection, 5 mg/mL (NDC 63323-750-10)"/>
        <s v="Oxaliplatin, Injection, 5 mg/mL (NDC 63323-750-20)"/>
        <s v="Oxaliplatin, Injection, 5 mg/1 mL (NDC 25021-233-10)"/>
        <s v="Oxaliplatin, Injection, 5 mg/1 mL (NDC 25021-233-20)"/>
        <s v="Ibrance, Capsule, 75 mg (NDC 0069-0187-21)"/>
        <s v="Ibrance, Capsule, 100 mg (NDC 0069-0188-21)"/>
        <s v="Palonosetron Hydrochloride, Injection, .25 mg/5 mL (NDC 0703-4094-01)"/>
        <s v="SOHONOS, Capsule, 2.5 mg (NDC 15054-0025-1)"/>
        <s v="Pegasys, Injection, 180 ug/1 mL (NDC 82154-0449-1)"/>
        <s v="Pegasys, Injection, 180 ug/.5 mL (NDC 82154-0451-4)"/>
        <s v="Lentocilin, Injection, 1200000 U/4 mL (NDC 84383-110-01)"/>
        <s v="Bicillin L-A, Injection, 600000 [iU]/1 mL (NDC 60793-700-10)"/>
        <s v="Bicillin L-A, Injection, 1200000 [iU]/2 mL (NDC 60793-701-10)"/>
        <s v="Bicillin L-A, Injection, 2400000 [iU]/4 mL (NDC 60793-702-10)"/>
        <s v="Pentamidine Isethionate, Injection, 300 mg/3 mL (NDC 39822-3050-2)"/>
        <s v="Nipent, Injection, 10 mg, single dose vial (NDC 0409-0801-01)"/>
        <s v="DELFLEX® w/Dextrose, Solution, 1.5% Low Mg/Low Ca 2L, 5/cs (NDC 46163-206-92)"/>
        <s v="DELFLEX® w/Dextrose, Solution, 4.25% Low Mg/Low Ca 2L, 5/cs (NDC 46163-212-92)"/>
        <s v="DELFLEX® w/Dextrose, Solution, 4.25% Low Mg/Low Ca 2.5L/3L, 5/cs (NDC 46163-212-94)"/>
        <s v="DELFLEX® w/Dextrose, Solution, 1.5% Low Mg/Low Ca 2.5L/3L, 5/cs (NDC 49230-206-94)"/>
        <s v="DELFLEX® w/Dextrose, Solution, 2.5% Low Mg/Low Ca 2L, 5/cs (NDC 49230-209-92)"/>
        <s v="DELFLEX® w/Dextrose, Solution, 2.5% Low Mg/Low Ca 2.5L/3L, 5/cs (NDC 49230-209-94)"/>
        <s v="Phenobarbital, Tablet, 16.2 mg (NDC 0603-5165-21)"/>
        <s v="Phenobarbital, Tablet, 16.2 mg (NDC 0603-5165-32)"/>
        <s v="Phenobarbital, Tablet, 32.4 mg (NDC 0603-5166-21)"/>
        <s v="Phenobarbital, Tablet, 32.4 mg (NDC 0603-5166-32)"/>
        <s v="Phenobarbital, Tablet, 64.8 mg (NDC 0603-5167-21)"/>
        <s v="Phenobarbital, Tablet, 64.8 mg (NDC 0603-5167-32)"/>
        <s v="Phenobarbital, Tablet, 97.2 mg (NDC 0603-5168-21)"/>
        <s v="Phenobarbital, Tablet, 97.2 mg (NDC 0603-5168-32)"/>
        <s v="Dibenzyline, Capsule, 10 mg (NDC 59212-001-01)"/>
        <s v="Dibenzyline, Capsule, 10 mg (NDC 59212-001-02)"/>
        <s v="Dibenzyline, Capsule, 10 mg (NDC 66993-066-02)"/>
        <s v="Vuity, Ophthalmic Solution, 12.5 mg/1 mL (NDC 0074-7098-01)"/>
        <s v="Vuity, Ophthalmic Solution, 12.5 mg/1 mL (NDC 0074-7098-03)"/>
        <s v="Vuity, Ophthalmic Solution, 12.5 mg/1 mL (NDC 0074-7098-04)"/>
        <s v="Vuity, Ophthalmic Solution, 12.5 mg/1 mL (NDC 0074-7098-05)"/>
        <s v="Vuity, Ophthalmic Solution, 12.5 mg/1 mL (NDC 0074-7098-06)"/>
        <s v="Pindolol, Tablet, 5 mg (NDC 57664-655-88)"/>
        <s v="Pindolol, Tablet, 10 mg (NDC 57664-656-88)"/>
        <s v="Piperacillin and Tazobactam, Injection, 2.25 g vial (NDC 65219-434-20)"/>
        <s v="Plerixafor, Injection, 24 mg per 1.2 mL (20 mg per mL) (NDC 65219-284-12)"/>
        <s v="Condylox , Topical Gel, 0.5% (NDC 0023-6118-03)"/>
        <s v="Podocon 25, Topical Tincture, 1 mg/4 mL (NDC 0574-0601-15)"/>
        <s v="Plenvu, Oral Solution, KIT (NDC 65649-400-01)"/>
        <s v="Noxafil, Injection, 18 mg/1 mL (NDC 0085-4331-01)"/>
        <s v="Potassium Chloride, Tablet, Extended Release, 10 meq (NDC 62037-710-01)"/>
        <s v="Potassium Chloride, Tablet, Extended Release, 20 meq (NDC 62037-720-01)"/>
        <s v="Potassium Chloride, Tablet, Extended Release, 20 meq (NDC 62037-720-05)"/>
        <s v="Potassium Chloride, Tablet, Extended Release, 20 meq (NDC 62037-720-10)"/>
        <s v="Cardioplegic Solution, Injection, Solution, 17.6 mg/100 mL; 325.3 mg/100 mL; 119.3 mg/100 mL; 643 mg/100 mL (NDC 65219-258-10)"/>
        <s v="SymlinPen® 60 , Injection, 1000 ug/1 mL (NDC 0310-6615-02)"/>
        <s v="SymlinPen® 120 , Injection, 1000 ug/1 mL (NDC 0310-6627-02)"/>
        <s v="Minipress, Capsule, 1 mg (NDC 0069-4310-71)"/>
        <s v="Minipress, Capsule, 2 mg (NDC 0069-4370-71)"/>
        <s v="Minipress, Capsule, 5 mg (NDC 0069-4380-71)"/>
        <s v="Crinone, Vaginal Gel, 4% (NDC 0023-6150-04)"/>
        <s v="Promethazine Hydrochloride, Injection, 25 mg/1 mL (NDC 39822-5525-3)"/>
        <s v="Promethazine Hydrochloride, Injection, 50 mg/1 mL (NDC 39822-5550-6)"/>
        <s v="Promethazine Hydrochloride, Injection, 25 mg/1 mL (NDC 0641-0928-25)"/>
        <s v="Promethazine Hydrochloride, Injection, 50 mg/1 mL (NDC 0641-0929-25)"/>
        <s v="Promethazine Hydrochloride, Injection, 25 mg/1 mL (NDC 0641-1495-35)"/>
        <s v="Promethazine Hydrochloride, Injection, 50 mg/1 mL (NDC 0641-1496-35)"/>
        <s v="Phenergan, Injection, 25 mg/1 mL (NDC 0641-6084-25)"/>
        <s v="Phenergan, Injection, 50 mg/1 mL (NDC 0641-6085-25)"/>
        <s v="Phenergan, Injection, 25 mg/1 mL (NDC 0641-6082-25)"/>
        <s v="Phenergan, Injection, 50 mg/1 mL (NDC 0641-6083-25)"/>
        <s v="Propranolol Hydrochloride, Injection, 1 mg/1 mL (NDC 63323-604-01)"/>
        <s v="Propranolol Hydrochloride, Injection, 1 mg/1 mL (NDC 0143-9872-10)"/>
        <s v="Quinapril Hydrochloride, Tablet, 5 mg (NDC 62135-484-60)"/>
        <s v="Quinapril Hydrochloride, Tablet, 10 mg (NDC 62135-485-90)"/>
        <s v="Quinapril Hydrochloride, Tablet, 20 mg (NDC 62135-486-90)"/>
        <s v="Quinapril Hydrochloride, Tablet, 40 mg (NDC 62135-487-90)"/>
        <s v="Quinapril Hydrochloride, Tablet, 5 mg (NDC 43547-410-09)"/>
        <s v="Quinapril Hydrochloride, Tablet, 10 mg (NDC 43547-411-09)"/>
        <s v="Quinapril Hydrochloride, Tablet, 20 mg (NDC 43547-412-09)"/>
        <s v="Quinapril Hydrochloride, Tablet, 40 mg (NDC 43547-413-09)"/>
        <s v="Quinapril Hydrochloride, Tablet, 5 mg (NDC 68180-556-09)"/>
        <s v="Quinapril Hydrochloride, Tablet, 10 mg (NDC 68180-557-09)"/>
        <s v="Quinapril Hydrochloride, Tablet, 20 mg (NDC 68180-558-09)"/>
        <s v="Quinapril Hydrochloride, Tablet, 40 mg (NDC 68180-554-09)"/>
        <s v="Quinapril Hydrochloride, Tablet, 5 mg (NDC 65862-617-90)"/>
        <s v="Quinapril Hydrochloride, Tablet, 10 mg (NDC 65862-618-90)"/>
        <s v="Quinapril Hydrochloride, Tablet, 40 mg (NDC 65862-620-90)"/>
        <s v="Quinapril Hydrochloride And Hydrochlorothiazide, Tablet, 12.5 mg; 10 mg (NDC 65862-161-90)"/>
        <s v="Quinapril Hydrochloride And Hydrochlorothiazide, Tablet, 12.5 mg; 20 mg (NDC 65862-162-90)"/>
        <s v="Quinapril Hydrochloride And Hydrochlorothiazide, Tablet, 25 mg; 20 mg (NDC 65862-163-90)"/>
        <s v="Quinapril/Hydrochlorothiazide, Tablet, 25 mg; 20 mg (NDC 62135-669-90)"/>
        <s v="Quinapril/Hydrochlorothiazide, Tablet, 12.5 mg; 20 mg (NDC 62135-668-90)"/>
        <s v="Quinapril/Hydrochlorothiazide, Tablet, 12.5 mg; 10 mg (NDC 62135-667-90)"/>
        <s v="Rozerem, Tablet, 8 mg (NDC 64764-805-10)"/>
        <s v="Rozerem, Tablet, 8 mg (NDC 64764-805-30)"/>
        <s v="Ultiva, Injection, 1 mg/1 mL (NDC 72078-034-01)"/>
        <s v="Ultiva, Injection, 2 mg (NDC 72078-035-02)"/>
        <s v="Ultiva, Injection, 5 mg (NDC 72078-036-05)"/>
        <s v="Remifentanil Hydrochloride, Injection, 1 mg per vial (NDC 0143-9391-10)"/>
        <s v="Remifentanil Hydrochloride, Injection, 2 mg per vial (NDC 0143-9392-10)"/>
        <s v="Remifentanil Hydrochloride, Injection, 5 mg per vial (NDC 0143-9393-10)"/>
        <s v="Remifentanil Hydrochloride, Injection, 1 mg/1 mL (NDC 63323-723-03)"/>
        <s v="Remifentanil Hydrochloride, Injection, 1 mg/1 mL (NDC 63323-724-05)"/>
        <s v="Remifentanil Hydrochloride, Injection, 1 mg/1 mL (NDC 63323-725-10)"/>
        <s v="Photrexa Cross-linking Kit, Ophthalmic Solution, Kit (NDC 25357-025-03)"/>
        <s v="Rifampin, Capsule, 150 mg (NDC 42806-801-30)"/>
        <s v="Rifampin, Capsule, 150 mg (NDC 42806-801-01)"/>
        <s v="Rifampin, Capsule, 300 mg (NDC 42806-799-30)"/>
        <s v="Rifampin, Capsule, 300 mg (NDC 42806-799-60)"/>
        <s v="Rifampin, Capsule, 300 mg (NDC 42806-799-01)"/>
        <s v="Rifampin, Capsule, 300 mg (NDC 42806-799-05)"/>
        <s v="Rifampin, Capsule, 150 mg (NDC 68180-658-06)"/>
        <s v="Rifampin, Capsule, 300 mg (NDC 68180-659-06)"/>
        <s v="Rifampin, Capsule, 300 mg (NDC 68180-659-07)"/>
        <s v="Rifampin, Injection, 600 mg (NDC 63323-351-20)"/>
        <s v="Rifadin, Injection, 600 mg (NDC 0068-0597-01)"/>
        <s v="Rifampin, Injection, 600 mg (NDC 67457-445-60)"/>
        <s v="Rifadin, Injection, 600 mg/10 mL (NDC 0068-0597-01)"/>
        <s v="Priftin, Tablet, Film Coated, 150 mg (NDC 0088-2102-24)"/>
        <s v="Teglutik, Oral Suspension, 5 mg/1 mL (NDC 70726-0305-1)"/>
        <s v="Teglutik, Oral Suspension, 5 mg/1 mL (NDC 70726-0306-1)"/>
        <s v="Tiglutik, Oral Suspension, 50 mg/10 mL (NDC 70726-0303-1)"/>
        <s v="Teglutik, Oral Suspension, 5 mg/1 mL (NDC 70726-0304-1)"/>
        <s v="Norvir, Oral Powder, 100 mg (NDC 0074-3399-30)"/>
        <s v="Norvir, Tablet, 100 mg (NDC 0074-2340-30)"/>
        <s v="Xarelto, For Suspension, 155 mg (NDC 50458-575-01)"/>
        <s v="Rivastigmine, Film, Extended Release, 4.6 mg/24 h (NDC 0378-9070-93)"/>
        <s v="Rocuronium Bromide, Injection, 10 mg/1 mL (NDC 71288-700-06)"/>
        <s v="Rocuronium Bromide, Injection, 10 mg/1 mL (NDC 71288-718-11)"/>
        <s v="Rocuronium Bromide, Injection, 10 mg/1 mL (NDC 65219-065-05)"/>
        <s v="Rocuronium Bromide, Injection, 50 mg/5 mL (NDC 66794-228-41)"/>
        <s v="Rocuronium Bromide, Injection, 100 mg/10 mL (NDC 66794-229-41)"/>
        <s v="Rocuronium Bromide, Injection, 10 mg/1 mL (NDC 67457-228-10)"/>
        <s v="Rocuronium Bromide, Injection, 100 mg/10 mL (NDC 55150-226-10)"/>
        <s v="Rocuronium Bromide, Injection, 50 mg/5 mL (NDC 55150-225-05)"/>
        <s v="Rocuronium Bromide, Injection, 50 mg/5 mL (NDC 43066-007-10)"/>
        <s v="Rocuronium Bromide, Injection, 100 mg/10 mL (NDC 43066-013-10)"/>
        <s v="Rocuronium Bromide, Injection, 10 mg/1 mL (NDC 0143-9250-10)"/>
        <s v="Rocuronium Bromide, Injection, 10 mg/1 mL (NDC 0143-9251-10)"/>
        <s v="Rocuronium Bromide, Injection, 10 mg/1 mL (NDC 65219-444-10)"/>
        <s v="Rocuronium Bromide, Injection, 10 mg/1 mL (NDC 65219-442-05)"/>
        <s v="Rocuronium Bromide, Injection, 10 mg/1 mL (NDC 63323-426-05)"/>
        <s v="Rocuronium Bromide, Injection, 10 mg/1 mL (NDC 63323-426-10)"/>
        <s v="Rocuronium Bromide, Injection, 50 mg/5 mL (NDC 39822-4200-2)"/>
        <s v="Rocuronium Bromide, Injection, 100 mg/10 mL (NDC 39822-4200-6)"/>
        <s v="Rocuronium Bromide, Injection, 10 mg/1 mL (NDC 25021-687-05)"/>
        <s v="Rocuronium Bromide, Injection, 10 mg/1 mL (NDC 67457-228-05)"/>
        <s v="Rocuronium Bromide, Injection, 10 mg/1 mL (NDC 0781-3220-95)"/>
        <s v="Rocuronium Bromide, Injection, 10 mg/1 mL (NDC 0781-3220-92)"/>
        <s v="Rocuronium Bromide, Injection, 50 mg/5 mL (10 mg/mL) (NDC 0409-3189-10)"/>
        <s v="Rocuronium Bromide, Injection, 50 mg/5 mL (10 mg/mL) (NDC 0409-1403-10)"/>
        <s v="Rocuronium Bromide, Injection, 100 mg/10 mL (10 mg/mL) (NDC 0409-7037-10)"/>
        <s v="Rocuronium Bromide, Injection, 100 mg/10 mL (10 mg/mL) (NDC 0409-5160-10)"/>
        <s v="Ropivacaine Hydrochloride, Injection, 2 mg/1 mL (NDC 25021-671-66)"/>
        <s v="Ropivacaine Hydrochloride, Injection, 2 mg/1 mL (NDC 25021-671-67)"/>
        <s v="Ropivacaine Hydrochloride, Injection, 5 mg/1 mL (NDC 70069-064-01)"/>
        <s v="Ropivacaine Hydrochloride, Injection, 5 mg/1 mL (NDC 70069-064-10)"/>
        <s v="Ropivacaine Hydrochloride, Injection, 5 mg/1 mL (NDC 70069-064-25)"/>
        <s v="Ropivacaine Hydrochloride, Injection, 2 mg/1 mL (NDC 43066-015-10)"/>
        <s v="Ropivacaine Hydrochloride, Injection, 5 mg/1 mL (NDC 43066-019-10)"/>
        <s v="Ropivacaine Hydrochloride, Injection, 5 mg/1 mL (NDC 43066-023-10)"/>
        <s v="Ropivacaine Hydrochloride, Injection, 10 mg/1 mL (NDC 43066-027-10)"/>
        <s v="Ropivacaine Hydrochloride, Injection, 5 mg/1 mL (NDC 25021-652-82)"/>
        <s v="Ropivacaine Hydrochloride, Injection, 5 mg/1 mL (NDC 25021-652-87)"/>
        <s v="Ropivacaine Hydrochloride, Injection, 2 mg/1 mL (NDC 25021-671-82)"/>
        <s v="Ropivacaine Hydrochloride, Injection, 2 mg/1 mL (NDC 25021-671-87)"/>
        <s v="Ropivacaine Hydrochloride, Injection, 2 mg/1 mL (NDC 55150-195-20)"/>
        <s v="Ropivacaine Hydrochloride, Injection, 2 mg/1 mL (NDC 55150-196-99)"/>
        <s v="Ropivacaine Hydrochloride, Injection, 5 mg/1 mL (NDC 55150-197-20)"/>
        <s v="Ropivacaine Hydrochloride, Injection, 5 mg/1 mL (NDC 55150-198-30)"/>
        <s v="Ropivacaine Hydrochloride, Injection, 7.5 mg/1 mL (NDC 55150-199-20)"/>
        <s v="Ropivacaine Hydrochloride, Injection, 10 mg/1 mL (NDC 55150-200-10)"/>
        <s v="Ropivacaine Hydrochloride, Injection, 10 mg/1 mL (NDC 55150-201-20)"/>
        <s v="Naropin, Injection, 2 mg/1 mL (NDC 63323-285-10)"/>
        <s v="Naropin, Injection, 2 mg/1 mL (NDC 63323-285-20)"/>
        <s v="Naropin, Injection, 5 mg/1 mL (NDC 63323-286-20)"/>
        <s v="Naropin, Injection, 7.5 mg/1 mL (NDC 63323-287-20)"/>
        <s v="Naropin, Injection, 10 mg/1 mL (NDC 63323-288-10)"/>
        <s v="Naropin, Injection, 10 mg/1 mL (NDC 63323-288-20)"/>
        <s v="Naropin, Injection, 2 mg/1 mL (NDC 63323-285-61)"/>
        <s v="Naropin, Injection, 2 mg/1 mL (NDC 63323-285-63)"/>
        <s v="Naropin, Injection, 2 mg/1 mL (NDC 63323-285-65)"/>
        <s v="Naropin, Injection, 2 mg/1 mL (NDC 63323-285-64)"/>
        <s v="Naropin, Injection, 5 mg/1 mL (NDC 63323-286-00)"/>
        <s v="Naropin, Injection, 5 mg/1 mL (NDC 63323-286-63)"/>
        <s v="Naropin, Injection, 2 mg/1 mL (NDC 63323-285-13)"/>
        <s v="Naropin, Injection, 2 mg/1 mL (NDC 63323-285-23)"/>
        <s v="Naropin, Injection, 5 mg/1 mL (NDC 63323-286-35)"/>
        <s v="Naropin, Injection, 5 mg/1 mL (NDC 63323-286-23)"/>
        <s v="Naropin, Injection, 7.5 mg/1 mL (NDC 63323-287-21)"/>
        <s v="Naropin, Injection, 10 mg/1 mL (NDC 63323-288-11)"/>
        <s v="Naropin, Injection, 10 mg/1 mL (NDC 63323-288-21)"/>
        <s v="Naropin, Injection, 5 mg/1 mL (NDC 63323-286-31)"/>
        <s v="Naropin, Injection, 2 mg/1 mL (NDC 65219-632-10)"/>
        <s v="Naropin, Injection, 2 mg/1 mL (NDC 65219-632-20)"/>
        <s v="Ropivacaine Hydrochloride, Injection, 2 mg/1 mL (NDC 70069-061-10)"/>
        <s v="Ropivacaine Hydrochloride, Injection, 2 mg/1 mL (NDC 70069-061-25)"/>
        <s v="Ropivacaine Hydrochloride, Injection, 2 mg/1 mL (NDC 70069-062-10)"/>
        <s v="Ropivacaine Hydrochloride, Injection, 2 mg/1 mL (NDC 70069-062-25)"/>
        <s v="Ropivacaine Hydrochloride, Injection, 5 mg/1 mL (NDC 70069-063-25)"/>
        <s v="Ropivacaine Hydrochloride, Injection, 10 mg/1 mL (NDC 70069-067-10)"/>
        <s v="Ropivacaine Hydrochloride, Injection, 10 mg/1 mL (NDC 70069-067-25)"/>
        <s v="Scopolamine, Transdermal System, 1 mg (NDC 45802-580-46)"/>
        <s v="Rybelsus, Tablet, 3 mg (NDC 0169-4303-30)"/>
        <s v="Rybelsus, Tablet, 7 mg (NDC 0169-4307-30)"/>
        <s v="Rybelsus, Tablet, 14 mg (NDC 0169-4314-30)"/>
        <s v="Sodium Acetate, Injection, 164 mg/1 mL (NDC 70069-047-25)"/>
        <s v="Sodium Acetate, Injection, 164 mg/1 mL (NDC 70069-048-20)"/>
        <s v="Sodium Acetate, Injection, 40 mEq/20mL (2 mEq/mL) (NDC 71357-002-10)"/>
        <s v="Sodium Acetate, Injection, 40 mEq/20mL (2 mEq/mL) (NDC 0641-6261-01)"/>
        <s v="Sodium Acetate, Injection, 100 mEq/50mL (2 mEq/mL) (NDC 0641-6262-01)"/>
        <s v="Sodium Acetate, Injection, 400 mEq/100mL (4 mEq/mL) (NDC 71357-009-10)"/>
        <s v="Sodium Acetate, Injection, 100 mEq/50 mL (2 mEq/mL) (NDC 0409-3299-05)"/>
        <s v="Sodium Acetate, Injection, 200 mEq/100 mL (2 mEq/mL) (NDC 0409-3299-06)"/>
        <s v="Sodium Acetate, Injection, 40 mEq/20 mL (2 mEq/mL) (NDC 0409-7299-73)"/>
        <s v="Sodium Acetate, Injection, 4 meq/100 mL (NDC 63323-032-00)"/>
        <s v="Sodium Acetate, Injection, 100 mEq/50mL (2 mEq/mL) (NDC 71357-007-10)"/>
        <s v="Sodium Acetate, Injection, 200 mEq/100mL (2 mEq/mL) (NDC 71357-008-10)"/>
        <s v="Sodium Acetate, Injection, 200 mEq/100 mL (2 mEq/mL) (NDC 0409-3299-25)"/>
        <s v="Sodium Acetate, Injection, 100 mEq/50 mL (2 mEq/mL) (NDC 0409-3299-26)"/>
        <s v="Sodium Acetate, Injection, 40 mEq/20 mL (2 mEq/mL) (NDC 0409-7299-25)"/>
        <s v="Sodium Bicarbonate, Injection, 84 mg/1 mL (NDC 51754-5011-4)"/>
        <s v="Sodium Bicarbonate, Injection, 42 mg/1 mL (NDC 51754-5012-4)"/>
        <s v="Sodium Bicarbonate, Injection, 2.5 mEq/5 mL (4.2%, 0.5 mEq/mL) (NDC 0409-5555-02)"/>
        <s v="Sodium Bicarbonate, Injection, 2.5 mEq/5 mL (4.2%, 0.5 mEq/mL) (NDC 0409-5555-01)"/>
        <s v="Sodium Bicarbonate, Injection, 50 mEq/50 mL (8.4%, 1 mEq/mL) (NDC 0409-6625-14)"/>
        <s v="Sodium Bicarbonate, Injection, 50 mEq/50 mL (8.4%, 1 mEq/mL) (NDC 0409-6625-35)"/>
        <s v="Sodium Bicarbonate, Injection, 84 mg/1 mL (NDC 51754-5001-5)"/>
        <s v="Sodium Bicarbonate, Injection, 84 mg/1 mL (NDC 76329-3352-1)"/>
        <s v="Sodium Bicarbonate, Injection, 42 mg/1 mL (NDC 63323-083-05)"/>
        <s v="Sodium Bicarbonate, Injection, 84 mg/1 mL (NDC 63323-089-50)"/>
        <s v="Sodium Bicarbonate, Injection, 84 mg/1 mL (NDC 81298-7620-3)"/>
        <s v="Sodium Bicarbonate, Injection, 84 mg/1 mL (NDC 0409-4900-14)"/>
        <s v="Sodium Bicarbonate, Injection, 75 mg/1 mL (NDC 0409-4916-14)"/>
        <s v="Sodium Bicarbonate, Injection, 42 mg/1 mL (NDC 0409-5534-14)"/>
        <s v="Sodium Bicarbonate, Injection, 84 mg/1 mL (NDC 0409-6637-14)"/>
        <s v="Sodium Chloride 0.9%, Injection, 250 mL  ADD-Vantage® Flexible Container (NDC 0409-7101-02)"/>
        <s v="Sodium Chloride 0.9%, Injection, 50 mL  ADD-Vantage® Flexible Container (NDC 0409-7101-66)"/>
        <s v="Sodium Chloride 0.9%, Injection, 100 mL  ADD-Vantage® Flexible Container (NDC 0409-7101-67)"/>
        <s v="Sodium Oxybate, Solution, .5 g/1 mL (NDC 69238-2391-1)"/>
        <s v="Norditropin, Injection, 30 mg/3 mL (NDC 0169-7703-21)"/>
        <s v="Aldactone, Tablet, 25 mg (NDC 0025-1001-31)"/>
        <s v="Aldactone, Tablet, 100 mg (NDC 0025-1031-31)"/>
        <s v="Sterile Water, Injection, 1 mL/1 mL (NDC 0641-6147-10)"/>
        <s v="Sterile Water, Injection, 1 mL/1 mL (NDC 0409-4887-10)"/>
        <s v="Sterile Water, Injection, 1 mL/1 mL (NDC 0409-4887-20)"/>
        <s v="Sterile Water, Injection, 1 mL/1 mL (NDC 0409-4887-50)"/>
        <s v="Sterile Water, Injection, 1 mL/1 mL (NDC 0409-4887-99)"/>
        <s v="Sterile Water For Injection In Plastic Container, Injection, 1 mL/1 mL (NDC 63323-185-10)"/>
        <s v="Sterile Water For Injection In Plastic Container, Injection, 1 mL/1 mL (NDC 63323-185-20)"/>
        <s v="Sterile Water For Injection In Plastic Container, Injection, 1 mL/1 mL (NDC 63323-185-50)"/>
        <s v="Sterile Water, Injection, 10 mL/10 mL (NDC 64253-020-30)"/>
        <s v="Bacteriostatic Water For Injection In Plastic Container, Injection, 1 mL/1 mL (NDC 0409-3977-03)"/>
        <s v="Sterile Water, Injection, 1000 mL/1000 mL (NDC 63323-178-76)"/>
        <s v="Sterile Water, Injection, 1 mL/1 mL (NDC 0487-6105-01)"/>
        <s v="Sterile Water In Plastic Container, Irrigant, 1 mL/1 mL (NDC 0990-6139-22)"/>
        <s v="Sterile Water In Plastic Container, Irrigant, 1 mL/1 mL (NDC 0990-6139-03)"/>
        <s v="Sterile Water In Plastic Container, Irrigant, 1 mL/1 mL (NDC 0990-7139-09)"/>
        <s v="Sterile Water In Plastic Container, Irrigant, 1 mL/1 mL (NDC 0990-7139-36)"/>
        <s v="Sterile Water, Irrigant, 100 mL/100 mL (NDC 0338-0004-02)"/>
        <s v="Sterile Water, Irrigant, 100 mL/100 mL (NDC 0338-0004-03)"/>
        <s v="Sterile Water, Irrigant, 100 mL/100 mL (NDC 0338-0004-04)"/>
        <s v="Sterile Water In Plastic Container, Irrigant, 1 mL/1 mL (NDC 0264-2101-10)"/>
        <s v="Sterile Water In Plastic Container, Irrigant, 1 mL/1 mL (NDC 0264-2101-00)"/>
        <s v="Zanosar, Powder, For Solution, 100 mg/1 mL (NDC 0703-4636-01)"/>
        <s v="Zanosar, Powder, For Solution, 1 g/10 mL (NDC 68118-100-01)"/>
        <s v="Succinylcholine Chloride, Injection, 20 mg/1 mL (NDC 63323-943-10)"/>
        <s v="Sufentanil Citrate, Injection, 50 ug/1 mL (NDC 0409-3382-21)"/>
        <s v="Sufentanil Citrate, Injection, 50 mcg/1 mL (NDC 17478-050-01)"/>
        <s v="Sufentanil Citrate, Injection, 50 mcg/1 mL (NDC 17478-050-02)"/>
        <s v="Sufentanil Citrate, Injection, 50 mcg/1 mL (NDC 17478-050-05)"/>
        <s v="Exelderm, Solution, 1.0% 5 mL (NDC 69489-721-05)"/>
        <s v="Exelderm, Solution, 1.0% 30 mL (NDC 69489-721-30)"/>
        <s v="Sulconazole Nitrate, Solution, 30 mL (NDC 72143-321-30)"/>
        <s v="Tazverik, Tablet, 200 mg (NDC 72607-100-00)"/>
        <s v="Technescan PYP, Injection, 11.9 mg/10 mL; 3.2 mg/10 mL (NDC 69945-094-20)"/>
        <s v="CIS-PYRO, Injection, 12 mg/10 mL (NDC 45567-0060-1)"/>
        <s v="CIS-PYRO, Injection, 12 mg/10 mL (NDC 45567-0060-2)"/>
        <s v="Tiagabine Hydrochloride, Tablet, 2mg 30 count (NDC 0093-5030-56)"/>
        <s v="Tiagabine Hydrochloride, Tablet, 4mg 30 count (NDC 0093-5031-56)"/>
        <s v="Tiagabine Hydrochloride, Tablet, 12mg 30 count (NDC 0093-8072-56)"/>
        <s v="Tiagabine Hydrochloride, Tablet, 16mg 30 count (NDC 0093-8076-56)"/>
        <s v="Tobramycin Sulfate, Injection, 80 mg/2 mL (40 mg/mL); 2 mL Multiple Dose Glass Fliptop Vial (NDC 0409-3578-01)"/>
        <s v="Travoprost, Ophthalmic Solution, 0.004%, 2.5 mL (NDC 0378-9651-32)"/>
        <s v="Travoprost, Ophthalmic Solution, 0.004%, 5 mL (NDC 0378-9651-50)"/>
        <s v="Triesence, Injection, 40 mg/1 mL (NDC 82667-800-01)"/>
        <s v="Hexatrione, Injection, 40 mg/2 mL (NDC 59137-570-01)"/>
        <s v="Ursodiol, Capsule, 300 mg (NDC 64380-844-06)"/>
        <s v="Valproate Sodium, Injection, 500 mg/5 mL (NDC 0143-9785-10)"/>
        <s v="Valproate Sodium, Injection, 100 mg/1 mL (NDC 63323-494-05)"/>
        <s v="Valsartan, Tablet, 40 mg (NDC 0378-5807-93)"/>
        <s v="Valsartan, Tablet, 80 mg (NDC 0378-5813-77)"/>
        <s v="Valsartan, Tablet, 160 mg (NDC 0378-5814-77)"/>
        <s v="Valsartan, Tablet, 320 mg (NDC 0378-5815-77)"/>
        <s v="Vancomycin Hydrochloride, Injection, 10 g Vial NovaPlus (NDC 0409-5017-01)"/>
        <s v="Verapamil Hydrochloride, Injection, 2.5 mg/1 mL (NDC 0409-9633-05)"/>
        <s v="Vigabatrin, Tablet, 500 mg (NDC 0054-0652-25)"/>
      </sharedItems>
    </cacheField>
    <cacheField name="Type of Update" numFmtId="0">
      <sharedItems>
        <s v="New"/>
        <s v="Revised"/>
        <s v="Reverified"/>
      </sharedItems>
    </cacheField>
    <cacheField name="Date of Update" numFmtId="164">
      <sharedItems containsSemiMixedTypes="0" containsDate="1" containsString="0">
        <d v="2025-11-03T00:00:00Z"/>
        <d v="2026-05-15T00:00:00Z"/>
        <d v="2026-01-13T00:00:00Z"/>
        <d v="2025-11-13T00:00:00Z"/>
        <d v="2026-08-27T00:00:00Z"/>
        <d v="2026-02-19T00:00:00Z"/>
        <d v="2026-05-21T00:00:00Z"/>
        <d v="2026-10-16T00:00:00Z"/>
        <d v="2026-10-19T00:00:00Z"/>
        <d v="2026-08-20T00:00:00Z"/>
        <d v="2026-10-23T00:00:00Z"/>
        <d v="2026-10-15T00:00:00Z"/>
        <d v="2026-10-21T00:00:00Z"/>
        <d v="2026-10-02T00:00:00Z"/>
        <d v="2026-10-13T00:00:00Z"/>
        <d v="2025-12-08T00:00:00Z"/>
        <d v="2025-11-19T00:00:00Z"/>
        <d v="2026-04-08T00:00:00Z"/>
        <d v="2026-02-24T00:00:00Z"/>
        <d v="2026-09-21T00:00:00Z"/>
        <d v="2026-07-23T00:00:00Z"/>
        <d v="2025-11-07T00:00:00Z"/>
        <d v="2026-10-14T00:00:00Z"/>
        <d v="2026-09-01T00:00:00Z"/>
        <d v="2026-10-03T00:00:00Z"/>
        <d v="2026-10-17T00:00:00Z"/>
        <d v="2026-09-11T00:00:00Z"/>
        <d v="2026-10-20T00:00:00Z"/>
        <d v="2026-06-08T00:00:00Z"/>
        <d v="2026-01-20T00:00:00Z"/>
        <d v="2026-04-09T00:00:00Z"/>
        <d v="2026-06-01T00:00:00Z"/>
        <d v="2026-01-27T00:00:00Z"/>
        <d v="2026-09-30T00:00:00Z"/>
        <d v="2026-07-30T00:00:00Z"/>
        <d v="2026-05-05T00:00:00Z"/>
        <d v="2026-07-17T00:00:00Z"/>
        <d v="2026-09-18T00:00:00Z"/>
        <d v="2025-12-04T00:00:00Z"/>
        <d v="2026-08-03T00:00:00Z"/>
        <d v="2025-12-19T00:00:00Z"/>
        <d v="2026-02-20T00:00:00Z"/>
        <d v="2026-10-08T00:00:00Z"/>
        <d v="2026-06-30T00:00:00Z"/>
        <d v="2026-01-12T00:00:00Z"/>
        <d v="2026-02-10T00:00:00Z"/>
        <d v="2026-06-15T00:00:00Z"/>
        <d v="2025-11-14T00:00:00Z"/>
        <d v="2026-05-06T00:00:00Z"/>
        <d v="2026-02-25T00:00:00Z"/>
        <d v="2026-02-27T00:00:00Z"/>
        <d v="2026-03-26T00:00:00Z"/>
        <d v="2026-09-02T00:00:00Z"/>
        <d v="2026-04-28T00:00:00Z"/>
        <d v="2026-03-27T00:00:00Z"/>
        <d v="2026-05-27T00:00:00Z"/>
        <d v="2026-07-02T00:00:00Z"/>
        <d v="2026-05-01T00:00:00Z"/>
        <d v="2026-06-05T00:00:00Z"/>
        <d v="2026-09-15T00:00:00Z"/>
        <d v="2026-10-01T00:00:00Z"/>
        <d v="2026-09-08T00:00:00Z"/>
        <d v="2026-10-06T00:00:00Z"/>
        <d v="2026-04-21T00:00:00Z"/>
        <d v="2026-10-05T00:00:00Z"/>
        <d v="2026-09-10T00:00:00Z"/>
        <d v="2026-08-13T00:00:00Z"/>
        <d v="2026-01-05T00:00:00Z"/>
        <d v="2026-08-24T00:00:00Z"/>
        <d v="2025-12-10T00:00:00Z"/>
        <d v="2026-06-17T00:00:00Z"/>
        <d v="2026-06-16T00:00:00Z"/>
        <d v="2026-01-06T00:00:00Z"/>
        <d v="2026-03-02T00:00:00Z"/>
        <d v="2026-10-07T00:00:00Z"/>
        <d v="2026-07-27T00:00:00Z"/>
        <d v="2025-11-12T00:00:00Z"/>
        <d v="2026-08-14T00:00:00Z"/>
        <d v="2026-08-10T00:00:00Z"/>
        <d v="2026-01-09T00:00:00Z"/>
        <d v="2026-05-07T00:00:00Z"/>
        <d v="2026-04-01T00:00:00Z"/>
        <d v="2026-04-07T00:00:00Z"/>
        <d v="2026-01-08T00:00:00Z"/>
        <d v="2026-09-09T00:00:00Z"/>
        <d v="2026-08-06T00:00:00Z"/>
        <d v="2026-03-24T00:00:00Z"/>
        <d v="2026-09-29T00:00:00Z"/>
        <d v="2026-04-20T00:00:00Z"/>
        <d v="2026-04-29T00:00:00Z"/>
        <d v="2026-09-22T00:00:00Z"/>
        <d v="2026-08-25T00:00:00Z"/>
        <d v="2026-05-14T00:00:00Z"/>
        <d v="2026-06-24T00:00:00Z"/>
        <d v="2026-06-29T00:00:00Z"/>
        <d v="2026-05-12T00:00:00Z"/>
        <d v="2026-09-16T00:00:00Z"/>
        <d v="2026-07-24T00:00:00Z"/>
        <d v="2026-08-31T00:00:00Z"/>
        <d v="2026-10-22T00:00:00Z"/>
        <d v="2025-12-22T00:00:00Z"/>
        <d v="2025-11-17T00:00:00Z"/>
        <d v="2025-10-29T00:00:00Z"/>
        <d v="2026-03-25T00:00:00Z"/>
        <d v="2025-12-01T00:00:00Z"/>
        <d v="2026-04-10T00:00:00Z"/>
        <d v="2026-04-14T00:00:00Z"/>
        <d v="2026-04-22T00:00:00Z"/>
        <d v="2026-03-23T00:00:00Z"/>
        <d v="2026-03-10T00:00:00Z"/>
        <d v="2025-10-31T00:00:00Z"/>
        <d v="2026-01-30T00:00:00Z"/>
        <d v="2026-03-13T00:00:00Z"/>
        <d v="2026-01-28T00:00:00Z"/>
        <d v="2025-12-02T00:00:00Z"/>
        <d v="2025-11-21T00:00:00Z"/>
        <d v="2025-10-27T00:00:00Z"/>
        <d v="2023-04-28T00:00:00Z"/>
        <d v="2026-03-19T00:00:00Z"/>
        <d v="2026-06-10T00:00:00Z"/>
        <d v="2026-06-04T00:00:00Z"/>
        <d v="2025-12-03T00:00:00Z"/>
        <d v="2025-12-29T00:00:00Z"/>
        <d v="2026-08-04T00:00:00Z"/>
        <d v="2026-05-08T00:00:00Z"/>
        <d v="2026-04-15T00:00:00Z"/>
        <d v="2026-07-07T00:00:00Z"/>
        <d v="2026-07-31T00:00:00Z"/>
        <d v="2026-04-06T00:00:00Z"/>
      </sharedItems>
    </cacheField>
    <cacheField name="Availability Information" numFmtId="0">
      <sharedItems containsBlank="1">
        <m/>
        <s v="Available"/>
        <s v="Unavailable"/>
        <s v="Limited Availability"/>
        <s v="Limited Availalbility"/>
        <s v="Unvailable"/>
        <s v="Limited Supply Available. Next Delivery and Estimated Recovery: June 2027"/>
      </sharedItems>
    </cacheField>
    <cacheField name="Related Information" numFmtId="0">
      <sharedItems containsBlank="1">
        <s v="Discontinuation of the manufacture of the drug"/>
        <s v="Equivalent Sandoz format is available."/>
        <m/>
        <s v="Discontinuation of the 100mg vial configuration"/>
        <s v="Estimated recovery: December 2026"/>
        <s v="This product is distributed by ICU Medical. For questions regarding this product, please contact ICU Medical."/>
        <s v="Estimated recovery: TBD. This product is distributed by ICU Medical. For questions regarding this product, please contact ICU Medical."/>
        <s v="Estimated recovery: TBD"/>
        <s v="Estimated recovery: April 2027"/>
        <s v="Estimated recovery: November 2026"/>
        <s v="Estimated availability: April 2027"/>
        <s v="Estimated recovery: October 2026"/>
        <s v="Discontinuation of private label only"/>
        <s v="A business decision was made to discontinue manufacture of the drug."/>
        <s v="To be discontinued in approximately early-September 2026."/>
        <s v="The global Cease Manufacture date for EVOTAZ® currently is estimated to begin April 2026."/>
        <s v="Next release October 2026. Check wholesalers for inventory."/>
        <s v="Next Delivery: November 2026; Estimated Recovery: December 2026; Shortage per Manufacturer: Manufacturing Delay"/>
        <s v="Estimated recovery: mid-September 2026"/>
        <s v="Estimated availability: November/December 2026"/>
        <s v="Product temporarily on backorder.  Additional lots will be available the end of October 2026."/>
        <s v="Available to existing customers"/>
        <s v="On backorder. Recovery: TBD. Check wholesalers for inventory"/>
        <s v="Discontinuation of the manufacture of the drug."/>
        <s v="Shortage is estimated for 24 months"/>
        <s v="A business decision has been made to discontinue manufacture of the drug."/>
        <s v="Check wholesalers for inventory"/>
        <s v="Historical NDC: 0409-1582-29"/>
        <s v="Meitheal Pharmaceuticals is distributor/labeler"/>
        <s v="Next Delivery and Estimated Recovery: December 2026; Shortage per Manufacturer: Manufacturing Delay"/>
        <s v="Distributed by Fosun Pharma USA Inc."/>
        <s v="Historical NDC: 0409-1610-50"/>
        <s v="Limited Supply Available. Next Delivery and Estimated Recovery: December 2026; Shortage per Manufacturer: Manufacturing Delay"/>
        <s v="Next release November 2026. Check wholesalers for inventory."/>
        <s v="Check wholesaler for inventory"/>
        <s v="A business decision was made to discontinue manufacture of the drug"/>
        <s v="Estimated recovery: TBD/ NDC non-Exempt"/>
        <s v="Discontinued; Distributed by BPI Labs, LLC"/>
        <s v="Distributed by BPI Labs, LLC"/>
        <s v="Recovery estimated in late Q4 2026; Distributed by BPI Labs, LLC"/>
        <s v="On backorder. Recovery: late-October 2026. Check wholesalers for inventory"/>
        <s v="Next release December 2026. Check wholesalers for inventory."/>
        <s v="Estimated recovery: December 2028"/>
        <s v="Limited Supply Available. Next Delivery: January 2027; Estimated Recovery: March 2027"/>
        <s v="Next Delivery: February 2027; Estimated Recovery: March 2027; Shortage per Manufacturer: Manufacturing Delay"/>
        <s v="Limited Supply Available. Next Delivery: November 2026; Estimated Recovery: December 2026; Shortage per Manufacturer: Manufacturing Delay"/>
        <s v="Next Delivery: January 2027; Estimated Recovery: March 2027; Shortage per Manufacturer: Manufacturing Delay"/>
        <s v="Limited Supply Available. Next Delivery and Estimated Recovery: December 2026"/>
        <s v="Limited Supply Available. Next Delivery: October 2026; Estimated Recovery: December 2026; Shortage per Manufacturer: Manufacturing Delay"/>
        <s v="Next Delivery: October 2026; Estimated Recovery: December 2026; Shortage per Manufacturer: Manufacturing Delay"/>
        <s v="Estimated recovery: January 2027"/>
        <s v="Estimated recovery: March 2027"/>
        <s v="Wholesaler &amp; Distributor through Marketing partner (Apotex Inc.); Discontinuation of the manufacture of the drug"/>
        <s v="Wholesaler &amp; Distributor through Marketing partner (Natco Pharma USA LLC)"/>
        <s v="Marketed by Sandoz, Inc.; Discontinuation of the manufacture of the drug"/>
        <s v="Supply expected to exhaust late June 2026; Discontinuation of the manufacture of the drug"/>
        <s v="Supply expected to exhaust November  2026; Discontinuation of the manufacture of the drug"/>
        <s v="Next Delivery and Estimated Recovery: December 2028; Shortage per Manufacturer: Manufacturing Delay"/>
        <s v="Selling through remaining short-dated inventory (Dec 2026)."/>
        <s v="Civica Label"/>
        <s v="Marketed by Advagen Pharma Ltd."/>
        <s v="Marketed by H2-Pharma"/>
        <s v="Estimated duration February 2027. Manufacturing delays. Marketed by H2-Pharma."/>
        <s v="Marketed by Solco Healthcare"/>
        <s v="Neurocrine is discontinuing only the 25 mg soft gel capsule dose strength (NDC 70370-5025-01). The 50mg and 100mg soft gel capsule dose strength (NDC 70370-5050-1 and 70370-5100-1), and 50 mg/mL oral solution will continue to be marketed (NDC 70370-5250-1"/>
        <s v="Distributed by Omnivium Pharmaceuticals LLC (888) 807-9195"/>
        <s v="No longer manufactured, some supplies still available in supply chain. Distributed by Woodward Pharma Services LLC (248) 308-1120 Ext 2"/>
        <s v="No longer manufactured, some supplies still available in supply chain. Distributed by Ritedose Pharmaceuticals, LLC (855) 806 3300"/>
        <s v="Discontinuation of the manufacture of the drug; Marketed by Hikma Pharmaceuticals USA, Inc."/>
        <s v="Labeler: BluePoint Laboratories; Discontinuation of the manufacture of the drug"/>
        <s v="Accord is transitioning to the 5-pack configuration (NDC 16729-710-53)."/>
        <s v="Discontinuation of the manufacture of the drug; Distributed by Sandoz, Inc."/>
        <s v="Replenishment expected mid to late November 2026"/>
        <s v="Checkwholesalers for inventory"/>
        <s v="Next release January 2027. Check wholesalers for inventory."/>
        <s v="Product temporarily on backorder.  Additional lots will be available in the November 2026 timeframe."/>
        <s v="Additional product will be made available as it is released."/>
        <s v="Product will be made available as it is released."/>
        <s v="Distributed by Civica"/>
        <s v="Discontinuation of the manufacture of the drug; Distributed by Avenacy; Contact information: 877-283-6229"/>
        <s v="Expected recovery: TBD"/>
        <s v="Marketed by WG Critical Care"/>
        <s v="Please check wholesalers for inventory"/>
        <s v="Distributed by Wilshire Pharmaceuticals, Inc."/>
        <s v="Estimated recovery: TBD; Please check wholesalers for inventory"/>
        <s v="Distributed by DRL"/>
        <s v="Marketed by Piramal Critical Care Inc.: 800-414-1901"/>
        <s v="Marketed by Sandoz Inc.; Customer service: 800-525-8747"/>
        <s v="Product discontinued. This product is distributed by ICU Medical. For questions regarding this product, please contact ICU Medical."/>
        <s v="Check wholealers for inventory"/>
        <s v="Next Delivery: October 2026; Estimated Recovery: March 2027; Shortage per Manufacturer: Manufacturing Delay"/>
        <s v="Next Delivery: November 2026; Estimated Recovery: December 2026. Shortage per Manufacturer: Manufacturing Delay"/>
        <s v="Distributed by Slate Run Pharmaceuticals, LLC, 1-844-529-8988"/>
        <s v="Next Delivery and Estimated Recovery: December 2027; Shortage per Manufacturer: Manufacturing Delay"/>
        <s v="Product temporarily on backorder. Additional lots will be available in the February 2027 timeframe."/>
        <s v="Additional lots will be available in the November 2026 timeframe.  Product will be made available as it is released."/>
        <s v="Available through limited distribution by Walgreens Specialty Pharmacy."/>
        <s v="Product expected to be available until March 2027"/>
        <s v="Discontinuation of the manufacture of the drug for the U.S. market. This decision is not related to product safety or quality concerns. FDA-approved generic enoxaparin products and other treatment options are available. Remaining inventory may continue to"/>
        <s v="Next Delivery: January 2027; Estimated Recovery: June 2027; Shortage per Manufacturer: Manufacturing Delay"/>
        <s v="Limited Supply Available. Next Delivery: April 2027; Estimated Recovery: June 2027; Shortage per Manufacturer: Manufacturing Delay"/>
        <s v="Limited Supply Available. Next Delivery and Estimated Recovery: June 2027; Shortage per Manufacturer: Manufacturing Delay"/>
        <s v="Limited Supply Available. Next Delivery: January 2027; Estimated Recovery: March 2027; Shortage per Manufacturer: Manufacturing Delay"/>
        <s v="Check wholesalers for inventory; Marketed by Armas Pharmaceuticals, Inc. 908-803-2586"/>
        <s v="Distributed by Fosun Pharma USA, Inc.. To order, contact: 833-291-9645."/>
        <s v="Novaplus label"/>
        <s v="Check wholesalers for inventory; Marketed by Fresenius Kabi"/>
        <s v="A business decision was made to withdraw from sale."/>
        <s v="Discontinuation in the manufacturing of the drug product"/>
        <s v="Additional lots will be scheduled for manufacturing to meet demand.  Product will be made available as it is released."/>
        <s v="Limited Supply Available. Next Delivery: October 2026; Estimated Recovery: December 2026"/>
        <s v="Limited Supply Available. Next Delivery: November 2026; Estimated Recovery: December 2026"/>
        <s v="Inventory available in vial presentations."/>
        <s v="Anticipated availability: Q4 2026; Delay is due to manufacturing delays at the contract manufacturing facility."/>
        <s v="The anticipated date that GSK will cease distribution of the presentation is approximately December 31, 2026.  The 120 dose presentation of this product will still be available."/>
        <s v="Distributed by Sagent Pharmaceuticals; Discontinuation of the manufacture of the drug"/>
        <s v="Distributed by Sagent Pharmaceuticals: 1-866-625-1618, Discontinued product"/>
        <s v="Estimated recovery: end October 2026"/>
        <s v="Available on allocation"/>
        <s v="Discontinuance of single dose vials, the other two Imaging Bulk Package(IBP) strengths are to remain in supply: the IBP strengths (18.1416 g/30 mL and 39.3068 g/65 mL); Marketed by Fresenius Kabi, USA"/>
        <s v="Marketed by Fresenius Kabi, USA; Discontinuation of the manufacture of the drug"/>
        <s v="Estimated recovery: late Q4 2026; Manufacturing delays"/>
        <s v="Next release not available at this time.  Check wholesalers for inventory."/>
        <s v="Additional lots are scheduled for manufacturing to meet demand.  Product will be made available as it is released."/>
        <s v="Cyanokit is available to order. To address the drug shortage, BTG International Inc (a SERB Pharmaceuticals company) coordinated with the U.S. Food and Drug Administration (FDA) to make the following impacted batches available to U.S. patients during this"/>
        <s v="Estimated recovery: mid-November 2026"/>
        <s v="Discontinuation of the manufacturer of the drug"/>
        <s v="Discontinuation in the manufacturing of the drug"/>
        <s v="To place an order, please contact GlobalRX at info@globalrx.com or (919) 245-8418"/>
        <s v="To be discontinued approximately 11/30/2026"/>
        <s v="To be discontinued on or near late September 2026."/>
        <s v="A business decision was made to discontinue manufacture of the drug. Distribution projected to end June 2027. If patients or prescribers have any questions, the Lilly Answers Center (1-800-545-5979) is available Monday through Friday from 9am to 8pm for a"/>
        <s v="A business decision has been made to discontinue of 2.5mL presentation only. Continuity of supply is forecasted across all other presentations of Iron Sucrose: 67457-639-10 Iron Sucrose 20mg/mL 10mL SDV 5PK 67457-638-10 Iron Sucrose 20mg/mL 5mL SDV 10PK 6"/>
        <s v="Discontinuation of the manufacture of the drug product"/>
        <s v="Product will be discontinued on 10/31/2026"/>
        <s v="Estimated recovery: end-October to mid-November 2026"/>
        <s v="Next Delivery and Estimated Recovery: December 2027"/>
        <s v="Next Delivery and Estimated Recovery: June 2027; Shortage per Manufacturer: Manufacturing Delay"/>
        <s v="The anticipated date that ViiV will cease distribution of the products is approximately April 15, 2027; Discontinuation of the manufacture of the drug"/>
        <s v="A business decision was made to discontinue manufacture of the 50 mg and 100 mg tablets. Distribution will end on May 31, 2026."/>
        <s v="Distributed by Avenacy, LLC"/>
        <s v="On backorder. Recovery: mid-November 2026; Check wholesalers for inventory"/>
        <s v="On backorder. Recovery: late October 2026; Check wholesalers for inventory"/>
        <s v="On backorder. Recovery: late-November 2026; Check wholesalers for inventory"/>
        <s v="Additional lots are scheduled to be manufactured.  Product will be made available as it is released."/>
        <s v="Next Delivery and Estimated Recovery: March 2027; Shortage per Manufacturer: Manufacturing Delay"/>
        <s v="Product will be available until discontinuation in January 2027"/>
        <s v="Distributed by Teva"/>
        <s v="Estimated shortage duration: TBD"/>
        <s v="Product will be available until discontinuation in January 2027; Discontinuation of the manufacture of the drug"/>
        <s v="On allocation"/>
        <s v="Limited Supply Available. Next Delivery and Estimated Recovery: June 2027"/>
        <s v="Supply expected to exhaust 6/30/2026; NDC 0069-0227-01 25 mg; 30 tablets bottle with a child-resistant closure will continue to be manufactured; Discontinuation of the manufacture of this presentation"/>
        <s v="The anticipated date that GSK will cease distribution of the product is approximately August 1, 2026."/>
        <s v="Discontinuation of the manufacture of the drug; Withdrawal from sale expected September 2026."/>
        <s v="Discontinuation of the manufacture of the drug; Withdrawal from sale expected early October 2026."/>
        <s v="Product is anticipated to be available until December 31, 2027"/>
        <s v="A business decision was made was discontinue manufacture of the drug product."/>
        <s v="Additional lots will be available in the November 2026 timeframe.  Short Dated Prodcut Available."/>
        <s v="Additional lots will be available in the October 2026 timeframe.  Product will be made available as it is released."/>
        <s v="Estimated Recovery: Novemeber 2026"/>
        <s v="Short dated inventory with expiry of 8/31/2027 available; Estimated recovery: Jan 2027"/>
        <s v="Distributed by Padagis US LLC"/>
        <s v="Allocation to current contracted customers"/>
        <s v="Currently not marketed"/>
        <s v="Limited product available. Estimated recovery: October 2026"/>
        <s v="Estimated recovery: November 2026, Product on hand is 8-12 months of dating prior to expiry"/>
        <s v="Estimated recovery: late October 2026/November 2026"/>
        <s v="Next Delivery: November 2026; Estimated Recovery: December 2026"/>
        <s v="Labeler: Hospira Inc."/>
        <s v="Estimated recovery: November 2026; Marketed by Sagent Pharmaceuticals"/>
        <s v="Limited Supply Available. Next Delivery: December 2026; Estimated Recovery: March 2027"/>
        <s v="Estimated recovery: TBD; Distributed by Sagent Pharmaceuticals"/>
        <s v="Please check wholesalers and distributors for inventory."/>
        <s v="Additional lots are scheduled to be manufactured. Product will be made available as it is released."/>
        <s v="Next Estimated Delivery and Estimated Recovery: December 2026"/>
        <s v="Limited Supply Available. Next Delivery: October 2026; Estimated Recovery: March 2027"/>
        <s v="Next Delivery: January 2027; Estimated Recovery: March 2027"/>
        <s v="A business decision was made to discontinue. Distribution will end April 2026. The 200 mg/2 mL injection presentation (NDC 0002-3116-11) will remain."/>
        <s v="A business decision was made to discontinue. Distribution will end April 2026. The 200 mg/2 mL injection presentation (NDC 0002-1442-11) will remain."/>
        <s v="Next Delivery: February 2027; Estimated Recovery: June 2027; Shortage per Manufacturer: Manufacturing Delay"/>
        <s v="Product to expire in March 2026; Discontinuation of the manufacture of the drug"/>
        <s v="Marketed by Sagent Pharmaceuticals; Discontinuation of the manufacture of the drug"/>
        <s v="Discontinuation of the manufacturing of the capsule presentation. 75 mg Tablet &#10;NDC 0069-0284-03 will continue to be manufactured."/>
        <s v="Discontinuation of the manufacturing of the capsule presentation. 100 mg Tablet NDC 0069-0486-03 will continue to be manufactured."/>
        <s v="Next Delivery: October 2027; Estimated Recovery: December 2027; Shortage per Manufacturer: Manufacturing Delay"/>
        <s v="Limited Supply Available. Next Delivery: November 2026; Estimated Recovery: September 2027; Shortage per Manufacturer: Manufacturing Delay"/>
        <s v="The NDC codes are being discontinued, to be replaced with NDC labeler code #46163."/>
        <s v="Discontinuation of the manufacture of the drug; Expiry date of last distributed batch January 2027"/>
        <s v="Discontinuation of the manufacture of the drug; Expiry date of last distributed batch October 2026"/>
        <s v="Discontinuation of the manufacture of the drug. Supply expected to exhaust in August 2023"/>
        <s v="Discontinuation of the manufacture of the drug. Supply expected to exhaust in September 2023"/>
        <s v="Next release: November 2026. Check wholesalers for inventory."/>
        <s v="Not available. Long-term backorder for all NDCs. No estimated release date at this time."/>
        <s v="Product is expected to be available through February 2027."/>
        <s v="Product is expected to be available through June 2027."/>
        <s v="Discontinuing manufacture of the product as of July 2026."/>
        <s v="Estimated recovery: Q4 2026"/>
        <s v="Business Decision"/>
        <s v="Additional lots will be available.  Product will be made available as it is released."/>
        <s v="Additional lots will be available. Product will be made available as it is released."/>
        <s v="Tamarang is the application holder and X-Gen is the distributor/labeler"/>
        <s v="Marketed by Sagent Pharmaceuticals"/>
        <s v="Estimated recovery: TBD; Marketed by Sagent Pharmaceuticals"/>
        <s v="Check wholesalers for inventory; Marketed by Baxter"/>
        <s v="Limited supply; Check wholesalers for inventory; Marketed by Baxter"/>
        <s v="Discontinuation of the manufacture of the drug. These products will be replaced by Ozempic (semaglutide) tablets."/>
        <s v="Limited Supply Available. Next Delivery: February 2027; Estimated Recovery: March 2027"/>
        <s v="Check wholesalers for inventory."/>
        <s v="Small amount of inventory available with 12/31/2026 dating"/>
        <s v="Product temporarily unavailable. Estimated recovery: TBD. This product is distributed by ICU Medical. For questions regarding this product, please contact ICU Medical."/>
        <s v="Not currently manufactured"/>
        <s v="Discontinuation of the manufacture of the drug. Manufactured for JG Pharma"/>
        <s v="The decision to discontinue this drug product was due to a business decision and not due to any reasons of safety or effectiveness."/>
      </sharedItems>
    </cacheField>
    <cacheField name="Resolved Note" numFmtId="0">
      <sharedItems containsBlank="1">
        <m/>
        <s v="Available"/>
        <s v="(NDC 82154-0451-4) – Available"/>
      </sharedItems>
    </cacheField>
    <cacheField name="Reason for Shortage" numFmtId="0">
      <sharedItems containsBlank="1">
        <m/>
        <s v="Shortage of an inactive ingredient component"/>
        <s v="Shortage of an active ingredient"/>
        <s v="Demand increase for the drug"/>
        <s v="Other"/>
        <s v="Requirements related to complying with good manufacturing practices"/>
        <s v="Discontinuation of the manufacture of the drug"/>
        <s v="Delay in shipping of the drug"/>
        <s v="Regulatory delay"/>
      </sharedItems>
    </cacheField>
    <cacheField name="Therapeutic Category" numFmtId="0">
      <sharedItems>
        <s v="Analgesia/Addiction"/>
        <s v="Other"/>
        <s v="Rheumatology"/>
        <s v="Pediatric; Pulmonary/Allergy"/>
        <s v="Pulmonary/Allergy; Pediatric"/>
        <s v="Oncology; Renal; Rheumatology"/>
        <s v="Cardiovascular; Hematology; Neurology"/>
        <s v="Gastroenterology"/>
        <s v="Psychiatry"/>
        <s v="Anti-Infective"/>
        <s v="Hematology"/>
        <s v="Oncology"/>
        <s v="Analgesia/Addiction; Cardiovascular"/>
        <s v="Antiviral"/>
        <s v="Anesthesia; Neurology; Pediatric"/>
        <s v="Anti-Infective; Ophthalmology"/>
        <s v="Neurology"/>
        <s v="Cardiovascular"/>
        <s v="Anesthesia"/>
        <s v="Endocrinology/Metabolism"/>
        <s v="Cardiovascular; Endocrinology/Metabolism"/>
        <s v="Renal"/>
        <s v="Anti-Infective; Pediatric"/>
        <s v="Reproductive"/>
        <s v="Neurology; Pediatric; Psychiatry"/>
        <s v="Pulmonary/Allergy"/>
        <s v="Dermatology"/>
        <s v="Dermatology; Endocrinology/Metabolism; Gastroenterology; Hematology; Neurology; Oncology; Ophthalmology; Other; Pulmonary/Allergy; Rheumatology"/>
        <s v="Endocrinology/Metabolism; Gastroenterology; Other; Pediatric"/>
        <s v="Endocrinology/Metabolism; Gastroenterology; Pediatric"/>
        <s v="Musculoskeletal; Rheumatology"/>
        <s v="Cardiovascular; Pediatric; Renal"/>
        <s v="Ophthalmology"/>
        <s v="Anesthesia; Pediatric"/>
        <s v="Transplant"/>
        <s v="Analgesia/Addiction; Pediatric"/>
        <s v="Neurology; Other"/>
        <s v="Oncology; Other"/>
        <s v="Medical Imaging"/>
        <s v="Inborn Errors"/>
        <s v="Analgesia/Addiction; Other"/>
        <s v="Anti-Infective; Other; Rheumatology"/>
        <s v="Oncology; Pediatric"/>
        <s v="Anti-Infective; Other"/>
        <s v="Urology"/>
        <s v="Rheumatology; Oncology"/>
        <s v="Anesthesia; Neurology"/>
        <s v="Gastroenterology; Other"/>
        <s v="Musculoskeletal"/>
        <s v="Analgesia/Addiction; Neurology; Other"/>
        <s v="Dermatology; Other"/>
        <s v="Endocrinology/Metabolism; Gastroenterology"/>
        <s v="Analgesia/Addiction; Gastroenterology; Other; Pulmonary/Allergy"/>
        <s v="Analgesia/Addiction; Gastroenterology; Pediatric; Pulmonary/Allergy"/>
        <s v="Gastroenterology; Neurology; Other"/>
        <s v="Endocrinology/Metabolism; Gastroenterology; Pediatric; Total Parenteral Nutrition"/>
        <s v="Total Parenteral Nutrition"/>
        <s v="Gastroenterology; Other; Renal"/>
        <s v="Gastroenterology; Other; Pediatric"/>
      </sharedItems>
    </cacheField>
    <cacheField name="Status" numFmtId="0">
      <sharedItems>
        <s v="To Be Discontinued"/>
        <s v="Resolved"/>
        <s v="Current"/>
      </sharedItems>
    </cacheField>
    <cacheField name="Change Date" numFmtId="0">
      <sharedItems containsDate="1" containsString="0" containsBlank="1">
        <m/>
        <d v="2026-08-27T00:00:00Z"/>
        <d v="2026-09-30T00:00:00Z"/>
        <d v="2025-01-03T00:00:00Z"/>
        <d v="2023-04-28T00:00:00Z"/>
        <d v="2026-08-06T00:00:00Z"/>
        <d v="2026-07-31T00:00:00Z"/>
      </sharedItems>
    </cacheField>
    <cacheField name="Date Discontinued" numFmtId="164">
      <sharedItems containsDate="1" containsString="0" containsBlank="1">
        <d v="2025-11-03T00:00:00Z"/>
        <d v="2026-05-15T00:00:00Z"/>
        <d v="2026-01-13T00:00:00Z"/>
        <d v="2025-11-13T00:00:00Z"/>
        <m/>
        <d v="2026-02-19T00:00:00Z"/>
        <d v="2026-05-21T00:00:00Z"/>
        <d v="2025-12-08T00:00:00Z"/>
        <d v="2025-11-19T00:00:00Z"/>
        <d v="2026-04-08T00:00:00Z"/>
        <d v="2026-02-24T00:00:00Z"/>
        <d v="2026-09-21T00:00:00Z"/>
        <d v="2026-07-23T00:00:00Z"/>
        <d v="2025-11-07T00:00:00Z"/>
        <d v="2026-01-20T00:00:00Z"/>
        <d v="2026-04-09T00:00:00Z"/>
        <d v="2026-01-27T00:00:00Z"/>
        <d v="2026-05-05T00:00:00Z"/>
        <d v="2025-12-04T00:00:00Z"/>
        <d v="2026-08-03T00:00:00Z"/>
        <d v="2025-12-19T00:00:00Z"/>
        <d v="2026-02-20T00:00:00Z"/>
        <d v="2026-06-01T00:00:00Z"/>
        <d v="2026-06-30T00:00:00Z"/>
        <d v="2026-01-12T00:00:00Z"/>
        <d v="2026-02-10T00:00:00Z"/>
        <d v="2025-11-14T00:00:00Z"/>
        <d v="2026-05-06T00:00:00Z"/>
        <d v="2026-09-11T00:00:00Z"/>
        <d v="2026-02-25T00:00:00Z"/>
        <d v="2026-02-27T00:00:00Z"/>
        <d v="2026-03-26T00:00:00Z"/>
        <d v="2026-04-28T00:00:00Z"/>
        <d v="2026-06-08T00:00:00Z"/>
        <d v="2026-03-27T00:00:00Z"/>
        <d v="2026-05-27T00:00:00Z"/>
        <d v="2026-07-02T00:00:00Z"/>
        <d v="2026-06-05T00:00:00Z"/>
        <d v="2026-10-14T00:00:00Z"/>
        <d v="2026-04-21T00:00:00Z"/>
        <d v="2026-09-10T00:00:00Z"/>
        <d v="2026-08-13T00:00:00Z"/>
        <d v="2026-01-05T00:00:00Z"/>
        <d v="2026-08-24T00:00:00Z"/>
        <d v="2026-06-15T00:00:00Z"/>
        <d v="2025-12-10T00:00:00Z"/>
        <d v="2026-07-30T00:00:00Z"/>
        <d v="2026-06-17T00:00:00Z"/>
        <d v="2026-10-20T00:00:00Z"/>
        <d v="2026-01-06T00:00:00Z"/>
        <d v="2026-03-02T00:00:00Z"/>
        <d v="2026-10-01T00:00:00Z"/>
        <d v="2026-10-02T00:00:00Z"/>
        <d v="2026-07-27T00:00:00Z"/>
        <d v="2025-11-12T00:00:00Z"/>
        <d v="2026-08-14T00:00:00Z"/>
        <d v="2026-08-10T00:00:00Z"/>
        <d v="2026-09-01T00:00:00Z"/>
        <d v="2026-01-09T00:00:00Z"/>
        <d v="2026-05-07T00:00:00Z"/>
        <d v="2026-04-01T00:00:00Z"/>
        <d v="2026-04-07T00:00:00Z"/>
        <d v="2026-01-08T00:00:00Z"/>
        <d v="2026-09-09T00:00:00Z"/>
        <d v="2026-01-01T00:00:00Z"/>
        <d v="2026-09-29T00:00:00Z"/>
        <d v="2026-04-20T00:00:00Z"/>
        <d v="2026-10-19T00:00:00Z"/>
        <d v="2026-04-29T00:00:00Z"/>
        <d v="2026-08-25T00:00:00Z"/>
        <d v="2026-05-14T00:00:00Z"/>
        <d v="2026-07-24T00:00:00Z"/>
        <d v="2026-08-31T00:00:00Z"/>
        <d v="2026-09-16T00:00:00Z"/>
        <d v="2026-10-22T00:00:00Z"/>
        <d v="2025-12-22T00:00:00Z"/>
        <d v="2025-11-17T00:00:00Z"/>
        <d v="2025-10-29T00:00:00Z"/>
        <d v="2026-03-25T00:00:00Z"/>
        <d v="2025-12-01T00:00:00Z"/>
        <d v="2026-04-10T00:00:00Z"/>
        <d v="2026-04-14T00:00:00Z"/>
        <d v="2026-06-29T00:00:00Z"/>
        <d v="2026-04-22T00:00:00Z"/>
        <d v="2026-03-23T00:00:00Z"/>
        <d v="2026-03-10T00:00:00Z"/>
        <d v="2025-10-31T00:00:00Z"/>
        <d v="2026-03-24T00:00:00Z"/>
        <d v="2026-01-30T00:00:00Z"/>
        <d v="2026-03-13T00:00:00Z"/>
        <d v="2026-01-28T00:00:00Z"/>
        <d v="2025-12-02T00:00:00Z"/>
        <d v="2025-11-21T00:00:00Z"/>
        <d v="2025-10-27T00:00:00Z"/>
        <d v="2023-04-28T00:00:00Z"/>
        <d v="2026-03-19T00:00:00Z"/>
        <d v="2026-09-18T00:00:00Z"/>
        <d v="2026-06-04T00:00:00Z"/>
        <d v="2025-12-03T00:00:00Z"/>
        <d v="2025-12-29T00:00:00Z"/>
        <d v="2026-05-08T00:00:00Z"/>
        <d v="2026-04-15T00:00:00Z"/>
        <d v="2026-07-17T00:00:00Z"/>
        <d v="2026-07-07T00:00:00Z"/>
        <d v="2026-04-06T00:00:00Z"/>
        <d v="2026-10-16T00:00:00Z"/>
      </sharedItems>
    </cacheField>
    <cacheField name="Initial Posting Date" numFmtId="164">
      <sharedItems containsSemiMixedTypes="0" containsDate="1" containsString="0">
        <d v="2025-11-03T00:00:00Z"/>
        <d v="2026-05-15T00:00:00Z"/>
        <d v="2026-01-13T00:00:00Z"/>
        <d v="2025-11-13T00:00:00Z"/>
        <d v="2022-10-25T00:00:00Z"/>
        <d v="2026-02-19T00:00:00Z"/>
        <d v="2026-05-21T00:00:00Z"/>
        <d v="2020-12-08T00:00:00Z"/>
        <d v="2022-10-12T00:00:00Z"/>
        <d v="2023-08-15T00:00:00Z"/>
        <d v="2025-12-08T00:00:00Z"/>
        <d v="2025-11-19T00:00:00Z"/>
        <d v="2026-04-08T00:00:00Z"/>
        <d v="2026-02-24T00:00:00Z"/>
        <d v="2026-09-21T00:00:00Z"/>
        <d v="2026-07-23T00:00:00Z"/>
        <d v="2025-11-07T00:00:00Z"/>
        <d v="2012-01-01T00:00:00Z"/>
        <d v="2020-01-01T00:00:00Z"/>
        <d v="2023-12-20T00:00:00Z"/>
        <d v="2020-12-18T00:00:00Z"/>
        <d v="2020-12-21T00:00:00Z"/>
        <d v="2020-12-22T00:00:00Z"/>
        <d v="2026-01-20T00:00:00Z"/>
        <d v="2026-04-09T00:00:00Z"/>
        <d v="2025-03-03T00:00:00Z"/>
        <d v="2026-01-27T00:00:00Z"/>
        <d v="2017-12-13T00:00:00Z"/>
        <d v="2018-01-31T00:00:00Z"/>
        <d v="2018-02-20T00:00:00Z"/>
        <d v="2026-05-05T00:00:00Z"/>
        <d v="2025-12-04T00:00:00Z"/>
        <d v="2026-08-03T00:00:00Z"/>
        <d v="2025-12-19T00:00:00Z"/>
        <d v="2023-04-28T00:00:00Z"/>
        <d v="2026-02-20T00:00:00Z"/>
        <d v="2026-06-01T00:00:00Z"/>
        <d v="2026-06-30T00:00:00Z"/>
        <d v="2026-01-12T00:00:00Z"/>
        <d v="2026-02-10T00:00:00Z"/>
        <d v="2015-02-17T00:00:00Z"/>
        <d v="2025-11-14T00:00:00Z"/>
        <d v="2026-05-06T00:00:00Z"/>
        <d v="2026-09-11T00:00:00Z"/>
        <d v="2026-02-25T00:00:00Z"/>
        <d v="2026-02-27T00:00:00Z"/>
        <d v="2026-03-26T00:00:00Z"/>
        <d v="2023-03-21T00:00:00Z"/>
        <d v="2023-03-10T00:00:00Z"/>
        <d v="2023-03-27T00:00:00Z"/>
        <d v="2022-03-14T00:00:00Z"/>
        <d v="2026-04-28T00:00:00Z"/>
        <d v="2023-11-03T00:00:00Z"/>
        <d v="2026-06-08T00:00:00Z"/>
        <d v="2026-03-27T00:00:00Z"/>
        <d v="2026-05-27T00:00:00Z"/>
        <d v="2026-07-02T00:00:00Z"/>
        <d v="2021-03-12T00:00:00Z"/>
        <d v="2019-02-08T00:00:00Z"/>
        <d v="2020-04-10T00:00:00Z"/>
        <d v="2026-06-05T00:00:00Z"/>
        <d v="2026-10-14T00:00:00Z"/>
        <d v="2021-04-10T00:00:00Z"/>
        <d v="2026-04-21T00:00:00Z"/>
        <d v="2022-03-01T00:00:00Z"/>
        <d v="2022-02-14T00:00:00Z"/>
        <d v="2026-07-20T00:00:00Z"/>
        <d v="2022-01-13T00:00:00Z"/>
        <d v="2024-10-11T00:00:00Z"/>
        <d v="2026-09-10T00:00:00Z"/>
        <d v="2026-08-13T00:00:00Z"/>
        <d v="2026-01-05T00:00:00Z"/>
        <d v="2026-08-24T00:00:00Z"/>
        <d v="2017-11-06T00:00:00Z"/>
        <d v="2026-06-15T00:00:00Z"/>
        <d v="2025-12-10T00:00:00Z"/>
        <d v="2026-07-30T00:00:00Z"/>
        <d v="2019-09-24T00:00:00Z"/>
        <d v="2026-06-17T00:00:00Z"/>
        <d v="2026-10-20T00:00:00Z"/>
        <d v="2016-10-14T00:00:00Z"/>
        <d v="2012-02-22T00:00:00Z"/>
        <d v="2022-10-05T00:00:00Z"/>
        <d v="2026-01-06T00:00:00Z"/>
        <d v="2026-03-02T00:00:00Z"/>
        <d v="2026-10-07T00:00:00Z"/>
        <d v="2026-10-02T00:00:00Z"/>
        <d v="2022-08-03T00:00:00Z"/>
        <d v="2026-07-27T00:00:00Z"/>
        <d v="2025-11-12T00:00:00Z"/>
        <d v="2026-08-14T00:00:00Z"/>
        <d v="2020-04-07T00:00:00Z"/>
        <d v="2026-03-31T00:00:00Z"/>
        <d v="2026-08-10T00:00:00Z"/>
        <d v="2026-09-01T00:00:00Z"/>
        <d v="2026-01-09T00:00:00Z"/>
        <d v="2017-11-14T00:00:00Z"/>
        <d v="2017-11-01T00:00:00Z"/>
        <d v="2017-10-31T00:00:00Z"/>
        <d v="2017-11-03T00:00:00Z"/>
        <d v="2024-11-04T00:00:00Z"/>
        <d v="2026-05-07T00:00:00Z"/>
        <d v="2026-04-01T00:00:00Z"/>
        <d v="2026-04-07T00:00:00Z"/>
        <d v="2026-06-12T00:00:00Z"/>
        <d v="2026-01-08T00:00:00Z"/>
        <d v="2026-09-09T00:00:00Z"/>
        <d v="2026-04-16T00:00:00Z"/>
        <d v="2026-03-24T00:00:00Z"/>
        <d v="2026-09-29T00:00:00Z"/>
        <d v="2018-03-23T00:00:00Z"/>
        <d v="2018-06-06T00:00:00Z"/>
        <d v="2018-03-26T00:00:00Z"/>
        <d v="2026-04-20T00:00:00Z"/>
        <d v="2026-10-19T00:00:00Z"/>
        <d v="2026-04-29T00:00:00Z"/>
        <d v="2018-06-13T00:00:00Z"/>
        <d v="2018-06-14T00:00:00Z"/>
        <d v="2017-10-25T00:00:00Z"/>
        <d v="2018-07-14T00:00:00Z"/>
        <d v="2023-07-18T00:00:00Z"/>
        <d v="2026-08-25T00:00:00Z"/>
        <d v="2026-05-14T00:00:00Z"/>
        <d v="2023-07-14T00:00:00Z"/>
        <d v="2024-01-11T00:00:00Z"/>
        <d v="2023-11-01T00:00:00Z"/>
        <d v="2023-09-20T00:00:00Z"/>
        <d v="2026-07-24T00:00:00Z"/>
        <d v="2018-05-03T00:00:00Z"/>
        <d v="2018-09-05T00:00:00Z"/>
        <d v="2026-08-31T00:00:00Z"/>
        <d v="2026-09-16T00:00:00Z"/>
        <d v="2025-05-30T00:00:00Z"/>
        <d v="2026-10-22T00:00:00Z"/>
        <d v="2023-03-13T00:00:00Z"/>
        <d v="2025-02-28T00:00:00Z"/>
        <d v="2023-07-26T00:00:00Z"/>
        <d v="2021-12-15T00:00:00Z"/>
        <d v="2022-06-16T00:00:00Z"/>
        <d v="2020-04-02T00:00:00Z"/>
        <d v="2025-12-22T00:00:00Z"/>
        <d v="2025-11-17T00:00:00Z"/>
        <d v="2018-12-06T00:00:00Z"/>
        <d v="2025-10-29T00:00:00Z"/>
        <d v="2026-03-25T00:00:00Z"/>
        <d v="2025-12-01T00:00:00Z"/>
        <d v="2026-04-10T00:00:00Z"/>
        <d v="2026-04-14T00:00:00Z"/>
        <d v="2026-06-29T00:00:00Z"/>
        <d v="2026-04-22T00:00:00Z"/>
        <d v="2025-01-24T00:00:00Z"/>
        <d v="2023-04-26T00:00:00Z"/>
        <d v="2026-03-23T00:00:00Z"/>
        <d v="2026-08-27T00:00:00Z"/>
        <d v="2026-03-10T00:00:00Z"/>
        <d v="2025-10-31T00:00:00Z"/>
        <d v="2026-01-30T00:00:00Z"/>
        <d v="2026-03-13T00:00:00Z"/>
        <d v="2026-01-28T00:00:00Z"/>
        <d v="2025-12-02T00:00:00Z"/>
        <d v="2025-11-21T00:00:00Z"/>
        <d v="2025-10-27T00:00:00Z"/>
        <d v="2023-11-21T00:00:00Z"/>
        <d v="2023-10-31T00:00:00Z"/>
        <d v="2023-01-19T00:00:00Z"/>
        <d v="2026-03-19T00:00:00Z"/>
        <d v="2022-06-28T00:00:00Z"/>
        <d v="2021-12-22T00:00:00Z"/>
        <d v="2021-02-17T00:00:00Z"/>
        <d v="2020-03-25T00:00:00Z"/>
        <d v="2024-01-26T00:00:00Z"/>
        <d v="2026-09-18T00:00:00Z"/>
        <d v="2023-02-15T00:00:00Z"/>
        <d v="2018-03-27T00:00:00Z"/>
        <d v="2026-06-04T00:00:00Z"/>
        <d v="2016-02-03T00:00:00Z"/>
        <d v="2016-03-23T00:00:00Z"/>
        <d v="2017-07-24T00:00:00Z"/>
        <d v="2017-03-01T00:00:00Z"/>
        <d v="2025-12-03T00:00:00Z"/>
        <d v="2025-12-29T00:00:00Z"/>
        <d v="2021-11-23T00:00:00Z"/>
        <d v="2021-12-03T00:00:00Z"/>
        <d v="2022-07-12T00:00:00Z"/>
        <d v="2022-05-03T00:00:00Z"/>
        <d v="2026-05-08T00:00:00Z"/>
        <d v="2023-12-27T00:00:00Z"/>
        <d v="2026-04-15T00:00:00Z"/>
        <d v="2026-07-17T00:00:00Z"/>
        <d v="2026-07-07T00:00:00Z"/>
        <d v="2021-09-27T00:00:00Z"/>
        <d v="2021-05-04T00:00:00Z"/>
        <d v="2026-04-06T00:00:00Z"/>
        <d v="2020-12-30T00:00:00Z"/>
        <d v="2026-10-16T00:00:00Z"/>
      </sharedItems>
    </cacheField>
    <cacheField name="Posting Year" numFmtId="0">
      <sharedItems containsSemiMixedTypes="0" containsString="0" containsNumber="1" containsInteger="1">
        <n v="2025.0"/>
        <n v="2026.0"/>
        <n v="2022.0"/>
        <n v="2020.0"/>
        <n v="2023.0"/>
        <n v="2012.0"/>
        <n v="2017.0"/>
        <n v="2018.0"/>
        <n v="2015.0"/>
        <n v="2021.0"/>
        <n v="2019.0"/>
        <n v="2024.0"/>
        <n v="2016.0"/>
      </sharedItems>
    </cacheField>
    <cacheField name="Availability (clean)" numFmtId="0">
      <sharedItems>
        <s v="Not stated"/>
        <s v="Available"/>
        <s v="Unavailable"/>
        <s v="Limited Availability"/>
      </sharedItems>
    </cacheField>
    <cacheField name="Reason (clean)" numFmtId="0">
      <sharedItems>
        <s v="Not reported"/>
        <s v="Shortage of an inactive ingredient component"/>
        <s v="Shortage of an active ingredient"/>
        <s v="Demand increase for the drug"/>
        <s v="Other"/>
        <s v="Requirements related to complying with good manufacturing practices"/>
        <s v="Discontinuation of the manufacture of the drug"/>
        <s v="Delay in shipping of the drug"/>
        <s v="Regulatory delay"/>
      </sharedItems>
    </cacheField>
    <cacheField name="Listed more than once" numFmtId="0">
      <sharedItems>
        <s v="No"/>
        <s v="Yes"/>
      </sharedItems>
    </cacheField>
    <cacheField name="Days on FDA list" numFmtId="3">
      <sharedItems containsSemiMixedTypes="0" containsString="0" containsNumber="1" containsInteger="1">
        <n v="357.0"/>
        <n v="164.0"/>
        <n v="286.0"/>
        <n v="347.0"/>
        <n v="1462.0"/>
        <n v="249.0"/>
        <n v="158.0"/>
        <n v="2148.0"/>
        <n v="1475.0"/>
        <n v="1168.0"/>
        <n v="322.0"/>
        <n v="341.0"/>
        <n v="201.0"/>
        <n v="244.0"/>
        <n v="35.0"/>
        <n v="95.0"/>
        <n v="353.0"/>
        <n v="5412.0"/>
        <n v="2490.0"/>
        <n v="1041.0"/>
        <n v="2138.0"/>
        <n v="2135.0"/>
        <n v="2134.0"/>
        <n v="279.0"/>
        <n v="200.0"/>
        <n v="602.0"/>
        <n v="272.0"/>
        <n v="3239.0"/>
        <n v="3190.0"/>
        <n v="3170.0"/>
        <n v="174.0"/>
        <n v="326.0"/>
        <n v="84.0"/>
        <n v="311.0"/>
        <n v="1277.0"/>
        <n v="248.0"/>
        <n v="147.0"/>
        <n v="118.0"/>
        <n v="287.0"/>
        <n v="258.0"/>
        <n v="4269.0"/>
        <n v="346.0"/>
        <n v="173.0"/>
        <n v="45.0"/>
        <n v="243.0"/>
        <n v="241.0"/>
        <n v="214.0"/>
        <n v="1315.0"/>
        <n v="1326.0"/>
        <n v="1309.0"/>
        <n v="1687.0"/>
        <n v="181.0"/>
        <n v="1088.0"/>
        <n v="140.0"/>
        <n v="213.0"/>
        <n v="152.0"/>
        <n v="116.0"/>
        <n v="2054.0"/>
        <n v="2817.0"/>
        <n v="2390.0"/>
        <n v="143.0"/>
        <n v="12.0"/>
        <n v="2025.0"/>
        <n v="188.0"/>
        <n v="1700.0"/>
        <n v="1715.0"/>
        <n v="98.0"/>
        <n v="1747.0"/>
        <n v="745.0"/>
        <n v="46.0"/>
        <n v="74.0"/>
        <n v="294.0"/>
        <n v="63.0"/>
        <n v="3276.0"/>
        <n v="133.0"/>
        <n v="320.0"/>
        <n v="88.0"/>
        <n v="2589.0"/>
        <n v="131.0"/>
        <n v="6.0"/>
        <n v="3664.0"/>
        <n v="5360.0"/>
        <n v="1482.0"/>
        <n v="293.0"/>
        <n v="238.0"/>
        <n v="19.0"/>
        <n v="24.0"/>
        <n v="1545.0"/>
        <n v="91.0"/>
        <n v="348.0"/>
        <n v="73.0"/>
        <n v="2393.0"/>
        <n v="209.0"/>
        <n v="77.0"/>
        <n v="55.0"/>
        <n v="290.0"/>
        <n v="3268.0"/>
        <n v="3281.0"/>
        <n v="3282.0"/>
        <n v="3279.0"/>
        <n v="721.0"/>
        <n v="172.0"/>
        <n v="208.0"/>
        <n v="202.0"/>
        <n v="136.0"/>
        <n v="291.0"/>
        <n v="47.0"/>
        <n v="193.0"/>
        <n v="216.0"/>
        <n v="27.0"/>
        <n v="3139.0"/>
        <n v="3064.0"/>
        <n v="3136.0"/>
        <n v="189.0"/>
        <n v="7.0"/>
        <n v="180.0"/>
        <n v="3057.0"/>
        <n v="3056.0"/>
        <n v="3288.0"/>
        <n v="3026.0"/>
        <n v="1196.0"/>
        <n v="62.0"/>
        <n v="165.0"/>
        <n v="1200.0"/>
        <n v="1019.0"/>
        <n v="1090.0"/>
        <n v="1132.0"/>
        <n v="94.0"/>
        <n v="3098.0"/>
        <n v="2973.0"/>
        <n v="56.0"/>
        <n v="40.0"/>
        <n v="514.0"/>
        <n v="4.0"/>
        <n v="1323.0"/>
        <n v="605.0"/>
        <n v="1188.0"/>
        <n v="1776.0"/>
        <n v="1593.0"/>
        <n v="2398.0"/>
        <n v="308.0"/>
        <n v="343.0"/>
        <n v="2881.0"/>
        <n v="362.0"/>
        <n v="215.0"/>
        <n v="329.0"/>
        <n v="199.0"/>
        <n v="195.0"/>
        <n v="119.0"/>
        <n v="187.0"/>
        <n v="640.0"/>
        <n v="1279.0"/>
        <n v="217.0"/>
        <n v="60.0"/>
        <n v="230.0"/>
        <n v="360.0"/>
        <n v="269.0"/>
        <n v="227.0"/>
        <n v="271.0"/>
        <n v="328.0"/>
        <n v="339.0"/>
        <n v="364.0"/>
        <n v="1070.0"/>
        <n v="1091.0"/>
        <n v="1376.0"/>
        <n v="221.0"/>
        <n v="1581.0"/>
        <n v="1769.0"/>
        <n v="2077.0"/>
        <n v="2406.0"/>
        <n v="1004.0"/>
        <n v="38.0"/>
        <n v="1349.0"/>
        <n v="3135.0"/>
        <n v="144.0"/>
        <n v="3918.0"/>
        <n v="3869.0"/>
        <n v="3381.0"/>
        <n v="3526.0"/>
        <n v="327.0"/>
        <n v="301.0"/>
        <n v="1798.0"/>
        <n v="1788.0"/>
        <n v="1567.0"/>
        <n v="1637.0"/>
        <n v="171.0"/>
        <n v="1034.0"/>
        <n v="194.0"/>
        <n v="101.0"/>
        <n v="111.0"/>
        <n v="1855.0"/>
        <n v="2001.0"/>
        <n v="203.0"/>
        <n v="2126.0"/>
        <n v="1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nalysis" cacheId="0" dataCaption="" compact="0" compactData="0">
  <location ref="P2:U7" firstHeaderRow="0" firstDataRow="1" firstDataCol="1"/>
  <pivotFields>
    <pivotField name="Generic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name="Compan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Present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t="default"/>
      </items>
    </pivotField>
    <pivotField name="Type of Update" compact="0" outline="0" multipleItemSelectionAllowed="1" showAll="0">
      <items>
        <item x="0"/>
        <item x="1"/>
        <item x="2"/>
        <item t="default"/>
      </items>
    </pivotField>
    <pivotField name="Date of Up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Availability Information" compact="0" outline="0" multipleItemSelectionAllowed="1" showAll="0">
      <items>
        <item x="0"/>
        <item x="1"/>
        <item x="2"/>
        <item x="3"/>
        <item x="4"/>
        <item x="5"/>
        <item x="6"/>
        <item t="default"/>
      </items>
    </pivotField>
    <pivotField name="Related Inform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Resolved Note" compact="0" outline="0" multipleItemSelectionAllowed="1" showAll="0">
      <items>
        <item x="0"/>
        <item x="1"/>
        <item x="2"/>
        <item t="default"/>
      </items>
    </pivotField>
    <pivotField name="Reason for Shortage" compact="0" outline="0" multipleItemSelectionAllowed="1" showAll="0">
      <items>
        <item x="0"/>
        <item x="1"/>
        <item x="2"/>
        <item x="3"/>
        <item x="4"/>
        <item x="5"/>
        <item x="6"/>
        <item x="7"/>
        <item x="8"/>
        <item t="default"/>
      </items>
    </pivotField>
    <pivotField name="Therapeutic 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Status" axis="axisRow" compact="0" outline="0" multipleItemSelectionAllowed="1" showAll="0" sortType="ascending">
      <items>
        <item x="2"/>
        <item x="1"/>
        <item x="0"/>
        <item t="default"/>
      </items>
    </pivotField>
    <pivotField name="Change Date" compact="0" outline="0" multipleItemSelectionAllowed="1" showAll="0">
      <items>
        <item x="0"/>
        <item x="1"/>
        <item x="2"/>
        <item x="3"/>
        <item x="4"/>
        <item x="5"/>
        <item x="6"/>
        <item t="default"/>
      </items>
    </pivotField>
    <pivotField name="Date Discontinu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Initial Posting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Posting Year" compact="0" outline="0" multipleItemSelectionAllowed="1" showAll="0">
      <items>
        <item x="0"/>
        <item x="1"/>
        <item x="2"/>
        <item x="3"/>
        <item x="4"/>
        <item x="5"/>
        <item x="6"/>
        <item x="7"/>
        <item x="8"/>
        <item x="9"/>
        <item x="10"/>
        <item x="11"/>
        <item x="12"/>
        <item t="default"/>
      </items>
    </pivotField>
    <pivotField name="Availability (clean)" axis="axisCol" compact="0" outline="0" multipleItemSelectionAllowed="1" showAll="0" sortType="ascending">
      <items>
        <item x="1"/>
        <item x="3"/>
        <item x="0"/>
        <item x="2"/>
        <item t="default"/>
      </items>
    </pivotField>
    <pivotField name="Reason (clean)" compact="0" outline="0" multipleItemSelectionAllowed="1" showAll="0">
      <items>
        <item x="0"/>
        <item x="1"/>
        <item x="2"/>
        <item x="3"/>
        <item x="4"/>
        <item x="5"/>
        <item x="6"/>
        <item x="7"/>
        <item x="8"/>
        <item t="default"/>
      </items>
    </pivotField>
    <pivotField name="Listed more than once" compact="0" outline="0" multipleItemSelectionAllowed="1" showAll="0">
      <items>
        <item x="0"/>
        <item x="1"/>
        <item t="default"/>
      </items>
    </pivotField>
    <pivotField name="Days on FDA lis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s>
  <rowFields>
    <field x="10"/>
  </rowFields>
  <colFields>
    <field x="15"/>
  </colFields>
  <dataFields>
    <dataField name="COUNTA of Generic Name"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da.gov/media/190713/download" TargetMode="External"/><Relationship Id="rId22" Type="http://schemas.openxmlformats.org/officeDocument/2006/relationships/hyperlink" Target="https://www.fda.gov/media/190713/download" TargetMode="External"/><Relationship Id="rId21" Type="http://schemas.openxmlformats.org/officeDocument/2006/relationships/hyperlink" Target="https://www.fda.gov/media/190713/download" TargetMode="External"/><Relationship Id="rId24" Type="http://schemas.openxmlformats.org/officeDocument/2006/relationships/hyperlink" Target="https://www.fda.gov/media/177206/download" TargetMode="External"/><Relationship Id="rId23" Type="http://schemas.openxmlformats.org/officeDocument/2006/relationships/hyperlink" Target="https://www.accessdata.fda.gov/scripts/drugshortages/dsp_ActiveIngredientDetails.cfm?AI=Rifampin%20Injection&amp;st=d" TargetMode="External"/><Relationship Id="rId1" Type="http://schemas.openxmlformats.org/officeDocument/2006/relationships/hyperlink" Target="https://www.accessdata.fda.gov/scripts/drugshortages/dsp_ActiveIngredientDetails.cfm?AI=Bupivacaine%20Hydrochloride%20Injection&amp;st=d" TargetMode="External"/><Relationship Id="rId2" Type="http://schemas.openxmlformats.org/officeDocument/2006/relationships/hyperlink" Target="https://www.accessdata.fda.gov/scripts/drugshortages/dsp_ActiveIngredientDetails.cfm?AI=Bupivacaine%20Hydrochloride%20Injection&amp;st=d" TargetMode="External"/><Relationship Id="rId3" Type="http://schemas.openxmlformats.org/officeDocument/2006/relationships/hyperlink" Target="https://www.accessdata.fda.gov/scripts/drugshortages/dsp_ActiveIngredientDetails.cfm?AI=Bupivacaine%20Hydrochloride%20Injection&amp;st=d" TargetMode="External"/><Relationship Id="rId4" Type="http://schemas.openxmlformats.org/officeDocument/2006/relationships/hyperlink" Target="https://www.accessdata.fda.gov/scripts/drugshortages/dsp_ActiveIngredientDetails.cfm?AI=Bupivacaine%20Hydrochloride%20Injection&amp;st=d" TargetMode="External"/><Relationship Id="rId9" Type="http://schemas.openxmlformats.org/officeDocument/2006/relationships/hyperlink" Target="https://www.accessdata.fda.gov/scripts/drugshortages/dsp_ActiveIngredientDetails.cfm?AI=Clindamycin%20Phosphate%20Injection&amp;st=d" TargetMode="External"/><Relationship Id="rId26" Type="http://schemas.openxmlformats.org/officeDocument/2006/relationships/hyperlink" Target="https://www.fda.gov/media/185611/download?attachment" TargetMode="External"/><Relationship Id="rId25" Type="http://schemas.openxmlformats.org/officeDocument/2006/relationships/hyperlink" Target="https://www.fda.gov/media/185612/download?attachment" TargetMode="External"/><Relationship Id="rId28" Type="http://schemas.openxmlformats.org/officeDocument/2006/relationships/hyperlink" Target="https://www.fda.gov/media/182619/download?attachment" TargetMode="External"/><Relationship Id="rId27" Type="http://schemas.openxmlformats.org/officeDocument/2006/relationships/hyperlink" Target="https://www.fda.gov/media/182619/download?attachment" TargetMode="External"/><Relationship Id="rId5" Type="http://schemas.openxmlformats.org/officeDocument/2006/relationships/hyperlink" Target="https://www.accessdata.fda.gov/scripts/drugshortages/dsp_ActiveIngredientDetails.cfm?AI=Bupivacaine%20Hydrochloride%20Injection&amp;st=d" TargetMode="External"/><Relationship Id="rId6" Type="http://schemas.openxmlformats.org/officeDocument/2006/relationships/hyperlink" Target="https://www.fda.gov/media/193116/download?attachment" TargetMode="External"/><Relationship Id="rId29" Type="http://schemas.openxmlformats.org/officeDocument/2006/relationships/hyperlink" Target="https://www.fda.gov/media/182619/download?attachment" TargetMode="External"/><Relationship Id="rId7" Type="http://schemas.openxmlformats.org/officeDocument/2006/relationships/hyperlink" Target="https://www.fda.gov/media/193116/download?attachment" TargetMode="External"/><Relationship Id="rId8" Type="http://schemas.openxmlformats.org/officeDocument/2006/relationships/hyperlink" Target="https://www.accessdata.fda.gov/scripts/drugshortages/dsp_ActiveIngredientDetails.cfm?AI=Clindamycin%20Phosphate%20Injection&amp;st=d" TargetMode="External"/><Relationship Id="rId31" Type="http://schemas.openxmlformats.org/officeDocument/2006/relationships/hyperlink" Target="https://www.fda.gov/media/194857/download" TargetMode="External"/><Relationship Id="rId30" Type="http://schemas.openxmlformats.org/officeDocument/2006/relationships/hyperlink" Target="https://www.fda.gov/media/182619/download?attachment" TargetMode="External"/><Relationship Id="rId11" Type="http://schemas.openxmlformats.org/officeDocument/2006/relationships/hyperlink" Target="https://www.accessdata.fda.gov/scripts/drugshortages/dsp_ActiveIngredientDetails.cfm?AI=Dexmedetomidine%20Hydrochloride%20Injection&amp;st=d" TargetMode="External"/><Relationship Id="rId33" Type="http://schemas.openxmlformats.org/officeDocument/2006/relationships/drawing" Target="../drawings/drawing1.xml"/><Relationship Id="rId10" Type="http://schemas.openxmlformats.org/officeDocument/2006/relationships/hyperlink" Target="https://www.accessdata.fda.gov/scripts/drugshortages/dsp_ActiveIngredientDetails.cfm?AI=Clindamycin%20Phosphate%20Injection&amp;st=d" TargetMode="External"/><Relationship Id="rId32" Type="http://schemas.openxmlformats.org/officeDocument/2006/relationships/hyperlink" Target="https://www.fda.gov/files/drugs/published/hexatrione_dhcp_09-15-2026_with_pi.pdf" TargetMode="External"/><Relationship Id="rId13" Type="http://schemas.openxmlformats.org/officeDocument/2006/relationships/hyperlink" Target="https://www.accessdata.fda.gov/scripts/drugshortages/dsp_ActiveIngredientDetails.cfm?AI=Furosemide%20Injection&amp;st=d" TargetMode="External"/><Relationship Id="rId12" Type="http://schemas.openxmlformats.org/officeDocument/2006/relationships/hyperlink" Target="https://www.accessdata.fda.gov/scripts/drugshortages/dsp_ActiveIngredientDetails.cfm?AI=Dexmedetomidine%20Hydrochloride%20Injection&amp;st=d" TargetMode="External"/><Relationship Id="rId15" Type="http://schemas.openxmlformats.org/officeDocument/2006/relationships/hyperlink" Target="https://www.accessdata.fda.gov/scripts/drugshortages/dsp_ActiveIngredientDetails.cfm?AI=Furosemide%20Injection&amp;st=d" TargetMode="External"/><Relationship Id="rId14" Type="http://schemas.openxmlformats.org/officeDocument/2006/relationships/hyperlink" Target="https://www.accessdata.fda.gov/scripts/drugshortages/dsp_ActiveIngredientDetails.cfm?AI=Furosemide%20Injection&amp;st=d" TargetMode="External"/><Relationship Id="rId17" Type="http://schemas.openxmlformats.org/officeDocument/2006/relationships/hyperlink" Target="https://www.fda.gov/media/194567/download" TargetMode="External"/><Relationship Id="rId16" Type="http://schemas.openxmlformats.org/officeDocument/2006/relationships/hyperlink" Target="https://www.fda.gov/media/185400/download" TargetMode="External"/><Relationship Id="rId19" Type="http://schemas.openxmlformats.org/officeDocument/2006/relationships/hyperlink" Target="https://www.fda.gov/media/193578/download" TargetMode="External"/><Relationship Id="rId18" Type="http://schemas.openxmlformats.org/officeDocument/2006/relationships/hyperlink" Target="https://www.accessdata.fda.gov/scripts/drugshortages/dsp_ActiveIngredientDetails.cfm?AI=Liraglutide+Injection&amp;st=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4.75"/>
    <col customWidth="1" min="4" max="4" width="11.75"/>
    <col customWidth="1" min="7" max="7" width="17.25"/>
    <col customWidth="1" min="8" max="8" width="16.0"/>
    <col customWidth="1" min="10" max="10" width="16.63"/>
    <col customWidth="1" min="11" max="11" width="17.38"/>
    <col customWidth="1" min="14" max="14" width="15.75"/>
    <col customWidth="1" min="15" max="15" width="15.13"/>
    <col customWidth="1" min="16" max="16" width="16.38"/>
    <col customWidth="1" min="17" max="17" width="15.38"/>
    <col customWidth="1" min="18" max="18" width="15.63"/>
    <col customWidth="1" min="20" max="20" width="14.13"/>
    <col customWidth="1" min="21" max="21" width="15.5"/>
    <col customWidth="1" min="22" max="22" width="18.13"/>
  </cols>
  <sheetData>
    <row r="2">
      <c r="A2" s="1" t="s">
        <v>1</v>
      </c>
      <c r="B2" s="1" t="s">
        <v>2</v>
      </c>
      <c r="C2" s="1" t="s">
        <v>4</v>
      </c>
      <c r="D2" s="1" t="s">
        <v>5</v>
      </c>
      <c r="E2" s="1" t="s">
        <v>7</v>
      </c>
      <c r="F2" s="1" t="s">
        <v>8</v>
      </c>
      <c r="G2" s="1" t="s">
        <v>9</v>
      </c>
      <c r="H2" s="1" t="s">
        <v>11</v>
      </c>
      <c r="I2" s="1" t="s">
        <v>13</v>
      </c>
      <c r="J2" s="1" t="s">
        <v>14</v>
      </c>
      <c r="K2" s="1" t="s">
        <v>15</v>
      </c>
      <c r="L2" s="1" t="s">
        <v>17</v>
      </c>
      <c r="M2" s="1" t="s">
        <v>18</v>
      </c>
      <c r="N2" s="1" t="s">
        <v>19</v>
      </c>
      <c r="O2" s="1" t="s">
        <v>20</v>
      </c>
      <c r="P2" s="1" t="s">
        <v>21</v>
      </c>
      <c r="Q2" s="1" t="s">
        <v>22</v>
      </c>
      <c r="R2" s="1" t="s">
        <v>23</v>
      </c>
      <c r="S2" s="1" t="s">
        <v>24</v>
      </c>
      <c r="T2" s="1" t="s">
        <v>25</v>
      </c>
      <c r="U2" s="1" t="s">
        <v>26</v>
      </c>
      <c r="V2" s="1" t="s">
        <v>27</v>
      </c>
    </row>
    <row r="3">
      <c r="A3" s="1" t="s">
        <v>28</v>
      </c>
      <c r="B3" s="1" t="s">
        <v>29</v>
      </c>
      <c r="C3" s="1" t="s">
        <v>30</v>
      </c>
      <c r="D3" s="1" t="s">
        <v>31</v>
      </c>
      <c r="E3" s="1" t="s">
        <v>32</v>
      </c>
      <c r="F3" s="4">
        <v>45964.0</v>
      </c>
      <c r="H3" s="1" t="s">
        <v>33</v>
      </c>
      <c r="K3" s="1" t="s">
        <v>34</v>
      </c>
      <c r="L3" s="1" t="s">
        <v>35</v>
      </c>
      <c r="N3" s="4">
        <v>45964.0</v>
      </c>
      <c r="O3" s="4">
        <v>45964.0</v>
      </c>
    </row>
    <row r="4">
      <c r="A4" s="1" t="s">
        <v>28</v>
      </c>
      <c r="B4" s="1" t="s">
        <v>29</v>
      </c>
      <c r="C4" s="1" t="s">
        <v>30</v>
      </c>
      <c r="D4" s="1" t="s">
        <v>36</v>
      </c>
      <c r="E4" s="1" t="s">
        <v>32</v>
      </c>
      <c r="F4" s="4">
        <v>45964.0</v>
      </c>
      <c r="H4" s="1" t="s">
        <v>33</v>
      </c>
      <c r="K4" s="1" t="s">
        <v>34</v>
      </c>
      <c r="L4" s="1" t="s">
        <v>35</v>
      </c>
      <c r="N4" s="4">
        <v>45964.0</v>
      </c>
      <c r="O4" s="4">
        <v>45964.0</v>
      </c>
    </row>
    <row r="5">
      <c r="A5" s="1" t="s">
        <v>28</v>
      </c>
      <c r="B5" s="1" t="s">
        <v>29</v>
      </c>
      <c r="C5" s="1" t="s">
        <v>30</v>
      </c>
      <c r="D5" s="1" t="s">
        <v>37</v>
      </c>
      <c r="E5" s="1" t="s">
        <v>32</v>
      </c>
      <c r="F5" s="4">
        <v>45964.0</v>
      </c>
      <c r="H5" s="1" t="s">
        <v>33</v>
      </c>
      <c r="K5" s="1" t="s">
        <v>34</v>
      </c>
      <c r="L5" s="1" t="s">
        <v>35</v>
      </c>
      <c r="N5" s="4">
        <v>45964.0</v>
      </c>
      <c r="O5" s="4">
        <v>45964.0</v>
      </c>
    </row>
    <row r="6">
      <c r="A6" s="1" t="s">
        <v>28</v>
      </c>
      <c r="B6" s="1" t="s">
        <v>29</v>
      </c>
      <c r="C6" s="1" t="s">
        <v>30</v>
      </c>
      <c r="D6" s="1" t="s">
        <v>38</v>
      </c>
      <c r="E6" s="1" t="s">
        <v>32</v>
      </c>
      <c r="F6" s="4">
        <v>45964.0</v>
      </c>
      <c r="H6" s="1" t="s">
        <v>33</v>
      </c>
      <c r="K6" s="1" t="s">
        <v>34</v>
      </c>
      <c r="L6" s="1" t="s">
        <v>35</v>
      </c>
      <c r="N6" s="4">
        <v>45964.0</v>
      </c>
      <c r="O6" s="4">
        <v>45964.0</v>
      </c>
    </row>
    <row r="7">
      <c r="A7" s="1" t="s">
        <v>28</v>
      </c>
      <c r="B7" s="1" t="s">
        <v>29</v>
      </c>
      <c r="C7" s="1" t="s">
        <v>30</v>
      </c>
      <c r="D7" s="1" t="s">
        <v>40</v>
      </c>
      <c r="E7" s="1" t="s">
        <v>32</v>
      </c>
      <c r="F7" s="4">
        <v>45964.0</v>
      </c>
      <c r="H7" s="1" t="s">
        <v>33</v>
      </c>
      <c r="K7" s="1" t="s">
        <v>34</v>
      </c>
      <c r="L7" s="1" t="s">
        <v>35</v>
      </c>
      <c r="N7" s="4">
        <v>45964.0</v>
      </c>
      <c r="O7" s="4">
        <v>45964.0</v>
      </c>
    </row>
    <row r="8">
      <c r="A8" s="1" t="s">
        <v>28</v>
      </c>
      <c r="B8" s="1" t="s">
        <v>29</v>
      </c>
      <c r="C8" s="1" t="s">
        <v>30</v>
      </c>
      <c r="D8" s="1" t="s">
        <v>41</v>
      </c>
      <c r="E8" s="1" t="s">
        <v>32</v>
      </c>
      <c r="F8" s="4">
        <v>45964.0</v>
      </c>
      <c r="H8" s="1" t="s">
        <v>33</v>
      </c>
      <c r="K8" s="1" t="s">
        <v>34</v>
      </c>
      <c r="L8" s="1" t="s">
        <v>35</v>
      </c>
      <c r="N8" s="4">
        <v>45964.0</v>
      </c>
      <c r="O8" s="4">
        <v>45964.0</v>
      </c>
    </row>
    <row r="9">
      <c r="A9" s="1" t="s">
        <v>42</v>
      </c>
      <c r="B9" s="1" t="s">
        <v>43</v>
      </c>
      <c r="C9" s="1" t="s">
        <v>44</v>
      </c>
      <c r="D9" s="1" t="s">
        <v>46</v>
      </c>
      <c r="E9" s="1" t="s">
        <v>32</v>
      </c>
      <c r="F9" s="4">
        <v>46157.0</v>
      </c>
      <c r="H9" s="1" t="s">
        <v>33</v>
      </c>
      <c r="K9" s="1" t="s">
        <v>47</v>
      </c>
      <c r="L9" s="1" t="s">
        <v>35</v>
      </c>
      <c r="N9" s="4">
        <v>46157.0</v>
      </c>
      <c r="O9" s="4">
        <v>46157.0</v>
      </c>
    </row>
    <row r="10">
      <c r="A10" s="1" t="s">
        <v>42</v>
      </c>
      <c r="B10" s="1" t="s">
        <v>43</v>
      </c>
      <c r="C10" s="1" t="s">
        <v>44</v>
      </c>
      <c r="D10" s="1" t="s">
        <v>48</v>
      </c>
      <c r="E10" s="1" t="s">
        <v>32</v>
      </c>
      <c r="F10" s="4">
        <v>46157.0</v>
      </c>
      <c r="H10" s="1" t="s">
        <v>33</v>
      </c>
      <c r="K10" s="1" t="s">
        <v>47</v>
      </c>
      <c r="L10" s="1" t="s">
        <v>35</v>
      </c>
      <c r="N10" s="4">
        <v>46157.0</v>
      </c>
      <c r="O10" s="4">
        <v>46157.0</v>
      </c>
    </row>
    <row r="11">
      <c r="A11" s="1" t="s">
        <v>42</v>
      </c>
      <c r="B11" s="1" t="s">
        <v>43</v>
      </c>
      <c r="C11" s="1" t="s">
        <v>44</v>
      </c>
      <c r="D11" s="1" t="s">
        <v>49</v>
      </c>
      <c r="E11" s="1" t="s">
        <v>32</v>
      </c>
      <c r="F11" s="4">
        <v>46157.0</v>
      </c>
      <c r="H11" s="1" t="s">
        <v>33</v>
      </c>
      <c r="K11" s="1" t="s">
        <v>47</v>
      </c>
      <c r="L11" s="1" t="s">
        <v>35</v>
      </c>
      <c r="N11" s="4">
        <v>46157.0</v>
      </c>
      <c r="O11" s="4">
        <v>46157.0</v>
      </c>
    </row>
    <row r="12">
      <c r="A12" s="1" t="s">
        <v>42</v>
      </c>
      <c r="B12" s="1" t="s">
        <v>43</v>
      </c>
      <c r="C12" s="1" t="s">
        <v>44</v>
      </c>
      <c r="D12" s="1" t="s">
        <v>50</v>
      </c>
      <c r="E12" s="1" t="s">
        <v>32</v>
      </c>
      <c r="F12" s="4">
        <v>46157.0</v>
      </c>
      <c r="H12" s="1" t="s">
        <v>33</v>
      </c>
      <c r="K12" s="1" t="s">
        <v>47</v>
      </c>
      <c r="L12" s="1" t="s">
        <v>35</v>
      </c>
      <c r="N12" s="4">
        <v>46157.0</v>
      </c>
      <c r="O12" s="4">
        <v>46157.0</v>
      </c>
    </row>
    <row r="13">
      <c r="A13" s="1" t="s">
        <v>42</v>
      </c>
      <c r="B13" s="1" t="s">
        <v>43</v>
      </c>
      <c r="C13" s="1" t="s">
        <v>44</v>
      </c>
      <c r="D13" s="1" t="s">
        <v>51</v>
      </c>
      <c r="E13" s="1" t="s">
        <v>32</v>
      </c>
      <c r="F13" s="4">
        <v>46157.0</v>
      </c>
      <c r="H13" s="1" t="s">
        <v>33</v>
      </c>
      <c r="K13" s="1" t="s">
        <v>47</v>
      </c>
      <c r="L13" s="1" t="s">
        <v>35</v>
      </c>
      <c r="N13" s="4">
        <v>46157.0</v>
      </c>
      <c r="O13" s="4">
        <v>46157.0</v>
      </c>
    </row>
    <row r="14">
      <c r="A14" s="1" t="s">
        <v>52</v>
      </c>
      <c r="B14" s="1" t="s">
        <v>53</v>
      </c>
      <c r="C14" s="1" t="s">
        <v>54</v>
      </c>
      <c r="D14" s="1" t="s">
        <v>55</v>
      </c>
      <c r="E14" s="1" t="s">
        <v>32</v>
      </c>
      <c r="F14" s="4">
        <v>46035.0</v>
      </c>
      <c r="H14" s="1" t="s">
        <v>56</v>
      </c>
      <c r="K14" s="1" t="s">
        <v>57</v>
      </c>
      <c r="L14" s="1" t="s">
        <v>35</v>
      </c>
      <c r="N14" s="4">
        <v>46035.0</v>
      </c>
      <c r="O14" s="4">
        <v>46035.0</v>
      </c>
    </row>
    <row r="15">
      <c r="A15" s="1" t="s">
        <v>52</v>
      </c>
      <c r="B15" s="1" t="s">
        <v>53</v>
      </c>
      <c r="C15" s="1" t="s">
        <v>54</v>
      </c>
      <c r="D15" s="1" t="s">
        <v>58</v>
      </c>
      <c r="E15" s="1" t="s">
        <v>32</v>
      </c>
      <c r="F15" s="4">
        <v>46035.0</v>
      </c>
      <c r="H15" s="1" t="s">
        <v>56</v>
      </c>
      <c r="K15" s="1" t="s">
        <v>57</v>
      </c>
      <c r="L15" s="1" t="s">
        <v>35</v>
      </c>
      <c r="N15" s="4">
        <v>46035.0</v>
      </c>
      <c r="O15" s="4">
        <v>46035.0</v>
      </c>
    </row>
    <row r="16">
      <c r="A16" s="1" t="s">
        <v>52</v>
      </c>
      <c r="B16" s="1" t="s">
        <v>53</v>
      </c>
      <c r="C16" s="1" t="s">
        <v>54</v>
      </c>
      <c r="D16" s="1" t="s">
        <v>59</v>
      </c>
      <c r="E16" s="1" t="s">
        <v>32</v>
      </c>
      <c r="F16" s="4">
        <v>46035.0</v>
      </c>
      <c r="H16" s="1" t="s">
        <v>56</v>
      </c>
      <c r="K16" s="1" t="s">
        <v>57</v>
      </c>
      <c r="L16" s="1" t="s">
        <v>35</v>
      </c>
      <c r="N16" s="4">
        <v>46035.0</v>
      </c>
      <c r="O16" s="4">
        <v>46035.0</v>
      </c>
    </row>
    <row r="17">
      <c r="A17" s="1" t="s">
        <v>52</v>
      </c>
      <c r="B17" s="1" t="s">
        <v>53</v>
      </c>
      <c r="C17" s="1" t="s">
        <v>54</v>
      </c>
      <c r="D17" s="1" t="s">
        <v>60</v>
      </c>
      <c r="E17" s="1" t="s">
        <v>32</v>
      </c>
      <c r="F17" s="4">
        <v>46035.0</v>
      </c>
      <c r="H17" s="1" t="s">
        <v>56</v>
      </c>
      <c r="K17" s="1" t="s">
        <v>57</v>
      </c>
      <c r="L17" s="1" t="s">
        <v>35</v>
      </c>
      <c r="N17" s="4">
        <v>46035.0</v>
      </c>
      <c r="O17" s="4">
        <v>46035.0</v>
      </c>
    </row>
    <row r="18">
      <c r="A18" s="1" t="s">
        <v>52</v>
      </c>
      <c r="B18" s="1" t="s">
        <v>53</v>
      </c>
      <c r="C18" s="1" t="s">
        <v>54</v>
      </c>
      <c r="D18" s="1" t="s">
        <v>61</v>
      </c>
      <c r="E18" s="1" t="s">
        <v>32</v>
      </c>
      <c r="F18" s="4">
        <v>46035.0</v>
      </c>
      <c r="H18" s="1" t="s">
        <v>56</v>
      </c>
      <c r="K18" s="1" t="s">
        <v>57</v>
      </c>
      <c r="L18" s="1" t="s">
        <v>35</v>
      </c>
      <c r="N18" s="4">
        <v>46035.0</v>
      </c>
      <c r="O18" s="4">
        <v>46035.0</v>
      </c>
    </row>
    <row r="19">
      <c r="A19" s="1" t="s">
        <v>62</v>
      </c>
      <c r="B19" s="1" t="s">
        <v>63</v>
      </c>
      <c r="C19" s="1" t="s">
        <v>64</v>
      </c>
      <c r="D19" s="1" t="s">
        <v>65</v>
      </c>
      <c r="E19" s="1" t="s">
        <v>32</v>
      </c>
      <c r="F19" s="8">
        <v>45974.0</v>
      </c>
      <c r="H19" s="1" t="s">
        <v>33</v>
      </c>
      <c r="K19" s="1" t="s">
        <v>57</v>
      </c>
      <c r="L19" s="1" t="s">
        <v>35</v>
      </c>
      <c r="N19" s="8">
        <v>45974.0</v>
      </c>
      <c r="O19" s="8">
        <v>45974.0</v>
      </c>
    </row>
    <row r="20">
      <c r="A20" s="1" t="s">
        <v>66</v>
      </c>
      <c r="B20" s="1" t="s">
        <v>67</v>
      </c>
      <c r="C20" s="1" t="s">
        <v>68</v>
      </c>
      <c r="D20" s="1" t="s">
        <v>69</v>
      </c>
      <c r="E20" s="1" t="s">
        <v>70</v>
      </c>
      <c r="F20" s="4">
        <v>46261.0</v>
      </c>
      <c r="I20" s="1" t="s">
        <v>71</v>
      </c>
      <c r="K20" s="1" t="s">
        <v>72</v>
      </c>
      <c r="L20" s="1" t="s">
        <v>73</v>
      </c>
      <c r="M20" s="4">
        <v>46261.0</v>
      </c>
      <c r="O20" s="8">
        <v>44859.0</v>
      </c>
    </row>
    <row r="21">
      <c r="A21" s="1" t="s">
        <v>66</v>
      </c>
      <c r="B21" s="1" t="s">
        <v>74</v>
      </c>
      <c r="C21" s="1" t="s">
        <v>75</v>
      </c>
      <c r="D21" s="1" t="s">
        <v>76</v>
      </c>
      <c r="E21" s="1" t="s">
        <v>70</v>
      </c>
      <c r="F21" s="4">
        <v>46261.0</v>
      </c>
      <c r="I21" s="1" t="s">
        <v>71</v>
      </c>
      <c r="K21" s="1" t="s">
        <v>72</v>
      </c>
      <c r="L21" s="1" t="s">
        <v>73</v>
      </c>
      <c r="M21" s="4">
        <v>46261.0</v>
      </c>
      <c r="O21" s="8">
        <v>44859.0</v>
      </c>
    </row>
    <row r="22">
      <c r="A22" s="1" t="s">
        <v>66</v>
      </c>
      <c r="B22" s="1" t="s">
        <v>77</v>
      </c>
      <c r="C22" s="1" t="s">
        <v>78</v>
      </c>
      <c r="D22" s="1" t="s">
        <v>79</v>
      </c>
      <c r="E22" s="1" t="s">
        <v>70</v>
      </c>
      <c r="F22" s="4">
        <v>46261.0</v>
      </c>
      <c r="I22" s="1" t="s">
        <v>71</v>
      </c>
      <c r="K22" s="1" t="s">
        <v>80</v>
      </c>
      <c r="L22" s="1" t="s">
        <v>73</v>
      </c>
      <c r="M22" s="4">
        <v>46261.0</v>
      </c>
      <c r="O22" s="8">
        <v>44859.0</v>
      </c>
    </row>
    <row r="23">
      <c r="A23" s="1" t="s">
        <v>81</v>
      </c>
      <c r="B23" s="1" t="s">
        <v>63</v>
      </c>
      <c r="C23" s="1" t="s">
        <v>64</v>
      </c>
      <c r="D23" s="1" t="s">
        <v>82</v>
      </c>
      <c r="E23" s="1" t="s">
        <v>32</v>
      </c>
      <c r="F23" s="4">
        <v>46072.0</v>
      </c>
      <c r="H23" s="1" t="s">
        <v>33</v>
      </c>
      <c r="K23" s="1" t="s">
        <v>83</v>
      </c>
      <c r="L23" s="1" t="s">
        <v>35</v>
      </c>
      <c r="N23" s="4">
        <v>46072.0</v>
      </c>
      <c r="O23" s="4">
        <v>46072.0</v>
      </c>
    </row>
    <row r="24">
      <c r="A24" s="1" t="s">
        <v>81</v>
      </c>
      <c r="B24" s="1" t="s">
        <v>63</v>
      </c>
      <c r="C24" s="1" t="s">
        <v>64</v>
      </c>
      <c r="D24" s="1" t="s">
        <v>84</v>
      </c>
      <c r="E24" s="1" t="s">
        <v>32</v>
      </c>
      <c r="F24" s="4">
        <v>46072.0</v>
      </c>
      <c r="H24" s="1" t="s">
        <v>33</v>
      </c>
      <c r="K24" s="1" t="s">
        <v>83</v>
      </c>
      <c r="L24" s="1" t="s">
        <v>35</v>
      </c>
      <c r="N24" s="4">
        <v>46072.0</v>
      </c>
      <c r="O24" s="4">
        <v>46072.0</v>
      </c>
    </row>
    <row r="25">
      <c r="A25" s="1" t="s">
        <v>81</v>
      </c>
      <c r="B25" s="1" t="s">
        <v>63</v>
      </c>
      <c r="C25" s="1" t="s">
        <v>64</v>
      </c>
      <c r="D25" s="1" t="s">
        <v>85</v>
      </c>
      <c r="E25" s="1" t="s">
        <v>32</v>
      </c>
      <c r="F25" s="4">
        <v>46072.0</v>
      </c>
      <c r="H25" s="1" t="s">
        <v>33</v>
      </c>
      <c r="K25" s="1" t="s">
        <v>83</v>
      </c>
      <c r="L25" s="1" t="s">
        <v>35</v>
      </c>
      <c r="N25" s="4">
        <v>46072.0</v>
      </c>
      <c r="O25" s="4">
        <v>46072.0</v>
      </c>
    </row>
    <row r="26">
      <c r="A26" s="1" t="s">
        <v>81</v>
      </c>
      <c r="B26" s="1" t="s">
        <v>63</v>
      </c>
      <c r="C26" s="1" t="s">
        <v>64</v>
      </c>
      <c r="D26" s="1" t="s">
        <v>86</v>
      </c>
      <c r="E26" s="1" t="s">
        <v>32</v>
      </c>
      <c r="F26" s="4">
        <v>46072.0</v>
      </c>
      <c r="H26" s="1" t="s">
        <v>33</v>
      </c>
      <c r="K26" s="1" t="s">
        <v>83</v>
      </c>
      <c r="L26" s="1" t="s">
        <v>35</v>
      </c>
      <c r="N26" s="4">
        <v>46072.0</v>
      </c>
      <c r="O26" s="4">
        <v>46072.0</v>
      </c>
    </row>
    <row r="27">
      <c r="A27" s="1" t="s">
        <v>87</v>
      </c>
      <c r="B27" s="1" t="s">
        <v>88</v>
      </c>
      <c r="C27" s="1" t="s">
        <v>89</v>
      </c>
      <c r="D27" s="1" t="s">
        <v>90</v>
      </c>
      <c r="E27" s="1" t="s">
        <v>32</v>
      </c>
      <c r="F27" s="4">
        <v>46163.0</v>
      </c>
      <c r="H27" s="1" t="s">
        <v>91</v>
      </c>
      <c r="K27" s="1" t="s">
        <v>92</v>
      </c>
      <c r="L27" s="1" t="s">
        <v>35</v>
      </c>
      <c r="N27" s="4">
        <v>46163.0</v>
      </c>
      <c r="O27" s="4">
        <v>46163.0</v>
      </c>
    </row>
    <row r="28">
      <c r="A28" s="1" t="s">
        <v>93</v>
      </c>
      <c r="B28" s="1" t="s">
        <v>94</v>
      </c>
      <c r="C28" s="1" t="s">
        <v>95</v>
      </c>
      <c r="D28" s="1" t="s">
        <v>96</v>
      </c>
      <c r="E28" s="1" t="s">
        <v>97</v>
      </c>
      <c r="F28" s="8">
        <v>46311.0</v>
      </c>
      <c r="G28" s="1" t="s">
        <v>71</v>
      </c>
      <c r="K28" s="1" t="s">
        <v>98</v>
      </c>
      <c r="L28" s="1" t="s">
        <v>99</v>
      </c>
      <c r="O28" s="4">
        <v>44173.0</v>
      </c>
    </row>
    <row r="29">
      <c r="A29" s="1" t="s">
        <v>93</v>
      </c>
      <c r="B29" s="1" t="s">
        <v>94</v>
      </c>
      <c r="C29" s="1" t="s">
        <v>95</v>
      </c>
      <c r="D29" s="1" t="s">
        <v>100</v>
      </c>
      <c r="E29" s="1" t="s">
        <v>97</v>
      </c>
      <c r="F29" s="8">
        <v>46311.0</v>
      </c>
      <c r="G29" s="1" t="s">
        <v>71</v>
      </c>
      <c r="K29" s="1" t="s">
        <v>98</v>
      </c>
      <c r="L29" s="1" t="s">
        <v>99</v>
      </c>
      <c r="O29" s="4">
        <v>44173.0</v>
      </c>
    </row>
    <row r="30">
      <c r="A30" s="1" t="s">
        <v>93</v>
      </c>
      <c r="B30" s="1" t="s">
        <v>94</v>
      </c>
      <c r="C30" s="1" t="s">
        <v>95</v>
      </c>
      <c r="D30" s="1" t="s">
        <v>101</v>
      </c>
      <c r="E30" s="1" t="s">
        <v>97</v>
      </c>
      <c r="F30" s="8">
        <v>46311.0</v>
      </c>
      <c r="G30" s="1" t="s">
        <v>71</v>
      </c>
      <c r="K30" s="1" t="s">
        <v>98</v>
      </c>
      <c r="L30" s="1" t="s">
        <v>99</v>
      </c>
      <c r="O30" s="4">
        <v>44173.0</v>
      </c>
    </row>
    <row r="31">
      <c r="A31" s="1" t="s">
        <v>93</v>
      </c>
      <c r="B31" s="1" t="s">
        <v>102</v>
      </c>
      <c r="C31" s="1" t="s">
        <v>103</v>
      </c>
      <c r="D31" s="1" t="s">
        <v>104</v>
      </c>
      <c r="E31" s="1" t="s">
        <v>97</v>
      </c>
      <c r="F31" s="8">
        <v>46314.0</v>
      </c>
      <c r="G31" s="1" t="s">
        <v>71</v>
      </c>
      <c r="K31" s="1" t="s">
        <v>98</v>
      </c>
      <c r="L31" s="1" t="s">
        <v>99</v>
      </c>
      <c r="O31" s="4">
        <v>44173.0</v>
      </c>
    </row>
    <row r="32">
      <c r="A32" s="1" t="s">
        <v>93</v>
      </c>
      <c r="B32" s="1" t="s">
        <v>94</v>
      </c>
      <c r="C32" s="1" t="s">
        <v>95</v>
      </c>
      <c r="D32" s="1" t="s">
        <v>105</v>
      </c>
      <c r="E32" s="1" t="s">
        <v>97</v>
      </c>
      <c r="F32" s="8">
        <v>46311.0</v>
      </c>
      <c r="G32" s="1" t="s">
        <v>71</v>
      </c>
      <c r="K32" s="1" t="s">
        <v>98</v>
      </c>
      <c r="L32" s="1" t="s">
        <v>99</v>
      </c>
      <c r="O32" s="4">
        <v>44173.0</v>
      </c>
    </row>
    <row r="33">
      <c r="A33" s="1" t="s">
        <v>93</v>
      </c>
      <c r="B33" s="1" t="s">
        <v>94</v>
      </c>
      <c r="C33" s="1" t="s">
        <v>95</v>
      </c>
      <c r="D33" s="1" t="s">
        <v>106</v>
      </c>
      <c r="E33" s="1" t="s">
        <v>97</v>
      </c>
      <c r="F33" s="8">
        <v>46311.0</v>
      </c>
      <c r="G33" s="1" t="s">
        <v>107</v>
      </c>
      <c r="H33" s="1" t="s">
        <v>108</v>
      </c>
      <c r="J33" s="1" t="s">
        <v>109</v>
      </c>
      <c r="K33" s="1" t="s">
        <v>98</v>
      </c>
      <c r="L33" s="1" t="s">
        <v>99</v>
      </c>
      <c r="O33" s="4">
        <v>44173.0</v>
      </c>
    </row>
    <row r="34">
      <c r="A34" s="1" t="s">
        <v>93</v>
      </c>
      <c r="B34" s="1" t="s">
        <v>94</v>
      </c>
      <c r="C34" s="1" t="s">
        <v>95</v>
      </c>
      <c r="D34" s="1" t="s">
        <v>110</v>
      </c>
      <c r="E34" s="1" t="s">
        <v>97</v>
      </c>
      <c r="F34" s="8">
        <v>46311.0</v>
      </c>
      <c r="G34" s="1" t="s">
        <v>71</v>
      </c>
      <c r="K34" s="1" t="s">
        <v>98</v>
      </c>
      <c r="L34" s="1" t="s">
        <v>99</v>
      </c>
      <c r="O34" s="4">
        <v>44173.0</v>
      </c>
    </row>
    <row r="35">
      <c r="A35" s="1" t="s">
        <v>93</v>
      </c>
      <c r="B35" s="1" t="s">
        <v>94</v>
      </c>
      <c r="C35" s="1" t="s">
        <v>95</v>
      </c>
      <c r="D35" s="1" t="s">
        <v>111</v>
      </c>
      <c r="E35" s="1" t="s">
        <v>97</v>
      </c>
      <c r="F35" s="8">
        <v>46311.0</v>
      </c>
      <c r="G35" s="1" t="s">
        <v>71</v>
      </c>
      <c r="K35" s="1" t="s">
        <v>98</v>
      </c>
      <c r="L35" s="1" t="s">
        <v>99</v>
      </c>
      <c r="O35" s="4">
        <v>44173.0</v>
      </c>
    </row>
    <row r="36">
      <c r="A36" s="1" t="s">
        <v>93</v>
      </c>
      <c r="B36" s="1" t="s">
        <v>94</v>
      </c>
      <c r="C36" s="1" t="s">
        <v>95</v>
      </c>
      <c r="D36" s="1" t="s">
        <v>112</v>
      </c>
      <c r="E36" s="1" t="s">
        <v>97</v>
      </c>
      <c r="F36" s="8">
        <v>46311.0</v>
      </c>
      <c r="G36" s="1" t="s">
        <v>71</v>
      </c>
      <c r="K36" s="1" t="s">
        <v>98</v>
      </c>
      <c r="L36" s="1" t="s">
        <v>99</v>
      </c>
      <c r="O36" s="4">
        <v>44173.0</v>
      </c>
    </row>
    <row r="37">
      <c r="A37" s="1" t="s">
        <v>93</v>
      </c>
      <c r="B37" s="1" t="s">
        <v>102</v>
      </c>
      <c r="C37" s="1" t="s">
        <v>103</v>
      </c>
      <c r="D37" s="1" t="s">
        <v>113</v>
      </c>
      <c r="E37" s="1" t="s">
        <v>97</v>
      </c>
      <c r="F37" s="8">
        <v>46314.0</v>
      </c>
      <c r="G37" s="1" t="s">
        <v>71</v>
      </c>
      <c r="K37" s="1" t="s">
        <v>98</v>
      </c>
      <c r="L37" s="1" t="s">
        <v>99</v>
      </c>
      <c r="O37" s="4">
        <v>44173.0</v>
      </c>
    </row>
    <row r="38">
      <c r="A38" s="1" t="s">
        <v>93</v>
      </c>
      <c r="B38" s="1" t="s">
        <v>102</v>
      </c>
      <c r="C38" s="1" t="s">
        <v>103</v>
      </c>
      <c r="D38" s="1" t="s">
        <v>114</v>
      </c>
      <c r="E38" s="1" t="s">
        <v>97</v>
      </c>
      <c r="F38" s="8">
        <v>46314.0</v>
      </c>
      <c r="G38" s="1" t="s">
        <v>71</v>
      </c>
      <c r="K38" s="1" t="s">
        <v>98</v>
      </c>
      <c r="L38" s="1" t="s">
        <v>99</v>
      </c>
      <c r="O38" s="4">
        <v>44173.0</v>
      </c>
    </row>
    <row r="39">
      <c r="A39" s="1" t="s">
        <v>93</v>
      </c>
      <c r="B39" s="1" t="s">
        <v>115</v>
      </c>
      <c r="C39" s="1" t="s">
        <v>116</v>
      </c>
      <c r="D39" s="1" t="s">
        <v>117</v>
      </c>
      <c r="E39" s="1" t="s">
        <v>97</v>
      </c>
      <c r="F39" s="8">
        <v>46311.0</v>
      </c>
      <c r="G39" s="1" t="s">
        <v>71</v>
      </c>
      <c r="H39" s="1" t="s">
        <v>118</v>
      </c>
      <c r="K39" s="1" t="s">
        <v>98</v>
      </c>
      <c r="L39" s="1" t="s">
        <v>99</v>
      </c>
      <c r="O39" s="4">
        <v>44173.0</v>
      </c>
    </row>
    <row r="40">
      <c r="A40" s="1" t="s">
        <v>93</v>
      </c>
      <c r="B40" s="1" t="s">
        <v>115</v>
      </c>
      <c r="C40" s="1" t="s">
        <v>116</v>
      </c>
      <c r="D40" s="1" t="s">
        <v>119</v>
      </c>
      <c r="E40" s="1" t="s">
        <v>97</v>
      </c>
      <c r="F40" s="8">
        <v>46311.0</v>
      </c>
      <c r="G40" s="1" t="s">
        <v>71</v>
      </c>
      <c r="H40" s="1" t="s">
        <v>118</v>
      </c>
      <c r="K40" s="1" t="s">
        <v>98</v>
      </c>
      <c r="L40" s="1" t="s">
        <v>99</v>
      </c>
      <c r="O40" s="4">
        <v>44173.0</v>
      </c>
    </row>
    <row r="41">
      <c r="A41" s="1" t="s">
        <v>93</v>
      </c>
      <c r="B41" s="1" t="s">
        <v>115</v>
      </c>
      <c r="C41" s="1" t="s">
        <v>116</v>
      </c>
      <c r="D41" s="1" t="s">
        <v>120</v>
      </c>
      <c r="E41" s="1" t="s">
        <v>97</v>
      </c>
      <c r="F41" s="8">
        <v>46311.0</v>
      </c>
      <c r="G41" s="1" t="s">
        <v>107</v>
      </c>
      <c r="H41" s="1" t="s">
        <v>121</v>
      </c>
      <c r="J41" s="1" t="s">
        <v>122</v>
      </c>
      <c r="K41" s="1" t="s">
        <v>98</v>
      </c>
      <c r="L41" s="1" t="s">
        <v>99</v>
      </c>
      <c r="O41" s="4">
        <v>44173.0</v>
      </c>
    </row>
    <row r="42">
      <c r="A42" s="1" t="s">
        <v>93</v>
      </c>
      <c r="B42" s="1" t="s">
        <v>115</v>
      </c>
      <c r="C42" s="1" t="s">
        <v>116</v>
      </c>
      <c r="D42" s="1" t="s">
        <v>123</v>
      </c>
      <c r="E42" s="1" t="s">
        <v>97</v>
      </c>
      <c r="F42" s="8">
        <v>46311.0</v>
      </c>
      <c r="G42" s="1" t="s">
        <v>107</v>
      </c>
      <c r="H42" s="1" t="s">
        <v>121</v>
      </c>
      <c r="J42" s="1" t="s">
        <v>122</v>
      </c>
      <c r="K42" s="1" t="s">
        <v>98</v>
      </c>
      <c r="L42" s="1" t="s">
        <v>99</v>
      </c>
      <c r="O42" s="4">
        <v>44173.0</v>
      </c>
    </row>
    <row r="43">
      <c r="A43" s="1" t="s">
        <v>93</v>
      </c>
      <c r="B43" s="1" t="s">
        <v>94</v>
      </c>
      <c r="C43" s="1" t="s">
        <v>95</v>
      </c>
      <c r="D43" s="1" t="s">
        <v>124</v>
      </c>
      <c r="E43" s="1" t="s">
        <v>97</v>
      </c>
      <c r="F43" s="8">
        <v>46311.0</v>
      </c>
      <c r="G43" s="1" t="s">
        <v>71</v>
      </c>
      <c r="K43" s="1" t="s">
        <v>98</v>
      </c>
      <c r="L43" s="1" t="s">
        <v>99</v>
      </c>
      <c r="O43" s="4">
        <v>44173.0</v>
      </c>
    </row>
    <row r="44">
      <c r="A44" s="1" t="s">
        <v>125</v>
      </c>
      <c r="B44" s="1" t="s">
        <v>126</v>
      </c>
      <c r="C44" s="1" t="s">
        <v>127</v>
      </c>
      <c r="D44" s="1" t="s">
        <v>128</v>
      </c>
      <c r="E44" s="1" t="s">
        <v>97</v>
      </c>
      <c r="F44" s="4">
        <v>46254.0</v>
      </c>
      <c r="G44" s="1" t="s">
        <v>71</v>
      </c>
      <c r="K44" s="1" t="s">
        <v>129</v>
      </c>
      <c r="L44" s="1" t="s">
        <v>99</v>
      </c>
      <c r="O44" s="8">
        <v>44846.0</v>
      </c>
    </row>
    <row r="45">
      <c r="A45" s="1" t="s">
        <v>125</v>
      </c>
      <c r="B45" s="1" t="s">
        <v>126</v>
      </c>
      <c r="C45" s="1" t="s">
        <v>127</v>
      </c>
      <c r="D45" s="1" t="s">
        <v>130</v>
      </c>
      <c r="E45" s="1" t="s">
        <v>97</v>
      </c>
      <c r="F45" s="4">
        <v>46254.0</v>
      </c>
      <c r="G45" s="1" t="s">
        <v>71</v>
      </c>
      <c r="K45" s="1" t="s">
        <v>129</v>
      </c>
      <c r="L45" s="1" t="s">
        <v>99</v>
      </c>
      <c r="O45" s="8">
        <v>44846.0</v>
      </c>
    </row>
    <row r="46">
      <c r="A46" s="1" t="s">
        <v>125</v>
      </c>
      <c r="B46" s="1" t="s">
        <v>126</v>
      </c>
      <c r="C46" s="1" t="s">
        <v>127</v>
      </c>
      <c r="D46" s="1" t="s">
        <v>131</v>
      </c>
      <c r="E46" s="1" t="s">
        <v>70</v>
      </c>
      <c r="F46" s="4">
        <v>46254.0</v>
      </c>
      <c r="G46" s="1" t="s">
        <v>132</v>
      </c>
      <c r="H46" s="1" t="s">
        <v>133</v>
      </c>
      <c r="J46" s="1" t="s">
        <v>134</v>
      </c>
      <c r="K46" s="1" t="s">
        <v>129</v>
      </c>
      <c r="L46" s="1" t="s">
        <v>99</v>
      </c>
      <c r="O46" s="8">
        <v>44846.0</v>
      </c>
    </row>
    <row r="47">
      <c r="A47" s="1" t="s">
        <v>125</v>
      </c>
      <c r="B47" s="1" t="s">
        <v>126</v>
      </c>
      <c r="C47" s="1" t="s">
        <v>127</v>
      </c>
      <c r="D47" s="1" t="s">
        <v>137</v>
      </c>
      <c r="E47" s="1" t="s">
        <v>70</v>
      </c>
      <c r="F47" s="4">
        <v>46254.0</v>
      </c>
      <c r="G47" s="1" t="s">
        <v>132</v>
      </c>
      <c r="H47" s="1" t="s">
        <v>133</v>
      </c>
      <c r="J47" s="1" t="s">
        <v>134</v>
      </c>
      <c r="K47" s="1" t="s">
        <v>129</v>
      </c>
      <c r="L47" s="1" t="s">
        <v>99</v>
      </c>
      <c r="O47" s="8">
        <v>44846.0</v>
      </c>
    </row>
    <row r="48">
      <c r="A48" s="1" t="s">
        <v>125</v>
      </c>
      <c r="B48" s="1" t="s">
        <v>126</v>
      </c>
      <c r="C48" s="1" t="s">
        <v>127</v>
      </c>
      <c r="D48" s="1" t="s">
        <v>138</v>
      </c>
      <c r="E48" s="1" t="s">
        <v>97</v>
      </c>
      <c r="F48" s="4">
        <v>46254.0</v>
      </c>
      <c r="G48" s="1" t="s">
        <v>71</v>
      </c>
      <c r="K48" s="1" t="s">
        <v>129</v>
      </c>
      <c r="L48" s="1" t="s">
        <v>99</v>
      </c>
      <c r="O48" s="8">
        <v>44846.0</v>
      </c>
    </row>
    <row r="49">
      <c r="A49" s="1" t="s">
        <v>125</v>
      </c>
      <c r="B49" s="1" t="s">
        <v>126</v>
      </c>
      <c r="C49" s="1" t="s">
        <v>127</v>
      </c>
      <c r="D49" s="1" t="s">
        <v>139</v>
      </c>
      <c r="E49" s="1" t="s">
        <v>70</v>
      </c>
      <c r="F49" s="4">
        <v>46254.0</v>
      </c>
      <c r="G49" s="1" t="s">
        <v>132</v>
      </c>
      <c r="H49" s="1" t="s">
        <v>133</v>
      </c>
      <c r="J49" s="1" t="s">
        <v>134</v>
      </c>
      <c r="K49" s="1" t="s">
        <v>129</v>
      </c>
      <c r="L49" s="1" t="s">
        <v>99</v>
      </c>
      <c r="O49" s="8">
        <v>44846.0</v>
      </c>
    </row>
    <row r="50">
      <c r="A50" s="1" t="s">
        <v>125</v>
      </c>
      <c r="B50" s="1" t="s">
        <v>140</v>
      </c>
      <c r="C50" s="1" t="s">
        <v>141</v>
      </c>
      <c r="D50" s="1" t="s">
        <v>142</v>
      </c>
      <c r="E50" s="1" t="s">
        <v>97</v>
      </c>
      <c r="F50" s="8">
        <v>46318.0</v>
      </c>
      <c r="G50" s="1" t="s">
        <v>132</v>
      </c>
      <c r="H50" s="1" t="s">
        <v>133</v>
      </c>
      <c r="J50" s="1" t="s">
        <v>122</v>
      </c>
      <c r="K50" s="1" t="s">
        <v>129</v>
      </c>
      <c r="L50" s="1" t="s">
        <v>99</v>
      </c>
      <c r="O50" s="8">
        <v>44846.0</v>
      </c>
    </row>
    <row r="51">
      <c r="A51" s="1" t="s">
        <v>125</v>
      </c>
      <c r="B51" s="1" t="s">
        <v>140</v>
      </c>
      <c r="C51" s="1" t="s">
        <v>141</v>
      </c>
      <c r="D51" s="1" t="s">
        <v>143</v>
      </c>
      <c r="E51" s="1" t="s">
        <v>97</v>
      </c>
      <c r="F51" s="8">
        <v>46318.0</v>
      </c>
      <c r="G51" s="1" t="s">
        <v>132</v>
      </c>
      <c r="H51" s="1" t="s">
        <v>133</v>
      </c>
      <c r="J51" s="1" t="s">
        <v>122</v>
      </c>
      <c r="K51" s="1" t="s">
        <v>129</v>
      </c>
      <c r="L51" s="1" t="s">
        <v>99</v>
      </c>
      <c r="O51" s="8">
        <v>44846.0</v>
      </c>
    </row>
    <row r="52">
      <c r="A52" s="1" t="s">
        <v>125</v>
      </c>
      <c r="B52" s="1" t="s">
        <v>140</v>
      </c>
      <c r="C52" s="1" t="s">
        <v>141</v>
      </c>
      <c r="D52" s="1" t="s">
        <v>144</v>
      </c>
      <c r="E52" s="1" t="s">
        <v>97</v>
      </c>
      <c r="F52" s="8">
        <v>46318.0</v>
      </c>
      <c r="G52" s="1" t="s">
        <v>132</v>
      </c>
      <c r="H52" s="1" t="s">
        <v>133</v>
      </c>
      <c r="J52" s="1" t="s">
        <v>122</v>
      </c>
      <c r="K52" s="1" t="s">
        <v>129</v>
      </c>
      <c r="L52" s="1" t="s">
        <v>99</v>
      </c>
      <c r="O52" s="8">
        <v>44846.0</v>
      </c>
    </row>
    <row r="53">
      <c r="A53" s="1" t="s">
        <v>125</v>
      </c>
      <c r="B53" s="1" t="s">
        <v>140</v>
      </c>
      <c r="C53" s="1" t="s">
        <v>141</v>
      </c>
      <c r="D53" s="1" t="s">
        <v>145</v>
      </c>
      <c r="E53" s="1" t="s">
        <v>97</v>
      </c>
      <c r="F53" s="8">
        <v>46318.0</v>
      </c>
      <c r="G53" s="1" t="s">
        <v>132</v>
      </c>
      <c r="H53" s="1" t="s">
        <v>133</v>
      </c>
      <c r="J53" s="1" t="s">
        <v>122</v>
      </c>
      <c r="K53" s="1" t="s">
        <v>129</v>
      </c>
      <c r="L53" s="1" t="s">
        <v>99</v>
      </c>
      <c r="O53" s="8">
        <v>44846.0</v>
      </c>
    </row>
    <row r="54">
      <c r="A54" s="1" t="s">
        <v>125</v>
      </c>
      <c r="B54" s="1" t="s">
        <v>140</v>
      </c>
      <c r="C54" s="1" t="s">
        <v>141</v>
      </c>
      <c r="D54" s="1" t="s">
        <v>146</v>
      </c>
      <c r="E54" s="1" t="s">
        <v>97</v>
      </c>
      <c r="F54" s="8">
        <v>46318.0</v>
      </c>
      <c r="G54" s="1" t="s">
        <v>132</v>
      </c>
      <c r="H54" s="1" t="s">
        <v>133</v>
      </c>
      <c r="J54" s="1" t="s">
        <v>122</v>
      </c>
      <c r="K54" s="1" t="s">
        <v>129</v>
      </c>
      <c r="L54" s="1" t="s">
        <v>99</v>
      </c>
      <c r="O54" s="8">
        <v>44846.0</v>
      </c>
    </row>
    <row r="55">
      <c r="A55" s="1" t="s">
        <v>125</v>
      </c>
      <c r="B55" s="1" t="s">
        <v>147</v>
      </c>
      <c r="C55" s="1" t="s">
        <v>148</v>
      </c>
      <c r="D55" s="1" t="s">
        <v>149</v>
      </c>
      <c r="E55" s="1" t="s">
        <v>97</v>
      </c>
      <c r="F55" s="8">
        <v>46311.0</v>
      </c>
      <c r="G55" s="1" t="s">
        <v>71</v>
      </c>
      <c r="K55" s="1" t="s">
        <v>129</v>
      </c>
      <c r="L55" s="1" t="s">
        <v>99</v>
      </c>
      <c r="O55" s="8">
        <v>44846.0</v>
      </c>
    </row>
    <row r="56">
      <c r="A56" s="1" t="s">
        <v>125</v>
      </c>
      <c r="B56" s="1" t="s">
        <v>147</v>
      </c>
      <c r="C56" s="1" t="s">
        <v>148</v>
      </c>
      <c r="D56" s="1" t="s">
        <v>151</v>
      </c>
      <c r="E56" s="1" t="s">
        <v>97</v>
      </c>
      <c r="F56" s="8">
        <v>46311.0</v>
      </c>
      <c r="G56" s="1" t="s">
        <v>71</v>
      </c>
      <c r="K56" s="1" t="s">
        <v>129</v>
      </c>
      <c r="L56" s="1" t="s">
        <v>99</v>
      </c>
      <c r="O56" s="8">
        <v>44846.0</v>
      </c>
    </row>
    <row r="57">
      <c r="A57" s="1" t="s">
        <v>125</v>
      </c>
      <c r="B57" s="1" t="s">
        <v>147</v>
      </c>
      <c r="C57" s="1" t="s">
        <v>148</v>
      </c>
      <c r="D57" s="1" t="s">
        <v>153</v>
      </c>
      <c r="E57" s="1" t="s">
        <v>97</v>
      </c>
      <c r="F57" s="8">
        <v>46311.0</v>
      </c>
      <c r="G57" s="1" t="s">
        <v>71</v>
      </c>
      <c r="K57" s="1" t="s">
        <v>129</v>
      </c>
      <c r="L57" s="1" t="s">
        <v>99</v>
      </c>
      <c r="O57" s="8">
        <v>44846.0</v>
      </c>
    </row>
    <row r="58">
      <c r="A58" s="1" t="s">
        <v>125</v>
      </c>
      <c r="B58" s="1" t="s">
        <v>147</v>
      </c>
      <c r="C58" s="1" t="s">
        <v>148</v>
      </c>
      <c r="D58" s="1" t="s">
        <v>154</v>
      </c>
      <c r="E58" s="1" t="s">
        <v>97</v>
      </c>
      <c r="F58" s="8">
        <v>46311.0</v>
      </c>
      <c r="G58" s="1" t="s">
        <v>71</v>
      </c>
      <c r="K58" s="1" t="s">
        <v>129</v>
      </c>
      <c r="L58" s="1" t="s">
        <v>99</v>
      </c>
      <c r="O58" s="8">
        <v>44846.0</v>
      </c>
    </row>
    <row r="59">
      <c r="A59" s="1" t="s">
        <v>125</v>
      </c>
      <c r="B59" s="1" t="s">
        <v>147</v>
      </c>
      <c r="C59" s="1" t="s">
        <v>148</v>
      </c>
      <c r="D59" s="1" t="s">
        <v>155</v>
      </c>
      <c r="E59" s="1" t="s">
        <v>97</v>
      </c>
      <c r="F59" s="8">
        <v>46311.0</v>
      </c>
      <c r="G59" s="1" t="s">
        <v>71</v>
      </c>
      <c r="K59" s="1" t="s">
        <v>129</v>
      </c>
      <c r="L59" s="1" t="s">
        <v>99</v>
      </c>
      <c r="O59" s="8">
        <v>44846.0</v>
      </c>
    </row>
    <row r="60">
      <c r="A60" s="1" t="s">
        <v>125</v>
      </c>
      <c r="B60" s="1" t="s">
        <v>156</v>
      </c>
      <c r="C60" s="1" t="s">
        <v>157</v>
      </c>
      <c r="D60" s="1" t="s">
        <v>158</v>
      </c>
      <c r="E60" s="1" t="s">
        <v>97</v>
      </c>
      <c r="F60" s="8">
        <v>46310.0</v>
      </c>
      <c r="G60" s="1" t="s">
        <v>71</v>
      </c>
      <c r="K60" s="1" t="s">
        <v>129</v>
      </c>
      <c r="L60" s="1" t="s">
        <v>99</v>
      </c>
      <c r="O60" s="8">
        <v>44846.0</v>
      </c>
    </row>
    <row r="61">
      <c r="A61" s="1" t="s">
        <v>125</v>
      </c>
      <c r="B61" s="1" t="s">
        <v>156</v>
      </c>
      <c r="C61" s="1" t="s">
        <v>157</v>
      </c>
      <c r="D61" s="1" t="s">
        <v>159</v>
      </c>
      <c r="E61" s="1" t="s">
        <v>97</v>
      </c>
      <c r="F61" s="8">
        <v>46310.0</v>
      </c>
      <c r="G61" s="1" t="s">
        <v>71</v>
      </c>
      <c r="K61" s="1" t="s">
        <v>129</v>
      </c>
      <c r="L61" s="1" t="s">
        <v>99</v>
      </c>
      <c r="O61" s="8">
        <v>44846.0</v>
      </c>
    </row>
    <row r="62">
      <c r="A62" s="1" t="s">
        <v>125</v>
      </c>
      <c r="B62" s="1" t="s">
        <v>156</v>
      </c>
      <c r="C62" s="1" t="s">
        <v>157</v>
      </c>
      <c r="D62" s="1" t="s">
        <v>160</v>
      </c>
      <c r="E62" s="1" t="s">
        <v>97</v>
      </c>
      <c r="F62" s="8">
        <v>46310.0</v>
      </c>
      <c r="G62" s="1" t="s">
        <v>71</v>
      </c>
      <c r="K62" s="1" t="s">
        <v>129</v>
      </c>
      <c r="L62" s="1" t="s">
        <v>99</v>
      </c>
      <c r="O62" s="8">
        <v>44846.0</v>
      </c>
    </row>
    <row r="63">
      <c r="A63" s="1" t="s">
        <v>125</v>
      </c>
      <c r="B63" s="1" t="s">
        <v>156</v>
      </c>
      <c r="C63" s="1" t="s">
        <v>157</v>
      </c>
      <c r="D63" s="1" t="s">
        <v>161</v>
      </c>
      <c r="E63" s="1" t="s">
        <v>97</v>
      </c>
      <c r="F63" s="8">
        <v>46310.0</v>
      </c>
      <c r="G63" s="1" t="s">
        <v>71</v>
      </c>
      <c r="K63" s="1" t="s">
        <v>129</v>
      </c>
      <c r="L63" s="1" t="s">
        <v>99</v>
      </c>
      <c r="O63" s="8">
        <v>44846.0</v>
      </c>
    </row>
    <row r="64">
      <c r="A64" s="1" t="s">
        <v>125</v>
      </c>
      <c r="B64" s="1" t="s">
        <v>156</v>
      </c>
      <c r="C64" s="1" t="s">
        <v>157</v>
      </c>
      <c r="D64" s="1" t="s">
        <v>162</v>
      </c>
      <c r="E64" s="1" t="s">
        <v>97</v>
      </c>
      <c r="F64" s="8">
        <v>46310.0</v>
      </c>
      <c r="G64" s="1" t="s">
        <v>71</v>
      </c>
      <c r="K64" s="1" t="s">
        <v>129</v>
      </c>
      <c r="L64" s="1" t="s">
        <v>99</v>
      </c>
      <c r="O64" s="8">
        <v>44846.0</v>
      </c>
    </row>
    <row r="65">
      <c r="A65" s="1" t="s">
        <v>125</v>
      </c>
      <c r="B65" s="1" t="s">
        <v>156</v>
      </c>
      <c r="C65" s="1" t="s">
        <v>157</v>
      </c>
      <c r="D65" s="1" t="s">
        <v>163</v>
      </c>
      <c r="E65" s="1" t="s">
        <v>97</v>
      </c>
      <c r="F65" s="8">
        <v>46310.0</v>
      </c>
      <c r="G65" s="1" t="s">
        <v>71</v>
      </c>
      <c r="K65" s="1" t="s">
        <v>129</v>
      </c>
      <c r="L65" s="1" t="s">
        <v>99</v>
      </c>
      <c r="O65" s="8">
        <v>44846.0</v>
      </c>
    </row>
    <row r="66">
      <c r="A66" s="1" t="s">
        <v>125</v>
      </c>
      <c r="B66" s="1" t="s">
        <v>156</v>
      </c>
      <c r="C66" s="1" t="s">
        <v>157</v>
      </c>
      <c r="D66" s="1" t="s">
        <v>164</v>
      </c>
      <c r="E66" s="1" t="s">
        <v>97</v>
      </c>
      <c r="F66" s="8">
        <v>46310.0</v>
      </c>
      <c r="G66" s="1" t="s">
        <v>71</v>
      </c>
      <c r="K66" s="1" t="s">
        <v>129</v>
      </c>
      <c r="L66" s="1" t="s">
        <v>99</v>
      </c>
      <c r="O66" s="8">
        <v>44846.0</v>
      </c>
    </row>
    <row r="67">
      <c r="A67" s="1" t="s">
        <v>125</v>
      </c>
      <c r="B67" s="1" t="s">
        <v>165</v>
      </c>
      <c r="C67" s="1" t="s">
        <v>166</v>
      </c>
      <c r="D67" s="1" t="s">
        <v>167</v>
      </c>
      <c r="E67" s="1" t="s">
        <v>97</v>
      </c>
      <c r="F67" s="8">
        <v>46310.0</v>
      </c>
      <c r="G67" s="1" t="s">
        <v>71</v>
      </c>
      <c r="K67" s="1" t="s">
        <v>129</v>
      </c>
      <c r="L67" s="1" t="s">
        <v>99</v>
      </c>
      <c r="O67" s="8">
        <v>44846.0</v>
      </c>
    </row>
    <row r="68">
      <c r="A68" s="1" t="s">
        <v>125</v>
      </c>
      <c r="B68" s="1" t="s">
        <v>165</v>
      </c>
      <c r="C68" s="1" t="s">
        <v>166</v>
      </c>
      <c r="D68" s="1" t="s">
        <v>168</v>
      </c>
      <c r="E68" s="1" t="s">
        <v>97</v>
      </c>
      <c r="F68" s="8">
        <v>46310.0</v>
      </c>
      <c r="G68" s="1" t="s">
        <v>71</v>
      </c>
      <c r="K68" s="1" t="s">
        <v>129</v>
      </c>
      <c r="L68" s="1" t="s">
        <v>99</v>
      </c>
      <c r="O68" s="8">
        <v>44846.0</v>
      </c>
    </row>
    <row r="69">
      <c r="A69" s="1" t="s">
        <v>125</v>
      </c>
      <c r="B69" s="1" t="s">
        <v>165</v>
      </c>
      <c r="C69" s="1" t="s">
        <v>166</v>
      </c>
      <c r="D69" s="1" t="s">
        <v>169</v>
      </c>
      <c r="E69" s="1" t="s">
        <v>97</v>
      </c>
      <c r="F69" s="8">
        <v>46310.0</v>
      </c>
      <c r="G69" s="1" t="s">
        <v>71</v>
      </c>
      <c r="K69" s="1" t="s">
        <v>129</v>
      </c>
      <c r="L69" s="1" t="s">
        <v>99</v>
      </c>
      <c r="O69" s="8">
        <v>44846.0</v>
      </c>
    </row>
    <row r="70">
      <c r="A70" s="1" t="s">
        <v>125</v>
      </c>
      <c r="B70" s="1" t="s">
        <v>165</v>
      </c>
      <c r="C70" s="1" t="s">
        <v>166</v>
      </c>
      <c r="D70" s="1" t="s">
        <v>170</v>
      </c>
      <c r="E70" s="1" t="s">
        <v>97</v>
      </c>
      <c r="F70" s="8">
        <v>46310.0</v>
      </c>
      <c r="G70" s="1" t="s">
        <v>71</v>
      </c>
      <c r="K70" s="1" t="s">
        <v>129</v>
      </c>
      <c r="L70" s="1" t="s">
        <v>99</v>
      </c>
      <c r="O70" s="8">
        <v>44846.0</v>
      </c>
    </row>
    <row r="71">
      <c r="A71" s="1" t="s">
        <v>125</v>
      </c>
      <c r="B71" s="1" t="s">
        <v>165</v>
      </c>
      <c r="C71" s="1" t="s">
        <v>166</v>
      </c>
      <c r="D71" s="1" t="s">
        <v>171</v>
      </c>
      <c r="E71" s="1" t="s">
        <v>97</v>
      </c>
      <c r="F71" s="8">
        <v>46310.0</v>
      </c>
      <c r="G71" s="1" t="s">
        <v>71</v>
      </c>
      <c r="K71" s="1" t="s">
        <v>129</v>
      </c>
      <c r="L71" s="1" t="s">
        <v>99</v>
      </c>
      <c r="O71" s="8">
        <v>44846.0</v>
      </c>
    </row>
    <row r="72">
      <c r="A72" s="1" t="s">
        <v>125</v>
      </c>
      <c r="B72" s="1" t="s">
        <v>165</v>
      </c>
      <c r="C72" s="1" t="s">
        <v>166</v>
      </c>
      <c r="D72" s="1" t="s">
        <v>172</v>
      </c>
      <c r="E72" s="1" t="s">
        <v>97</v>
      </c>
      <c r="F72" s="8">
        <v>46310.0</v>
      </c>
      <c r="G72" s="1" t="s">
        <v>71</v>
      </c>
      <c r="K72" s="1" t="s">
        <v>129</v>
      </c>
      <c r="L72" s="1" t="s">
        <v>99</v>
      </c>
      <c r="O72" s="8">
        <v>44846.0</v>
      </c>
    </row>
    <row r="73">
      <c r="A73" s="1" t="s">
        <v>125</v>
      </c>
      <c r="B73" s="1" t="s">
        <v>165</v>
      </c>
      <c r="C73" s="1" t="s">
        <v>166</v>
      </c>
      <c r="D73" s="1" t="s">
        <v>173</v>
      </c>
      <c r="E73" s="1" t="s">
        <v>97</v>
      </c>
      <c r="F73" s="8">
        <v>46310.0</v>
      </c>
      <c r="G73" s="1" t="s">
        <v>71</v>
      </c>
      <c r="K73" s="1" t="s">
        <v>129</v>
      </c>
      <c r="L73" s="1" t="s">
        <v>99</v>
      </c>
      <c r="O73" s="8">
        <v>44846.0</v>
      </c>
    </row>
    <row r="74">
      <c r="A74" s="1" t="s">
        <v>125</v>
      </c>
      <c r="B74" s="1" t="s">
        <v>174</v>
      </c>
      <c r="C74" s="1" t="s">
        <v>175</v>
      </c>
      <c r="D74" s="1" t="s">
        <v>176</v>
      </c>
      <c r="E74" s="1" t="s">
        <v>97</v>
      </c>
      <c r="F74" s="8">
        <v>46310.0</v>
      </c>
      <c r="G74" s="1" t="s">
        <v>107</v>
      </c>
      <c r="H74" s="1" t="s">
        <v>177</v>
      </c>
      <c r="J74" s="1" t="s">
        <v>122</v>
      </c>
      <c r="K74" s="1" t="s">
        <v>129</v>
      </c>
      <c r="L74" s="1" t="s">
        <v>99</v>
      </c>
      <c r="O74" s="8">
        <v>44846.0</v>
      </c>
    </row>
    <row r="75">
      <c r="A75" s="1" t="s">
        <v>125</v>
      </c>
      <c r="B75" s="1" t="s">
        <v>174</v>
      </c>
      <c r="C75" s="1" t="s">
        <v>175</v>
      </c>
      <c r="D75" s="1" t="s">
        <v>178</v>
      </c>
      <c r="E75" s="1" t="s">
        <v>97</v>
      </c>
      <c r="F75" s="8">
        <v>46310.0</v>
      </c>
      <c r="G75" s="1" t="s">
        <v>107</v>
      </c>
      <c r="H75" s="1" t="s">
        <v>177</v>
      </c>
      <c r="J75" s="1" t="s">
        <v>122</v>
      </c>
      <c r="K75" s="1" t="s">
        <v>129</v>
      </c>
      <c r="L75" s="1" t="s">
        <v>99</v>
      </c>
      <c r="O75" s="8">
        <v>44846.0</v>
      </c>
    </row>
    <row r="76">
      <c r="A76" s="1" t="s">
        <v>125</v>
      </c>
      <c r="B76" s="1" t="s">
        <v>174</v>
      </c>
      <c r="C76" s="1" t="s">
        <v>175</v>
      </c>
      <c r="D76" s="1" t="s">
        <v>179</v>
      </c>
      <c r="E76" s="1" t="s">
        <v>97</v>
      </c>
      <c r="F76" s="8">
        <v>46310.0</v>
      </c>
      <c r="G76" s="1" t="s">
        <v>107</v>
      </c>
      <c r="H76" s="1" t="s">
        <v>177</v>
      </c>
      <c r="J76" s="1" t="s">
        <v>122</v>
      </c>
      <c r="K76" s="1" t="s">
        <v>129</v>
      </c>
      <c r="L76" s="1" t="s">
        <v>99</v>
      </c>
      <c r="O76" s="8">
        <v>44846.0</v>
      </c>
    </row>
    <row r="77">
      <c r="A77" s="1" t="s">
        <v>125</v>
      </c>
      <c r="B77" s="1" t="s">
        <v>174</v>
      </c>
      <c r="C77" s="1" t="s">
        <v>175</v>
      </c>
      <c r="D77" s="1" t="s">
        <v>180</v>
      </c>
      <c r="E77" s="1" t="s">
        <v>97</v>
      </c>
      <c r="F77" s="8">
        <v>46310.0</v>
      </c>
      <c r="G77" s="1" t="s">
        <v>107</v>
      </c>
      <c r="H77" s="1" t="s">
        <v>177</v>
      </c>
      <c r="J77" s="1" t="s">
        <v>122</v>
      </c>
      <c r="K77" s="1" t="s">
        <v>129</v>
      </c>
      <c r="L77" s="1" t="s">
        <v>99</v>
      </c>
      <c r="O77" s="8">
        <v>44846.0</v>
      </c>
    </row>
    <row r="78">
      <c r="A78" s="1" t="s">
        <v>125</v>
      </c>
      <c r="B78" s="1" t="s">
        <v>174</v>
      </c>
      <c r="C78" s="1" t="s">
        <v>175</v>
      </c>
      <c r="D78" s="1" t="s">
        <v>181</v>
      </c>
      <c r="E78" s="1" t="s">
        <v>97</v>
      </c>
      <c r="F78" s="8">
        <v>46310.0</v>
      </c>
      <c r="G78" s="1" t="s">
        <v>107</v>
      </c>
      <c r="H78" s="1" t="s">
        <v>177</v>
      </c>
      <c r="J78" s="1" t="s">
        <v>122</v>
      </c>
      <c r="K78" s="1" t="s">
        <v>129</v>
      </c>
      <c r="L78" s="1" t="s">
        <v>99</v>
      </c>
      <c r="O78" s="8">
        <v>44846.0</v>
      </c>
    </row>
    <row r="79">
      <c r="A79" s="1" t="s">
        <v>125</v>
      </c>
      <c r="B79" s="1" t="s">
        <v>53</v>
      </c>
      <c r="C79" s="1" t="s">
        <v>54</v>
      </c>
      <c r="D79" s="1" t="s">
        <v>182</v>
      </c>
      <c r="E79" s="1" t="s">
        <v>97</v>
      </c>
      <c r="F79" s="8">
        <v>46316.0</v>
      </c>
      <c r="G79" s="1" t="s">
        <v>71</v>
      </c>
      <c r="K79" s="1" t="s">
        <v>129</v>
      </c>
      <c r="L79" s="1" t="s">
        <v>99</v>
      </c>
      <c r="O79" s="8">
        <v>44846.0</v>
      </c>
    </row>
    <row r="80">
      <c r="A80" s="1" t="s">
        <v>125</v>
      </c>
      <c r="B80" s="1" t="s">
        <v>53</v>
      </c>
      <c r="C80" s="1" t="s">
        <v>54</v>
      </c>
      <c r="D80" s="1" t="s">
        <v>183</v>
      </c>
      <c r="E80" s="1" t="s">
        <v>97</v>
      </c>
      <c r="F80" s="8">
        <v>46316.0</v>
      </c>
      <c r="G80" s="1" t="s">
        <v>71</v>
      </c>
      <c r="K80" s="1" t="s">
        <v>129</v>
      </c>
      <c r="L80" s="1" t="s">
        <v>99</v>
      </c>
      <c r="O80" s="8">
        <v>44846.0</v>
      </c>
    </row>
    <row r="81">
      <c r="A81" s="1" t="s">
        <v>125</v>
      </c>
      <c r="B81" s="1" t="s">
        <v>53</v>
      </c>
      <c r="C81" s="1" t="s">
        <v>54</v>
      </c>
      <c r="D81" s="1" t="s">
        <v>184</v>
      </c>
      <c r="E81" s="1" t="s">
        <v>97</v>
      </c>
      <c r="F81" s="8">
        <v>46316.0</v>
      </c>
      <c r="G81" s="1" t="s">
        <v>71</v>
      </c>
      <c r="K81" s="1" t="s">
        <v>129</v>
      </c>
      <c r="L81" s="1" t="s">
        <v>99</v>
      </c>
      <c r="O81" s="8">
        <v>44846.0</v>
      </c>
    </row>
    <row r="82">
      <c r="A82" s="1" t="s">
        <v>125</v>
      </c>
      <c r="B82" s="1" t="s">
        <v>53</v>
      </c>
      <c r="C82" s="1" t="s">
        <v>54</v>
      </c>
      <c r="D82" s="1" t="s">
        <v>185</v>
      </c>
      <c r="E82" s="1" t="s">
        <v>97</v>
      </c>
      <c r="F82" s="8">
        <v>46316.0</v>
      </c>
      <c r="G82" s="1" t="s">
        <v>71</v>
      </c>
      <c r="K82" s="1" t="s">
        <v>129</v>
      </c>
      <c r="L82" s="1" t="s">
        <v>99</v>
      </c>
      <c r="O82" s="8">
        <v>44846.0</v>
      </c>
    </row>
    <row r="83">
      <c r="A83" s="1" t="s">
        <v>125</v>
      </c>
      <c r="B83" s="1" t="s">
        <v>63</v>
      </c>
      <c r="C83" s="1" t="s">
        <v>64</v>
      </c>
      <c r="D83" s="1" t="s">
        <v>186</v>
      </c>
      <c r="E83" s="1" t="s">
        <v>97</v>
      </c>
      <c r="F83" s="8">
        <v>46310.0</v>
      </c>
      <c r="G83" s="1" t="s">
        <v>71</v>
      </c>
      <c r="K83" s="1" t="s">
        <v>129</v>
      </c>
      <c r="L83" s="1" t="s">
        <v>99</v>
      </c>
      <c r="O83" s="8">
        <v>44846.0</v>
      </c>
    </row>
    <row r="84">
      <c r="A84" s="1" t="s">
        <v>125</v>
      </c>
      <c r="B84" s="1" t="s">
        <v>63</v>
      </c>
      <c r="C84" s="1" t="s">
        <v>64</v>
      </c>
      <c r="D84" s="1" t="s">
        <v>188</v>
      </c>
      <c r="E84" s="1" t="s">
        <v>70</v>
      </c>
      <c r="F84" s="8">
        <v>46310.0</v>
      </c>
      <c r="G84" s="1" t="s">
        <v>107</v>
      </c>
      <c r="H84" s="1" t="s">
        <v>189</v>
      </c>
      <c r="J84" s="1" t="s">
        <v>47</v>
      </c>
      <c r="K84" s="1" t="s">
        <v>129</v>
      </c>
      <c r="L84" s="1" t="s">
        <v>99</v>
      </c>
      <c r="O84" s="8">
        <v>44846.0</v>
      </c>
    </row>
    <row r="85">
      <c r="A85" s="1" t="s">
        <v>125</v>
      </c>
      <c r="B85" s="1" t="s">
        <v>63</v>
      </c>
      <c r="C85" s="1" t="s">
        <v>64</v>
      </c>
      <c r="D85" s="1" t="s">
        <v>191</v>
      </c>
      <c r="E85" s="1" t="s">
        <v>97</v>
      </c>
      <c r="F85" s="8">
        <v>46310.0</v>
      </c>
      <c r="G85" s="1" t="s">
        <v>71</v>
      </c>
      <c r="K85" s="1" t="s">
        <v>129</v>
      </c>
      <c r="L85" s="1" t="s">
        <v>99</v>
      </c>
      <c r="O85" s="8">
        <v>44846.0</v>
      </c>
    </row>
    <row r="86">
      <c r="A86" s="1" t="s">
        <v>125</v>
      </c>
      <c r="B86" s="1" t="s">
        <v>63</v>
      </c>
      <c r="C86" s="1" t="s">
        <v>64</v>
      </c>
      <c r="D86" s="1" t="s">
        <v>192</v>
      </c>
      <c r="E86" s="1" t="s">
        <v>97</v>
      </c>
      <c r="F86" s="8">
        <v>46310.0</v>
      </c>
      <c r="G86" s="1" t="s">
        <v>71</v>
      </c>
      <c r="K86" s="1" t="s">
        <v>129</v>
      </c>
      <c r="L86" s="1" t="s">
        <v>99</v>
      </c>
      <c r="O86" s="8">
        <v>44846.0</v>
      </c>
    </row>
    <row r="87">
      <c r="A87" s="1" t="s">
        <v>125</v>
      </c>
      <c r="B87" s="1" t="s">
        <v>63</v>
      </c>
      <c r="C87" s="1" t="s">
        <v>64</v>
      </c>
      <c r="D87" s="1" t="s">
        <v>193</v>
      </c>
      <c r="E87" s="1" t="s">
        <v>97</v>
      </c>
      <c r="F87" s="8">
        <v>46310.0</v>
      </c>
      <c r="G87" s="1" t="s">
        <v>71</v>
      </c>
      <c r="K87" s="1" t="s">
        <v>129</v>
      </c>
      <c r="L87" s="1" t="s">
        <v>99</v>
      </c>
      <c r="O87" s="8">
        <v>44846.0</v>
      </c>
    </row>
    <row r="88">
      <c r="A88" s="1" t="s">
        <v>125</v>
      </c>
      <c r="B88" s="1" t="s">
        <v>63</v>
      </c>
      <c r="C88" s="1" t="s">
        <v>64</v>
      </c>
      <c r="D88" s="1" t="s">
        <v>194</v>
      </c>
      <c r="E88" s="1" t="s">
        <v>97</v>
      </c>
      <c r="F88" s="8">
        <v>46310.0</v>
      </c>
      <c r="G88" s="1" t="s">
        <v>71</v>
      </c>
      <c r="K88" s="1" t="s">
        <v>129</v>
      </c>
      <c r="L88" s="1" t="s">
        <v>99</v>
      </c>
      <c r="O88" s="8">
        <v>44846.0</v>
      </c>
    </row>
    <row r="89">
      <c r="A89" s="1" t="s">
        <v>125</v>
      </c>
      <c r="B89" s="1" t="s">
        <v>63</v>
      </c>
      <c r="C89" s="1" t="s">
        <v>64</v>
      </c>
      <c r="D89" s="1" t="s">
        <v>195</v>
      </c>
      <c r="E89" s="1" t="s">
        <v>97</v>
      </c>
      <c r="F89" s="8">
        <v>46310.0</v>
      </c>
      <c r="G89" s="1" t="s">
        <v>71</v>
      </c>
      <c r="K89" s="1" t="s">
        <v>129</v>
      </c>
      <c r="L89" s="1" t="s">
        <v>99</v>
      </c>
      <c r="O89" s="8">
        <v>44846.0</v>
      </c>
    </row>
    <row r="90">
      <c r="A90" s="1" t="s">
        <v>125</v>
      </c>
      <c r="B90" s="1" t="s">
        <v>63</v>
      </c>
      <c r="C90" s="1" t="s">
        <v>64</v>
      </c>
      <c r="D90" s="1" t="s">
        <v>196</v>
      </c>
      <c r="E90" s="1" t="s">
        <v>97</v>
      </c>
      <c r="F90" s="8">
        <v>46310.0</v>
      </c>
      <c r="G90" s="1" t="s">
        <v>71</v>
      </c>
      <c r="K90" s="1" t="s">
        <v>129</v>
      </c>
      <c r="L90" s="1" t="s">
        <v>99</v>
      </c>
      <c r="O90" s="8">
        <v>44846.0</v>
      </c>
    </row>
    <row r="91">
      <c r="A91" s="1" t="s">
        <v>125</v>
      </c>
      <c r="B91" s="1" t="s">
        <v>63</v>
      </c>
      <c r="C91" s="1" t="s">
        <v>64</v>
      </c>
      <c r="D91" s="1" t="s">
        <v>197</v>
      </c>
      <c r="E91" s="1" t="s">
        <v>70</v>
      </c>
      <c r="F91" s="8">
        <v>46310.0</v>
      </c>
      <c r="G91" s="1" t="s">
        <v>71</v>
      </c>
      <c r="K91" s="1" t="s">
        <v>129</v>
      </c>
      <c r="L91" s="1" t="s">
        <v>99</v>
      </c>
      <c r="O91" s="8">
        <v>44846.0</v>
      </c>
    </row>
    <row r="92">
      <c r="A92" s="1" t="s">
        <v>125</v>
      </c>
      <c r="B92" s="1" t="s">
        <v>63</v>
      </c>
      <c r="C92" s="1" t="s">
        <v>64</v>
      </c>
      <c r="D92" s="1" t="s">
        <v>198</v>
      </c>
      <c r="E92" s="1" t="s">
        <v>97</v>
      </c>
      <c r="F92" s="8">
        <v>46310.0</v>
      </c>
      <c r="G92" s="1" t="s">
        <v>71</v>
      </c>
      <c r="K92" s="1" t="s">
        <v>129</v>
      </c>
      <c r="L92" s="1" t="s">
        <v>99</v>
      </c>
      <c r="O92" s="8">
        <v>44846.0</v>
      </c>
    </row>
    <row r="93">
      <c r="A93" s="1" t="s">
        <v>125</v>
      </c>
      <c r="B93" s="1" t="s">
        <v>63</v>
      </c>
      <c r="C93" s="1" t="s">
        <v>64</v>
      </c>
      <c r="D93" s="1" t="s">
        <v>199</v>
      </c>
      <c r="E93" s="1" t="s">
        <v>97</v>
      </c>
      <c r="F93" s="8">
        <v>46310.0</v>
      </c>
      <c r="G93" s="1" t="s">
        <v>71</v>
      </c>
      <c r="K93" s="1" t="s">
        <v>129</v>
      </c>
      <c r="L93" s="1" t="s">
        <v>99</v>
      </c>
      <c r="O93" s="8">
        <v>44846.0</v>
      </c>
    </row>
    <row r="94">
      <c r="A94" s="1" t="s">
        <v>125</v>
      </c>
      <c r="B94" s="1" t="s">
        <v>63</v>
      </c>
      <c r="C94" s="1" t="s">
        <v>64</v>
      </c>
      <c r="D94" s="1" t="s">
        <v>200</v>
      </c>
      <c r="E94" s="1" t="s">
        <v>97</v>
      </c>
      <c r="F94" s="8">
        <v>46310.0</v>
      </c>
      <c r="G94" s="1" t="s">
        <v>71</v>
      </c>
      <c r="K94" s="1" t="s">
        <v>129</v>
      </c>
      <c r="L94" s="1" t="s">
        <v>99</v>
      </c>
      <c r="O94" s="8">
        <v>44846.0</v>
      </c>
    </row>
    <row r="95">
      <c r="A95" s="1" t="s">
        <v>125</v>
      </c>
      <c r="B95" s="1" t="s">
        <v>63</v>
      </c>
      <c r="C95" s="1" t="s">
        <v>64</v>
      </c>
      <c r="D95" s="1" t="s">
        <v>201</v>
      </c>
      <c r="E95" s="1" t="s">
        <v>70</v>
      </c>
      <c r="F95" s="8">
        <v>46310.0</v>
      </c>
      <c r="G95" s="1" t="s">
        <v>132</v>
      </c>
      <c r="H95" s="1" t="s">
        <v>133</v>
      </c>
      <c r="J95" s="1" t="s">
        <v>47</v>
      </c>
      <c r="K95" s="1" t="s">
        <v>129</v>
      </c>
      <c r="L95" s="1" t="s">
        <v>99</v>
      </c>
      <c r="O95" s="8">
        <v>44846.0</v>
      </c>
    </row>
    <row r="96">
      <c r="A96" s="1" t="s">
        <v>125</v>
      </c>
      <c r="B96" s="1" t="s">
        <v>63</v>
      </c>
      <c r="C96" s="1" t="s">
        <v>64</v>
      </c>
      <c r="D96" s="1" t="s">
        <v>202</v>
      </c>
      <c r="E96" s="1" t="s">
        <v>97</v>
      </c>
      <c r="F96" s="8">
        <v>46310.0</v>
      </c>
      <c r="G96" s="1" t="s">
        <v>71</v>
      </c>
      <c r="K96" s="1" t="s">
        <v>129</v>
      </c>
      <c r="L96" s="1" t="s">
        <v>99</v>
      </c>
      <c r="O96" s="8">
        <v>44846.0</v>
      </c>
    </row>
    <row r="97">
      <c r="A97" s="1" t="s">
        <v>125</v>
      </c>
      <c r="B97" s="1" t="s">
        <v>203</v>
      </c>
      <c r="C97" s="1" t="s">
        <v>204</v>
      </c>
      <c r="D97" s="1" t="s">
        <v>205</v>
      </c>
      <c r="E97" s="1" t="s">
        <v>97</v>
      </c>
      <c r="F97" s="8">
        <v>46310.0</v>
      </c>
      <c r="G97" s="1" t="s">
        <v>71</v>
      </c>
      <c r="K97" s="1" t="s">
        <v>129</v>
      </c>
      <c r="L97" s="1" t="s">
        <v>99</v>
      </c>
      <c r="O97" s="8">
        <v>44846.0</v>
      </c>
    </row>
    <row r="98">
      <c r="A98" s="1" t="s">
        <v>125</v>
      </c>
      <c r="B98" s="1" t="s">
        <v>203</v>
      </c>
      <c r="C98" s="1" t="s">
        <v>204</v>
      </c>
      <c r="D98" s="1" t="s">
        <v>206</v>
      </c>
      <c r="E98" s="1" t="s">
        <v>97</v>
      </c>
      <c r="F98" s="8">
        <v>46310.0</v>
      </c>
      <c r="G98" s="1" t="s">
        <v>71</v>
      </c>
      <c r="K98" s="1" t="s">
        <v>129</v>
      </c>
      <c r="L98" s="1" t="s">
        <v>99</v>
      </c>
      <c r="O98" s="8">
        <v>44846.0</v>
      </c>
    </row>
    <row r="99">
      <c r="A99" s="1" t="s">
        <v>125</v>
      </c>
      <c r="B99" s="1" t="s">
        <v>203</v>
      </c>
      <c r="C99" s="1" t="s">
        <v>204</v>
      </c>
      <c r="D99" s="1" t="s">
        <v>207</v>
      </c>
      <c r="E99" s="1" t="s">
        <v>97</v>
      </c>
      <c r="F99" s="8">
        <v>46310.0</v>
      </c>
      <c r="G99" s="1" t="s">
        <v>71</v>
      </c>
      <c r="K99" s="1" t="s">
        <v>129</v>
      </c>
      <c r="L99" s="1" t="s">
        <v>99</v>
      </c>
      <c r="O99" s="8">
        <v>44846.0</v>
      </c>
    </row>
    <row r="100">
      <c r="A100" s="1" t="s">
        <v>125</v>
      </c>
      <c r="B100" s="1" t="s">
        <v>203</v>
      </c>
      <c r="C100" s="1" t="s">
        <v>204</v>
      </c>
      <c r="D100" s="1" t="s">
        <v>208</v>
      </c>
      <c r="E100" s="1" t="s">
        <v>97</v>
      </c>
      <c r="F100" s="8">
        <v>46310.0</v>
      </c>
      <c r="G100" s="1" t="s">
        <v>71</v>
      </c>
      <c r="K100" s="1" t="s">
        <v>129</v>
      </c>
      <c r="L100" s="1" t="s">
        <v>99</v>
      </c>
      <c r="O100" s="8">
        <v>44846.0</v>
      </c>
    </row>
    <row r="101">
      <c r="A101" s="1" t="s">
        <v>125</v>
      </c>
      <c r="B101" s="1" t="s">
        <v>203</v>
      </c>
      <c r="C101" s="1" t="s">
        <v>204</v>
      </c>
      <c r="D101" s="1" t="s">
        <v>209</v>
      </c>
      <c r="E101" s="1" t="s">
        <v>97</v>
      </c>
      <c r="F101" s="8">
        <v>46310.0</v>
      </c>
      <c r="G101" s="1" t="s">
        <v>71</v>
      </c>
      <c r="K101" s="1" t="s">
        <v>129</v>
      </c>
      <c r="L101" s="1" t="s">
        <v>99</v>
      </c>
      <c r="O101" s="8">
        <v>44846.0</v>
      </c>
    </row>
    <row r="102">
      <c r="A102" s="1" t="s">
        <v>125</v>
      </c>
      <c r="B102" s="1" t="s">
        <v>203</v>
      </c>
      <c r="C102" s="1" t="s">
        <v>204</v>
      </c>
      <c r="D102" s="1" t="s">
        <v>210</v>
      </c>
      <c r="E102" s="1" t="s">
        <v>97</v>
      </c>
      <c r="F102" s="8">
        <v>46310.0</v>
      </c>
      <c r="G102" s="1" t="s">
        <v>71</v>
      </c>
      <c r="K102" s="1" t="s">
        <v>129</v>
      </c>
      <c r="L102" s="1" t="s">
        <v>99</v>
      </c>
      <c r="O102" s="8">
        <v>44846.0</v>
      </c>
    </row>
    <row r="103">
      <c r="A103" s="1" t="s">
        <v>125</v>
      </c>
      <c r="B103" s="1" t="s">
        <v>203</v>
      </c>
      <c r="C103" s="1" t="s">
        <v>204</v>
      </c>
      <c r="D103" s="1" t="s">
        <v>211</v>
      </c>
      <c r="E103" s="1" t="s">
        <v>97</v>
      </c>
      <c r="F103" s="8">
        <v>46310.0</v>
      </c>
      <c r="G103" s="1" t="s">
        <v>71</v>
      </c>
      <c r="K103" s="1" t="s">
        <v>129</v>
      </c>
      <c r="L103" s="1" t="s">
        <v>99</v>
      </c>
      <c r="O103" s="4">
        <v>45153.0</v>
      </c>
    </row>
    <row r="104">
      <c r="A104" s="1" t="s">
        <v>125</v>
      </c>
      <c r="B104" s="1" t="s">
        <v>212</v>
      </c>
      <c r="C104" s="1" t="s">
        <v>213</v>
      </c>
      <c r="D104" s="1" t="s">
        <v>214</v>
      </c>
      <c r="E104" s="1" t="s">
        <v>70</v>
      </c>
      <c r="F104" s="4">
        <v>46297.0</v>
      </c>
      <c r="G104" s="1" t="s">
        <v>107</v>
      </c>
      <c r="H104" s="1" t="s">
        <v>215</v>
      </c>
      <c r="J104" s="1" t="s">
        <v>122</v>
      </c>
      <c r="K104" s="1" t="s">
        <v>129</v>
      </c>
      <c r="L104" s="1" t="s">
        <v>99</v>
      </c>
      <c r="O104" s="8">
        <v>44846.0</v>
      </c>
    </row>
    <row r="105">
      <c r="A105" s="1" t="s">
        <v>125</v>
      </c>
      <c r="B105" s="1" t="s">
        <v>212</v>
      </c>
      <c r="C105" s="1" t="s">
        <v>213</v>
      </c>
      <c r="D105" s="1" t="s">
        <v>216</v>
      </c>
      <c r="E105" s="1" t="s">
        <v>70</v>
      </c>
      <c r="F105" s="4">
        <v>46297.0</v>
      </c>
      <c r="G105" s="1" t="s">
        <v>107</v>
      </c>
      <c r="H105" s="1" t="s">
        <v>215</v>
      </c>
      <c r="J105" s="1" t="s">
        <v>122</v>
      </c>
      <c r="K105" s="1" t="s">
        <v>129</v>
      </c>
      <c r="L105" s="1" t="s">
        <v>99</v>
      </c>
      <c r="O105" s="8">
        <v>44846.0</v>
      </c>
    </row>
    <row r="106">
      <c r="A106" s="1" t="s">
        <v>125</v>
      </c>
      <c r="B106" s="1" t="s">
        <v>212</v>
      </c>
      <c r="C106" s="1" t="s">
        <v>213</v>
      </c>
      <c r="D106" s="1" t="s">
        <v>217</v>
      </c>
      <c r="E106" s="1" t="s">
        <v>70</v>
      </c>
      <c r="F106" s="4">
        <v>46297.0</v>
      </c>
      <c r="G106" s="1" t="s">
        <v>107</v>
      </c>
      <c r="H106" s="1" t="s">
        <v>215</v>
      </c>
      <c r="J106" s="1" t="s">
        <v>122</v>
      </c>
      <c r="K106" s="1" t="s">
        <v>129</v>
      </c>
      <c r="L106" s="1" t="s">
        <v>99</v>
      </c>
      <c r="O106" s="8">
        <v>44846.0</v>
      </c>
    </row>
    <row r="107">
      <c r="A107" s="1" t="s">
        <v>125</v>
      </c>
      <c r="B107" s="1" t="s">
        <v>212</v>
      </c>
      <c r="C107" s="1" t="s">
        <v>218</v>
      </c>
      <c r="D107" s="1" t="s">
        <v>219</v>
      </c>
      <c r="E107" s="1" t="s">
        <v>70</v>
      </c>
      <c r="F107" s="4">
        <v>46297.0</v>
      </c>
      <c r="G107" s="1" t="s">
        <v>107</v>
      </c>
      <c r="H107" s="1" t="s">
        <v>215</v>
      </c>
      <c r="J107" s="1" t="s">
        <v>122</v>
      </c>
      <c r="K107" s="1" t="s">
        <v>129</v>
      </c>
      <c r="L107" s="1" t="s">
        <v>99</v>
      </c>
      <c r="O107" s="8">
        <v>44846.0</v>
      </c>
    </row>
    <row r="108">
      <c r="A108" s="1" t="s">
        <v>125</v>
      </c>
      <c r="B108" s="1" t="s">
        <v>212</v>
      </c>
      <c r="C108" s="1" t="s">
        <v>213</v>
      </c>
      <c r="D108" s="1" t="s">
        <v>220</v>
      </c>
      <c r="E108" s="1" t="s">
        <v>70</v>
      </c>
      <c r="F108" s="4">
        <v>46297.0</v>
      </c>
      <c r="G108" s="1" t="s">
        <v>107</v>
      </c>
      <c r="H108" s="1" t="s">
        <v>215</v>
      </c>
      <c r="J108" s="1" t="s">
        <v>122</v>
      </c>
      <c r="K108" s="1" t="s">
        <v>129</v>
      </c>
      <c r="L108" s="1" t="s">
        <v>99</v>
      </c>
      <c r="O108" s="8">
        <v>44846.0</v>
      </c>
    </row>
    <row r="109">
      <c r="A109" s="1" t="s">
        <v>125</v>
      </c>
      <c r="B109" s="1" t="s">
        <v>212</v>
      </c>
      <c r="C109" s="1" t="s">
        <v>218</v>
      </c>
      <c r="D109" s="1" t="s">
        <v>221</v>
      </c>
      <c r="E109" s="1" t="s">
        <v>70</v>
      </c>
      <c r="F109" s="4">
        <v>46297.0</v>
      </c>
      <c r="G109" s="1" t="s">
        <v>107</v>
      </c>
      <c r="H109" s="1" t="s">
        <v>215</v>
      </c>
      <c r="J109" s="1" t="s">
        <v>122</v>
      </c>
      <c r="K109" s="1" t="s">
        <v>129</v>
      </c>
      <c r="L109" s="1" t="s">
        <v>99</v>
      </c>
      <c r="O109" s="8">
        <v>44846.0</v>
      </c>
    </row>
    <row r="110">
      <c r="A110" s="1" t="s">
        <v>125</v>
      </c>
      <c r="B110" s="1" t="s">
        <v>222</v>
      </c>
      <c r="C110" s="1" t="s">
        <v>223</v>
      </c>
      <c r="D110" s="1" t="s">
        <v>224</v>
      </c>
      <c r="E110" s="1" t="s">
        <v>97</v>
      </c>
      <c r="F110" s="8">
        <v>46308.0</v>
      </c>
      <c r="G110" s="1" t="s">
        <v>107</v>
      </c>
      <c r="H110" s="1" t="s">
        <v>225</v>
      </c>
      <c r="J110" s="1" t="s">
        <v>122</v>
      </c>
      <c r="K110" s="1" t="s">
        <v>129</v>
      </c>
      <c r="L110" s="1" t="s">
        <v>99</v>
      </c>
      <c r="O110" s="8">
        <v>44846.0</v>
      </c>
    </row>
    <row r="111">
      <c r="A111" s="1" t="s">
        <v>125</v>
      </c>
      <c r="B111" s="1" t="s">
        <v>222</v>
      </c>
      <c r="C111" s="1" t="s">
        <v>223</v>
      </c>
      <c r="D111" s="1" t="s">
        <v>226</v>
      </c>
      <c r="E111" s="1" t="s">
        <v>97</v>
      </c>
      <c r="F111" s="8">
        <v>46308.0</v>
      </c>
      <c r="G111" s="1" t="s">
        <v>107</v>
      </c>
      <c r="H111" s="1" t="s">
        <v>225</v>
      </c>
      <c r="J111" s="1" t="s">
        <v>122</v>
      </c>
      <c r="K111" s="1" t="s">
        <v>129</v>
      </c>
      <c r="L111" s="1" t="s">
        <v>99</v>
      </c>
      <c r="O111" s="8">
        <v>44846.0</v>
      </c>
    </row>
    <row r="112">
      <c r="A112" s="1" t="s">
        <v>125</v>
      </c>
      <c r="B112" s="1" t="s">
        <v>222</v>
      </c>
      <c r="C112" s="1" t="s">
        <v>223</v>
      </c>
      <c r="D112" s="1" t="s">
        <v>227</v>
      </c>
      <c r="E112" s="1" t="s">
        <v>97</v>
      </c>
      <c r="F112" s="8">
        <v>46308.0</v>
      </c>
      <c r="G112" s="1" t="s">
        <v>107</v>
      </c>
      <c r="H112" s="1" t="s">
        <v>225</v>
      </c>
      <c r="J112" s="1" t="s">
        <v>122</v>
      </c>
      <c r="K112" s="1" t="s">
        <v>129</v>
      </c>
      <c r="L112" s="1" t="s">
        <v>99</v>
      </c>
      <c r="O112" s="8">
        <v>44846.0</v>
      </c>
    </row>
    <row r="113">
      <c r="A113" s="1" t="s">
        <v>125</v>
      </c>
      <c r="B113" s="1" t="s">
        <v>222</v>
      </c>
      <c r="C113" s="1" t="s">
        <v>223</v>
      </c>
      <c r="D113" s="1" t="s">
        <v>228</v>
      </c>
      <c r="E113" s="1" t="s">
        <v>97</v>
      </c>
      <c r="F113" s="8">
        <v>46308.0</v>
      </c>
      <c r="G113" s="1" t="s">
        <v>107</v>
      </c>
      <c r="H113" s="1" t="s">
        <v>225</v>
      </c>
      <c r="J113" s="1" t="s">
        <v>122</v>
      </c>
      <c r="K113" s="1" t="s">
        <v>129</v>
      </c>
      <c r="L113" s="1" t="s">
        <v>99</v>
      </c>
      <c r="O113" s="8">
        <v>44846.0</v>
      </c>
    </row>
    <row r="114">
      <c r="A114" s="1" t="s">
        <v>125</v>
      </c>
      <c r="B114" s="1" t="s">
        <v>222</v>
      </c>
      <c r="C114" s="1" t="s">
        <v>223</v>
      </c>
      <c r="D114" s="1" t="s">
        <v>229</v>
      </c>
      <c r="E114" s="1" t="s">
        <v>97</v>
      </c>
      <c r="F114" s="8">
        <v>46308.0</v>
      </c>
      <c r="G114" s="1" t="s">
        <v>107</v>
      </c>
      <c r="H114" s="1" t="s">
        <v>225</v>
      </c>
      <c r="J114" s="1" t="s">
        <v>122</v>
      </c>
      <c r="K114" s="1" t="s">
        <v>129</v>
      </c>
      <c r="L114" s="1" t="s">
        <v>99</v>
      </c>
      <c r="O114" s="8">
        <v>44846.0</v>
      </c>
    </row>
    <row r="115">
      <c r="A115" s="1" t="s">
        <v>125</v>
      </c>
      <c r="B115" s="1" t="s">
        <v>222</v>
      </c>
      <c r="C115" s="1" t="s">
        <v>223</v>
      </c>
      <c r="D115" s="1" t="s">
        <v>230</v>
      </c>
      <c r="E115" s="1" t="s">
        <v>97</v>
      </c>
      <c r="F115" s="8">
        <v>46308.0</v>
      </c>
      <c r="G115" s="1" t="s">
        <v>107</v>
      </c>
      <c r="H115" s="1" t="s">
        <v>225</v>
      </c>
      <c r="J115" s="1" t="s">
        <v>122</v>
      </c>
      <c r="K115" s="1" t="s">
        <v>129</v>
      </c>
      <c r="L115" s="1" t="s">
        <v>99</v>
      </c>
      <c r="O115" s="8">
        <v>44846.0</v>
      </c>
    </row>
    <row r="116">
      <c r="A116" s="1" t="s">
        <v>125</v>
      </c>
      <c r="B116" s="1" t="s">
        <v>222</v>
      </c>
      <c r="C116" s="1" t="s">
        <v>223</v>
      </c>
      <c r="D116" s="1" t="s">
        <v>231</v>
      </c>
      <c r="E116" s="1" t="s">
        <v>97</v>
      </c>
      <c r="F116" s="8">
        <v>46308.0</v>
      </c>
      <c r="G116" s="1" t="s">
        <v>107</v>
      </c>
      <c r="H116" s="1" t="s">
        <v>225</v>
      </c>
      <c r="J116" s="1" t="s">
        <v>122</v>
      </c>
      <c r="K116" s="1" t="s">
        <v>129</v>
      </c>
      <c r="L116" s="1" t="s">
        <v>99</v>
      </c>
      <c r="O116" s="8">
        <v>44846.0</v>
      </c>
    </row>
    <row r="117">
      <c r="A117" s="1" t="s">
        <v>232</v>
      </c>
      <c r="B117" s="1" t="s">
        <v>53</v>
      </c>
      <c r="C117" s="1" t="s">
        <v>54</v>
      </c>
      <c r="D117" s="1" t="s">
        <v>233</v>
      </c>
      <c r="E117" s="1" t="s">
        <v>32</v>
      </c>
      <c r="F117" s="4">
        <v>45999.0</v>
      </c>
      <c r="H117" s="1" t="s">
        <v>234</v>
      </c>
      <c r="K117" s="1" t="s">
        <v>235</v>
      </c>
      <c r="L117" s="1" t="s">
        <v>35</v>
      </c>
      <c r="N117" s="4">
        <v>45999.0</v>
      </c>
      <c r="O117" s="4">
        <v>45999.0</v>
      </c>
    </row>
    <row r="118">
      <c r="A118" s="1" t="s">
        <v>232</v>
      </c>
      <c r="B118" s="1" t="s">
        <v>53</v>
      </c>
      <c r="C118" s="1" t="s">
        <v>54</v>
      </c>
      <c r="D118" s="1" t="s">
        <v>236</v>
      </c>
      <c r="E118" s="1" t="s">
        <v>32</v>
      </c>
      <c r="F118" s="4">
        <v>45999.0</v>
      </c>
      <c r="H118" s="1" t="s">
        <v>234</v>
      </c>
      <c r="K118" s="1" t="s">
        <v>235</v>
      </c>
      <c r="L118" s="1" t="s">
        <v>35</v>
      </c>
      <c r="N118" s="4">
        <v>45999.0</v>
      </c>
      <c r="O118" s="4">
        <v>45999.0</v>
      </c>
    </row>
    <row r="119">
      <c r="A119" s="1" t="s">
        <v>232</v>
      </c>
      <c r="B119" s="1" t="s">
        <v>53</v>
      </c>
      <c r="C119" s="1" t="s">
        <v>54</v>
      </c>
      <c r="D119" s="1" t="s">
        <v>237</v>
      </c>
      <c r="E119" s="1" t="s">
        <v>32</v>
      </c>
      <c r="F119" s="4">
        <v>45999.0</v>
      </c>
      <c r="H119" s="1" t="s">
        <v>234</v>
      </c>
      <c r="K119" s="1" t="s">
        <v>235</v>
      </c>
      <c r="L119" s="1" t="s">
        <v>35</v>
      </c>
      <c r="N119" s="4">
        <v>45999.0</v>
      </c>
      <c r="O119" s="4">
        <v>45999.0</v>
      </c>
    </row>
    <row r="120">
      <c r="A120" s="1" t="s">
        <v>232</v>
      </c>
      <c r="B120" s="1" t="s">
        <v>53</v>
      </c>
      <c r="C120" s="1" t="s">
        <v>54</v>
      </c>
      <c r="D120" s="1" t="s">
        <v>238</v>
      </c>
      <c r="E120" s="1" t="s">
        <v>32</v>
      </c>
      <c r="F120" s="4">
        <v>45999.0</v>
      </c>
      <c r="H120" s="1" t="s">
        <v>234</v>
      </c>
      <c r="K120" s="1" t="s">
        <v>235</v>
      </c>
      <c r="L120" s="1" t="s">
        <v>35</v>
      </c>
      <c r="N120" s="4">
        <v>45999.0</v>
      </c>
      <c r="O120" s="4">
        <v>45999.0</v>
      </c>
    </row>
    <row r="121">
      <c r="A121" s="1" t="s">
        <v>232</v>
      </c>
      <c r="B121" s="1" t="s">
        <v>53</v>
      </c>
      <c r="C121" s="1" t="s">
        <v>54</v>
      </c>
      <c r="D121" s="1" t="s">
        <v>239</v>
      </c>
      <c r="E121" s="1" t="s">
        <v>32</v>
      </c>
      <c r="F121" s="4">
        <v>45999.0</v>
      </c>
      <c r="H121" s="1" t="s">
        <v>234</v>
      </c>
      <c r="K121" s="1" t="s">
        <v>235</v>
      </c>
      <c r="L121" s="1" t="s">
        <v>35</v>
      </c>
      <c r="N121" s="4">
        <v>45999.0</v>
      </c>
      <c r="O121" s="4">
        <v>45999.0</v>
      </c>
    </row>
    <row r="122">
      <c r="A122" s="1" t="s">
        <v>240</v>
      </c>
      <c r="B122" s="1" t="s">
        <v>63</v>
      </c>
      <c r="C122" s="1" t="s">
        <v>64</v>
      </c>
      <c r="D122" s="1" t="s">
        <v>241</v>
      </c>
      <c r="E122" s="1" t="s">
        <v>32</v>
      </c>
      <c r="F122" s="8">
        <v>45980.0</v>
      </c>
      <c r="H122" s="1" t="s">
        <v>242</v>
      </c>
      <c r="K122" s="1" t="s">
        <v>243</v>
      </c>
      <c r="L122" s="1" t="s">
        <v>35</v>
      </c>
      <c r="N122" s="8">
        <v>45980.0</v>
      </c>
      <c r="O122" s="8">
        <v>45980.0</v>
      </c>
    </row>
    <row r="123">
      <c r="A123" s="1" t="s">
        <v>240</v>
      </c>
      <c r="B123" s="1" t="s">
        <v>63</v>
      </c>
      <c r="C123" s="1" t="s">
        <v>64</v>
      </c>
      <c r="D123" s="1" t="s">
        <v>244</v>
      </c>
      <c r="E123" s="1" t="s">
        <v>32</v>
      </c>
      <c r="F123" s="8">
        <v>45980.0</v>
      </c>
      <c r="H123" s="1" t="s">
        <v>242</v>
      </c>
      <c r="K123" s="1" t="s">
        <v>243</v>
      </c>
      <c r="L123" s="1" t="s">
        <v>35</v>
      </c>
      <c r="N123" s="8">
        <v>45980.0</v>
      </c>
      <c r="O123" s="8">
        <v>45980.0</v>
      </c>
    </row>
    <row r="124">
      <c r="A124" s="1" t="s">
        <v>245</v>
      </c>
      <c r="B124" s="1" t="s">
        <v>246</v>
      </c>
      <c r="C124" s="1" t="s">
        <v>247</v>
      </c>
      <c r="D124" s="1" t="s">
        <v>248</v>
      </c>
      <c r="E124" s="1" t="s">
        <v>32</v>
      </c>
      <c r="F124" s="4">
        <v>46120.0</v>
      </c>
      <c r="H124" s="1" t="s">
        <v>249</v>
      </c>
      <c r="K124" s="1" t="s">
        <v>98</v>
      </c>
      <c r="L124" s="1" t="s">
        <v>35</v>
      </c>
      <c r="N124" s="4">
        <v>46120.0</v>
      </c>
      <c r="O124" s="4">
        <v>46120.0</v>
      </c>
    </row>
    <row r="125">
      <c r="A125" s="1" t="s">
        <v>250</v>
      </c>
      <c r="B125" s="1" t="s">
        <v>251</v>
      </c>
      <c r="C125" s="1" t="s">
        <v>252</v>
      </c>
      <c r="D125" s="1" t="s">
        <v>253</v>
      </c>
      <c r="E125" s="1" t="s">
        <v>32</v>
      </c>
      <c r="F125" s="4">
        <v>46077.0</v>
      </c>
      <c r="H125" s="1" t="s">
        <v>242</v>
      </c>
      <c r="K125" s="1" t="s">
        <v>254</v>
      </c>
      <c r="L125" s="1" t="s">
        <v>35</v>
      </c>
      <c r="N125" s="4">
        <v>46077.0</v>
      </c>
      <c r="O125" s="4">
        <v>46077.0</v>
      </c>
    </row>
    <row r="126">
      <c r="A126" s="1" t="s">
        <v>250</v>
      </c>
      <c r="B126" s="1" t="s">
        <v>255</v>
      </c>
      <c r="C126" s="1" t="s">
        <v>256</v>
      </c>
      <c r="D126" s="1" t="s">
        <v>257</v>
      </c>
      <c r="E126" s="1" t="s">
        <v>32</v>
      </c>
      <c r="F126" s="4">
        <v>46286.0</v>
      </c>
      <c r="H126" s="1" t="s">
        <v>33</v>
      </c>
      <c r="K126" s="1" t="s">
        <v>254</v>
      </c>
      <c r="L126" s="1" t="s">
        <v>35</v>
      </c>
      <c r="N126" s="4">
        <v>46286.0</v>
      </c>
      <c r="O126" s="4">
        <v>46286.0</v>
      </c>
    </row>
    <row r="127">
      <c r="A127" s="1" t="s">
        <v>258</v>
      </c>
      <c r="B127" s="1" t="s">
        <v>43</v>
      </c>
      <c r="C127" s="1" t="s">
        <v>259</v>
      </c>
      <c r="D127" s="1" t="s">
        <v>260</v>
      </c>
      <c r="E127" s="1" t="s">
        <v>32</v>
      </c>
      <c r="F127" s="4">
        <v>46226.0</v>
      </c>
      <c r="H127" s="1" t="s">
        <v>33</v>
      </c>
      <c r="K127" s="1" t="s">
        <v>261</v>
      </c>
      <c r="L127" s="1" t="s">
        <v>35</v>
      </c>
      <c r="N127" s="4">
        <v>46226.0</v>
      </c>
      <c r="O127" s="4">
        <v>46226.0</v>
      </c>
    </row>
    <row r="128">
      <c r="A128" s="1" t="s">
        <v>262</v>
      </c>
      <c r="B128" s="1" t="s">
        <v>263</v>
      </c>
      <c r="C128" s="1" t="s">
        <v>264</v>
      </c>
      <c r="D128" s="1" t="s">
        <v>265</v>
      </c>
      <c r="E128" s="1" t="s">
        <v>32</v>
      </c>
      <c r="F128" s="4">
        <v>45964.0</v>
      </c>
      <c r="H128" s="1" t="s">
        <v>266</v>
      </c>
      <c r="K128" s="1" t="s">
        <v>267</v>
      </c>
      <c r="L128" s="1" t="s">
        <v>35</v>
      </c>
      <c r="N128" s="4">
        <v>45964.0</v>
      </c>
      <c r="O128" s="4">
        <v>45964.0</v>
      </c>
    </row>
    <row r="129">
      <c r="A129" s="1" t="s">
        <v>268</v>
      </c>
      <c r="B129" s="1" t="s">
        <v>269</v>
      </c>
      <c r="C129" s="1" t="s">
        <v>270</v>
      </c>
      <c r="D129" s="1" t="s">
        <v>271</v>
      </c>
      <c r="E129" s="1" t="s">
        <v>32</v>
      </c>
      <c r="F129" s="4">
        <v>45968.0</v>
      </c>
      <c r="H129" s="1" t="s">
        <v>33</v>
      </c>
      <c r="K129" s="1" t="s">
        <v>272</v>
      </c>
      <c r="L129" s="1" t="s">
        <v>35</v>
      </c>
      <c r="N129" s="4">
        <v>45968.0</v>
      </c>
      <c r="O129" s="4">
        <v>45968.0</v>
      </c>
    </row>
    <row r="130">
      <c r="A130" s="1" t="s">
        <v>268</v>
      </c>
      <c r="B130" s="1" t="s">
        <v>269</v>
      </c>
      <c r="C130" s="1" t="s">
        <v>270</v>
      </c>
      <c r="D130" s="1" t="s">
        <v>273</v>
      </c>
      <c r="E130" s="1" t="s">
        <v>32</v>
      </c>
      <c r="F130" s="4">
        <v>45968.0</v>
      </c>
      <c r="H130" s="1" t="s">
        <v>33</v>
      </c>
      <c r="K130" s="1" t="s">
        <v>272</v>
      </c>
      <c r="L130" s="1" t="s">
        <v>35</v>
      </c>
      <c r="N130" s="4">
        <v>45968.0</v>
      </c>
      <c r="O130" s="4">
        <v>45968.0</v>
      </c>
    </row>
    <row r="131">
      <c r="A131" s="1" t="s">
        <v>268</v>
      </c>
      <c r="B131" s="1" t="s">
        <v>274</v>
      </c>
      <c r="C131" s="1" t="s">
        <v>275</v>
      </c>
      <c r="D131" s="1" t="s">
        <v>276</v>
      </c>
      <c r="E131" s="1" t="s">
        <v>97</v>
      </c>
      <c r="F131" s="8">
        <v>46310.0</v>
      </c>
      <c r="G131" s="1" t="s">
        <v>71</v>
      </c>
      <c r="K131" s="1" t="s">
        <v>272</v>
      </c>
      <c r="L131" s="1" t="s">
        <v>99</v>
      </c>
      <c r="O131" s="4">
        <v>40909.0</v>
      </c>
    </row>
    <row r="132">
      <c r="A132" s="1" t="s">
        <v>268</v>
      </c>
      <c r="B132" s="1" t="s">
        <v>255</v>
      </c>
      <c r="C132" s="1" t="s">
        <v>256</v>
      </c>
      <c r="D132" s="1" t="s">
        <v>277</v>
      </c>
      <c r="E132" s="1" t="s">
        <v>97</v>
      </c>
      <c r="F132" s="8">
        <v>46310.0</v>
      </c>
      <c r="G132" s="1" t="s">
        <v>107</v>
      </c>
      <c r="H132" s="1" t="s">
        <v>278</v>
      </c>
      <c r="J132" s="1" t="s">
        <v>47</v>
      </c>
      <c r="K132" s="1" t="s">
        <v>272</v>
      </c>
      <c r="L132" s="1" t="s">
        <v>99</v>
      </c>
      <c r="O132" s="4">
        <v>40909.0</v>
      </c>
    </row>
    <row r="133">
      <c r="A133" s="1" t="s">
        <v>268</v>
      </c>
      <c r="B133" s="1" t="s">
        <v>279</v>
      </c>
      <c r="C133" s="1" t="s">
        <v>280</v>
      </c>
      <c r="D133" s="1" t="s">
        <v>281</v>
      </c>
      <c r="E133" s="1" t="s">
        <v>97</v>
      </c>
      <c r="F133" s="8">
        <v>46311.0</v>
      </c>
      <c r="G133" s="1" t="s">
        <v>71</v>
      </c>
      <c r="K133" s="1" t="s">
        <v>272</v>
      </c>
      <c r="L133" s="1" t="s">
        <v>99</v>
      </c>
      <c r="O133" s="4">
        <v>43831.0</v>
      </c>
    </row>
    <row r="134">
      <c r="A134" s="1" t="s">
        <v>268</v>
      </c>
      <c r="B134" s="1" t="s">
        <v>269</v>
      </c>
      <c r="C134" s="1" t="s">
        <v>270</v>
      </c>
      <c r="D134" s="1" t="s">
        <v>282</v>
      </c>
      <c r="E134" s="1" t="s">
        <v>70</v>
      </c>
      <c r="F134" s="8">
        <v>46316.0</v>
      </c>
      <c r="G134" s="1" t="s">
        <v>132</v>
      </c>
      <c r="H134" s="1" t="s">
        <v>283</v>
      </c>
      <c r="J134" s="1" t="s">
        <v>47</v>
      </c>
      <c r="K134" s="1" t="s">
        <v>272</v>
      </c>
      <c r="L134" s="1" t="s">
        <v>99</v>
      </c>
      <c r="O134" s="4">
        <v>40909.0</v>
      </c>
    </row>
    <row r="135">
      <c r="A135" s="1" t="s">
        <v>268</v>
      </c>
      <c r="B135" s="1" t="s">
        <v>269</v>
      </c>
      <c r="C135" s="1" t="s">
        <v>270</v>
      </c>
      <c r="D135" s="1" t="s">
        <v>284</v>
      </c>
      <c r="E135" s="1" t="s">
        <v>97</v>
      </c>
      <c r="F135" s="8">
        <v>46316.0</v>
      </c>
      <c r="G135" s="1" t="s">
        <v>71</v>
      </c>
      <c r="K135" s="1" t="s">
        <v>272</v>
      </c>
      <c r="L135" s="1" t="s">
        <v>99</v>
      </c>
      <c r="O135" s="4">
        <v>40909.0</v>
      </c>
    </row>
    <row r="136">
      <c r="A136" s="1" t="s">
        <v>268</v>
      </c>
      <c r="B136" s="1" t="s">
        <v>285</v>
      </c>
      <c r="C136" s="1" t="s">
        <v>286</v>
      </c>
      <c r="D136" s="1" t="s">
        <v>287</v>
      </c>
      <c r="E136" s="1" t="s">
        <v>97</v>
      </c>
      <c r="F136" s="8">
        <v>46310.0</v>
      </c>
      <c r="G136" s="1" t="s">
        <v>71</v>
      </c>
      <c r="K136" s="1" t="s">
        <v>272</v>
      </c>
      <c r="L136" s="1" t="s">
        <v>99</v>
      </c>
      <c r="O136" s="4">
        <v>40909.0</v>
      </c>
    </row>
    <row r="137">
      <c r="A137" s="1" t="s">
        <v>268</v>
      </c>
      <c r="B137" s="1" t="s">
        <v>288</v>
      </c>
      <c r="C137" s="1" t="s">
        <v>289</v>
      </c>
      <c r="D137" s="1" t="s">
        <v>290</v>
      </c>
      <c r="E137" s="1" t="s">
        <v>97</v>
      </c>
      <c r="F137" s="8">
        <v>46309.0</v>
      </c>
      <c r="G137" s="1" t="s">
        <v>71</v>
      </c>
      <c r="K137" s="1" t="s">
        <v>272</v>
      </c>
      <c r="L137" s="1" t="s">
        <v>99</v>
      </c>
      <c r="O137" s="8">
        <v>45280.0</v>
      </c>
    </row>
    <row r="138">
      <c r="A138" s="1" t="s">
        <v>268</v>
      </c>
      <c r="B138" s="1" t="s">
        <v>291</v>
      </c>
      <c r="C138" s="1" t="s">
        <v>292</v>
      </c>
      <c r="D138" s="1" t="s">
        <v>293</v>
      </c>
      <c r="E138" s="1" t="s">
        <v>70</v>
      </c>
      <c r="F138" s="4">
        <v>46266.0</v>
      </c>
      <c r="G138" s="1" t="s">
        <v>107</v>
      </c>
      <c r="H138" s="1" t="s">
        <v>294</v>
      </c>
      <c r="J138" s="1" t="s">
        <v>295</v>
      </c>
      <c r="K138" s="1" t="s">
        <v>272</v>
      </c>
      <c r="L138" s="1" t="s">
        <v>99</v>
      </c>
      <c r="O138" s="4">
        <v>40909.0</v>
      </c>
    </row>
    <row r="139">
      <c r="A139" s="1" t="s">
        <v>268</v>
      </c>
      <c r="B139" s="1" t="s">
        <v>291</v>
      </c>
      <c r="C139" s="1" t="s">
        <v>292</v>
      </c>
      <c r="D139" s="1" t="s">
        <v>296</v>
      </c>
      <c r="E139" s="1" t="s">
        <v>97</v>
      </c>
      <c r="F139" s="4">
        <v>46298.0</v>
      </c>
      <c r="G139" s="1" t="s">
        <v>107</v>
      </c>
      <c r="H139" s="1" t="s">
        <v>133</v>
      </c>
      <c r="J139" s="1" t="s">
        <v>295</v>
      </c>
      <c r="K139" s="1" t="s">
        <v>272</v>
      </c>
      <c r="L139" s="1" t="s">
        <v>99</v>
      </c>
      <c r="O139" s="4">
        <v>40909.0</v>
      </c>
    </row>
    <row r="140">
      <c r="A140" s="1" t="s">
        <v>268</v>
      </c>
      <c r="B140" s="1" t="s">
        <v>291</v>
      </c>
      <c r="C140" s="1" t="s">
        <v>292</v>
      </c>
      <c r="D140" s="1" t="s">
        <v>297</v>
      </c>
      <c r="E140" s="1" t="s">
        <v>70</v>
      </c>
      <c r="F140" s="8">
        <v>46312.0</v>
      </c>
      <c r="G140" s="1" t="s">
        <v>107</v>
      </c>
      <c r="H140" s="1" t="s">
        <v>298</v>
      </c>
      <c r="J140" s="1" t="s">
        <v>295</v>
      </c>
      <c r="K140" s="1" t="s">
        <v>272</v>
      </c>
      <c r="L140" s="1" t="s">
        <v>99</v>
      </c>
      <c r="O140" s="4">
        <v>40909.0</v>
      </c>
    </row>
    <row r="141">
      <c r="A141" s="1" t="s">
        <v>268</v>
      </c>
      <c r="B141" s="1" t="s">
        <v>291</v>
      </c>
      <c r="C141" s="1" t="s">
        <v>292</v>
      </c>
      <c r="D141" s="1" t="s">
        <v>299</v>
      </c>
      <c r="E141" s="1" t="s">
        <v>97</v>
      </c>
      <c r="F141" s="8">
        <v>46312.0</v>
      </c>
      <c r="G141" s="1" t="s">
        <v>107</v>
      </c>
      <c r="H141" s="1" t="s">
        <v>33</v>
      </c>
      <c r="J141" s="1" t="s">
        <v>33</v>
      </c>
      <c r="K141" s="1" t="s">
        <v>272</v>
      </c>
      <c r="L141" s="1" t="s">
        <v>99</v>
      </c>
      <c r="O141" s="4">
        <v>43831.0</v>
      </c>
    </row>
    <row r="142">
      <c r="A142" s="1" t="s">
        <v>268</v>
      </c>
      <c r="B142" s="1" t="s">
        <v>291</v>
      </c>
      <c r="C142" s="1" t="s">
        <v>292</v>
      </c>
      <c r="D142" s="1" t="s">
        <v>300</v>
      </c>
      <c r="E142" s="1" t="s">
        <v>97</v>
      </c>
      <c r="F142" s="8">
        <v>46312.0</v>
      </c>
      <c r="G142" s="1" t="s">
        <v>71</v>
      </c>
      <c r="K142" s="1" t="s">
        <v>272</v>
      </c>
      <c r="L142" s="1" t="s">
        <v>99</v>
      </c>
      <c r="O142" s="4">
        <v>43831.0</v>
      </c>
    </row>
    <row r="143">
      <c r="A143" s="1" t="s">
        <v>268</v>
      </c>
      <c r="B143" s="1" t="s">
        <v>291</v>
      </c>
      <c r="C143" s="1" t="s">
        <v>292</v>
      </c>
      <c r="D143" s="1" t="s">
        <v>301</v>
      </c>
      <c r="E143" s="1" t="s">
        <v>97</v>
      </c>
      <c r="F143" s="8">
        <v>46312.0</v>
      </c>
      <c r="G143" s="1" t="s">
        <v>107</v>
      </c>
      <c r="H143" s="1" t="s">
        <v>33</v>
      </c>
      <c r="J143" s="1" t="s">
        <v>33</v>
      </c>
      <c r="K143" s="1" t="s">
        <v>272</v>
      </c>
      <c r="L143" s="1" t="s">
        <v>99</v>
      </c>
      <c r="O143" s="4">
        <v>43831.0</v>
      </c>
    </row>
    <row r="144">
      <c r="A144" s="1" t="s">
        <v>268</v>
      </c>
      <c r="B144" s="1" t="s">
        <v>285</v>
      </c>
      <c r="C144" s="1" t="s">
        <v>286</v>
      </c>
      <c r="D144" s="1" t="s">
        <v>302</v>
      </c>
      <c r="E144" s="1" t="s">
        <v>97</v>
      </c>
      <c r="F144" s="8">
        <v>46310.0</v>
      </c>
      <c r="G144" s="1" t="s">
        <v>71</v>
      </c>
      <c r="K144" s="1" t="s">
        <v>272</v>
      </c>
      <c r="L144" s="1" t="s">
        <v>99</v>
      </c>
      <c r="O144" s="4">
        <v>40909.0</v>
      </c>
    </row>
    <row r="145">
      <c r="A145" s="1" t="s">
        <v>268</v>
      </c>
      <c r="B145" s="1" t="s">
        <v>303</v>
      </c>
      <c r="C145" s="1" t="s">
        <v>304</v>
      </c>
      <c r="D145" s="1" t="s">
        <v>305</v>
      </c>
      <c r="E145" s="1" t="s">
        <v>97</v>
      </c>
      <c r="F145" s="4">
        <v>46276.0</v>
      </c>
      <c r="G145" s="1" t="s">
        <v>71</v>
      </c>
      <c r="K145" s="1" t="s">
        <v>272</v>
      </c>
      <c r="L145" s="1" t="s">
        <v>99</v>
      </c>
      <c r="O145" s="4">
        <v>40909.0</v>
      </c>
    </row>
    <row r="146">
      <c r="A146" s="1" t="s">
        <v>268</v>
      </c>
      <c r="B146" s="1" t="s">
        <v>303</v>
      </c>
      <c r="C146" s="1" t="s">
        <v>304</v>
      </c>
      <c r="D146" s="1" t="s">
        <v>306</v>
      </c>
      <c r="E146" s="1" t="s">
        <v>97</v>
      </c>
      <c r="F146" s="4">
        <v>46276.0</v>
      </c>
      <c r="G146" s="1" t="s">
        <v>71</v>
      </c>
      <c r="K146" s="1" t="s">
        <v>272</v>
      </c>
      <c r="L146" s="1" t="s">
        <v>99</v>
      </c>
      <c r="O146" s="4">
        <v>40909.0</v>
      </c>
    </row>
    <row r="147">
      <c r="A147" s="1" t="s">
        <v>268</v>
      </c>
      <c r="B147" s="1" t="s">
        <v>303</v>
      </c>
      <c r="C147" s="1" t="s">
        <v>304</v>
      </c>
      <c r="D147" s="1" t="s">
        <v>307</v>
      </c>
      <c r="E147" s="1" t="s">
        <v>97</v>
      </c>
      <c r="F147" s="4">
        <v>46276.0</v>
      </c>
      <c r="G147" s="1" t="s">
        <v>71</v>
      </c>
      <c r="K147" s="1" t="s">
        <v>272</v>
      </c>
      <c r="L147" s="1" t="s">
        <v>99</v>
      </c>
      <c r="O147" s="4">
        <v>40909.0</v>
      </c>
    </row>
    <row r="148">
      <c r="A148" s="1" t="s">
        <v>308</v>
      </c>
      <c r="B148" s="1" t="s">
        <v>263</v>
      </c>
      <c r="C148" s="1" t="s">
        <v>309</v>
      </c>
      <c r="D148" s="1" t="s">
        <v>310</v>
      </c>
      <c r="E148" s="1" t="s">
        <v>97</v>
      </c>
      <c r="F148" s="8">
        <v>46310.0</v>
      </c>
      <c r="G148" s="1" t="s">
        <v>71</v>
      </c>
      <c r="K148" s="1" t="s">
        <v>254</v>
      </c>
      <c r="L148" s="1" t="s">
        <v>99</v>
      </c>
      <c r="O148" s="8">
        <v>44183.0</v>
      </c>
    </row>
    <row r="149">
      <c r="A149" s="1" t="s">
        <v>308</v>
      </c>
      <c r="B149" s="1" t="s">
        <v>255</v>
      </c>
      <c r="C149" s="1" t="s">
        <v>311</v>
      </c>
      <c r="D149" s="1" t="s">
        <v>312</v>
      </c>
      <c r="E149" s="1" t="s">
        <v>97</v>
      </c>
      <c r="F149" s="8">
        <v>46310.0</v>
      </c>
      <c r="G149" s="1" t="s">
        <v>107</v>
      </c>
      <c r="H149" s="1" t="s">
        <v>33</v>
      </c>
      <c r="J149" s="1" t="s">
        <v>33</v>
      </c>
      <c r="K149" s="1" t="s">
        <v>254</v>
      </c>
      <c r="L149" s="1" t="s">
        <v>99</v>
      </c>
      <c r="O149" s="8">
        <v>44183.0</v>
      </c>
    </row>
    <row r="150">
      <c r="A150" s="1" t="s">
        <v>308</v>
      </c>
      <c r="B150" s="1" t="s">
        <v>288</v>
      </c>
      <c r="C150" s="1" t="s">
        <v>313</v>
      </c>
      <c r="D150" s="1" t="s">
        <v>314</v>
      </c>
      <c r="E150" s="1" t="s">
        <v>70</v>
      </c>
      <c r="F150" s="8">
        <v>46309.0</v>
      </c>
      <c r="G150" s="1" t="s">
        <v>107</v>
      </c>
      <c r="H150" s="1" t="s">
        <v>315</v>
      </c>
      <c r="J150" s="1" t="s">
        <v>134</v>
      </c>
      <c r="K150" s="1" t="s">
        <v>254</v>
      </c>
      <c r="L150" s="1" t="s">
        <v>99</v>
      </c>
      <c r="O150" s="8">
        <v>44183.0</v>
      </c>
    </row>
    <row r="151">
      <c r="A151" s="1" t="s">
        <v>308</v>
      </c>
      <c r="B151" s="1" t="s">
        <v>316</v>
      </c>
      <c r="C151" s="1" t="s">
        <v>317</v>
      </c>
      <c r="D151" s="1" t="s">
        <v>318</v>
      </c>
      <c r="E151" s="1" t="s">
        <v>97</v>
      </c>
      <c r="F151" s="8">
        <v>46315.0</v>
      </c>
      <c r="G151" s="1" t="s">
        <v>71</v>
      </c>
      <c r="H151" s="1" t="s">
        <v>319</v>
      </c>
      <c r="K151" s="1" t="s">
        <v>254</v>
      </c>
      <c r="L151" s="1" t="s">
        <v>99</v>
      </c>
      <c r="O151" s="8">
        <v>44183.0</v>
      </c>
    </row>
    <row r="152">
      <c r="A152" s="1" t="s">
        <v>308</v>
      </c>
      <c r="B152" s="1" t="s">
        <v>320</v>
      </c>
      <c r="C152" s="1" t="s">
        <v>321</v>
      </c>
      <c r="D152" s="1" t="s">
        <v>322</v>
      </c>
      <c r="E152" s="1" t="s">
        <v>70</v>
      </c>
      <c r="F152" s="4">
        <v>46181.0</v>
      </c>
      <c r="G152" s="1" t="s">
        <v>132</v>
      </c>
      <c r="H152" s="1" t="s">
        <v>133</v>
      </c>
      <c r="J152" s="1" t="s">
        <v>47</v>
      </c>
      <c r="K152" s="1" t="s">
        <v>254</v>
      </c>
      <c r="L152" s="1" t="s">
        <v>99</v>
      </c>
      <c r="O152" s="8">
        <v>44183.0</v>
      </c>
    </row>
    <row r="153">
      <c r="A153" s="1" t="s">
        <v>308</v>
      </c>
      <c r="B153" s="1" t="s">
        <v>291</v>
      </c>
      <c r="C153" s="1" t="s">
        <v>292</v>
      </c>
      <c r="D153" s="1" t="s">
        <v>323</v>
      </c>
      <c r="E153" s="1" t="s">
        <v>97</v>
      </c>
      <c r="F153" s="8">
        <v>46312.0</v>
      </c>
      <c r="G153" s="1" t="s">
        <v>71</v>
      </c>
      <c r="K153" s="1" t="s">
        <v>254</v>
      </c>
      <c r="L153" s="1" t="s">
        <v>99</v>
      </c>
      <c r="O153" s="8">
        <v>44186.0</v>
      </c>
    </row>
    <row r="154">
      <c r="A154" s="1" t="s">
        <v>308</v>
      </c>
      <c r="B154" s="1" t="s">
        <v>63</v>
      </c>
      <c r="C154" s="1" t="s">
        <v>64</v>
      </c>
      <c r="D154" s="1" t="s">
        <v>325</v>
      </c>
      <c r="E154" s="1" t="s">
        <v>97</v>
      </c>
      <c r="F154" s="8">
        <v>46310.0</v>
      </c>
      <c r="G154" s="1" t="s">
        <v>107</v>
      </c>
      <c r="H154" s="1" t="s">
        <v>133</v>
      </c>
      <c r="J154" s="1" t="s">
        <v>47</v>
      </c>
      <c r="K154" s="1" t="s">
        <v>254</v>
      </c>
      <c r="L154" s="1" t="s">
        <v>99</v>
      </c>
      <c r="O154" s="8">
        <v>44187.0</v>
      </c>
    </row>
    <row r="155">
      <c r="A155" s="1" t="s">
        <v>308</v>
      </c>
      <c r="B155" s="1" t="s">
        <v>328</v>
      </c>
      <c r="C155" s="1" t="s">
        <v>329</v>
      </c>
      <c r="D155" s="1" t="s">
        <v>330</v>
      </c>
      <c r="E155" s="1" t="s">
        <v>97</v>
      </c>
      <c r="F155" s="4">
        <v>46261.0</v>
      </c>
      <c r="G155" s="1" t="s">
        <v>71</v>
      </c>
      <c r="K155" s="1" t="s">
        <v>254</v>
      </c>
      <c r="L155" s="1" t="s">
        <v>99</v>
      </c>
      <c r="O155" s="8">
        <v>44183.0</v>
      </c>
    </row>
    <row r="156">
      <c r="A156" s="1" t="s">
        <v>308</v>
      </c>
      <c r="B156" s="1" t="s">
        <v>336</v>
      </c>
      <c r="C156" s="1" t="s">
        <v>338</v>
      </c>
      <c r="D156" s="1" t="s">
        <v>339</v>
      </c>
      <c r="E156" s="1" t="s">
        <v>97</v>
      </c>
      <c r="F156" s="8">
        <v>46314.0</v>
      </c>
      <c r="G156" s="1" t="s">
        <v>107</v>
      </c>
      <c r="H156" s="1" t="s">
        <v>340</v>
      </c>
      <c r="J156" s="1" t="s">
        <v>134</v>
      </c>
      <c r="K156" s="1" t="s">
        <v>254</v>
      </c>
      <c r="L156" s="1" t="s">
        <v>99</v>
      </c>
      <c r="O156" s="8">
        <v>44187.0</v>
      </c>
    </row>
    <row r="157">
      <c r="A157" s="1" t="s">
        <v>341</v>
      </c>
      <c r="B157" s="1" t="s">
        <v>342</v>
      </c>
      <c r="C157" s="1" t="s">
        <v>270</v>
      </c>
      <c r="D157" s="1" t="s">
        <v>343</v>
      </c>
      <c r="E157" s="1" t="s">
        <v>32</v>
      </c>
      <c r="F157" s="4">
        <v>46042.0</v>
      </c>
      <c r="H157" s="1" t="s">
        <v>344</v>
      </c>
      <c r="K157" s="1" t="s">
        <v>235</v>
      </c>
      <c r="L157" s="1" t="s">
        <v>35</v>
      </c>
      <c r="N157" s="4">
        <v>46042.0</v>
      </c>
      <c r="O157" s="4">
        <v>46042.0</v>
      </c>
    </row>
    <row r="158">
      <c r="A158" s="1" t="s">
        <v>345</v>
      </c>
      <c r="B158" s="1" t="s">
        <v>342</v>
      </c>
      <c r="C158" s="1" t="s">
        <v>346</v>
      </c>
      <c r="D158" s="1" t="s">
        <v>347</v>
      </c>
      <c r="E158" s="1" t="s">
        <v>32</v>
      </c>
      <c r="F158" s="4">
        <v>46121.0</v>
      </c>
      <c r="H158" s="1" t="s">
        <v>33</v>
      </c>
      <c r="K158" s="1" t="s">
        <v>235</v>
      </c>
      <c r="L158" s="1" t="s">
        <v>35</v>
      </c>
      <c r="N158" s="4">
        <v>46121.0</v>
      </c>
      <c r="O158" s="4">
        <v>46121.0</v>
      </c>
    </row>
    <row r="159">
      <c r="A159" s="1" t="s">
        <v>345</v>
      </c>
      <c r="B159" s="1" t="s">
        <v>342</v>
      </c>
      <c r="C159" s="1" t="s">
        <v>346</v>
      </c>
      <c r="D159" s="1" t="s">
        <v>348</v>
      </c>
      <c r="E159" s="1" t="s">
        <v>32</v>
      </c>
      <c r="F159" s="4">
        <v>46121.0</v>
      </c>
      <c r="H159" s="1" t="s">
        <v>33</v>
      </c>
      <c r="K159" s="1" t="s">
        <v>235</v>
      </c>
      <c r="L159" s="1" t="s">
        <v>35</v>
      </c>
      <c r="N159" s="4">
        <v>46121.0</v>
      </c>
      <c r="O159" s="4">
        <v>46121.0</v>
      </c>
    </row>
    <row r="160">
      <c r="A160" s="1" t="s">
        <v>349</v>
      </c>
      <c r="B160" s="1" t="s">
        <v>43</v>
      </c>
      <c r="C160" s="1" t="s">
        <v>44</v>
      </c>
      <c r="D160" s="1" t="s">
        <v>350</v>
      </c>
      <c r="E160" s="1" t="s">
        <v>70</v>
      </c>
      <c r="F160" s="4">
        <v>46174.0</v>
      </c>
      <c r="G160" s="1" t="s">
        <v>107</v>
      </c>
      <c r="H160" s="1" t="s">
        <v>351</v>
      </c>
      <c r="J160" s="1" t="s">
        <v>33</v>
      </c>
      <c r="K160" s="1" t="s">
        <v>352</v>
      </c>
      <c r="L160" s="1" t="s">
        <v>99</v>
      </c>
      <c r="O160" s="4">
        <v>45719.0</v>
      </c>
    </row>
    <row r="161">
      <c r="A161" s="1" t="s">
        <v>353</v>
      </c>
      <c r="B161" s="1" t="s">
        <v>43</v>
      </c>
      <c r="C161" s="1" t="s">
        <v>259</v>
      </c>
      <c r="D161" s="1" t="s">
        <v>354</v>
      </c>
      <c r="E161" s="1" t="s">
        <v>32</v>
      </c>
      <c r="F161" s="4">
        <v>46226.0</v>
      </c>
      <c r="H161" s="1" t="s">
        <v>33</v>
      </c>
      <c r="K161" s="1" t="s">
        <v>34</v>
      </c>
      <c r="L161" s="1" t="s">
        <v>35</v>
      </c>
      <c r="N161" s="4">
        <v>46226.0</v>
      </c>
      <c r="O161" s="4">
        <v>46226.0</v>
      </c>
    </row>
    <row r="162">
      <c r="A162" s="1" t="s">
        <v>353</v>
      </c>
      <c r="B162" s="1" t="s">
        <v>43</v>
      </c>
      <c r="C162" s="1" t="s">
        <v>259</v>
      </c>
      <c r="D162" s="1" t="s">
        <v>355</v>
      </c>
      <c r="E162" s="1" t="s">
        <v>32</v>
      </c>
      <c r="F162" s="4">
        <v>46226.0</v>
      </c>
      <c r="H162" s="1" t="s">
        <v>33</v>
      </c>
      <c r="K162" s="1" t="s">
        <v>34</v>
      </c>
      <c r="L162" s="1" t="s">
        <v>35</v>
      </c>
      <c r="N162" s="4">
        <v>46226.0</v>
      </c>
      <c r="O162" s="4">
        <v>46226.0</v>
      </c>
    </row>
    <row r="163">
      <c r="A163" s="1" t="s">
        <v>353</v>
      </c>
      <c r="B163" s="1" t="s">
        <v>43</v>
      </c>
      <c r="C163" s="1" t="s">
        <v>259</v>
      </c>
      <c r="D163" s="1" t="s">
        <v>356</v>
      </c>
      <c r="E163" s="1" t="s">
        <v>32</v>
      </c>
      <c r="F163" s="4">
        <v>46226.0</v>
      </c>
      <c r="H163" s="1" t="s">
        <v>33</v>
      </c>
      <c r="K163" s="1" t="s">
        <v>34</v>
      </c>
      <c r="L163" s="1" t="s">
        <v>35</v>
      </c>
      <c r="N163" s="4">
        <v>46226.0</v>
      </c>
      <c r="O163" s="4">
        <v>46226.0</v>
      </c>
    </row>
    <row r="164">
      <c r="A164" s="1" t="s">
        <v>353</v>
      </c>
      <c r="B164" s="1" t="s">
        <v>43</v>
      </c>
      <c r="C164" s="1" t="s">
        <v>259</v>
      </c>
      <c r="D164" s="1" t="s">
        <v>357</v>
      </c>
      <c r="E164" s="1" t="s">
        <v>32</v>
      </c>
      <c r="F164" s="4">
        <v>46226.0</v>
      </c>
      <c r="H164" s="1" t="s">
        <v>33</v>
      </c>
      <c r="K164" s="1" t="s">
        <v>34</v>
      </c>
      <c r="L164" s="1" t="s">
        <v>35</v>
      </c>
      <c r="N164" s="4">
        <v>46226.0</v>
      </c>
      <c r="O164" s="4">
        <v>46226.0</v>
      </c>
    </row>
    <row r="165">
      <c r="A165" s="1" t="s">
        <v>359</v>
      </c>
      <c r="B165" s="1" t="s">
        <v>360</v>
      </c>
      <c r="C165" s="1" t="s">
        <v>361</v>
      </c>
      <c r="D165" s="1" t="s">
        <v>362</v>
      </c>
      <c r="E165" s="1" t="s">
        <v>32</v>
      </c>
      <c r="F165" s="4">
        <v>46226.0</v>
      </c>
      <c r="H165" s="1" t="s">
        <v>363</v>
      </c>
      <c r="K165" s="1" t="s">
        <v>254</v>
      </c>
      <c r="L165" s="1" t="s">
        <v>35</v>
      </c>
      <c r="N165" s="4">
        <v>46226.0</v>
      </c>
      <c r="O165" s="4">
        <v>46226.0</v>
      </c>
    </row>
    <row r="166">
      <c r="A166" s="1" t="s">
        <v>364</v>
      </c>
      <c r="B166" s="1" t="s">
        <v>255</v>
      </c>
      <c r="C166" s="1" t="s">
        <v>256</v>
      </c>
      <c r="D166" s="1" t="s">
        <v>365</v>
      </c>
      <c r="E166" s="1" t="s">
        <v>32</v>
      </c>
      <c r="F166" s="4">
        <v>46049.0</v>
      </c>
      <c r="H166" s="1" t="s">
        <v>33</v>
      </c>
      <c r="K166" s="1" t="s">
        <v>367</v>
      </c>
      <c r="L166" s="1" t="s">
        <v>35</v>
      </c>
      <c r="N166" s="4">
        <v>46049.0</v>
      </c>
      <c r="O166" s="4">
        <v>46049.0</v>
      </c>
    </row>
    <row r="167">
      <c r="A167" s="1" t="s">
        <v>368</v>
      </c>
      <c r="B167" s="1" t="s">
        <v>369</v>
      </c>
      <c r="C167" s="1" t="s">
        <v>370</v>
      </c>
      <c r="D167" s="1" t="s">
        <v>371</v>
      </c>
      <c r="E167" s="1" t="s">
        <v>70</v>
      </c>
      <c r="F167" s="4">
        <v>46295.0</v>
      </c>
      <c r="I167" s="1" t="s">
        <v>71</v>
      </c>
      <c r="K167" s="1" t="s">
        <v>366</v>
      </c>
      <c r="L167" s="1" t="s">
        <v>73</v>
      </c>
      <c r="M167" s="4">
        <v>46295.0</v>
      </c>
      <c r="O167" s="8">
        <v>43082.0</v>
      </c>
    </row>
    <row r="168">
      <c r="A168" s="1" t="s">
        <v>368</v>
      </c>
      <c r="B168" s="1" t="s">
        <v>369</v>
      </c>
      <c r="C168" s="1" t="s">
        <v>370</v>
      </c>
      <c r="D168" s="1" t="s">
        <v>373</v>
      </c>
      <c r="E168" s="1" t="s">
        <v>70</v>
      </c>
      <c r="F168" s="4">
        <v>46295.0</v>
      </c>
      <c r="I168" s="1" t="s">
        <v>71</v>
      </c>
      <c r="K168" s="1" t="s">
        <v>366</v>
      </c>
      <c r="L168" s="1" t="s">
        <v>73</v>
      </c>
      <c r="M168" s="4">
        <v>46295.0</v>
      </c>
      <c r="O168" s="8">
        <v>43082.0</v>
      </c>
    </row>
    <row r="169">
      <c r="A169" s="1" t="s">
        <v>368</v>
      </c>
      <c r="B169" s="1" t="s">
        <v>374</v>
      </c>
      <c r="C169" s="1" t="s">
        <v>375</v>
      </c>
      <c r="D169" s="1" t="s">
        <v>376</v>
      </c>
      <c r="E169" s="1" t="s">
        <v>70</v>
      </c>
      <c r="F169" s="4">
        <v>46295.0</v>
      </c>
      <c r="I169" s="1" t="s">
        <v>71</v>
      </c>
      <c r="K169" s="1" t="s">
        <v>366</v>
      </c>
      <c r="L169" s="1" t="s">
        <v>73</v>
      </c>
      <c r="M169" s="4">
        <v>46295.0</v>
      </c>
      <c r="O169" s="4">
        <v>43131.0</v>
      </c>
    </row>
    <row r="170">
      <c r="A170" s="1" t="s">
        <v>368</v>
      </c>
      <c r="B170" s="1" t="s">
        <v>374</v>
      </c>
      <c r="C170" s="1" t="s">
        <v>375</v>
      </c>
      <c r="D170" s="1" t="s">
        <v>379</v>
      </c>
      <c r="E170" s="1" t="s">
        <v>70</v>
      </c>
      <c r="F170" s="4">
        <v>46295.0</v>
      </c>
      <c r="I170" s="1" t="s">
        <v>71</v>
      </c>
      <c r="K170" s="1" t="s">
        <v>366</v>
      </c>
      <c r="L170" s="1" t="s">
        <v>73</v>
      </c>
      <c r="M170" s="4">
        <v>46295.0</v>
      </c>
      <c r="O170" s="4">
        <v>43131.0</v>
      </c>
    </row>
    <row r="171">
      <c r="A171" s="1" t="s">
        <v>368</v>
      </c>
      <c r="B171" s="1" t="s">
        <v>255</v>
      </c>
      <c r="C171" s="1" t="s">
        <v>256</v>
      </c>
      <c r="D171" s="1" t="s">
        <v>382</v>
      </c>
      <c r="E171" s="1" t="s">
        <v>70</v>
      </c>
      <c r="F171" s="4">
        <v>46295.0</v>
      </c>
      <c r="I171" s="1" t="s">
        <v>71</v>
      </c>
      <c r="K171" s="1" t="s">
        <v>366</v>
      </c>
      <c r="L171" s="1" t="s">
        <v>73</v>
      </c>
      <c r="M171" s="4">
        <v>46295.0</v>
      </c>
      <c r="O171" s="4">
        <v>43131.0</v>
      </c>
    </row>
    <row r="172">
      <c r="A172" s="1" t="s">
        <v>368</v>
      </c>
      <c r="B172" s="1" t="s">
        <v>255</v>
      </c>
      <c r="C172" s="1" t="s">
        <v>256</v>
      </c>
      <c r="D172" s="1" t="s">
        <v>385</v>
      </c>
      <c r="E172" s="1" t="s">
        <v>70</v>
      </c>
      <c r="F172" s="4">
        <v>46295.0</v>
      </c>
      <c r="I172" s="1" t="s">
        <v>71</v>
      </c>
      <c r="K172" s="1" t="s">
        <v>366</v>
      </c>
      <c r="L172" s="1" t="s">
        <v>73</v>
      </c>
      <c r="M172" s="4">
        <v>46295.0</v>
      </c>
      <c r="O172" s="4">
        <v>43131.0</v>
      </c>
    </row>
    <row r="173">
      <c r="A173" s="1" t="s">
        <v>368</v>
      </c>
      <c r="B173" s="1" t="s">
        <v>386</v>
      </c>
      <c r="C173" s="1" t="s">
        <v>387</v>
      </c>
      <c r="D173" s="1" t="s">
        <v>388</v>
      </c>
      <c r="E173" s="1" t="s">
        <v>70</v>
      </c>
      <c r="F173" s="4">
        <v>46295.0</v>
      </c>
      <c r="I173" s="1" t="s">
        <v>71</v>
      </c>
      <c r="K173" s="1" t="s">
        <v>366</v>
      </c>
      <c r="L173" s="1" t="s">
        <v>73</v>
      </c>
      <c r="M173" s="4">
        <v>46295.0</v>
      </c>
      <c r="O173" s="8">
        <v>43082.0</v>
      </c>
    </row>
    <row r="174">
      <c r="A174" s="1" t="s">
        <v>368</v>
      </c>
      <c r="B174" s="1" t="s">
        <v>386</v>
      </c>
      <c r="C174" s="1" t="s">
        <v>387</v>
      </c>
      <c r="D174" s="1" t="s">
        <v>389</v>
      </c>
      <c r="E174" s="1" t="s">
        <v>70</v>
      </c>
      <c r="F174" s="4">
        <v>46295.0</v>
      </c>
      <c r="I174" s="1" t="s">
        <v>71</v>
      </c>
      <c r="K174" s="1" t="s">
        <v>366</v>
      </c>
      <c r="L174" s="1" t="s">
        <v>73</v>
      </c>
      <c r="M174" s="4">
        <v>46295.0</v>
      </c>
      <c r="O174" s="8">
        <v>43082.0</v>
      </c>
    </row>
    <row r="175">
      <c r="A175" s="1" t="s">
        <v>368</v>
      </c>
      <c r="B175" s="1" t="s">
        <v>386</v>
      </c>
      <c r="C175" s="1" t="s">
        <v>387</v>
      </c>
      <c r="D175" s="1" t="s">
        <v>390</v>
      </c>
      <c r="E175" s="1" t="s">
        <v>70</v>
      </c>
      <c r="F175" s="4">
        <v>46295.0</v>
      </c>
      <c r="I175" s="1" t="s">
        <v>71</v>
      </c>
      <c r="K175" s="1" t="s">
        <v>366</v>
      </c>
      <c r="L175" s="1" t="s">
        <v>73</v>
      </c>
      <c r="M175" s="4">
        <v>46295.0</v>
      </c>
      <c r="O175" s="8">
        <v>43082.0</v>
      </c>
    </row>
    <row r="176">
      <c r="A176" s="1" t="s">
        <v>368</v>
      </c>
      <c r="B176" s="1" t="s">
        <v>386</v>
      </c>
      <c r="C176" s="1" t="s">
        <v>387</v>
      </c>
      <c r="D176" s="1" t="s">
        <v>391</v>
      </c>
      <c r="E176" s="1" t="s">
        <v>70</v>
      </c>
      <c r="F176" s="4">
        <v>46295.0</v>
      </c>
      <c r="I176" s="1" t="s">
        <v>71</v>
      </c>
      <c r="K176" s="1" t="s">
        <v>366</v>
      </c>
      <c r="L176" s="1" t="s">
        <v>73</v>
      </c>
      <c r="M176" s="4">
        <v>46295.0</v>
      </c>
      <c r="O176" s="8">
        <v>43082.0</v>
      </c>
    </row>
    <row r="177">
      <c r="A177" s="1" t="s">
        <v>368</v>
      </c>
      <c r="B177" s="1" t="s">
        <v>288</v>
      </c>
      <c r="C177" s="1" t="s">
        <v>289</v>
      </c>
      <c r="D177" s="1" t="s">
        <v>392</v>
      </c>
      <c r="E177" s="1" t="s">
        <v>70</v>
      </c>
      <c r="F177" s="4">
        <v>46295.0</v>
      </c>
      <c r="I177" s="1" t="s">
        <v>71</v>
      </c>
      <c r="K177" s="1" t="s">
        <v>366</v>
      </c>
      <c r="L177" s="1" t="s">
        <v>73</v>
      </c>
      <c r="M177" s="4">
        <v>46295.0</v>
      </c>
      <c r="O177" s="4">
        <v>43131.0</v>
      </c>
    </row>
    <row r="178">
      <c r="A178" s="1" t="s">
        <v>368</v>
      </c>
      <c r="B178" s="1" t="s">
        <v>288</v>
      </c>
      <c r="C178" s="1" t="s">
        <v>289</v>
      </c>
      <c r="D178" s="1" t="s">
        <v>393</v>
      </c>
      <c r="E178" s="1" t="s">
        <v>70</v>
      </c>
      <c r="F178" s="4">
        <v>46295.0</v>
      </c>
      <c r="I178" s="1" t="s">
        <v>71</v>
      </c>
      <c r="K178" s="1" t="s">
        <v>366</v>
      </c>
      <c r="L178" s="1" t="s">
        <v>73</v>
      </c>
      <c r="M178" s="4">
        <v>46295.0</v>
      </c>
      <c r="O178" s="4">
        <v>43131.0</v>
      </c>
    </row>
    <row r="179">
      <c r="A179" s="1" t="s">
        <v>394</v>
      </c>
      <c r="B179" s="1" t="s">
        <v>255</v>
      </c>
      <c r="C179" s="1" t="s">
        <v>256</v>
      </c>
      <c r="D179" s="1" t="s">
        <v>395</v>
      </c>
      <c r="E179" s="1" t="s">
        <v>97</v>
      </c>
      <c r="F179" s="8">
        <v>46310.0</v>
      </c>
      <c r="G179" s="1" t="s">
        <v>71</v>
      </c>
      <c r="H179" s="1" t="s">
        <v>396</v>
      </c>
      <c r="K179" s="1" t="s">
        <v>358</v>
      </c>
      <c r="L179" s="1" t="s">
        <v>99</v>
      </c>
      <c r="O179" s="4">
        <v>43151.0</v>
      </c>
    </row>
    <row r="180">
      <c r="A180" s="1" t="s">
        <v>394</v>
      </c>
      <c r="B180" s="1" t="s">
        <v>255</v>
      </c>
      <c r="C180" s="1" t="s">
        <v>256</v>
      </c>
      <c r="D180" s="1" t="s">
        <v>397</v>
      </c>
      <c r="E180" s="1" t="s">
        <v>97</v>
      </c>
      <c r="F180" s="8">
        <v>46310.0</v>
      </c>
      <c r="G180" s="1" t="s">
        <v>71</v>
      </c>
      <c r="H180" s="1" t="s">
        <v>396</v>
      </c>
      <c r="K180" s="1" t="s">
        <v>358</v>
      </c>
      <c r="L180" s="1" t="s">
        <v>99</v>
      </c>
      <c r="O180" s="4">
        <v>43151.0</v>
      </c>
    </row>
    <row r="181">
      <c r="A181" s="1" t="s">
        <v>394</v>
      </c>
      <c r="B181" s="1" t="s">
        <v>255</v>
      </c>
      <c r="C181" s="1" t="s">
        <v>256</v>
      </c>
      <c r="D181" s="1" t="s">
        <v>398</v>
      </c>
      <c r="E181" s="1" t="s">
        <v>97</v>
      </c>
      <c r="F181" s="8">
        <v>46310.0</v>
      </c>
      <c r="G181" s="1" t="s">
        <v>71</v>
      </c>
      <c r="H181" s="1" t="s">
        <v>396</v>
      </c>
      <c r="K181" s="1" t="s">
        <v>358</v>
      </c>
      <c r="L181" s="1" t="s">
        <v>99</v>
      </c>
      <c r="O181" s="4">
        <v>43151.0</v>
      </c>
    </row>
    <row r="182">
      <c r="A182" s="1" t="s">
        <v>394</v>
      </c>
      <c r="B182" s="1" t="s">
        <v>255</v>
      </c>
      <c r="C182" s="1" t="s">
        <v>256</v>
      </c>
      <c r="D182" s="1" t="s">
        <v>557</v>
      </c>
      <c r="E182" s="1" t="s">
        <v>97</v>
      </c>
      <c r="F182" s="8">
        <v>46310.0</v>
      </c>
      <c r="G182" s="1" t="s">
        <v>71</v>
      </c>
      <c r="H182" s="1" t="s">
        <v>396</v>
      </c>
      <c r="K182" s="1" t="s">
        <v>358</v>
      </c>
      <c r="L182" s="1" t="s">
        <v>99</v>
      </c>
      <c r="O182" s="4">
        <v>43151.0</v>
      </c>
    </row>
    <row r="183">
      <c r="A183" s="1" t="s">
        <v>394</v>
      </c>
      <c r="B183" s="1" t="s">
        <v>255</v>
      </c>
      <c r="C183" s="1" t="s">
        <v>256</v>
      </c>
      <c r="D183" s="1" t="s">
        <v>558</v>
      </c>
      <c r="E183" s="1" t="s">
        <v>97</v>
      </c>
      <c r="F183" s="8">
        <v>46310.0</v>
      </c>
      <c r="G183" s="1" t="s">
        <v>107</v>
      </c>
      <c r="H183" s="1" t="s">
        <v>133</v>
      </c>
      <c r="J183" s="1" t="s">
        <v>134</v>
      </c>
      <c r="K183" s="1" t="s">
        <v>358</v>
      </c>
      <c r="L183" s="1" t="s">
        <v>99</v>
      </c>
      <c r="O183" s="4">
        <v>43151.0</v>
      </c>
    </row>
    <row r="184">
      <c r="A184" s="1" t="s">
        <v>394</v>
      </c>
      <c r="B184" s="1" t="s">
        <v>255</v>
      </c>
      <c r="C184" s="1" t="s">
        <v>256</v>
      </c>
      <c r="D184" s="1" t="s">
        <v>559</v>
      </c>
      <c r="E184" s="1" t="s">
        <v>97</v>
      </c>
      <c r="F184" s="8">
        <v>46310.0</v>
      </c>
      <c r="G184" s="1" t="s">
        <v>71</v>
      </c>
      <c r="H184" s="1" t="s">
        <v>396</v>
      </c>
      <c r="K184" s="1" t="s">
        <v>358</v>
      </c>
      <c r="L184" s="1" t="s">
        <v>99</v>
      </c>
      <c r="O184" s="4">
        <v>43151.0</v>
      </c>
    </row>
    <row r="185">
      <c r="A185" s="1" t="s">
        <v>394</v>
      </c>
      <c r="B185" s="1" t="s">
        <v>255</v>
      </c>
      <c r="C185" s="1" t="s">
        <v>256</v>
      </c>
      <c r="D185" s="1" t="s">
        <v>560</v>
      </c>
      <c r="E185" s="1" t="s">
        <v>97</v>
      </c>
      <c r="F185" s="8">
        <v>46310.0</v>
      </c>
      <c r="G185" s="1" t="s">
        <v>71</v>
      </c>
      <c r="H185" s="1" t="s">
        <v>396</v>
      </c>
      <c r="K185" s="1" t="s">
        <v>358</v>
      </c>
      <c r="L185" s="1" t="s">
        <v>99</v>
      </c>
      <c r="O185" s="4">
        <v>43151.0</v>
      </c>
    </row>
    <row r="186">
      <c r="A186" s="1" t="s">
        <v>394</v>
      </c>
      <c r="B186" s="1" t="s">
        <v>255</v>
      </c>
      <c r="C186" s="1" t="s">
        <v>256</v>
      </c>
      <c r="D186" s="1" t="s">
        <v>561</v>
      </c>
      <c r="E186" s="1" t="s">
        <v>97</v>
      </c>
      <c r="F186" s="8">
        <v>46310.0</v>
      </c>
      <c r="G186" s="1" t="s">
        <v>107</v>
      </c>
      <c r="H186" s="1" t="s">
        <v>133</v>
      </c>
      <c r="J186" s="1" t="s">
        <v>562</v>
      </c>
      <c r="K186" s="1" t="s">
        <v>358</v>
      </c>
      <c r="L186" s="1" t="s">
        <v>99</v>
      </c>
      <c r="O186" s="4">
        <v>43151.0</v>
      </c>
    </row>
    <row r="187">
      <c r="A187" s="1" t="s">
        <v>394</v>
      </c>
      <c r="B187" s="1" t="s">
        <v>255</v>
      </c>
      <c r="C187" s="1" t="s">
        <v>256</v>
      </c>
      <c r="D187" s="1" t="s">
        <v>563</v>
      </c>
      <c r="E187" s="1" t="s">
        <v>97</v>
      </c>
      <c r="F187" s="8">
        <v>46310.0</v>
      </c>
      <c r="G187" s="1" t="s">
        <v>71</v>
      </c>
      <c r="H187" s="1" t="s">
        <v>396</v>
      </c>
      <c r="K187" s="1" t="s">
        <v>358</v>
      </c>
      <c r="L187" s="1" t="s">
        <v>99</v>
      </c>
      <c r="O187" s="4">
        <v>43151.0</v>
      </c>
    </row>
    <row r="188">
      <c r="A188" s="1" t="s">
        <v>394</v>
      </c>
      <c r="B188" s="1" t="s">
        <v>255</v>
      </c>
      <c r="C188" s="1" t="s">
        <v>256</v>
      </c>
      <c r="D188" s="1" t="s">
        <v>564</v>
      </c>
      <c r="E188" s="1" t="s">
        <v>97</v>
      </c>
      <c r="F188" s="8">
        <v>46310.0</v>
      </c>
      <c r="G188" s="1" t="s">
        <v>71</v>
      </c>
      <c r="H188" s="1" t="s">
        <v>396</v>
      </c>
      <c r="K188" s="1" t="s">
        <v>358</v>
      </c>
      <c r="L188" s="1" t="s">
        <v>99</v>
      </c>
      <c r="O188" s="4">
        <v>43151.0</v>
      </c>
    </row>
    <row r="189">
      <c r="A189" s="1" t="s">
        <v>394</v>
      </c>
      <c r="B189" s="1" t="s">
        <v>336</v>
      </c>
      <c r="C189" s="1" t="s">
        <v>338</v>
      </c>
      <c r="D189" s="1" t="s">
        <v>565</v>
      </c>
      <c r="E189" s="1" t="s">
        <v>97</v>
      </c>
      <c r="F189" s="8">
        <v>46314.0</v>
      </c>
      <c r="G189" s="1" t="s">
        <v>71</v>
      </c>
      <c r="H189" s="1" t="s">
        <v>396</v>
      </c>
      <c r="K189" s="1" t="s">
        <v>358</v>
      </c>
      <c r="L189" s="1" t="s">
        <v>99</v>
      </c>
      <c r="O189" s="4">
        <v>43151.0</v>
      </c>
    </row>
    <row r="190">
      <c r="A190" s="1" t="s">
        <v>394</v>
      </c>
      <c r="B190" s="1" t="s">
        <v>336</v>
      </c>
      <c r="C190" s="1" t="s">
        <v>338</v>
      </c>
      <c r="D190" s="1" t="s">
        <v>566</v>
      </c>
      <c r="E190" s="1" t="s">
        <v>97</v>
      </c>
      <c r="F190" s="8">
        <v>46314.0</v>
      </c>
      <c r="G190" s="1" t="s">
        <v>71</v>
      </c>
      <c r="H190" s="1" t="s">
        <v>396</v>
      </c>
      <c r="K190" s="1" t="s">
        <v>358</v>
      </c>
      <c r="L190" s="1" t="s">
        <v>99</v>
      </c>
      <c r="O190" s="4">
        <v>43151.0</v>
      </c>
    </row>
    <row r="191">
      <c r="A191" s="1" t="s">
        <v>394</v>
      </c>
      <c r="B191" s="1" t="s">
        <v>336</v>
      </c>
      <c r="C191" s="1" t="s">
        <v>338</v>
      </c>
      <c r="D191" s="1" t="s">
        <v>567</v>
      </c>
      <c r="E191" s="1" t="s">
        <v>97</v>
      </c>
      <c r="F191" s="8">
        <v>46314.0</v>
      </c>
      <c r="G191" s="1" t="s">
        <v>71</v>
      </c>
      <c r="H191" s="1" t="s">
        <v>396</v>
      </c>
      <c r="K191" s="1" t="s">
        <v>358</v>
      </c>
      <c r="L191" s="1" t="s">
        <v>99</v>
      </c>
      <c r="O191" s="4">
        <v>43151.0</v>
      </c>
    </row>
    <row r="192">
      <c r="A192" s="1" t="s">
        <v>394</v>
      </c>
      <c r="B192" s="1" t="s">
        <v>336</v>
      </c>
      <c r="C192" s="1" t="s">
        <v>338</v>
      </c>
      <c r="D192" s="1" t="s">
        <v>568</v>
      </c>
      <c r="E192" s="1" t="s">
        <v>97</v>
      </c>
      <c r="F192" s="8">
        <v>46314.0</v>
      </c>
      <c r="G192" s="1" t="s">
        <v>71</v>
      </c>
      <c r="H192" s="1" t="s">
        <v>396</v>
      </c>
      <c r="K192" s="1" t="s">
        <v>358</v>
      </c>
      <c r="L192" s="1" t="s">
        <v>99</v>
      </c>
      <c r="O192" s="4">
        <v>43151.0</v>
      </c>
    </row>
    <row r="193">
      <c r="A193" s="1" t="s">
        <v>394</v>
      </c>
      <c r="B193" s="1" t="s">
        <v>336</v>
      </c>
      <c r="C193" s="1" t="s">
        <v>338</v>
      </c>
      <c r="D193" s="1" t="s">
        <v>569</v>
      </c>
      <c r="E193" s="1" t="s">
        <v>97</v>
      </c>
      <c r="F193" s="8">
        <v>46314.0</v>
      </c>
      <c r="G193" s="1" t="s">
        <v>71</v>
      </c>
      <c r="H193" s="1" t="s">
        <v>396</v>
      </c>
      <c r="K193" s="1" t="s">
        <v>358</v>
      </c>
      <c r="L193" s="1" t="s">
        <v>99</v>
      </c>
      <c r="O193" s="4">
        <v>43151.0</v>
      </c>
    </row>
    <row r="194">
      <c r="A194" s="1" t="s">
        <v>394</v>
      </c>
      <c r="B194" s="1" t="s">
        <v>336</v>
      </c>
      <c r="C194" s="1" t="s">
        <v>338</v>
      </c>
      <c r="D194" s="1" t="s">
        <v>570</v>
      </c>
      <c r="E194" s="1" t="s">
        <v>97</v>
      </c>
      <c r="F194" s="8">
        <v>46314.0</v>
      </c>
      <c r="G194" s="1" t="s">
        <v>71</v>
      </c>
      <c r="H194" s="1" t="s">
        <v>396</v>
      </c>
      <c r="K194" s="1" t="s">
        <v>358</v>
      </c>
      <c r="L194" s="1" t="s">
        <v>99</v>
      </c>
      <c r="O194" s="4">
        <v>43151.0</v>
      </c>
    </row>
    <row r="195">
      <c r="A195" s="1" t="s">
        <v>394</v>
      </c>
      <c r="B195" s="1" t="s">
        <v>336</v>
      </c>
      <c r="C195" s="1" t="s">
        <v>338</v>
      </c>
      <c r="D195" s="1" t="s">
        <v>571</v>
      </c>
      <c r="E195" s="1" t="s">
        <v>97</v>
      </c>
      <c r="F195" s="8">
        <v>46314.0</v>
      </c>
      <c r="G195" s="1" t="s">
        <v>71</v>
      </c>
      <c r="H195" s="1" t="s">
        <v>396</v>
      </c>
      <c r="K195" s="1" t="s">
        <v>358</v>
      </c>
      <c r="L195" s="1" t="s">
        <v>99</v>
      </c>
      <c r="O195" s="4">
        <v>43151.0</v>
      </c>
    </row>
    <row r="196">
      <c r="A196" s="1" t="s">
        <v>394</v>
      </c>
      <c r="B196" s="1" t="s">
        <v>336</v>
      </c>
      <c r="C196" s="1" t="s">
        <v>338</v>
      </c>
      <c r="D196" s="1" t="s">
        <v>572</v>
      </c>
      <c r="E196" s="1" t="s">
        <v>97</v>
      </c>
      <c r="F196" s="8">
        <v>46314.0</v>
      </c>
      <c r="G196" s="1" t="s">
        <v>71</v>
      </c>
      <c r="H196" s="1" t="s">
        <v>396</v>
      </c>
      <c r="K196" s="1" t="s">
        <v>358</v>
      </c>
      <c r="L196" s="1" t="s">
        <v>99</v>
      </c>
      <c r="O196" s="4">
        <v>43151.0</v>
      </c>
    </row>
    <row r="197">
      <c r="A197" s="1" t="s">
        <v>394</v>
      </c>
      <c r="B197" s="1" t="s">
        <v>269</v>
      </c>
      <c r="C197" s="1" t="s">
        <v>270</v>
      </c>
      <c r="D197" s="1" t="s">
        <v>573</v>
      </c>
      <c r="E197" s="1" t="s">
        <v>97</v>
      </c>
      <c r="F197" s="8">
        <v>46316.0</v>
      </c>
      <c r="G197" s="1" t="s">
        <v>71</v>
      </c>
      <c r="K197" s="1" t="s">
        <v>358</v>
      </c>
      <c r="L197" s="1" t="s">
        <v>99</v>
      </c>
      <c r="O197" s="4">
        <v>43151.0</v>
      </c>
    </row>
    <row r="198">
      <c r="A198" s="1" t="s">
        <v>394</v>
      </c>
      <c r="B198" s="1" t="s">
        <v>269</v>
      </c>
      <c r="C198" s="1" t="s">
        <v>270</v>
      </c>
      <c r="D198" s="1" t="s">
        <v>574</v>
      </c>
      <c r="E198" s="1" t="s">
        <v>97</v>
      </c>
      <c r="F198" s="8">
        <v>46316.0</v>
      </c>
      <c r="G198" s="1" t="s">
        <v>71</v>
      </c>
      <c r="K198" s="1" t="s">
        <v>358</v>
      </c>
      <c r="L198" s="1" t="s">
        <v>99</v>
      </c>
      <c r="O198" s="4">
        <v>43151.0</v>
      </c>
    </row>
    <row r="199">
      <c r="A199" s="1" t="s">
        <v>394</v>
      </c>
      <c r="B199" s="1" t="s">
        <v>269</v>
      </c>
      <c r="C199" s="1" t="s">
        <v>270</v>
      </c>
      <c r="D199" s="1" t="s">
        <v>575</v>
      </c>
      <c r="E199" s="1" t="s">
        <v>70</v>
      </c>
      <c r="F199" s="8">
        <v>46316.0</v>
      </c>
      <c r="G199" s="1" t="s">
        <v>71</v>
      </c>
      <c r="K199" s="1" t="s">
        <v>358</v>
      </c>
      <c r="L199" s="1" t="s">
        <v>99</v>
      </c>
      <c r="O199" s="4">
        <v>43151.0</v>
      </c>
    </row>
    <row r="200">
      <c r="A200" s="1" t="s">
        <v>394</v>
      </c>
      <c r="B200" s="1" t="s">
        <v>269</v>
      </c>
      <c r="C200" s="1" t="s">
        <v>270</v>
      </c>
      <c r="D200" s="1" t="s">
        <v>576</v>
      </c>
      <c r="E200" s="1" t="s">
        <v>97</v>
      </c>
      <c r="F200" s="8">
        <v>46316.0</v>
      </c>
      <c r="G200" s="1" t="s">
        <v>71</v>
      </c>
      <c r="K200" s="1" t="s">
        <v>358</v>
      </c>
      <c r="L200" s="1" t="s">
        <v>99</v>
      </c>
      <c r="O200" s="4">
        <v>43151.0</v>
      </c>
    </row>
    <row r="201">
      <c r="A201" s="1" t="s">
        <v>394</v>
      </c>
      <c r="B201" s="1" t="s">
        <v>269</v>
      </c>
      <c r="C201" s="1" t="s">
        <v>270</v>
      </c>
      <c r="D201" s="1" t="s">
        <v>577</v>
      </c>
      <c r="E201" s="1" t="s">
        <v>97</v>
      </c>
      <c r="F201" s="8">
        <v>46316.0</v>
      </c>
      <c r="G201" s="1" t="s">
        <v>71</v>
      </c>
      <c r="K201" s="1" t="s">
        <v>358</v>
      </c>
      <c r="L201" s="1" t="s">
        <v>99</v>
      </c>
      <c r="O201" s="4">
        <v>43151.0</v>
      </c>
    </row>
    <row r="202">
      <c r="A202" s="1" t="s">
        <v>394</v>
      </c>
      <c r="B202" s="1" t="s">
        <v>269</v>
      </c>
      <c r="C202" s="1" t="s">
        <v>270</v>
      </c>
      <c r="D202" s="1" t="s">
        <v>578</v>
      </c>
      <c r="E202" s="1" t="s">
        <v>97</v>
      </c>
      <c r="F202" s="8">
        <v>46316.0</v>
      </c>
      <c r="G202" s="1" t="s">
        <v>71</v>
      </c>
      <c r="K202" s="1" t="s">
        <v>358</v>
      </c>
      <c r="L202" s="1" t="s">
        <v>99</v>
      </c>
      <c r="O202" s="4">
        <v>43151.0</v>
      </c>
    </row>
    <row r="203">
      <c r="A203" s="1" t="s">
        <v>394</v>
      </c>
      <c r="B203" s="1" t="s">
        <v>269</v>
      </c>
      <c r="C203" s="1" t="s">
        <v>270</v>
      </c>
      <c r="D203" s="1" t="s">
        <v>579</v>
      </c>
      <c r="E203" s="1" t="s">
        <v>97</v>
      </c>
      <c r="F203" s="8">
        <v>46316.0</v>
      </c>
      <c r="G203" s="1" t="s">
        <v>71</v>
      </c>
      <c r="K203" s="1" t="s">
        <v>358</v>
      </c>
      <c r="L203" s="1" t="s">
        <v>99</v>
      </c>
      <c r="O203" s="4">
        <v>43151.0</v>
      </c>
    </row>
    <row r="204">
      <c r="A204" s="1" t="s">
        <v>394</v>
      </c>
      <c r="B204" s="1" t="s">
        <v>269</v>
      </c>
      <c r="C204" s="1" t="s">
        <v>270</v>
      </c>
      <c r="D204" s="1" t="s">
        <v>580</v>
      </c>
      <c r="E204" s="1" t="s">
        <v>97</v>
      </c>
      <c r="F204" s="8">
        <v>46316.0</v>
      </c>
      <c r="G204" s="1" t="s">
        <v>71</v>
      </c>
      <c r="K204" s="1" t="s">
        <v>358</v>
      </c>
      <c r="L204" s="1" t="s">
        <v>99</v>
      </c>
      <c r="O204" s="4">
        <v>43151.0</v>
      </c>
    </row>
    <row r="205">
      <c r="A205" s="1" t="s">
        <v>394</v>
      </c>
      <c r="B205" s="1" t="s">
        <v>269</v>
      </c>
      <c r="C205" s="1" t="s">
        <v>270</v>
      </c>
      <c r="D205" s="1" t="s">
        <v>581</v>
      </c>
      <c r="E205" s="1" t="s">
        <v>97</v>
      </c>
      <c r="F205" s="8">
        <v>46316.0</v>
      </c>
      <c r="G205" s="1" t="s">
        <v>71</v>
      </c>
      <c r="K205" s="1" t="s">
        <v>358</v>
      </c>
      <c r="L205" s="1" t="s">
        <v>99</v>
      </c>
      <c r="O205" s="4">
        <v>43151.0</v>
      </c>
    </row>
    <row r="206">
      <c r="A206" s="1" t="s">
        <v>394</v>
      </c>
      <c r="B206" s="1" t="s">
        <v>269</v>
      </c>
      <c r="C206" s="1" t="s">
        <v>270</v>
      </c>
      <c r="D206" s="1" t="s">
        <v>582</v>
      </c>
      <c r="E206" s="1" t="s">
        <v>97</v>
      </c>
      <c r="F206" s="8">
        <v>46316.0</v>
      </c>
      <c r="G206" s="1" t="s">
        <v>71</v>
      </c>
      <c r="K206" s="1" t="s">
        <v>358</v>
      </c>
      <c r="L206" s="1" t="s">
        <v>99</v>
      </c>
      <c r="O206" s="4">
        <v>43151.0</v>
      </c>
    </row>
    <row r="207">
      <c r="A207" s="1" t="s">
        <v>394</v>
      </c>
      <c r="B207" s="1" t="s">
        <v>269</v>
      </c>
      <c r="C207" s="1" t="s">
        <v>270</v>
      </c>
      <c r="D207" s="1" t="s">
        <v>583</v>
      </c>
      <c r="E207" s="1" t="s">
        <v>97</v>
      </c>
      <c r="F207" s="8">
        <v>46316.0</v>
      </c>
      <c r="G207" s="1" t="s">
        <v>71</v>
      </c>
      <c r="K207" s="1" t="s">
        <v>358</v>
      </c>
      <c r="L207" s="1" t="s">
        <v>99</v>
      </c>
      <c r="O207" s="4">
        <v>43151.0</v>
      </c>
    </row>
    <row r="208">
      <c r="A208" s="1" t="s">
        <v>394</v>
      </c>
      <c r="B208" s="1" t="s">
        <v>269</v>
      </c>
      <c r="C208" s="1" t="s">
        <v>270</v>
      </c>
      <c r="D208" s="1" t="s">
        <v>584</v>
      </c>
      <c r="E208" s="1" t="s">
        <v>97</v>
      </c>
      <c r="F208" s="8">
        <v>46316.0</v>
      </c>
      <c r="G208" s="1" t="s">
        <v>71</v>
      </c>
      <c r="H208" s="1" t="s">
        <v>499</v>
      </c>
      <c r="K208" s="1" t="s">
        <v>358</v>
      </c>
      <c r="L208" s="1" t="s">
        <v>99</v>
      </c>
      <c r="O208" s="4">
        <v>43151.0</v>
      </c>
    </row>
    <row r="209">
      <c r="A209" s="1" t="s">
        <v>394</v>
      </c>
      <c r="B209" s="1" t="s">
        <v>585</v>
      </c>
      <c r="C209" s="1" t="s">
        <v>586</v>
      </c>
      <c r="D209" s="1" t="s">
        <v>587</v>
      </c>
      <c r="E209" s="1" t="s">
        <v>97</v>
      </c>
      <c r="F209" s="4">
        <v>46233.0</v>
      </c>
      <c r="G209" s="1" t="s">
        <v>107</v>
      </c>
      <c r="H209" s="1" t="s">
        <v>133</v>
      </c>
      <c r="J209" s="1" t="s">
        <v>134</v>
      </c>
      <c r="K209" s="1" t="s">
        <v>358</v>
      </c>
      <c r="L209" s="1" t="s">
        <v>99</v>
      </c>
      <c r="O209" s="4">
        <v>43151.0</v>
      </c>
    </row>
    <row r="210">
      <c r="A210" s="1" t="s">
        <v>394</v>
      </c>
      <c r="B210" s="1" t="s">
        <v>588</v>
      </c>
      <c r="C210" s="1" t="s">
        <v>329</v>
      </c>
      <c r="D210" s="1" t="s">
        <v>589</v>
      </c>
      <c r="E210" s="1" t="s">
        <v>70</v>
      </c>
      <c r="F210" s="4">
        <v>46147.0</v>
      </c>
      <c r="G210" s="1" t="s">
        <v>132</v>
      </c>
      <c r="H210" s="1" t="s">
        <v>590</v>
      </c>
      <c r="J210" s="1" t="s">
        <v>33</v>
      </c>
      <c r="K210" s="1" t="s">
        <v>358</v>
      </c>
      <c r="L210" s="1" t="s">
        <v>99</v>
      </c>
      <c r="O210" s="4">
        <v>43151.0</v>
      </c>
      <c r="T210" s="19" t="s">
        <v>591</v>
      </c>
    </row>
    <row r="211">
      <c r="A211" s="1" t="s">
        <v>394</v>
      </c>
      <c r="B211" s="1" t="s">
        <v>588</v>
      </c>
      <c r="C211" s="1" t="s">
        <v>329</v>
      </c>
      <c r="D211" s="1" t="s">
        <v>592</v>
      </c>
      <c r="E211" s="1" t="s">
        <v>70</v>
      </c>
      <c r="F211" s="4">
        <v>46147.0</v>
      </c>
      <c r="G211" s="1" t="s">
        <v>132</v>
      </c>
      <c r="H211" s="1" t="s">
        <v>590</v>
      </c>
      <c r="J211" s="1" t="s">
        <v>33</v>
      </c>
      <c r="K211" s="1" t="s">
        <v>358</v>
      </c>
      <c r="L211" s="1" t="s">
        <v>99</v>
      </c>
      <c r="O211" s="4">
        <v>43151.0</v>
      </c>
      <c r="T211" s="19" t="s">
        <v>591</v>
      </c>
    </row>
    <row r="212">
      <c r="A212" s="1" t="s">
        <v>394</v>
      </c>
      <c r="B212" s="1" t="s">
        <v>588</v>
      </c>
      <c r="C212" s="1" t="s">
        <v>329</v>
      </c>
      <c r="D212" s="1" t="s">
        <v>593</v>
      </c>
      <c r="E212" s="1" t="s">
        <v>70</v>
      </c>
      <c r="F212" s="4">
        <v>46147.0</v>
      </c>
      <c r="G212" s="1" t="s">
        <v>132</v>
      </c>
      <c r="H212" s="1" t="s">
        <v>590</v>
      </c>
      <c r="J212" s="1" t="s">
        <v>33</v>
      </c>
      <c r="K212" s="1" t="s">
        <v>358</v>
      </c>
      <c r="L212" s="1" t="s">
        <v>99</v>
      </c>
      <c r="O212" s="4">
        <v>43151.0</v>
      </c>
      <c r="T212" s="19" t="s">
        <v>591</v>
      </c>
    </row>
    <row r="213">
      <c r="A213" s="1" t="s">
        <v>394</v>
      </c>
      <c r="B213" s="1" t="s">
        <v>588</v>
      </c>
      <c r="C213" s="1" t="s">
        <v>329</v>
      </c>
      <c r="D213" s="1" t="s">
        <v>594</v>
      </c>
      <c r="E213" s="1" t="s">
        <v>70</v>
      </c>
      <c r="F213" s="4">
        <v>46147.0</v>
      </c>
      <c r="G213" s="1" t="s">
        <v>132</v>
      </c>
      <c r="H213" s="1" t="s">
        <v>590</v>
      </c>
      <c r="J213" s="1" t="s">
        <v>33</v>
      </c>
      <c r="K213" s="1" t="s">
        <v>358</v>
      </c>
      <c r="L213" s="1" t="s">
        <v>99</v>
      </c>
      <c r="O213" s="4">
        <v>43151.0</v>
      </c>
      <c r="T213" s="19" t="s">
        <v>591</v>
      </c>
    </row>
    <row r="214">
      <c r="A214" s="1" t="s">
        <v>394</v>
      </c>
      <c r="B214" s="1" t="s">
        <v>588</v>
      </c>
      <c r="C214" s="1" t="s">
        <v>329</v>
      </c>
      <c r="D214" s="1" t="s">
        <v>595</v>
      </c>
      <c r="E214" s="1" t="s">
        <v>70</v>
      </c>
      <c r="F214" s="4">
        <v>46147.0</v>
      </c>
      <c r="G214" s="1" t="s">
        <v>132</v>
      </c>
      <c r="H214" s="1" t="s">
        <v>590</v>
      </c>
      <c r="J214" s="1" t="s">
        <v>33</v>
      </c>
      <c r="K214" s="1" t="s">
        <v>358</v>
      </c>
      <c r="L214" s="1" t="s">
        <v>99</v>
      </c>
      <c r="O214" s="4">
        <v>43151.0</v>
      </c>
      <c r="T214" s="19" t="s">
        <v>591</v>
      </c>
    </row>
    <row r="215">
      <c r="A215" s="1" t="s">
        <v>394</v>
      </c>
      <c r="B215" s="1" t="s">
        <v>303</v>
      </c>
      <c r="C215" s="1" t="s">
        <v>304</v>
      </c>
      <c r="D215" s="1" t="s">
        <v>596</v>
      </c>
      <c r="E215" s="1" t="s">
        <v>97</v>
      </c>
      <c r="F215" s="4">
        <v>46276.0</v>
      </c>
      <c r="G215" s="1" t="s">
        <v>71</v>
      </c>
      <c r="K215" s="1" t="s">
        <v>358</v>
      </c>
      <c r="L215" s="1" t="s">
        <v>99</v>
      </c>
      <c r="O215" s="4">
        <v>43151.0</v>
      </c>
    </row>
    <row r="216">
      <c r="A216" s="1" t="s">
        <v>394</v>
      </c>
      <c r="B216" s="1" t="s">
        <v>303</v>
      </c>
      <c r="C216" s="1" t="s">
        <v>304</v>
      </c>
      <c r="D216" s="1" t="s">
        <v>597</v>
      </c>
      <c r="E216" s="1" t="s">
        <v>97</v>
      </c>
      <c r="F216" s="4">
        <v>46276.0</v>
      </c>
      <c r="G216" s="1" t="s">
        <v>71</v>
      </c>
      <c r="K216" s="1" t="s">
        <v>358</v>
      </c>
      <c r="L216" s="1" t="s">
        <v>99</v>
      </c>
      <c r="O216" s="4">
        <v>43151.0</v>
      </c>
    </row>
    <row r="217">
      <c r="A217" s="1" t="s">
        <v>394</v>
      </c>
      <c r="B217" s="1" t="s">
        <v>269</v>
      </c>
      <c r="C217" s="1" t="s">
        <v>270</v>
      </c>
      <c r="D217" s="1" t="s">
        <v>598</v>
      </c>
      <c r="E217" s="1" t="s">
        <v>70</v>
      </c>
      <c r="F217" s="8">
        <v>46316.0</v>
      </c>
      <c r="G217" s="1" t="s">
        <v>107</v>
      </c>
      <c r="H217" s="1" t="s">
        <v>599</v>
      </c>
      <c r="J217" s="1" t="s">
        <v>47</v>
      </c>
      <c r="K217" s="1" t="s">
        <v>358</v>
      </c>
      <c r="L217" s="1" t="s">
        <v>99</v>
      </c>
      <c r="O217" s="4">
        <v>43151.0</v>
      </c>
    </row>
    <row r="218">
      <c r="A218" s="1" t="s">
        <v>394</v>
      </c>
      <c r="B218" s="1" t="s">
        <v>269</v>
      </c>
      <c r="C218" s="1" t="s">
        <v>270</v>
      </c>
      <c r="D218" s="1" t="s">
        <v>600</v>
      </c>
      <c r="E218" s="1" t="s">
        <v>97</v>
      </c>
      <c r="F218" s="8">
        <v>46316.0</v>
      </c>
      <c r="G218" s="1" t="s">
        <v>71</v>
      </c>
      <c r="K218" s="1" t="s">
        <v>34</v>
      </c>
      <c r="L218" s="1" t="s">
        <v>99</v>
      </c>
      <c r="O218" s="4">
        <v>43151.0</v>
      </c>
    </row>
    <row r="219">
      <c r="A219" s="1" t="s">
        <v>394</v>
      </c>
      <c r="B219" s="1" t="s">
        <v>588</v>
      </c>
      <c r="C219" s="1" t="s">
        <v>329</v>
      </c>
      <c r="D219" s="1" t="s">
        <v>589</v>
      </c>
      <c r="E219" s="1" t="s">
        <v>32</v>
      </c>
      <c r="F219" s="4">
        <v>46147.0</v>
      </c>
      <c r="H219" s="1" t="s">
        <v>33</v>
      </c>
      <c r="K219" s="1" t="s">
        <v>358</v>
      </c>
      <c r="L219" s="1" t="s">
        <v>35</v>
      </c>
      <c r="N219" s="4">
        <v>46147.0</v>
      </c>
      <c r="O219" s="4">
        <v>46147.0</v>
      </c>
    </row>
    <row r="220">
      <c r="A220" s="1" t="s">
        <v>394</v>
      </c>
      <c r="B220" s="1" t="s">
        <v>588</v>
      </c>
      <c r="C220" s="1" t="s">
        <v>329</v>
      </c>
      <c r="D220" s="1" t="s">
        <v>592</v>
      </c>
      <c r="E220" s="1" t="s">
        <v>32</v>
      </c>
      <c r="F220" s="4">
        <v>46147.0</v>
      </c>
      <c r="H220" s="1" t="s">
        <v>33</v>
      </c>
      <c r="K220" s="1" t="s">
        <v>358</v>
      </c>
      <c r="L220" s="1" t="s">
        <v>35</v>
      </c>
      <c r="N220" s="4">
        <v>46147.0</v>
      </c>
      <c r="O220" s="4">
        <v>46147.0</v>
      </c>
    </row>
    <row r="221">
      <c r="A221" s="1" t="s">
        <v>394</v>
      </c>
      <c r="B221" s="1" t="s">
        <v>588</v>
      </c>
      <c r="C221" s="1" t="s">
        <v>329</v>
      </c>
      <c r="D221" s="1" t="s">
        <v>593</v>
      </c>
      <c r="E221" s="1" t="s">
        <v>32</v>
      </c>
      <c r="F221" s="4">
        <v>46147.0</v>
      </c>
      <c r="H221" s="1" t="s">
        <v>33</v>
      </c>
      <c r="K221" s="1" t="s">
        <v>358</v>
      </c>
      <c r="L221" s="1" t="s">
        <v>35</v>
      </c>
      <c r="N221" s="4">
        <v>46147.0</v>
      </c>
      <c r="O221" s="4">
        <v>46147.0</v>
      </c>
    </row>
    <row r="222">
      <c r="A222" s="1" t="s">
        <v>394</v>
      </c>
      <c r="B222" s="1" t="s">
        <v>588</v>
      </c>
      <c r="C222" s="1" t="s">
        <v>329</v>
      </c>
      <c r="D222" s="1" t="s">
        <v>594</v>
      </c>
      <c r="E222" s="1" t="s">
        <v>32</v>
      </c>
      <c r="F222" s="4">
        <v>46147.0</v>
      </c>
      <c r="H222" s="1" t="s">
        <v>33</v>
      </c>
      <c r="K222" s="1" t="s">
        <v>358</v>
      </c>
      <c r="L222" s="1" t="s">
        <v>35</v>
      </c>
      <c r="N222" s="4">
        <v>46147.0</v>
      </c>
      <c r="O222" s="4">
        <v>46147.0</v>
      </c>
    </row>
    <row r="223">
      <c r="A223" s="1" t="s">
        <v>394</v>
      </c>
      <c r="B223" s="1" t="s">
        <v>588</v>
      </c>
      <c r="C223" s="1" t="s">
        <v>329</v>
      </c>
      <c r="D223" s="1" t="s">
        <v>595</v>
      </c>
      <c r="E223" s="1" t="s">
        <v>32</v>
      </c>
      <c r="F223" s="4">
        <v>46147.0</v>
      </c>
      <c r="H223" s="1" t="s">
        <v>33</v>
      </c>
      <c r="K223" s="1" t="s">
        <v>358</v>
      </c>
      <c r="L223" s="1" t="s">
        <v>35</v>
      </c>
      <c r="N223" s="4">
        <v>46147.0</v>
      </c>
      <c r="O223" s="4">
        <v>46147.0</v>
      </c>
    </row>
    <row r="224">
      <c r="A224" s="1" t="s">
        <v>394</v>
      </c>
      <c r="B224" s="1" t="s">
        <v>601</v>
      </c>
      <c r="C224" s="1" t="s">
        <v>602</v>
      </c>
      <c r="D224" s="1" t="s">
        <v>603</v>
      </c>
      <c r="E224" s="1" t="s">
        <v>32</v>
      </c>
      <c r="F224" s="4">
        <v>46220.0</v>
      </c>
      <c r="G224" s="1" t="s">
        <v>71</v>
      </c>
      <c r="K224" s="1" t="s">
        <v>358</v>
      </c>
      <c r="L224" s="1" t="s">
        <v>99</v>
      </c>
      <c r="O224" s="4">
        <v>43151.0</v>
      </c>
    </row>
    <row r="225">
      <c r="A225" s="1" t="s">
        <v>394</v>
      </c>
      <c r="B225" s="1" t="s">
        <v>601</v>
      </c>
      <c r="C225" s="1" t="s">
        <v>602</v>
      </c>
      <c r="D225" s="1" t="s">
        <v>604</v>
      </c>
      <c r="E225" s="1" t="s">
        <v>32</v>
      </c>
      <c r="F225" s="4">
        <v>46220.0</v>
      </c>
      <c r="G225" s="1" t="s">
        <v>71</v>
      </c>
      <c r="K225" s="1" t="s">
        <v>358</v>
      </c>
      <c r="L225" s="1" t="s">
        <v>99</v>
      </c>
      <c r="O225" s="4">
        <v>43151.0</v>
      </c>
    </row>
    <row r="226">
      <c r="A226" s="1" t="s">
        <v>394</v>
      </c>
      <c r="B226" s="1" t="s">
        <v>601</v>
      </c>
      <c r="C226" s="1" t="s">
        <v>602</v>
      </c>
      <c r="D226" s="1" t="s">
        <v>605</v>
      </c>
      <c r="E226" s="1" t="s">
        <v>32</v>
      </c>
      <c r="F226" s="4">
        <v>46220.0</v>
      </c>
      <c r="G226" s="1" t="s">
        <v>71</v>
      </c>
      <c r="K226" s="1" t="s">
        <v>358</v>
      </c>
      <c r="L226" s="1" t="s">
        <v>99</v>
      </c>
      <c r="O226" s="4">
        <v>43151.0</v>
      </c>
    </row>
    <row r="227">
      <c r="A227" s="1" t="s">
        <v>394</v>
      </c>
      <c r="B227" s="1" t="s">
        <v>601</v>
      </c>
      <c r="C227" s="1" t="s">
        <v>602</v>
      </c>
      <c r="D227" s="1" t="s">
        <v>606</v>
      </c>
      <c r="E227" s="1" t="s">
        <v>32</v>
      </c>
      <c r="F227" s="4">
        <v>46220.0</v>
      </c>
      <c r="G227" s="1" t="s">
        <v>71</v>
      </c>
      <c r="K227" s="1" t="s">
        <v>358</v>
      </c>
      <c r="L227" s="1" t="s">
        <v>99</v>
      </c>
      <c r="O227" s="4">
        <v>43151.0</v>
      </c>
    </row>
    <row r="228">
      <c r="A228" s="1" t="s">
        <v>394</v>
      </c>
      <c r="B228" s="1" t="s">
        <v>601</v>
      </c>
      <c r="C228" s="1" t="s">
        <v>602</v>
      </c>
      <c r="D228" s="1" t="s">
        <v>607</v>
      </c>
      <c r="E228" s="1" t="s">
        <v>32</v>
      </c>
      <c r="F228" s="4">
        <v>46220.0</v>
      </c>
      <c r="G228" s="1" t="s">
        <v>71</v>
      </c>
      <c r="K228" s="1" t="s">
        <v>358</v>
      </c>
      <c r="L228" s="1" t="s">
        <v>99</v>
      </c>
      <c r="O228" s="4">
        <v>43151.0</v>
      </c>
    </row>
    <row r="229">
      <c r="A229" s="1" t="s">
        <v>394</v>
      </c>
      <c r="B229" s="1" t="s">
        <v>601</v>
      </c>
      <c r="C229" s="1" t="s">
        <v>602</v>
      </c>
      <c r="D229" s="1" t="s">
        <v>608</v>
      </c>
      <c r="E229" s="1" t="s">
        <v>32</v>
      </c>
      <c r="F229" s="4">
        <v>46220.0</v>
      </c>
      <c r="G229" s="1" t="s">
        <v>71</v>
      </c>
      <c r="K229" s="1" t="s">
        <v>358</v>
      </c>
      <c r="L229" s="1" t="s">
        <v>99</v>
      </c>
      <c r="O229" s="4">
        <v>43151.0</v>
      </c>
    </row>
    <row r="230">
      <c r="A230" s="1" t="s">
        <v>394</v>
      </c>
      <c r="B230" s="1" t="s">
        <v>303</v>
      </c>
      <c r="C230" s="1" t="s">
        <v>304</v>
      </c>
      <c r="D230" s="1" t="s">
        <v>609</v>
      </c>
      <c r="E230" s="1" t="s">
        <v>97</v>
      </c>
      <c r="F230" s="4">
        <v>46276.0</v>
      </c>
      <c r="G230" s="1" t="s">
        <v>71</v>
      </c>
      <c r="K230" s="1" t="s">
        <v>358</v>
      </c>
      <c r="L230" s="1" t="s">
        <v>99</v>
      </c>
      <c r="O230" s="4">
        <v>43151.0</v>
      </c>
    </row>
    <row r="231">
      <c r="A231" s="1" t="s">
        <v>394</v>
      </c>
      <c r="B231" s="1" t="s">
        <v>303</v>
      </c>
      <c r="C231" s="1" t="s">
        <v>304</v>
      </c>
      <c r="D231" s="1" t="s">
        <v>610</v>
      </c>
      <c r="E231" s="1" t="s">
        <v>97</v>
      </c>
      <c r="F231" s="4">
        <v>46276.0</v>
      </c>
      <c r="G231" s="1" t="s">
        <v>71</v>
      </c>
      <c r="K231" s="1" t="s">
        <v>358</v>
      </c>
      <c r="L231" s="1" t="s">
        <v>99</v>
      </c>
      <c r="O231" s="4">
        <v>43151.0</v>
      </c>
    </row>
    <row r="232">
      <c r="A232" s="1" t="s">
        <v>394</v>
      </c>
      <c r="B232" s="1" t="s">
        <v>303</v>
      </c>
      <c r="C232" s="1" t="s">
        <v>304</v>
      </c>
      <c r="D232" s="1" t="s">
        <v>611</v>
      </c>
      <c r="E232" s="1" t="s">
        <v>97</v>
      </c>
      <c r="F232" s="4">
        <v>46276.0</v>
      </c>
      <c r="G232" s="1" t="s">
        <v>71</v>
      </c>
      <c r="K232" s="1" t="s">
        <v>358</v>
      </c>
      <c r="L232" s="1" t="s">
        <v>99</v>
      </c>
      <c r="O232" s="4">
        <v>43151.0</v>
      </c>
    </row>
    <row r="233">
      <c r="A233" s="1" t="s">
        <v>394</v>
      </c>
      <c r="B233" s="1" t="s">
        <v>303</v>
      </c>
      <c r="C233" s="1" t="s">
        <v>304</v>
      </c>
      <c r="D233" s="1" t="s">
        <v>612</v>
      </c>
      <c r="E233" s="1" t="s">
        <v>97</v>
      </c>
      <c r="F233" s="4">
        <v>46276.0</v>
      </c>
      <c r="G233" s="1" t="s">
        <v>71</v>
      </c>
      <c r="K233" s="1" t="s">
        <v>358</v>
      </c>
      <c r="L233" s="1" t="s">
        <v>99</v>
      </c>
      <c r="O233" s="4">
        <v>43151.0</v>
      </c>
    </row>
    <row r="234">
      <c r="A234" s="1" t="s">
        <v>394</v>
      </c>
      <c r="B234" s="1" t="s">
        <v>613</v>
      </c>
      <c r="C234" s="1" t="s">
        <v>614</v>
      </c>
      <c r="D234" s="1" t="s">
        <v>615</v>
      </c>
      <c r="E234" s="1" t="s">
        <v>70</v>
      </c>
      <c r="F234" s="4">
        <v>46283.0</v>
      </c>
      <c r="G234" s="1" t="s">
        <v>71</v>
      </c>
      <c r="H234" s="1" t="s">
        <v>616</v>
      </c>
      <c r="K234" s="1" t="s">
        <v>358</v>
      </c>
      <c r="L234" s="1" t="s">
        <v>99</v>
      </c>
      <c r="O234" s="4">
        <v>43151.0</v>
      </c>
    </row>
    <row r="235">
      <c r="A235" s="1" t="s">
        <v>394</v>
      </c>
      <c r="B235" s="1" t="s">
        <v>269</v>
      </c>
      <c r="C235" s="1" t="s">
        <v>270</v>
      </c>
      <c r="D235" s="1" t="s">
        <v>617</v>
      </c>
      <c r="E235" s="1" t="s">
        <v>97</v>
      </c>
      <c r="F235" s="8">
        <v>46316.0</v>
      </c>
      <c r="G235" s="1" t="s">
        <v>71</v>
      </c>
      <c r="K235" s="1" t="s">
        <v>358</v>
      </c>
      <c r="L235" s="1" t="s">
        <v>99</v>
      </c>
      <c r="O235" s="4">
        <v>43151.0</v>
      </c>
    </row>
    <row r="236">
      <c r="A236" s="1" t="s">
        <v>394</v>
      </c>
      <c r="B236" s="1" t="s">
        <v>269</v>
      </c>
      <c r="C236" s="1" t="s">
        <v>270</v>
      </c>
      <c r="D236" s="1" t="s">
        <v>618</v>
      </c>
      <c r="E236" s="1" t="s">
        <v>97</v>
      </c>
      <c r="F236" s="8">
        <v>46316.0</v>
      </c>
      <c r="G236" s="1" t="s">
        <v>71</v>
      </c>
      <c r="K236" s="1" t="s">
        <v>358</v>
      </c>
      <c r="L236" s="1" t="s">
        <v>99</v>
      </c>
      <c r="O236" s="4">
        <v>43151.0</v>
      </c>
    </row>
    <row r="237">
      <c r="A237" s="1" t="s">
        <v>394</v>
      </c>
      <c r="B237" s="1" t="s">
        <v>269</v>
      </c>
      <c r="C237" s="1" t="s">
        <v>270</v>
      </c>
      <c r="D237" s="1" t="s">
        <v>619</v>
      </c>
      <c r="E237" s="1" t="s">
        <v>97</v>
      </c>
      <c r="F237" s="8">
        <v>46316.0</v>
      </c>
      <c r="G237" s="1" t="s">
        <v>71</v>
      </c>
      <c r="K237" s="1" t="s">
        <v>358</v>
      </c>
      <c r="L237" s="1" t="s">
        <v>99</v>
      </c>
      <c r="O237" s="4">
        <v>43151.0</v>
      </c>
    </row>
    <row r="238">
      <c r="A238" s="1" t="s">
        <v>394</v>
      </c>
      <c r="B238" s="1" t="s">
        <v>269</v>
      </c>
      <c r="C238" s="1" t="s">
        <v>270</v>
      </c>
      <c r="D238" s="1" t="s">
        <v>620</v>
      </c>
      <c r="E238" s="1" t="s">
        <v>97</v>
      </c>
      <c r="F238" s="8">
        <v>46316.0</v>
      </c>
      <c r="G238" s="1" t="s">
        <v>71</v>
      </c>
      <c r="K238" s="1" t="s">
        <v>358</v>
      </c>
      <c r="L238" s="1" t="s">
        <v>99</v>
      </c>
      <c r="O238" s="4">
        <v>43151.0</v>
      </c>
    </row>
    <row r="239">
      <c r="A239" s="1" t="s">
        <v>394</v>
      </c>
      <c r="B239" s="1" t="s">
        <v>269</v>
      </c>
      <c r="C239" s="1" t="s">
        <v>270</v>
      </c>
      <c r="D239" s="1" t="s">
        <v>621</v>
      </c>
      <c r="E239" s="1" t="s">
        <v>97</v>
      </c>
      <c r="F239" s="8">
        <v>46316.0</v>
      </c>
      <c r="G239" s="1" t="s">
        <v>71</v>
      </c>
      <c r="H239" s="1" t="s">
        <v>493</v>
      </c>
      <c r="K239" s="1" t="s">
        <v>358</v>
      </c>
      <c r="L239" s="1" t="s">
        <v>99</v>
      </c>
      <c r="O239" s="4">
        <v>43151.0</v>
      </c>
    </row>
    <row r="240">
      <c r="A240" s="1" t="s">
        <v>394</v>
      </c>
      <c r="B240" s="1" t="s">
        <v>269</v>
      </c>
      <c r="C240" s="1" t="s">
        <v>270</v>
      </c>
      <c r="D240" s="1" t="s">
        <v>622</v>
      </c>
      <c r="E240" s="1" t="s">
        <v>97</v>
      </c>
      <c r="F240" s="8">
        <v>46316.0</v>
      </c>
      <c r="G240" s="1" t="s">
        <v>71</v>
      </c>
      <c r="H240" s="1" t="s">
        <v>499</v>
      </c>
      <c r="K240" s="1" t="s">
        <v>358</v>
      </c>
      <c r="L240" s="1" t="s">
        <v>99</v>
      </c>
      <c r="O240" s="4">
        <v>43151.0</v>
      </c>
    </row>
    <row r="241">
      <c r="A241" s="1" t="s">
        <v>623</v>
      </c>
      <c r="B241" s="1" t="s">
        <v>269</v>
      </c>
      <c r="C241" s="1" t="s">
        <v>270</v>
      </c>
      <c r="D241" s="1" t="s">
        <v>624</v>
      </c>
      <c r="E241" s="1" t="s">
        <v>70</v>
      </c>
      <c r="F241" s="8">
        <v>46316.0</v>
      </c>
      <c r="G241" s="1" t="s">
        <v>107</v>
      </c>
      <c r="H241" s="1" t="s">
        <v>599</v>
      </c>
      <c r="J241" s="1" t="s">
        <v>47</v>
      </c>
      <c r="K241" s="1" t="s">
        <v>358</v>
      </c>
      <c r="L241" s="1" t="s">
        <v>99</v>
      </c>
      <c r="O241" s="4">
        <v>43151.0</v>
      </c>
    </row>
    <row r="242">
      <c r="A242" s="1" t="s">
        <v>623</v>
      </c>
      <c r="B242" s="1" t="s">
        <v>269</v>
      </c>
      <c r="C242" s="1" t="s">
        <v>270</v>
      </c>
      <c r="D242" s="1" t="s">
        <v>625</v>
      </c>
      <c r="E242" s="1" t="s">
        <v>70</v>
      </c>
      <c r="F242" s="8">
        <v>46316.0</v>
      </c>
      <c r="G242" s="1" t="s">
        <v>107</v>
      </c>
      <c r="H242" s="1" t="s">
        <v>599</v>
      </c>
      <c r="J242" s="1" t="s">
        <v>47</v>
      </c>
      <c r="K242" s="1" t="s">
        <v>358</v>
      </c>
      <c r="L242" s="1" t="s">
        <v>99</v>
      </c>
      <c r="O242" s="4">
        <v>43151.0</v>
      </c>
    </row>
    <row r="243">
      <c r="A243" s="1" t="s">
        <v>623</v>
      </c>
      <c r="B243" s="1" t="s">
        <v>269</v>
      </c>
      <c r="C243" s="1" t="s">
        <v>270</v>
      </c>
      <c r="D243" s="1" t="s">
        <v>626</v>
      </c>
      <c r="E243" s="1" t="s">
        <v>70</v>
      </c>
      <c r="F243" s="8">
        <v>46316.0</v>
      </c>
      <c r="G243" s="1" t="s">
        <v>107</v>
      </c>
      <c r="H243" s="1" t="s">
        <v>599</v>
      </c>
      <c r="J243" s="1" t="s">
        <v>47</v>
      </c>
      <c r="K243" s="1" t="s">
        <v>358</v>
      </c>
      <c r="L243" s="1" t="s">
        <v>99</v>
      </c>
      <c r="O243" s="4">
        <v>43151.0</v>
      </c>
    </row>
    <row r="244">
      <c r="A244" s="1" t="s">
        <v>623</v>
      </c>
      <c r="B244" s="1" t="s">
        <v>269</v>
      </c>
      <c r="C244" s="1" t="s">
        <v>270</v>
      </c>
      <c r="D244" s="1" t="s">
        <v>627</v>
      </c>
      <c r="E244" s="1" t="s">
        <v>70</v>
      </c>
      <c r="F244" s="8">
        <v>46316.0</v>
      </c>
      <c r="G244" s="1" t="s">
        <v>107</v>
      </c>
      <c r="H244" s="1" t="s">
        <v>599</v>
      </c>
      <c r="J244" s="1" t="s">
        <v>47</v>
      </c>
      <c r="K244" s="1" t="s">
        <v>358</v>
      </c>
      <c r="L244" s="1" t="s">
        <v>99</v>
      </c>
      <c r="O244" s="4">
        <v>43151.0</v>
      </c>
    </row>
    <row r="245">
      <c r="A245" s="1" t="s">
        <v>623</v>
      </c>
      <c r="B245" s="1" t="s">
        <v>269</v>
      </c>
      <c r="C245" s="1" t="s">
        <v>270</v>
      </c>
      <c r="D245" s="1" t="s">
        <v>628</v>
      </c>
      <c r="E245" s="1" t="s">
        <v>70</v>
      </c>
      <c r="F245" s="8">
        <v>46316.0</v>
      </c>
      <c r="G245" s="1" t="s">
        <v>107</v>
      </c>
      <c r="H245" s="1" t="s">
        <v>599</v>
      </c>
      <c r="J245" s="1" t="s">
        <v>47</v>
      </c>
      <c r="K245" s="1" t="s">
        <v>358</v>
      </c>
      <c r="L245" s="1" t="s">
        <v>99</v>
      </c>
      <c r="O245" s="4">
        <v>43151.0</v>
      </c>
    </row>
    <row r="246">
      <c r="A246" s="1" t="s">
        <v>623</v>
      </c>
      <c r="B246" s="1" t="s">
        <v>269</v>
      </c>
      <c r="C246" s="1" t="s">
        <v>270</v>
      </c>
      <c r="D246" s="1" t="s">
        <v>629</v>
      </c>
      <c r="E246" s="1" t="s">
        <v>70</v>
      </c>
      <c r="F246" s="8">
        <v>46316.0</v>
      </c>
      <c r="G246" s="1" t="s">
        <v>107</v>
      </c>
      <c r="H246" s="1" t="s">
        <v>599</v>
      </c>
      <c r="J246" s="1" t="s">
        <v>47</v>
      </c>
      <c r="K246" s="1" t="s">
        <v>358</v>
      </c>
      <c r="L246" s="1" t="s">
        <v>99</v>
      </c>
      <c r="O246" s="4">
        <v>43151.0</v>
      </c>
    </row>
    <row r="247">
      <c r="A247" s="1" t="s">
        <v>623</v>
      </c>
      <c r="B247" s="1" t="s">
        <v>269</v>
      </c>
      <c r="C247" s="1" t="s">
        <v>270</v>
      </c>
      <c r="D247" s="1" t="s">
        <v>630</v>
      </c>
      <c r="E247" s="1" t="s">
        <v>97</v>
      </c>
      <c r="F247" s="8">
        <v>46316.0</v>
      </c>
      <c r="G247" s="1" t="s">
        <v>71</v>
      </c>
      <c r="K247" s="1" t="s">
        <v>358</v>
      </c>
      <c r="L247" s="1" t="s">
        <v>99</v>
      </c>
      <c r="O247" s="4">
        <v>43151.0</v>
      </c>
    </row>
    <row r="248">
      <c r="A248" s="1" t="s">
        <v>623</v>
      </c>
      <c r="B248" s="1" t="s">
        <v>269</v>
      </c>
      <c r="C248" s="1" t="s">
        <v>270</v>
      </c>
      <c r="D248" s="1" t="s">
        <v>631</v>
      </c>
      <c r="E248" s="1" t="s">
        <v>97</v>
      </c>
      <c r="F248" s="8">
        <v>46316.0</v>
      </c>
      <c r="G248" s="1" t="s">
        <v>71</v>
      </c>
      <c r="K248" s="1" t="s">
        <v>358</v>
      </c>
      <c r="L248" s="1" t="s">
        <v>99</v>
      </c>
      <c r="O248" s="4">
        <v>43151.0</v>
      </c>
    </row>
    <row r="249">
      <c r="A249" s="1" t="s">
        <v>623</v>
      </c>
      <c r="B249" s="1" t="s">
        <v>269</v>
      </c>
      <c r="C249" s="1" t="s">
        <v>270</v>
      </c>
      <c r="D249" s="1" t="s">
        <v>632</v>
      </c>
      <c r="E249" s="1" t="s">
        <v>97</v>
      </c>
      <c r="F249" s="8">
        <v>46316.0</v>
      </c>
      <c r="G249" s="1" t="s">
        <v>71</v>
      </c>
      <c r="K249" s="1" t="s">
        <v>358</v>
      </c>
      <c r="L249" s="1" t="s">
        <v>99</v>
      </c>
      <c r="O249" s="4">
        <v>43151.0</v>
      </c>
    </row>
    <row r="250">
      <c r="A250" s="1" t="s">
        <v>623</v>
      </c>
      <c r="B250" s="1" t="s">
        <v>269</v>
      </c>
      <c r="C250" s="1" t="s">
        <v>270</v>
      </c>
      <c r="D250" s="1" t="s">
        <v>633</v>
      </c>
      <c r="E250" s="1" t="s">
        <v>97</v>
      </c>
      <c r="F250" s="8">
        <v>46316.0</v>
      </c>
      <c r="G250" s="1" t="s">
        <v>71</v>
      </c>
      <c r="K250" s="1" t="s">
        <v>358</v>
      </c>
      <c r="L250" s="1" t="s">
        <v>99</v>
      </c>
      <c r="O250" s="4">
        <v>43151.0</v>
      </c>
    </row>
    <row r="251">
      <c r="A251" s="1" t="s">
        <v>623</v>
      </c>
      <c r="B251" s="1" t="s">
        <v>269</v>
      </c>
      <c r="C251" s="1" t="s">
        <v>270</v>
      </c>
      <c r="D251" s="1" t="s">
        <v>634</v>
      </c>
      <c r="E251" s="1" t="s">
        <v>70</v>
      </c>
      <c r="F251" s="8">
        <v>46316.0</v>
      </c>
      <c r="G251" s="1" t="s">
        <v>132</v>
      </c>
      <c r="H251" s="1" t="s">
        <v>635</v>
      </c>
      <c r="J251" s="1" t="s">
        <v>47</v>
      </c>
      <c r="K251" s="1" t="s">
        <v>358</v>
      </c>
      <c r="L251" s="1" t="s">
        <v>99</v>
      </c>
      <c r="O251" s="4">
        <v>43151.0</v>
      </c>
    </row>
    <row r="252">
      <c r="A252" s="1" t="s">
        <v>623</v>
      </c>
      <c r="B252" s="1" t="s">
        <v>269</v>
      </c>
      <c r="C252" s="1" t="s">
        <v>270</v>
      </c>
      <c r="D252" s="1" t="s">
        <v>636</v>
      </c>
      <c r="E252" s="1" t="s">
        <v>97</v>
      </c>
      <c r="F252" s="8">
        <v>46316.0</v>
      </c>
      <c r="G252" s="1" t="s">
        <v>71</v>
      </c>
      <c r="K252" s="1" t="s">
        <v>358</v>
      </c>
      <c r="L252" s="1" t="s">
        <v>99</v>
      </c>
      <c r="O252" s="4">
        <v>43151.0</v>
      </c>
    </row>
    <row r="253">
      <c r="A253" s="1" t="s">
        <v>623</v>
      </c>
      <c r="B253" s="1" t="s">
        <v>255</v>
      </c>
      <c r="C253" s="1" t="s">
        <v>256</v>
      </c>
      <c r="D253" s="1" t="s">
        <v>637</v>
      </c>
      <c r="E253" s="1" t="s">
        <v>97</v>
      </c>
      <c r="F253" s="8">
        <v>46310.0</v>
      </c>
      <c r="G253" s="1" t="s">
        <v>107</v>
      </c>
      <c r="H253" s="1" t="s">
        <v>638</v>
      </c>
      <c r="J253" s="1" t="s">
        <v>134</v>
      </c>
      <c r="K253" s="1" t="s">
        <v>358</v>
      </c>
      <c r="L253" s="1" t="s">
        <v>99</v>
      </c>
      <c r="O253" s="4">
        <v>43151.0</v>
      </c>
    </row>
    <row r="254">
      <c r="A254" s="1" t="s">
        <v>623</v>
      </c>
      <c r="B254" s="1" t="s">
        <v>255</v>
      </c>
      <c r="C254" s="1" t="s">
        <v>256</v>
      </c>
      <c r="D254" s="1" t="s">
        <v>639</v>
      </c>
      <c r="E254" s="1" t="s">
        <v>97</v>
      </c>
      <c r="F254" s="8">
        <v>46310.0</v>
      </c>
      <c r="G254" s="1" t="s">
        <v>107</v>
      </c>
      <c r="H254" s="1" t="s">
        <v>278</v>
      </c>
      <c r="J254" s="1" t="s">
        <v>134</v>
      </c>
      <c r="K254" s="1" t="s">
        <v>358</v>
      </c>
      <c r="L254" s="1" t="s">
        <v>99</v>
      </c>
      <c r="O254" s="4">
        <v>43151.0</v>
      </c>
    </row>
    <row r="255">
      <c r="A255" s="1" t="s">
        <v>623</v>
      </c>
      <c r="B255" s="1" t="s">
        <v>255</v>
      </c>
      <c r="C255" s="1" t="s">
        <v>256</v>
      </c>
      <c r="D255" s="1" t="s">
        <v>640</v>
      </c>
      <c r="E255" s="1" t="s">
        <v>97</v>
      </c>
      <c r="F255" s="8">
        <v>46310.0</v>
      </c>
      <c r="G255" s="1" t="s">
        <v>71</v>
      </c>
      <c r="H255" s="1" t="s">
        <v>396</v>
      </c>
      <c r="K255" s="1" t="s">
        <v>358</v>
      </c>
      <c r="L255" s="1" t="s">
        <v>99</v>
      </c>
      <c r="O255" s="4">
        <v>43151.0</v>
      </c>
    </row>
    <row r="256">
      <c r="A256" s="1" t="s">
        <v>623</v>
      </c>
      <c r="B256" s="1" t="s">
        <v>255</v>
      </c>
      <c r="C256" s="1" t="s">
        <v>256</v>
      </c>
      <c r="D256" s="1" t="s">
        <v>641</v>
      </c>
      <c r="E256" s="1" t="s">
        <v>97</v>
      </c>
      <c r="F256" s="8">
        <v>46310.0</v>
      </c>
      <c r="G256" s="1" t="s">
        <v>71</v>
      </c>
      <c r="H256" s="1" t="s">
        <v>642</v>
      </c>
      <c r="K256" s="1" t="s">
        <v>358</v>
      </c>
      <c r="L256" s="1" t="s">
        <v>99</v>
      </c>
      <c r="O256" s="4">
        <v>43151.0</v>
      </c>
    </row>
    <row r="257">
      <c r="A257" s="1" t="s">
        <v>623</v>
      </c>
      <c r="B257" s="1" t="s">
        <v>255</v>
      </c>
      <c r="C257" s="1" t="s">
        <v>256</v>
      </c>
      <c r="D257" s="1" t="s">
        <v>643</v>
      </c>
      <c r="E257" s="1" t="s">
        <v>97</v>
      </c>
      <c r="F257" s="8">
        <v>46310.0</v>
      </c>
      <c r="G257" s="1" t="s">
        <v>71</v>
      </c>
      <c r="H257" s="1" t="s">
        <v>396</v>
      </c>
      <c r="K257" s="1" t="s">
        <v>358</v>
      </c>
      <c r="L257" s="1" t="s">
        <v>99</v>
      </c>
      <c r="O257" s="4">
        <v>43151.0</v>
      </c>
    </row>
    <row r="258">
      <c r="A258" s="1" t="s">
        <v>623</v>
      </c>
      <c r="B258" s="1" t="s">
        <v>255</v>
      </c>
      <c r="C258" s="1" t="s">
        <v>256</v>
      </c>
      <c r="D258" s="1" t="s">
        <v>644</v>
      </c>
      <c r="E258" s="1" t="s">
        <v>97</v>
      </c>
      <c r="F258" s="8">
        <v>46310.0</v>
      </c>
      <c r="G258" s="1" t="s">
        <v>71</v>
      </c>
      <c r="H258" s="1" t="s">
        <v>396</v>
      </c>
      <c r="K258" s="1" t="s">
        <v>358</v>
      </c>
      <c r="L258" s="1" t="s">
        <v>99</v>
      </c>
      <c r="O258" s="4">
        <v>43151.0</v>
      </c>
    </row>
    <row r="259">
      <c r="A259" s="1" t="s">
        <v>623</v>
      </c>
      <c r="B259" s="1" t="s">
        <v>255</v>
      </c>
      <c r="C259" s="1" t="s">
        <v>256</v>
      </c>
      <c r="D259" s="1" t="s">
        <v>645</v>
      </c>
      <c r="E259" s="1" t="s">
        <v>97</v>
      </c>
      <c r="F259" s="8">
        <v>46310.0</v>
      </c>
      <c r="G259" s="1" t="s">
        <v>107</v>
      </c>
      <c r="H259" s="1" t="s">
        <v>133</v>
      </c>
      <c r="J259" s="1" t="s">
        <v>562</v>
      </c>
      <c r="K259" s="1" t="s">
        <v>358</v>
      </c>
      <c r="L259" s="1" t="s">
        <v>99</v>
      </c>
      <c r="O259" s="4">
        <v>43151.0</v>
      </c>
    </row>
    <row r="260">
      <c r="A260" s="1" t="s">
        <v>623</v>
      </c>
      <c r="B260" s="1" t="s">
        <v>255</v>
      </c>
      <c r="C260" s="1" t="s">
        <v>256</v>
      </c>
      <c r="D260" s="1" t="s">
        <v>646</v>
      </c>
      <c r="E260" s="1" t="s">
        <v>97</v>
      </c>
      <c r="F260" s="8">
        <v>46310.0</v>
      </c>
      <c r="G260" s="1" t="s">
        <v>71</v>
      </c>
      <c r="H260" s="1" t="s">
        <v>642</v>
      </c>
      <c r="K260" s="1" t="s">
        <v>358</v>
      </c>
      <c r="L260" s="1" t="s">
        <v>99</v>
      </c>
      <c r="O260" s="4">
        <v>43151.0</v>
      </c>
    </row>
    <row r="261">
      <c r="A261" s="1" t="s">
        <v>647</v>
      </c>
      <c r="B261" s="1" t="s">
        <v>63</v>
      </c>
      <c r="C261" s="1" t="s">
        <v>64</v>
      </c>
      <c r="D261" s="1" t="s">
        <v>648</v>
      </c>
      <c r="E261" s="1" t="s">
        <v>32</v>
      </c>
      <c r="F261" s="4">
        <v>45995.0</v>
      </c>
      <c r="H261" s="1" t="s">
        <v>649</v>
      </c>
      <c r="K261" s="1" t="s">
        <v>372</v>
      </c>
      <c r="L261" s="1" t="s">
        <v>35</v>
      </c>
      <c r="N261" s="4">
        <v>45995.0</v>
      </c>
      <c r="O261" s="4">
        <v>45995.0</v>
      </c>
    </row>
    <row r="262">
      <c r="A262" s="1" t="s">
        <v>647</v>
      </c>
      <c r="B262" s="1" t="s">
        <v>63</v>
      </c>
      <c r="C262" s="1" t="s">
        <v>64</v>
      </c>
      <c r="D262" s="1" t="s">
        <v>650</v>
      </c>
      <c r="E262" s="1" t="s">
        <v>32</v>
      </c>
      <c r="F262" s="4">
        <v>45995.0</v>
      </c>
      <c r="H262" s="1" t="s">
        <v>649</v>
      </c>
      <c r="K262" s="1" t="s">
        <v>372</v>
      </c>
      <c r="L262" s="1" t="s">
        <v>35</v>
      </c>
      <c r="N262" s="4">
        <v>45995.0</v>
      </c>
      <c r="O262" s="4">
        <v>45995.0</v>
      </c>
    </row>
    <row r="263">
      <c r="A263" s="1" t="s">
        <v>651</v>
      </c>
      <c r="B263" s="1" t="s">
        <v>269</v>
      </c>
      <c r="C263" s="1" t="s">
        <v>270</v>
      </c>
      <c r="D263" s="1" t="s">
        <v>652</v>
      </c>
      <c r="E263" s="1" t="s">
        <v>32</v>
      </c>
      <c r="F263" s="4">
        <v>45968.0</v>
      </c>
      <c r="H263" s="1" t="s">
        <v>33</v>
      </c>
      <c r="K263" s="1" t="s">
        <v>653</v>
      </c>
      <c r="L263" s="1" t="s">
        <v>35</v>
      </c>
      <c r="N263" s="4">
        <v>45968.0</v>
      </c>
      <c r="O263" s="4">
        <v>45968.0</v>
      </c>
    </row>
    <row r="264">
      <c r="A264" s="1" t="s">
        <v>654</v>
      </c>
      <c r="B264" s="1" t="s">
        <v>655</v>
      </c>
      <c r="C264" s="1" t="s">
        <v>656</v>
      </c>
      <c r="D264" s="1" t="s">
        <v>657</v>
      </c>
      <c r="E264" s="1" t="s">
        <v>32</v>
      </c>
      <c r="F264" s="4">
        <v>46237.0</v>
      </c>
      <c r="H264" s="1" t="s">
        <v>242</v>
      </c>
      <c r="K264" s="1" t="s">
        <v>383</v>
      </c>
      <c r="L264" s="1" t="s">
        <v>35</v>
      </c>
      <c r="N264" s="4">
        <v>46237.0</v>
      </c>
      <c r="O264" s="4">
        <v>46237.0</v>
      </c>
    </row>
    <row r="265">
      <c r="A265" s="1" t="s">
        <v>654</v>
      </c>
      <c r="B265" s="1" t="s">
        <v>655</v>
      </c>
      <c r="C265" s="1" t="s">
        <v>656</v>
      </c>
      <c r="D265" s="1" t="s">
        <v>658</v>
      </c>
      <c r="E265" s="1" t="s">
        <v>32</v>
      </c>
      <c r="F265" s="4">
        <v>46237.0</v>
      </c>
      <c r="H265" s="1" t="s">
        <v>242</v>
      </c>
      <c r="K265" s="1" t="s">
        <v>383</v>
      </c>
      <c r="L265" s="1" t="s">
        <v>35</v>
      </c>
      <c r="N265" s="4">
        <v>46237.0</v>
      </c>
      <c r="O265" s="4">
        <v>46237.0</v>
      </c>
    </row>
    <row r="266">
      <c r="A266" s="1" t="s">
        <v>654</v>
      </c>
      <c r="B266" s="1" t="s">
        <v>655</v>
      </c>
      <c r="C266" s="1" t="s">
        <v>656</v>
      </c>
      <c r="D266" s="1" t="s">
        <v>659</v>
      </c>
      <c r="E266" s="1" t="s">
        <v>32</v>
      </c>
      <c r="F266" s="4">
        <v>46237.0</v>
      </c>
      <c r="H266" s="1" t="s">
        <v>242</v>
      </c>
      <c r="K266" s="1" t="s">
        <v>383</v>
      </c>
      <c r="L266" s="1" t="s">
        <v>35</v>
      </c>
      <c r="N266" s="4">
        <v>46237.0</v>
      </c>
      <c r="O266" s="4">
        <v>46237.0</v>
      </c>
    </row>
    <row r="267">
      <c r="A267" s="1" t="s">
        <v>654</v>
      </c>
      <c r="B267" s="1" t="s">
        <v>655</v>
      </c>
      <c r="C267" s="1" t="s">
        <v>656</v>
      </c>
      <c r="D267" s="1" t="s">
        <v>660</v>
      </c>
      <c r="E267" s="1" t="s">
        <v>32</v>
      </c>
      <c r="F267" s="4">
        <v>46237.0</v>
      </c>
      <c r="H267" s="1" t="s">
        <v>242</v>
      </c>
      <c r="K267" s="1" t="s">
        <v>383</v>
      </c>
      <c r="L267" s="1" t="s">
        <v>35</v>
      </c>
      <c r="N267" s="4">
        <v>46237.0</v>
      </c>
      <c r="O267" s="4">
        <v>46237.0</v>
      </c>
    </row>
    <row r="268">
      <c r="A268" s="1" t="s">
        <v>654</v>
      </c>
      <c r="B268" s="1" t="s">
        <v>655</v>
      </c>
      <c r="C268" s="1" t="s">
        <v>656</v>
      </c>
      <c r="D268" s="1" t="s">
        <v>661</v>
      </c>
      <c r="E268" s="1" t="s">
        <v>32</v>
      </c>
      <c r="F268" s="4">
        <v>46237.0</v>
      </c>
      <c r="H268" s="1" t="s">
        <v>242</v>
      </c>
      <c r="K268" s="1" t="s">
        <v>383</v>
      </c>
      <c r="L268" s="1" t="s">
        <v>35</v>
      </c>
      <c r="N268" s="4">
        <v>46237.0</v>
      </c>
      <c r="O268" s="4">
        <v>46237.0</v>
      </c>
    </row>
    <row r="269">
      <c r="A269" s="1" t="s">
        <v>654</v>
      </c>
      <c r="B269" s="1" t="s">
        <v>655</v>
      </c>
      <c r="C269" s="1" t="s">
        <v>656</v>
      </c>
      <c r="D269" s="1" t="s">
        <v>662</v>
      </c>
      <c r="E269" s="1" t="s">
        <v>32</v>
      </c>
      <c r="F269" s="4">
        <v>46237.0</v>
      </c>
      <c r="H269" s="1" t="s">
        <v>242</v>
      </c>
      <c r="K269" s="1" t="s">
        <v>383</v>
      </c>
      <c r="L269" s="1" t="s">
        <v>35</v>
      </c>
      <c r="N269" s="4">
        <v>46237.0</v>
      </c>
      <c r="O269" s="4">
        <v>46237.0</v>
      </c>
    </row>
    <row r="270">
      <c r="A270" s="1" t="s">
        <v>654</v>
      </c>
      <c r="B270" s="1" t="s">
        <v>655</v>
      </c>
      <c r="C270" s="1" t="s">
        <v>656</v>
      </c>
      <c r="D270" s="1" t="s">
        <v>663</v>
      </c>
      <c r="E270" s="1" t="s">
        <v>32</v>
      </c>
      <c r="F270" s="4">
        <v>46237.0</v>
      </c>
      <c r="H270" s="1" t="s">
        <v>242</v>
      </c>
      <c r="K270" s="1" t="s">
        <v>383</v>
      </c>
      <c r="L270" s="1" t="s">
        <v>35</v>
      </c>
      <c r="N270" s="4">
        <v>46237.0</v>
      </c>
      <c r="O270" s="4">
        <v>46237.0</v>
      </c>
    </row>
    <row r="271">
      <c r="A271" s="1" t="s">
        <v>654</v>
      </c>
      <c r="B271" s="1" t="s">
        <v>655</v>
      </c>
      <c r="C271" s="1" t="s">
        <v>656</v>
      </c>
      <c r="D271" s="1" t="s">
        <v>664</v>
      </c>
      <c r="E271" s="1" t="s">
        <v>32</v>
      </c>
      <c r="F271" s="4">
        <v>46237.0</v>
      </c>
      <c r="H271" s="1" t="s">
        <v>242</v>
      </c>
      <c r="K271" s="1" t="s">
        <v>383</v>
      </c>
      <c r="L271" s="1" t="s">
        <v>35</v>
      </c>
      <c r="N271" s="4">
        <v>46237.0</v>
      </c>
      <c r="O271" s="4">
        <v>46237.0</v>
      </c>
    </row>
    <row r="272">
      <c r="A272" s="1" t="s">
        <v>654</v>
      </c>
      <c r="B272" s="1" t="s">
        <v>655</v>
      </c>
      <c r="C272" s="1" t="s">
        <v>656</v>
      </c>
      <c r="D272" s="1" t="s">
        <v>665</v>
      </c>
      <c r="E272" s="1" t="s">
        <v>32</v>
      </c>
      <c r="F272" s="4">
        <v>46237.0</v>
      </c>
      <c r="H272" s="1" t="s">
        <v>242</v>
      </c>
      <c r="K272" s="1" t="s">
        <v>383</v>
      </c>
      <c r="L272" s="1" t="s">
        <v>35</v>
      </c>
      <c r="N272" s="4">
        <v>46237.0</v>
      </c>
      <c r="O272" s="4">
        <v>46237.0</v>
      </c>
    </row>
    <row r="273">
      <c r="A273" s="1" t="s">
        <v>654</v>
      </c>
      <c r="B273" s="1" t="s">
        <v>655</v>
      </c>
      <c r="C273" s="1" t="s">
        <v>656</v>
      </c>
      <c r="D273" s="1" t="s">
        <v>666</v>
      </c>
      <c r="E273" s="1" t="s">
        <v>32</v>
      </c>
      <c r="F273" s="4">
        <v>46237.0</v>
      </c>
      <c r="H273" s="1" t="s">
        <v>242</v>
      </c>
      <c r="K273" s="1" t="s">
        <v>383</v>
      </c>
      <c r="L273" s="1" t="s">
        <v>35</v>
      </c>
      <c r="N273" s="4">
        <v>46237.0</v>
      </c>
      <c r="O273" s="4">
        <v>46237.0</v>
      </c>
    </row>
    <row r="274">
      <c r="A274" s="1" t="s">
        <v>654</v>
      </c>
      <c r="B274" s="1" t="s">
        <v>655</v>
      </c>
      <c r="C274" s="1" t="s">
        <v>656</v>
      </c>
      <c r="D274" s="1" t="s">
        <v>667</v>
      </c>
      <c r="E274" s="1" t="s">
        <v>32</v>
      </c>
      <c r="F274" s="4">
        <v>46237.0</v>
      </c>
      <c r="H274" s="1" t="s">
        <v>242</v>
      </c>
      <c r="K274" s="1" t="s">
        <v>383</v>
      </c>
      <c r="L274" s="1" t="s">
        <v>35</v>
      </c>
      <c r="N274" s="4">
        <v>46237.0</v>
      </c>
      <c r="O274" s="4">
        <v>46237.0</v>
      </c>
    </row>
    <row r="275">
      <c r="A275" s="1" t="s">
        <v>654</v>
      </c>
      <c r="B275" s="1" t="s">
        <v>655</v>
      </c>
      <c r="C275" s="1" t="s">
        <v>656</v>
      </c>
      <c r="D275" s="1" t="s">
        <v>668</v>
      </c>
      <c r="E275" s="1" t="s">
        <v>32</v>
      </c>
      <c r="F275" s="4">
        <v>46237.0</v>
      </c>
      <c r="H275" s="1" t="s">
        <v>242</v>
      </c>
      <c r="K275" s="1" t="s">
        <v>383</v>
      </c>
      <c r="L275" s="1" t="s">
        <v>35</v>
      </c>
      <c r="N275" s="4">
        <v>46237.0</v>
      </c>
      <c r="O275" s="4">
        <v>46237.0</v>
      </c>
    </row>
    <row r="276">
      <c r="A276" s="1" t="s">
        <v>654</v>
      </c>
      <c r="B276" s="1" t="s">
        <v>655</v>
      </c>
      <c r="C276" s="1" t="s">
        <v>656</v>
      </c>
      <c r="D276" s="1" t="s">
        <v>669</v>
      </c>
      <c r="E276" s="1" t="s">
        <v>32</v>
      </c>
      <c r="F276" s="4">
        <v>46237.0</v>
      </c>
      <c r="H276" s="1" t="s">
        <v>242</v>
      </c>
      <c r="K276" s="1" t="s">
        <v>383</v>
      </c>
      <c r="L276" s="1" t="s">
        <v>35</v>
      </c>
      <c r="N276" s="4">
        <v>46237.0</v>
      </c>
      <c r="O276" s="4">
        <v>46237.0</v>
      </c>
    </row>
    <row r="277">
      <c r="A277" s="1" t="s">
        <v>654</v>
      </c>
      <c r="B277" s="1" t="s">
        <v>655</v>
      </c>
      <c r="C277" s="1" t="s">
        <v>656</v>
      </c>
      <c r="D277" s="1" t="s">
        <v>670</v>
      </c>
      <c r="E277" s="1" t="s">
        <v>32</v>
      </c>
      <c r="F277" s="4">
        <v>46237.0</v>
      </c>
      <c r="H277" s="1" t="s">
        <v>242</v>
      </c>
      <c r="K277" s="1" t="s">
        <v>383</v>
      </c>
      <c r="L277" s="1" t="s">
        <v>35</v>
      </c>
      <c r="N277" s="4">
        <v>46237.0</v>
      </c>
      <c r="O277" s="4">
        <v>46237.0</v>
      </c>
    </row>
    <row r="278">
      <c r="A278" s="1" t="s">
        <v>654</v>
      </c>
      <c r="B278" s="1" t="s">
        <v>655</v>
      </c>
      <c r="C278" s="1" t="s">
        <v>656</v>
      </c>
      <c r="D278" s="1" t="s">
        <v>671</v>
      </c>
      <c r="E278" s="1" t="s">
        <v>32</v>
      </c>
      <c r="F278" s="4">
        <v>46237.0</v>
      </c>
      <c r="H278" s="1" t="s">
        <v>242</v>
      </c>
      <c r="K278" s="1" t="s">
        <v>383</v>
      </c>
      <c r="L278" s="1" t="s">
        <v>35</v>
      </c>
      <c r="N278" s="4">
        <v>46237.0</v>
      </c>
      <c r="O278" s="4">
        <v>46237.0</v>
      </c>
    </row>
    <row r="279">
      <c r="A279" s="1" t="s">
        <v>654</v>
      </c>
      <c r="B279" s="1" t="s">
        <v>655</v>
      </c>
      <c r="C279" s="1" t="s">
        <v>656</v>
      </c>
      <c r="D279" s="1" t="s">
        <v>672</v>
      </c>
      <c r="E279" s="1" t="s">
        <v>32</v>
      </c>
      <c r="F279" s="4">
        <v>46237.0</v>
      </c>
      <c r="H279" s="1" t="s">
        <v>242</v>
      </c>
      <c r="K279" s="1" t="s">
        <v>383</v>
      </c>
      <c r="L279" s="1" t="s">
        <v>35</v>
      </c>
      <c r="N279" s="4">
        <v>46237.0</v>
      </c>
      <c r="O279" s="4">
        <v>46237.0</v>
      </c>
    </row>
    <row r="280">
      <c r="A280" s="1" t="s">
        <v>654</v>
      </c>
      <c r="B280" s="1" t="s">
        <v>655</v>
      </c>
      <c r="C280" s="1" t="s">
        <v>673</v>
      </c>
      <c r="D280" s="1" t="s">
        <v>674</v>
      </c>
      <c r="E280" s="1" t="s">
        <v>32</v>
      </c>
      <c r="F280" s="4">
        <v>46237.0</v>
      </c>
      <c r="H280" s="1" t="s">
        <v>242</v>
      </c>
      <c r="K280" s="1" t="s">
        <v>383</v>
      </c>
      <c r="L280" s="1" t="s">
        <v>35</v>
      </c>
      <c r="N280" s="4">
        <v>46237.0</v>
      </c>
      <c r="O280" s="4">
        <v>46237.0</v>
      </c>
    </row>
    <row r="281">
      <c r="A281" s="1" t="s">
        <v>654</v>
      </c>
      <c r="B281" s="1" t="s">
        <v>655</v>
      </c>
      <c r="C281" s="1" t="s">
        <v>673</v>
      </c>
      <c r="D281" s="1" t="s">
        <v>675</v>
      </c>
      <c r="E281" s="1" t="s">
        <v>32</v>
      </c>
      <c r="F281" s="4">
        <v>46237.0</v>
      </c>
      <c r="H281" s="1" t="s">
        <v>242</v>
      </c>
      <c r="K281" s="1" t="s">
        <v>383</v>
      </c>
      <c r="L281" s="1" t="s">
        <v>35</v>
      </c>
      <c r="N281" s="4">
        <v>46237.0</v>
      </c>
      <c r="O281" s="4">
        <v>46237.0</v>
      </c>
    </row>
    <row r="282">
      <c r="A282" s="1" t="s">
        <v>676</v>
      </c>
      <c r="B282" s="1" t="s">
        <v>677</v>
      </c>
      <c r="C282" s="1" t="s">
        <v>678</v>
      </c>
      <c r="D282" s="1" t="s">
        <v>679</v>
      </c>
      <c r="E282" s="1" t="s">
        <v>32</v>
      </c>
      <c r="F282" s="8">
        <v>46010.0</v>
      </c>
      <c r="H282" s="1" t="s">
        <v>33</v>
      </c>
      <c r="K282" s="1" t="s">
        <v>367</v>
      </c>
      <c r="L282" s="1" t="s">
        <v>35</v>
      </c>
      <c r="N282" s="8">
        <v>46010.0</v>
      </c>
      <c r="O282" s="8">
        <v>46010.0</v>
      </c>
    </row>
    <row r="283">
      <c r="A283" s="1" t="s">
        <v>676</v>
      </c>
      <c r="B283" s="1" t="s">
        <v>677</v>
      </c>
      <c r="C283" s="1" t="s">
        <v>678</v>
      </c>
      <c r="D283" s="1" t="s">
        <v>680</v>
      </c>
      <c r="E283" s="1" t="s">
        <v>32</v>
      </c>
      <c r="F283" s="8">
        <v>46010.0</v>
      </c>
      <c r="H283" s="1" t="s">
        <v>33</v>
      </c>
      <c r="K283" s="1" t="s">
        <v>367</v>
      </c>
      <c r="L283" s="1" t="s">
        <v>35</v>
      </c>
      <c r="N283" s="8">
        <v>46010.0</v>
      </c>
      <c r="O283" s="8">
        <v>46010.0</v>
      </c>
    </row>
    <row r="284">
      <c r="A284" s="1" t="s">
        <v>676</v>
      </c>
      <c r="B284" s="1" t="s">
        <v>677</v>
      </c>
      <c r="C284" s="1" t="s">
        <v>678</v>
      </c>
      <c r="D284" s="1" t="s">
        <v>681</v>
      </c>
      <c r="E284" s="1" t="s">
        <v>32</v>
      </c>
      <c r="F284" s="8">
        <v>46010.0</v>
      </c>
      <c r="H284" s="1" t="s">
        <v>33</v>
      </c>
      <c r="K284" s="1" t="s">
        <v>367</v>
      </c>
      <c r="L284" s="1" t="s">
        <v>35</v>
      </c>
      <c r="N284" s="8">
        <v>46010.0</v>
      </c>
      <c r="O284" s="8">
        <v>46010.0</v>
      </c>
    </row>
    <row r="285">
      <c r="A285" s="1" t="s">
        <v>682</v>
      </c>
      <c r="B285" s="1" t="s">
        <v>683</v>
      </c>
      <c r="C285" s="1" t="s">
        <v>684</v>
      </c>
      <c r="D285" s="1" t="s">
        <v>685</v>
      </c>
      <c r="E285" s="1" t="s">
        <v>97</v>
      </c>
      <c r="F285" s="4">
        <v>46266.0</v>
      </c>
      <c r="G285" s="1" t="s">
        <v>71</v>
      </c>
      <c r="K285" s="1" t="s">
        <v>254</v>
      </c>
      <c r="L285" s="1" t="s">
        <v>99</v>
      </c>
      <c r="O285" s="4">
        <v>45044.0</v>
      </c>
    </row>
    <row r="286">
      <c r="A286" s="1" t="s">
        <v>682</v>
      </c>
      <c r="B286" s="1" t="s">
        <v>683</v>
      </c>
      <c r="C286" s="1" t="s">
        <v>684</v>
      </c>
      <c r="D286" s="1" t="s">
        <v>686</v>
      </c>
      <c r="E286" s="1" t="s">
        <v>97</v>
      </c>
      <c r="F286" s="4">
        <v>46266.0</v>
      </c>
      <c r="G286" s="1" t="s">
        <v>71</v>
      </c>
      <c r="K286" s="1" t="s">
        <v>254</v>
      </c>
      <c r="L286" s="1" t="s">
        <v>99</v>
      </c>
      <c r="O286" s="4">
        <v>45044.0</v>
      </c>
    </row>
    <row r="287">
      <c r="A287" s="1" t="s">
        <v>682</v>
      </c>
      <c r="B287" s="1" t="s">
        <v>251</v>
      </c>
      <c r="C287" s="1" t="s">
        <v>252</v>
      </c>
      <c r="D287" s="1" t="s">
        <v>687</v>
      </c>
      <c r="E287" s="1" t="s">
        <v>32</v>
      </c>
      <c r="F287" s="4">
        <v>46073.0</v>
      </c>
      <c r="H287" s="1" t="s">
        <v>33</v>
      </c>
      <c r="K287" s="1" t="s">
        <v>254</v>
      </c>
      <c r="L287" s="1" t="s">
        <v>35</v>
      </c>
      <c r="N287" s="4">
        <v>46073.0</v>
      </c>
      <c r="O287" s="4">
        <v>46073.0</v>
      </c>
    </row>
    <row r="288">
      <c r="A288" s="1" t="s">
        <v>682</v>
      </c>
      <c r="B288" s="1" t="s">
        <v>251</v>
      </c>
      <c r="C288" s="1" t="s">
        <v>252</v>
      </c>
      <c r="D288" s="1" t="s">
        <v>688</v>
      </c>
      <c r="E288" s="1" t="s">
        <v>32</v>
      </c>
      <c r="F288" s="4">
        <v>46073.0</v>
      </c>
      <c r="H288" s="1" t="s">
        <v>33</v>
      </c>
      <c r="K288" s="1" t="s">
        <v>254</v>
      </c>
      <c r="L288" s="1" t="s">
        <v>35</v>
      </c>
      <c r="N288" s="4">
        <v>46073.0</v>
      </c>
      <c r="O288" s="4">
        <v>46073.0</v>
      </c>
    </row>
    <row r="289">
      <c r="A289" s="1" t="s">
        <v>682</v>
      </c>
      <c r="B289" s="1" t="s">
        <v>291</v>
      </c>
      <c r="C289" s="1" t="s">
        <v>292</v>
      </c>
      <c r="D289" s="1" t="s">
        <v>689</v>
      </c>
      <c r="E289" s="1" t="s">
        <v>97</v>
      </c>
      <c r="F289" s="8">
        <v>46312.0</v>
      </c>
      <c r="G289" s="1" t="s">
        <v>107</v>
      </c>
      <c r="H289" s="1" t="s">
        <v>690</v>
      </c>
      <c r="J289" s="1" t="s">
        <v>134</v>
      </c>
      <c r="K289" s="1" t="s">
        <v>254</v>
      </c>
      <c r="L289" s="1" t="s">
        <v>99</v>
      </c>
      <c r="O289" s="4">
        <v>45044.0</v>
      </c>
    </row>
    <row r="290">
      <c r="A290" s="1" t="s">
        <v>682</v>
      </c>
      <c r="B290" s="1" t="s">
        <v>291</v>
      </c>
      <c r="C290" s="1" t="s">
        <v>292</v>
      </c>
      <c r="D290" s="1" t="s">
        <v>691</v>
      </c>
      <c r="E290" s="1" t="s">
        <v>97</v>
      </c>
      <c r="F290" s="8">
        <v>46312.0</v>
      </c>
      <c r="G290" s="1" t="s">
        <v>107</v>
      </c>
      <c r="H290" s="1" t="s">
        <v>690</v>
      </c>
      <c r="J290" s="1" t="s">
        <v>134</v>
      </c>
      <c r="K290" s="1" t="s">
        <v>254</v>
      </c>
      <c r="L290" s="1" t="s">
        <v>99</v>
      </c>
      <c r="O290" s="4">
        <v>45044.0</v>
      </c>
    </row>
    <row r="291">
      <c r="A291" s="1" t="s">
        <v>682</v>
      </c>
      <c r="B291" s="1" t="s">
        <v>692</v>
      </c>
      <c r="C291" s="1" t="s">
        <v>693</v>
      </c>
      <c r="D291" s="1" t="s">
        <v>694</v>
      </c>
      <c r="E291" s="1" t="s">
        <v>97</v>
      </c>
      <c r="F291" s="8">
        <v>46316.0</v>
      </c>
      <c r="G291" s="1" t="s">
        <v>107</v>
      </c>
      <c r="H291" s="1" t="s">
        <v>695</v>
      </c>
      <c r="J291" s="1" t="s">
        <v>33</v>
      </c>
      <c r="K291" s="1" t="s">
        <v>254</v>
      </c>
      <c r="L291" s="1" t="s">
        <v>99</v>
      </c>
      <c r="O291" s="4">
        <v>45044.0</v>
      </c>
    </row>
    <row r="292">
      <c r="A292" s="1" t="s">
        <v>682</v>
      </c>
      <c r="B292" s="1" t="s">
        <v>692</v>
      </c>
      <c r="C292" s="1" t="s">
        <v>696</v>
      </c>
      <c r="D292" s="1" t="s">
        <v>697</v>
      </c>
      <c r="E292" s="1" t="s">
        <v>97</v>
      </c>
      <c r="F292" s="8">
        <v>46316.0</v>
      </c>
      <c r="G292" s="1" t="s">
        <v>71</v>
      </c>
      <c r="H292" s="1" t="s">
        <v>698</v>
      </c>
      <c r="K292" s="1" t="s">
        <v>254</v>
      </c>
      <c r="L292" s="1" t="s">
        <v>99</v>
      </c>
      <c r="O292" s="4">
        <v>45044.0</v>
      </c>
    </row>
    <row r="293">
      <c r="A293" s="1" t="s">
        <v>682</v>
      </c>
      <c r="B293" s="1" t="s">
        <v>692</v>
      </c>
      <c r="C293" s="1" t="s">
        <v>696</v>
      </c>
      <c r="D293" s="1" t="s">
        <v>699</v>
      </c>
      <c r="E293" s="1" t="s">
        <v>97</v>
      </c>
      <c r="F293" s="8">
        <v>46316.0</v>
      </c>
      <c r="G293" s="1" t="s">
        <v>132</v>
      </c>
      <c r="H293" s="1" t="s">
        <v>490</v>
      </c>
      <c r="J293" s="1" t="s">
        <v>134</v>
      </c>
      <c r="K293" s="1" t="s">
        <v>254</v>
      </c>
      <c r="L293" s="1" t="s">
        <v>99</v>
      </c>
      <c r="O293" s="4">
        <v>45044.0</v>
      </c>
    </row>
    <row r="294">
      <c r="A294" s="1" t="s">
        <v>682</v>
      </c>
      <c r="B294" s="1" t="s">
        <v>692</v>
      </c>
      <c r="C294" s="1" t="s">
        <v>696</v>
      </c>
      <c r="D294" s="1" t="s">
        <v>700</v>
      </c>
      <c r="E294" s="1" t="s">
        <v>97</v>
      </c>
      <c r="F294" s="8">
        <v>46316.0</v>
      </c>
      <c r="G294" s="1" t="s">
        <v>132</v>
      </c>
      <c r="H294" s="1" t="s">
        <v>490</v>
      </c>
      <c r="J294" s="1" t="s">
        <v>134</v>
      </c>
      <c r="K294" s="1" t="s">
        <v>254</v>
      </c>
      <c r="L294" s="1" t="s">
        <v>99</v>
      </c>
      <c r="O294" s="4">
        <v>45044.0</v>
      </c>
    </row>
    <row r="295">
      <c r="A295" s="1" t="s">
        <v>682</v>
      </c>
      <c r="B295" s="1" t="s">
        <v>336</v>
      </c>
      <c r="C295" s="1" t="s">
        <v>338</v>
      </c>
      <c r="D295" s="1" t="s">
        <v>701</v>
      </c>
      <c r="E295" s="1" t="s">
        <v>70</v>
      </c>
      <c r="F295" s="8">
        <v>46314.0</v>
      </c>
      <c r="G295" s="1" t="s">
        <v>107</v>
      </c>
      <c r="H295" s="1" t="s">
        <v>419</v>
      </c>
      <c r="J295" s="1" t="s">
        <v>134</v>
      </c>
      <c r="K295" s="1" t="s">
        <v>254</v>
      </c>
      <c r="L295" s="1" t="s">
        <v>99</v>
      </c>
      <c r="O295" s="4">
        <v>45044.0</v>
      </c>
    </row>
    <row r="296">
      <c r="A296" s="1" t="s">
        <v>682</v>
      </c>
      <c r="B296" s="1" t="s">
        <v>336</v>
      </c>
      <c r="C296" s="1" t="s">
        <v>338</v>
      </c>
      <c r="D296" s="1" t="s">
        <v>702</v>
      </c>
      <c r="E296" s="1" t="s">
        <v>97</v>
      </c>
      <c r="F296" s="8">
        <v>46314.0</v>
      </c>
      <c r="G296" s="1" t="s">
        <v>71</v>
      </c>
      <c r="H296" s="1" t="s">
        <v>396</v>
      </c>
      <c r="K296" s="1" t="s">
        <v>254</v>
      </c>
      <c r="L296" s="1" t="s">
        <v>99</v>
      </c>
      <c r="O296" s="4">
        <v>45044.0</v>
      </c>
    </row>
    <row r="297">
      <c r="A297" s="1" t="s">
        <v>682</v>
      </c>
      <c r="B297" s="1" t="s">
        <v>291</v>
      </c>
      <c r="C297" s="1" t="s">
        <v>292</v>
      </c>
      <c r="D297" s="1" t="s">
        <v>703</v>
      </c>
      <c r="E297" s="1" t="s">
        <v>97</v>
      </c>
      <c r="F297" s="8">
        <v>46312.0</v>
      </c>
      <c r="G297" s="1" t="s">
        <v>107</v>
      </c>
      <c r="H297" s="1" t="s">
        <v>690</v>
      </c>
      <c r="J297" s="1" t="s">
        <v>134</v>
      </c>
      <c r="K297" s="1" t="s">
        <v>254</v>
      </c>
      <c r="L297" s="1" t="s">
        <v>99</v>
      </c>
      <c r="O297" s="4">
        <v>45044.0</v>
      </c>
    </row>
    <row r="298">
      <c r="A298" s="1" t="s">
        <v>682</v>
      </c>
      <c r="B298" s="1" t="s">
        <v>291</v>
      </c>
      <c r="C298" s="1" t="s">
        <v>292</v>
      </c>
      <c r="D298" s="1" t="s">
        <v>704</v>
      </c>
      <c r="E298" s="1" t="s">
        <v>97</v>
      </c>
      <c r="F298" s="8">
        <v>46312.0</v>
      </c>
      <c r="G298" s="1" t="s">
        <v>107</v>
      </c>
      <c r="H298" s="1" t="s">
        <v>690</v>
      </c>
      <c r="J298" s="1" t="s">
        <v>134</v>
      </c>
      <c r="K298" s="1" t="s">
        <v>254</v>
      </c>
      <c r="L298" s="1" t="s">
        <v>99</v>
      </c>
      <c r="O298" s="4">
        <v>45044.0</v>
      </c>
    </row>
    <row r="299">
      <c r="A299" s="1" t="s">
        <v>682</v>
      </c>
      <c r="B299" s="1" t="s">
        <v>255</v>
      </c>
      <c r="C299" s="1" t="s">
        <v>256</v>
      </c>
      <c r="D299" s="1" t="s">
        <v>705</v>
      </c>
      <c r="E299" s="1" t="s">
        <v>70</v>
      </c>
      <c r="F299" s="8">
        <v>46310.0</v>
      </c>
      <c r="G299" s="1" t="s">
        <v>107</v>
      </c>
      <c r="H299" s="1" t="s">
        <v>706</v>
      </c>
      <c r="J299" s="1" t="s">
        <v>562</v>
      </c>
      <c r="K299" s="1" t="s">
        <v>254</v>
      </c>
      <c r="L299" s="1" t="s">
        <v>99</v>
      </c>
      <c r="O299" s="4">
        <v>45044.0</v>
      </c>
    </row>
    <row r="300">
      <c r="A300" s="1" t="s">
        <v>682</v>
      </c>
      <c r="B300" s="1" t="s">
        <v>63</v>
      </c>
      <c r="C300" s="1" t="s">
        <v>64</v>
      </c>
      <c r="D300" s="1" t="s">
        <v>707</v>
      </c>
      <c r="E300" s="1" t="s">
        <v>97</v>
      </c>
      <c r="F300" s="8">
        <v>46310.0</v>
      </c>
      <c r="G300" s="1" t="s">
        <v>132</v>
      </c>
      <c r="H300" s="1" t="s">
        <v>509</v>
      </c>
      <c r="J300" s="1" t="s">
        <v>47</v>
      </c>
      <c r="K300" s="1" t="s">
        <v>254</v>
      </c>
      <c r="L300" s="1" t="s">
        <v>99</v>
      </c>
      <c r="O300" s="4">
        <v>45044.0</v>
      </c>
    </row>
    <row r="301">
      <c r="A301" s="1" t="s">
        <v>682</v>
      </c>
      <c r="B301" s="1" t="s">
        <v>269</v>
      </c>
      <c r="C301" s="1" t="s">
        <v>270</v>
      </c>
      <c r="D301" s="1" t="s">
        <v>708</v>
      </c>
      <c r="E301" s="1" t="s">
        <v>70</v>
      </c>
      <c r="F301" s="4">
        <v>46303.0</v>
      </c>
      <c r="G301" s="1" t="s">
        <v>132</v>
      </c>
      <c r="H301" s="1" t="s">
        <v>709</v>
      </c>
      <c r="J301" s="1" t="s">
        <v>134</v>
      </c>
      <c r="K301" s="1" t="s">
        <v>254</v>
      </c>
      <c r="L301" s="1" t="s">
        <v>99</v>
      </c>
      <c r="O301" s="4">
        <v>45044.0</v>
      </c>
    </row>
    <row r="302">
      <c r="A302" s="1" t="s">
        <v>682</v>
      </c>
      <c r="B302" s="1" t="s">
        <v>269</v>
      </c>
      <c r="C302" s="1" t="s">
        <v>270</v>
      </c>
      <c r="D302" s="1" t="s">
        <v>710</v>
      </c>
      <c r="E302" s="1" t="s">
        <v>70</v>
      </c>
      <c r="F302" s="4">
        <v>46303.0</v>
      </c>
      <c r="G302" s="1" t="s">
        <v>107</v>
      </c>
      <c r="H302" s="1" t="s">
        <v>531</v>
      </c>
      <c r="J302" s="1" t="s">
        <v>47</v>
      </c>
      <c r="K302" s="1" t="s">
        <v>254</v>
      </c>
      <c r="L302" s="1" t="s">
        <v>99</v>
      </c>
      <c r="O302" s="4">
        <v>45044.0</v>
      </c>
    </row>
    <row r="303">
      <c r="A303" s="1" t="s">
        <v>682</v>
      </c>
      <c r="B303" s="1" t="s">
        <v>269</v>
      </c>
      <c r="C303" s="1" t="s">
        <v>270</v>
      </c>
      <c r="D303" s="1" t="s">
        <v>711</v>
      </c>
      <c r="E303" s="1" t="s">
        <v>70</v>
      </c>
      <c r="F303" s="4">
        <v>46303.0</v>
      </c>
      <c r="G303" s="1" t="s">
        <v>132</v>
      </c>
      <c r="H303" s="1" t="s">
        <v>533</v>
      </c>
      <c r="J303" s="1" t="s">
        <v>47</v>
      </c>
      <c r="K303" s="1" t="s">
        <v>254</v>
      </c>
      <c r="L303" s="1" t="s">
        <v>99</v>
      </c>
      <c r="O303" s="4">
        <v>45044.0</v>
      </c>
    </row>
    <row r="304">
      <c r="A304" s="1" t="s">
        <v>682</v>
      </c>
      <c r="B304" s="1" t="s">
        <v>269</v>
      </c>
      <c r="C304" s="1" t="s">
        <v>270</v>
      </c>
      <c r="D304" s="1" t="s">
        <v>712</v>
      </c>
      <c r="E304" s="1" t="s">
        <v>70</v>
      </c>
      <c r="F304" s="4">
        <v>46303.0</v>
      </c>
      <c r="G304" s="1" t="s">
        <v>107</v>
      </c>
      <c r="H304" s="1" t="s">
        <v>412</v>
      </c>
      <c r="J304" s="1" t="s">
        <v>47</v>
      </c>
      <c r="K304" s="1" t="s">
        <v>254</v>
      </c>
      <c r="L304" s="1" t="s">
        <v>99</v>
      </c>
      <c r="O304" s="4">
        <v>45044.0</v>
      </c>
    </row>
    <row r="305">
      <c r="A305" s="1" t="s">
        <v>682</v>
      </c>
      <c r="B305" s="1" t="s">
        <v>269</v>
      </c>
      <c r="C305" s="1" t="s">
        <v>270</v>
      </c>
      <c r="D305" s="1" t="s">
        <v>713</v>
      </c>
      <c r="E305" s="1" t="s">
        <v>70</v>
      </c>
      <c r="F305" s="4">
        <v>46303.0</v>
      </c>
      <c r="G305" s="1" t="s">
        <v>132</v>
      </c>
      <c r="H305" s="1" t="s">
        <v>714</v>
      </c>
      <c r="J305" s="1" t="s">
        <v>134</v>
      </c>
      <c r="K305" s="1" t="s">
        <v>254</v>
      </c>
      <c r="L305" s="1" t="s">
        <v>99</v>
      </c>
      <c r="O305" s="4">
        <v>45044.0</v>
      </c>
    </row>
    <row r="306">
      <c r="A306" s="1" t="s">
        <v>682</v>
      </c>
      <c r="B306" s="1" t="s">
        <v>269</v>
      </c>
      <c r="C306" s="1" t="s">
        <v>270</v>
      </c>
      <c r="D306" s="1" t="s">
        <v>715</v>
      </c>
      <c r="E306" s="1" t="s">
        <v>70</v>
      </c>
      <c r="F306" s="4">
        <v>46303.0</v>
      </c>
      <c r="G306" s="1" t="s">
        <v>107</v>
      </c>
      <c r="H306" s="1" t="s">
        <v>599</v>
      </c>
      <c r="J306" s="1" t="s">
        <v>47</v>
      </c>
      <c r="K306" s="1" t="s">
        <v>254</v>
      </c>
      <c r="L306" s="1" t="s">
        <v>99</v>
      </c>
      <c r="O306" s="4">
        <v>45044.0</v>
      </c>
    </row>
    <row r="307">
      <c r="A307" s="1" t="s">
        <v>682</v>
      </c>
      <c r="B307" s="1" t="s">
        <v>269</v>
      </c>
      <c r="C307" s="1" t="s">
        <v>270</v>
      </c>
      <c r="D307" s="1" t="s">
        <v>716</v>
      </c>
      <c r="E307" s="1" t="s">
        <v>70</v>
      </c>
      <c r="F307" s="4">
        <v>46303.0</v>
      </c>
      <c r="G307" s="1" t="s">
        <v>132</v>
      </c>
      <c r="H307" s="1" t="s">
        <v>428</v>
      </c>
      <c r="J307" s="1" t="s">
        <v>47</v>
      </c>
      <c r="K307" s="1" t="s">
        <v>254</v>
      </c>
      <c r="L307" s="1" t="s">
        <v>99</v>
      </c>
      <c r="O307" s="4">
        <v>45044.0</v>
      </c>
    </row>
    <row r="308">
      <c r="A308" s="1" t="s">
        <v>682</v>
      </c>
      <c r="B308" s="1" t="s">
        <v>269</v>
      </c>
      <c r="C308" s="1" t="s">
        <v>270</v>
      </c>
      <c r="D308" s="1" t="s">
        <v>717</v>
      </c>
      <c r="E308" s="1" t="s">
        <v>70</v>
      </c>
      <c r="F308" s="4">
        <v>46303.0</v>
      </c>
      <c r="G308" s="1" t="s">
        <v>107</v>
      </c>
      <c r="H308" s="1" t="s">
        <v>488</v>
      </c>
      <c r="J308" s="1" t="s">
        <v>47</v>
      </c>
      <c r="K308" s="1" t="s">
        <v>254</v>
      </c>
      <c r="L308" s="1" t="s">
        <v>99</v>
      </c>
      <c r="O308" s="4">
        <v>45044.0</v>
      </c>
    </row>
    <row r="309">
      <c r="A309" s="1" t="s">
        <v>682</v>
      </c>
      <c r="B309" s="1" t="s">
        <v>63</v>
      </c>
      <c r="C309" s="1" t="s">
        <v>64</v>
      </c>
      <c r="D309" s="1" t="s">
        <v>718</v>
      </c>
      <c r="E309" s="1" t="s">
        <v>97</v>
      </c>
      <c r="F309" s="8">
        <v>46310.0</v>
      </c>
      <c r="G309" s="1" t="s">
        <v>107</v>
      </c>
      <c r="H309" s="1" t="s">
        <v>453</v>
      </c>
      <c r="J309" s="1" t="s">
        <v>47</v>
      </c>
      <c r="K309" s="1" t="s">
        <v>254</v>
      </c>
      <c r="L309" s="1" t="s">
        <v>99</v>
      </c>
      <c r="O309" s="4">
        <v>45044.0</v>
      </c>
    </row>
    <row r="310">
      <c r="A310" s="1" t="s">
        <v>682</v>
      </c>
      <c r="B310" s="1" t="s">
        <v>63</v>
      </c>
      <c r="C310" s="1" t="s">
        <v>64</v>
      </c>
      <c r="D310" s="1" t="s">
        <v>719</v>
      </c>
      <c r="E310" s="1" t="s">
        <v>70</v>
      </c>
      <c r="F310" s="8">
        <v>46310.0</v>
      </c>
      <c r="G310" s="1" t="s">
        <v>71</v>
      </c>
      <c r="K310" s="1" t="s">
        <v>254</v>
      </c>
      <c r="L310" s="1" t="s">
        <v>99</v>
      </c>
      <c r="O310" s="4">
        <v>45044.0</v>
      </c>
    </row>
    <row r="311">
      <c r="A311" s="1" t="s">
        <v>682</v>
      </c>
      <c r="B311" s="1" t="s">
        <v>63</v>
      </c>
      <c r="C311" s="1" t="s">
        <v>64</v>
      </c>
      <c r="D311" s="1" t="s">
        <v>720</v>
      </c>
      <c r="E311" s="1" t="s">
        <v>70</v>
      </c>
      <c r="F311" s="8">
        <v>46310.0</v>
      </c>
      <c r="G311" s="1" t="s">
        <v>132</v>
      </c>
      <c r="H311" s="1" t="s">
        <v>721</v>
      </c>
      <c r="J311" s="1" t="s">
        <v>47</v>
      </c>
      <c r="K311" s="1" t="s">
        <v>254</v>
      </c>
      <c r="L311" s="1" t="s">
        <v>99</v>
      </c>
      <c r="O311" s="4">
        <v>45044.0</v>
      </c>
    </row>
    <row r="312">
      <c r="A312" s="1" t="s">
        <v>682</v>
      </c>
      <c r="B312" s="1" t="s">
        <v>722</v>
      </c>
      <c r="C312" s="1" t="s">
        <v>723</v>
      </c>
      <c r="D312" s="1" t="s">
        <v>724</v>
      </c>
      <c r="E312" s="1" t="s">
        <v>32</v>
      </c>
      <c r="F312" s="4">
        <v>46174.0</v>
      </c>
      <c r="H312" s="1" t="s">
        <v>725</v>
      </c>
      <c r="K312" s="1" t="s">
        <v>254</v>
      </c>
      <c r="L312" s="1" t="s">
        <v>35</v>
      </c>
      <c r="N312" s="4">
        <v>46174.0</v>
      </c>
      <c r="O312" s="4">
        <v>46174.0</v>
      </c>
    </row>
    <row r="313">
      <c r="A313" s="1" t="s">
        <v>682</v>
      </c>
      <c r="B313" s="1" t="s">
        <v>722</v>
      </c>
      <c r="C313" s="1" t="s">
        <v>723</v>
      </c>
      <c r="D313" s="1" t="s">
        <v>726</v>
      </c>
      <c r="E313" s="1" t="s">
        <v>32</v>
      </c>
      <c r="F313" s="4">
        <v>46174.0</v>
      </c>
      <c r="H313" s="1" t="s">
        <v>725</v>
      </c>
      <c r="K313" s="1" t="s">
        <v>254</v>
      </c>
      <c r="L313" s="1" t="s">
        <v>35</v>
      </c>
      <c r="N313" s="4">
        <v>46174.0</v>
      </c>
      <c r="O313" s="4">
        <v>46174.0</v>
      </c>
    </row>
    <row r="314">
      <c r="A314" s="1" t="s">
        <v>682</v>
      </c>
      <c r="B314" s="1" t="s">
        <v>722</v>
      </c>
      <c r="C314" s="1" t="s">
        <v>723</v>
      </c>
      <c r="D314" s="1" t="s">
        <v>727</v>
      </c>
      <c r="E314" s="1" t="s">
        <v>32</v>
      </c>
      <c r="F314" s="4">
        <v>46174.0</v>
      </c>
      <c r="H314" s="1" t="s">
        <v>725</v>
      </c>
      <c r="K314" s="1" t="s">
        <v>254</v>
      </c>
      <c r="L314" s="1" t="s">
        <v>35</v>
      </c>
      <c r="N314" s="4">
        <v>46174.0</v>
      </c>
      <c r="O314" s="4">
        <v>46174.0</v>
      </c>
    </row>
    <row r="315">
      <c r="A315" s="1" t="s">
        <v>682</v>
      </c>
      <c r="B315" s="1" t="s">
        <v>722</v>
      </c>
      <c r="C315" s="1" t="s">
        <v>723</v>
      </c>
      <c r="D315" s="1" t="s">
        <v>728</v>
      </c>
      <c r="E315" s="1" t="s">
        <v>32</v>
      </c>
      <c r="F315" s="4">
        <v>46174.0</v>
      </c>
      <c r="H315" s="1" t="s">
        <v>725</v>
      </c>
      <c r="K315" s="1" t="s">
        <v>254</v>
      </c>
      <c r="L315" s="1" t="s">
        <v>35</v>
      </c>
      <c r="N315" s="4">
        <v>46174.0</v>
      </c>
      <c r="O315" s="4">
        <v>46174.0</v>
      </c>
    </row>
    <row r="316">
      <c r="A316" s="1" t="s">
        <v>682</v>
      </c>
      <c r="B316" s="1" t="s">
        <v>722</v>
      </c>
      <c r="C316" s="1" t="s">
        <v>729</v>
      </c>
      <c r="D316" s="1" t="s">
        <v>730</v>
      </c>
      <c r="E316" s="1" t="s">
        <v>32</v>
      </c>
      <c r="F316" s="8">
        <v>46315.0</v>
      </c>
      <c r="G316" s="1" t="s">
        <v>71</v>
      </c>
      <c r="H316" s="1" t="s">
        <v>501</v>
      </c>
      <c r="K316" s="1" t="s">
        <v>254</v>
      </c>
      <c r="L316" s="1" t="s">
        <v>99</v>
      </c>
      <c r="O316" s="4">
        <v>45044.0</v>
      </c>
    </row>
    <row r="317">
      <c r="A317" s="1" t="s">
        <v>682</v>
      </c>
      <c r="B317" s="1" t="s">
        <v>722</v>
      </c>
      <c r="C317" s="1" t="s">
        <v>729</v>
      </c>
      <c r="D317" s="1" t="s">
        <v>731</v>
      </c>
      <c r="E317" s="1" t="s">
        <v>32</v>
      </c>
      <c r="F317" s="8">
        <v>46315.0</v>
      </c>
      <c r="G317" s="1" t="s">
        <v>71</v>
      </c>
      <c r="H317" s="1" t="s">
        <v>501</v>
      </c>
      <c r="K317" s="1" t="s">
        <v>254</v>
      </c>
      <c r="L317" s="1" t="s">
        <v>99</v>
      </c>
      <c r="O317" s="4">
        <v>45044.0</v>
      </c>
    </row>
    <row r="318">
      <c r="A318" s="1" t="s">
        <v>682</v>
      </c>
      <c r="B318" s="1" t="s">
        <v>722</v>
      </c>
      <c r="C318" s="1" t="s">
        <v>729</v>
      </c>
      <c r="D318" s="1" t="s">
        <v>732</v>
      </c>
      <c r="E318" s="1" t="s">
        <v>32</v>
      </c>
      <c r="F318" s="8">
        <v>46315.0</v>
      </c>
      <c r="G318" s="1" t="s">
        <v>71</v>
      </c>
      <c r="H318" s="1" t="s">
        <v>501</v>
      </c>
      <c r="K318" s="1" t="s">
        <v>254</v>
      </c>
      <c r="L318" s="1" t="s">
        <v>99</v>
      </c>
      <c r="O318" s="4">
        <v>45044.0</v>
      </c>
    </row>
    <row r="319">
      <c r="A319" s="1" t="s">
        <v>682</v>
      </c>
      <c r="B319" s="1" t="s">
        <v>722</v>
      </c>
      <c r="C319" s="1" t="s">
        <v>729</v>
      </c>
      <c r="D319" s="1" t="s">
        <v>733</v>
      </c>
      <c r="E319" s="1" t="s">
        <v>32</v>
      </c>
      <c r="F319" s="8">
        <v>46315.0</v>
      </c>
      <c r="G319" s="1" t="s">
        <v>71</v>
      </c>
      <c r="H319" s="1" t="s">
        <v>501</v>
      </c>
      <c r="K319" s="1" t="s">
        <v>254</v>
      </c>
      <c r="L319" s="1" t="s">
        <v>99</v>
      </c>
      <c r="O319" s="4">
        <v>45044.0</v>
      </c>
    </row>
    <row r="320">
      <c r="A320" s="1" t="s">
        <v>734</v>
      </c>
      <c r="B320" s="1" t="s">
        <v>735</v>
      </c>
      <c r="C320" s="1" t="s">
        <v>736</v>
      </c>
      <c r="D320" s="1" t="s">
        <v>737</v>
      </c>
      <c r="E320" s="1" t="s">
        <v>32</v>
      </c>
      <c r="F320" s="4">
        <v>46203.0</v>
      </c>
      <c r="H320" s="1" t="s">
        <v>738</v>
      </c>
      <c r="K320" s="1" t="s">
        <v>235</v>
      </c>
      <c r="L320" s="1" t="s">
        <v>35</v>
      </c>
      <c r="N320" s="4">
        <v>46203.0</v>
      </c>
      <c r="O320" s="4">
        <v>46203.0</v>
      </c>
    </row>
    <row r="321">
      <c r="A321" s="1" t="s">
        <v>734</v>
      </c>
      <c r="B321" s="1" t="s">
        <v>735</v>
      </c>
      <c r="C321" s="1" t="s">
        <v>736</v>
      </c>
      <c r="D321" s="1" t="s">
        <v>739</v>
      </c>
      <c r="E321" s="1" t="s">
        <v>32</v>
      </c>
      <c r="F321" s="4">
        <v>46203.0</v>
      </c>
      <c r="H321" s="1" t="s">
        <v>738</v>
      </c>
      <c r="K321" s="1" t="s">
        <v>235</v>
      </c>
      <c r="L321" s="1" t="s">
        <v>35</v>
      </c>
      <c r="N321" s="4">
        <v>46203.0</v>
      </c>
      <c r="O321" s="4">
        <v>46203.0</v>
      </c>
    </row>
    <row r="322">
      <c r="A322" s="1" t="s">
        <v>734</v>
      </c>
      <c r="B322" s="1" t="s">
        <v>255</v>
      </c>
      <c r="C322" s="1" t="s">
        <v>256</v>
      </c>
      <c r="D322" s="1" t="s">
        <v>740</v>
      </c>
      <c r="E322" s="1" t="s">
        <v>32</v>
      </c>
      <c r="F322" s="4">
        <v>46034.0</v>
      </c>
      <c r="H322" s="1" t="s">
        <v>33</v>
      </c>
      <c r="K322" s="1" t="s">
        <v>235</v>
      </c>
      <c r="L322" s="1" t="s">
        <v>35</v>
      </c>
      <c r="N322" s="4">
        <v>46034.0</v>
      </c>
      <c r="O322" s="4">
        <v>46034.0</v>
      </c>
    </row>
    <row r="323">
      <c r="A323" s="1" t="s">
        <v>741</v>
      </c>
      <c r="B323" s="1" t="s">
        <v>255</v>
      </c>
      <c r="C323" s="1" t="s">
        <v>256</v>
      </c>
      <c r="D323" s="1" t="s">
        <v>742</v>
      </c>
      <c r="E323" s="1" t="s">
        <v>32</v>
      </c>
      <c r="F323" s="4">
        <v>46063.0</v>
      </c>
      <c r="H323" s="1" t="s">
        <v>344</v>
      </c>
      <c r="K323" s="1" t="s">
        <v>235</v>
      </c>
      <c r="L323" s="1" t="s">
        <v>35</v>
      </c>
      <c r="N323" s="4">
        <v>46063.0</v>
      </c>
      <c r="O323" s="4">
        <v>46063.0</v>
      </c>
    </row>
    <row r="324">
      <c r="A324" s="1" t="s">
        <v>741</v>
      </c>
      <c r="B324" s="1" t="s">
        <v>255</v>
      </c>
      <c r="C324" s="1" t="s">
        <v>256</v>
      </c>
      <c r="D324" s="1" t="s">
        <v>743</v>
      </c>
      <c r="E324" s="1" t="s">
        <v>32</v>
      </c>
      <c r="F324" s="4">
        <v>46063.0</v>
      </c>
      <c r="H324" s="1" t="s">
        <v>344</v>
      </c>
      <c r="K324" s="1" t="s">
        <v>235</v>
      </c>
      <c r="L324" s="1" t="s">
        <v>35</v>
      </c>
      <c r="N324" s="4">
        <v>46063.0</v>
      </c>
      <c r="O324" s="4">
        <v>46063.0</v>
      </c>
    </row>
    <row r="325">
      <c r="A325" s="1" t="s">
        <v>744</v>
      </c>
      <c r="B325" s="1" t="s">
        <v>288</v>
      </c>
      <c r="C325" s="1" t="s">
        <v>289</v>
      </c>
      <c r="D325" s="1" t="s">
        <v>745</v>
      </c>
      <c r="E325" s="1" t="s">
        <v>97</v>
      </c>
      <c r="F325" s="8">
        <v>46309.0</v>
      </c>
      <c r="G325" s="1" t="s">
        <v>107</v>
      </c>
      <c r="H325" s="1" t="s">
        <v>133</v>
      </c>
      <c r="J325" s="1" t="s">
        <v>134</v>
      </c>
      <c r="K325" s="1" t="s">
        <v>746</v>
      </c>
      <c r="L325" s="1" t="s">
        <v>99</v>
      </c>
      <c r="O325" s="4">
        <v>42052.0</v>
      </c>
    </row>
    <row r="326">
      <c r="A326" s="1" t="s">
        <v>744</v>
      </c>
      <c r="B326" s="1" t="s">
        <v>288</v>
      </c>
      <c r="C326" s="1" t="s">
        <v>289</v>
      </c>
      <c r="D326" s="1" t="s">
        <v>747</v>
      </c>
      <c r="E326" s="1" t="s">
        <v>97</v>
      </c>
      <c r="F326" s="8">
        <v>46309.0</v>
      </c>
      <c r="G326" s="1" t="s">
        <v>107</v>
      </c>
      <c r="H326" s="1" t="s">
        <v>133</v>
      </c>
      <c r="J326" s="1" t="s">
        <v>134</v>
      </c>
      <c r="K326" s="1" t="s">
        <v>746</v>
      </c>
      <c r="L326" s="1" t="s">
        <v>99</v>
      </c>
      <c r="O326" s="4">
        <v>42052.0</v>
      </c>
    </row>
    <row r="327">
      <c r="A327" s="1" t="s">
        <v>744</v>
      </c>
      <c r="B327" s="1" t="s">
        <v>288</v>
      </c>
      <c r="C327" s="1" t="s">
        <v>289</v>
      </c>
      <c r="D327" s="1" t="s">
        <v>748</v>
      </c>
      <c r="E327" s="1" t="s">
        <v>97</v>
      </c>
      <c r="F327" s="8">
        <v>46309.0</v>
      </c>
      <c r="G327" s="1" t="s">
        <v>107</v>
      </c>
      <c r="H327" s="1" t="s">
        <v>133</v>
      </c>
      <c r="J327" s="1" t="s">
        <v>134</v>
      </c>
      <c r="K327" s="1" t="s">
        <v>746</v>
      </c>
      <c r="L327" s="1" t="s">
        <v>99</v>
      </c>
      <c r="O327" s="4">
        <v>42052.0</v>
      </c>
    </row>
    <row r="328">
      <c r="A328" s="1" t="s">
        <v>744</v>
      </c>
      <c r="B328" s="1" t="s">
        <v>288</v>
      </c>
      <c r="C328" s="1" t="s">
        <v>289</v>
      </c>
      <c r="D328" s="1" t="s">
        <v>749</v>
      </c>
      <c r="E328" s="1" t="s">
        <v>97</v>
      </c>
      <c r="F328" s="8">
        <v>46309.0</v>
      </c>
      <c r="G328" s="1" t="s">
        <v>107</v>
      </c>
      <c r="H328" s="1" t="s">
        <v>133</v>
      </c>
      <c r="J328" s="1" t="s">
        <v>134</v>
      </c>
      <c r="K328" s="1" t="s">
        <v>746</v>
      </c>
      <c r="L328" s="1" t="s">
        <v>99</v>
      </c>
      <c r="O328" s="4">
        <v>42052.0</v>
      </c>
    </row>
    <row r="329">
      <c r="A329" s="1" t="s">
        <v>744</v>
      </c>
      <c r="B329" s="1" t="s">
        <v>750</v>
      </c>
      <c r="C329" s="1" t="s">
        <v>751</v>
      </c>
      <c r="D329" s="1" t="s">
        <v>752</v>
      </c>
      <c r="E329" s="1" t="s">
        <v>70</v>
      </c>
      <c r="F329" s="4">
        <v>46188.0</v>
      </c>
      <c r="G329" s="1" t="s">
        <v>71</v>
      </c>
      <c r="K329" s="1" t="s">
        <v>746</v>
      </c>
      <c r="L329" s="1" t="s">
        <v>99</v>
      </c>
      <c r="O329" s="4">
        <v>42052.0</v>
      </c>
      <c r="T329" s="19" t="s">
        <v>753</v>
      </c>
    </row>
    <row r="330">
      <c r="A330" s="1" t="s">
        <v>744</v>
      </c>
      <c r="B330" s="1" t="s">
        <v>750</v>
      </c>
      <c r="C330" s="1" t="s">
        <v>751</v>
      </c>
      <c r="D330" s="1" t="s">
        <v>754</v>
      </c>
      <c r="E330" s="1" t="s">
        <v>70</v>
      </c>
      <c r="F330" s="4">
        <v>46188.0</v>
      </c>
      <c r="G330" s="1" t="s">
        <v>71</v>
      </c>
      <c r="K330" s="1" t="s">
        <v>746</v>
      </c>
      <c r="L330" s="1" t="s">
        <v>99</v>
      </c>
      <c r="O330" s="4">
        <v>42052.0</v>
      </c>
      <c r="T330" s="19" t="s">
        <v>753</v>
      </c>
    </row>
    <row r="331">
      <c r="A331" s="1" t="s">
        <v>755</v>
      </c>
      <c r="B331" s="1" t="s">
        <v>269</v>
      </c>
      <c r="C331" s="1" t="s">
        <v>270</v>
      </c>
      <c r="D331" s="1" t="s">
        <v>756</v>
      </c>
      <c r="E331" s="1" t="s">
        <v>32</v>
      </c>
      <c r="F331" s="8">
        <v>45975.0</v>
      </c>
      <c r="H331" s="1" t="s">
        <v>33</v>
      </c>
      <c r="K331" s="1" t="s">
        <v>235</v>
      </c>
      <c r="L331" s="1" t="s">
        <v>35</v>
      </c>
      <c r="N331" s="8">
        <v>45975.0</v>
      </c>
      <c r="O331" s="8">
        <v>45975.0</v>
      </c>
    </row>
    <row r="332">
      <c r="A332" s="1" t="s">
        <v>755</v>
      </c>
      <c r="B332" s="1" t="s">
        <v>269</v>
      </c>
      <c r="C332" s="1" t="s">
        <v>270</v>
      </c>
      <c r="D332" s="1" t="s">
        <v>757</v>
      </c>
      <c r="E332" s="1" t="s">
        <v>32</v>
      </c>
      <c r="F332" s="8">
        <v>45975.0</v>
      </c>
      <c r="H332" s="1" t="s">
        <v>33</v>
      </c>
      <c r="K332" s="1" t="s">
        <v>235</v>
      </c>
      <c r="L332" s="1" t="s">
        <v>35</v>
      </c>
      <c r="N332" s="8">
        <v>45975.0</v>
      </c>
      <c r="O332" s="8">
        <v>45975.0</v>
      </c>
    </row>
    <row r="333">
      <c r="A333" s="1" t="s">
        <v>758</v>
      </c>
      <c r="B333" s="1" t="s">
        <v>63</v>
      </c>
      <c r="C333" s="1" t="s">
        <v>64</v>
      </c>
      <c r="D333" s="1" t="s">
        <v>759</v>
      </c>
      <c r="E333" s="1" t="s">
        <v>32</v>
      </c>
      <c r="F333" s="8">
        <v>45974.0</v>
      </c>
      <c r="H333" s="1" t="s">
        <v>33</v>
      </c>
      <c r="K333" s="1" t="s">
        <v>760</v>
      </c>
      <c r="L333" s="1" t="s">
        <v>35</v>
      </c>
      <c r="N333" s="8">
        <v>45974.0</v>
      </c>
      <c r="O333" s="8">
        <v>45974.0</v>
      </c>
    </row>
    <row r="334">
      <c r="A334" s="1" t="s">
        <v>761</v>
      </c>
      <c r="B334" s="1" t="s">
        <v>762</v>
      </c>
      <c r="C334" s="1" t="s">
        <v>763</v>
      </c>
      <c r="D334" s="1" t="s">
        <v>764</v>
      </c>
      <c r="E334" s="1" t="s">
        <v>32</v>
      </c>
      <c r="F334" s="4">
        <v>46063.0</v>
      </c>
      <c r="K334" s="1" t="s">
        <v>366</v>
      </c>
      <c r="L334" s="1" t="s">
        <v>35</v>
      </c>
      <c r="N334" s="4">
        <v>46063.0</v>
      </c>
      <c r="O334" s="4">
        <v>46063.0</v>
      </c>
    </row>
    <row r="335">
      <c r="A335" s="1" t="s">
        <v>765</v>
      </c>
      <c r="B335" s="1" t="s">
        <v>269</v>
      </c>
      <c r="C335" s="1" t="s">
        <v>270</v>
      </c>
      <c r="D335" s="1" t="s">
        <v>766</v>
      </c>
      <c r="E335" s="1" t="s">
        <v>32</v>
      </c>
      <c r="F335" s="4">
        <v>46148.0</v>
      </c>
      <c r="H335" s="1" t="s">
        <v>767</v>
      </c>
      <c r="K335" s="1" t="s">
        <v>34</v>
      </c>
      <c r="L335" s="1" t="s">
        <v>35</v>
      </c>
      <c r="N335" s="4">
        <v>46148.0</v>
      </c>
      <c r="O335" s="4">
        <v>46148.0</v>
      </c>
    </row>
    <row r="336">
      <c r="A336" s="1" t="s">
        <v>765</v>
      </c>
      <c r="B336" s="1" t="s">
        <v>269</v>
      </c>
      <c r="C336" s="1" t="s">
        <v>270</v>
      </c>
      <c r="D336" s="1" t="s">
        <v>768</v>
      </c>
      <c r="E336" s="1" t="s">
        <v>32</v>
      </c>
      <c r="F336" s="4">
        <v>46148.0</v>
      </c>
      <c r="H336" s="1" t="s">
        <v>767</v>
      </c>
      <c r="K336" s="1" t="s">
        <v>34</v>
      </c>
      <c r="L336" s="1" t="s">
        <v>35</v>
      </c>
      <c r="N336" s="4">
        <v>46148.0</v>
      </c>
      <c r="O336" s="4">
        <v>46148.0</v>
      </c>
    </row>
    <row r="337">
      <c r="A337" s="1" t="s">
        <v>765</v>
      </c>
      <c r="B337" s="1" t="s">
        <v>269</v>
      </c>
      <c r="C337" s="1" t="s">
        <v>270</v>
      </c>
      <c r="D337" s="1" t="s">
        <v>769</v>
      </c>
      <c r="E337" s="1" t="s">
        <v>32</v>
      </c>
      <c r="F337" s="4">
        <v>46276.0</v>
      </c>
      <c r="H337" s="1" t="s">
        <v>770</v>
      </c>
      <c r="K337" s="1" t="s">
        <v>34</v>
      </c>
      <c r="L337" s="1" t="s">
        <v>35</v>
      </c>
      <c r="N337" s="4">
        <v>46276.0</v>
      </c>
      <c r="O337" s="4">
        <v>46276.0</v>
      </c>
    </row>
    <row r="338">
      <c r="A338" s="1" t="s">
        <v>771</v>
      </c>
      <c r="B338" s="1" t="s">
        <v>342</v>
      </c>
      <c r="C338" s="1" t="s">
        <v>270</v>
      </c>
      <c r="D338" s="1" t="s">
        <v>772</v>
      </c>
      <c r="E338" s="1" t="s">
        <v>32</v>
      </c>
      <c r="F338" s="4">
        <v>46078.0</v>
      </c>
      <c r="H338" s="1" t="s">
        <v>33</v>
      </c>
      <c r="K338" s="1" t="s">
        <v>235</v>
      </c>
      <c r="L338" s="1" t="s">
        <v>35</v>
      </c>
      <c r="N338" s="4">
        <v>46078.0</v>
      </c>
      <c r="O338" s="4">
        <v>46078.0</v>
      </c>
    </row>
    <row r="339">
      <c r="A339" s="1" t="s">
        <v>771</v>
      </c>
      <c r="B339" s="1" t="s">
        <v>342</v>
      </c>
      <c r="C339" s="1" t="s">
        <v>270</v>
      </c>
      <c r="D339" s="1" t="s">
        <v>773</v>
      </c>
      <c r="E339" s="1" t="s">
        <v>32</v>
      </c>
      <c r="F339" s="4">
        <v>46078.0</v>
      </c>
      <c r="H339" s="1" t="s">
        <v>33</v>
      </c>
      <c r="K339" s="1" t="s">
        <v>235</v>
      </c>
      <c r="L339" s="1" t="s">
        <v>35</v>
      </c>
      <c r="N339" s="4">
        <v>46078.0</v>
      </c>
      <c r="O339" s="4">
        <v>46078.0</v>
      </c>
    </row>
    <row r="340">
      <c r="A340" s="1" t="s">
        <v>771</v>
      </c>
      <c r="B340" s="1" t="s">
        <v>342</v>
      </c>
      <c r="C340" s="1" t="s">
        <v>270</v>
      </c>
      <c r="D340" s="1" t="s">
        <v>774</v>
      </c>
      <c r="E340" s="1" t="s">
        <v>32</v>
      </c>
      <c r="F340" s="4">
        <v>46078.0</v>
      </c>
      <c r="H340" s="1" t="s">
        <v>33</v>
      </c>
      <c r="K340" s="1" t="s">
        <v>235</v>
      </c>
      <c r="L340" s="1" t="s">
        <v>35</v>
      </c>
      <c r="N340" s="4">
        <v>46078.0</v>
      </c>
      <c r="O340" s="4">
        <v>46078.0</v>
      </c>
    </row>
    <row r="341">
      <c r="A341" s="1" t="s">
        <v>775</v>
      </c>
      <c r="B341" s="1" t="s">
        <v>776</v>
      </c>
      <c r="C341" s="1" t="s">
        <v>777</v>
      </c>
      <c r="D341" s="1" t="s">
        <v>778</v>
      </c>
      <c r="E341" s="1" t="s">
        <v>32</v>
      </c>
      <c r="F341" s="4">
        <v>46080.0</v>
      </c>
      <c r="H341" s="1" t="s">
        <v>33</v>
      </c>
      <c r="K341" s="1" t="s">
        <v>235</v>
      </c>
      <c r="L341" s="1" t="s">
        <v>35</v>
      </c>
      <c r="N341" s="4">
        <v>46080.0</v>
      </c>
      <c r="O341" s="4">
        <v>46080.0</v>
      </c>
    </row>
    <row r="342">
      <c r="A342" s="1" t="s">
        <v>775</v>
      </c>
      <c r="B342" s="1" t="s">
        <v>776</v>
      </c>
      <c r="C342" s="1" t="s">
        <v>777</v>
      </c>
      <c r="D342" s="1" t="s">
        <v>778</v>
      </c>
      <c r="E342" s="1" t="s">
        <v>32</v>
      </c>
      <c r="F342" s="4">
        <v>46107.0</v>
      </c>
      <c r="H342" s="1" t="s">
        <v>33</v>
      </c>
      <c r="K342" s="1" t="s">
        <v>235</v>
      </c>
      <c r="L342" s="1" t="s">
        <v>35</v>
      </c>
      <c r="N342" s="4">
        <v>46107.0</v>
      </c>
      <c r="O342" s="4">
        <v>46107.0</v>
      </c>
    </row>
    <row r="343">
      <c r="A343" s="1" t="s">
        <v>779</v>
      </c>
      <c r="B343" s="1" t="s">
        <v>342</v>
      </c>
      <c r="C343" s="1" t="s">
        <v>346</v>
      </c>
      <c r="D343" s="1" t="s">
        <v>780</v>
      </c>
      <c r="E343" s="1" t="s">
        <v>70</v>
      </c>
      <c r="F343" s="8">
        <v>46316.0</v>
      </c>
      <c r="G343" s="1" t="s">
        <v>107</v>
      </c>
      <c r="H343" s="1" t="s">
        <v>781</v>
      </c>
      <c r="J343" s="1" t="s">
        <v>47</v>
      </c>
      <c r="K343" s="1" t="s">
        <v>235</v>
      </c>
      <c r="L343" s="1" t="s">
        <v>99</v>
      </c>
      <c r="O343" s="4">
        <v>45006.0</v>
      </c>
      <c r="T343" s="19" t="s">
        <v>782</v>
      </c>
    </row>
    <row r="344">
      <c r="A344" s="1" t="s">
        <v>779</v>
      </c>
      <c r="B344" s="1" t="s">
        <v>342</v>
      </c>
      <c r="C344" s="1" t="s">
        <v>346</v>
      </c>
      <c r="D344" s="1" t="s">
        <v>783</v>
      </c>
      <c r="E344" s="1" t="s">
        <v>70</v>
      </c>
      <c r="F344" s="8">
        <v>46316.0</v>
      </c>
      <c r="G344" s="1" t="s">
        <v>107</v>
      </c>
      <c r="H344" s="1" t="s">
        <v>781</v>
      </c>
      <c r="J344" s="1" t="s">
        <v>47</v>
      </c>
      <c r="K344" s="1" t="s">
        <v>235</v>
      </c>
      <c r="L344" s="1" t="s">
        <v>99</v>
      </c>
      <c r="O344" s="4">
        <v>45006.0</v>
      </c>
      <c r="T344" s="19" t="s">
        <v>782</v>
      </c>
    </row>
    <row r="345">
      <c r="A345" s="1" t="s">
        <v>779</v>
      </c>
      <c r="B345" s="1" t="s">
        <v>342</v>
      </c>
      <c r="C345" s="1" t="s">
        <v>346</v>
      </c>
      <c r="D345" s="1" t="s">
        <v>784</v>
      </c>
      <c r="E345" s="1" t="s">
        <v>70</v>
      </c>
      <c r="F345" s="8">
        <v>46316.0</v>
      </c>
      <c r="G345" s="1" t="s">
        <v>107</v>
      </c>
      <c r="H345" s="1" t="s">
        <v>781</v>
      </c>
      <c r="J345" s="1" t="s">
        <v>47</v>
      </c>
      <c r="K345" s="1" t="s">
        <v>235</v>
      </c>
      <c r="L345" s="1" t="s">
        <v>99</v>
      </c>
      <c r="O345" s="4">
        <v>45006.0</v>
      </c>
      <c r="T345" s="19" t="s">
        <v>782</v>
      </c>
    </row>
    <row r="346">
      <c r="A346" s="1" t="s">
        <v>779</v>
      </c>
      <c r="B346" s="1" t="s">
        <v>374</v>
      </c>
      <c r="C346" s="1" t="s">
        <v>375</v>
      </c>
      <c r="D346" s="1" t="s">
        <v>785</v>
      </c>
      <c r="E346" s="1" t="s">
        <v>97</v>
      </c>
      <c r="F346" s="4">
        <v>46303.0</v>
      </c>
      <c r="G346" s="1" t="s">
        <v>132</v>
      </c>
      <c r="H346" s="1" t="s">
        <v>507</v>
      </c>
      <c r="J346" s="1" t="s">
        <v>33</v>
      </c>
      <c r="K346" s="1" t="s">
        <v>235</v>
      </c>
      <c r="L346" s="1" t="s">
        <v>99</v>
      </c>
      <c r="O346" s="4">
        <v>45006.0</v>
      </c>
    </row>
    <row r="347">
      <c r="A347" s="1" t="s">
        <v>779</v>
      </c>
      <c r="B347" s="1" t="s">
        <v>374</v>
      </c>
      <c r="C347" s="1" t="s">
        <v>375</v>
      </c>
      <c r="D347" s="1" t="s">
        <v>786</v>
      </c>
      <c r="E347" s="1" t="s">
        <v>97</v>
      </c>
      <c r="F347" s="4">
        <v>46303.0</v>
      </c>
      <c r="G347" s="1" t="s">
        <v>107</v>
      </c>
      <c r="H347" s="1" t="s">
        <v>33</v>
      </c>
      <c r="J347" s="1" t="s">
        <v>33</v>
      </c>
      <c r="K347" s="1" t="s">
        <v>235</v>
      </c>
      <c r="L347" s="1" t="s">
        <v>99</v>
      </c>
      <c r="O347" s="4">
        <v>45006.0</v>
      </c>
    </row>
    <row r="348">
      <c r="A348" s="1" t="s">
        <v>779</v>
      </c>
      <c r="B348" s="1" t="s">
        <v>374</v>
      </c>
      <c r="C348" s="1" t="s">
        <v>375</v>
      </c>
      <c r="D348" s="1" t="s">
        <v>787</v>
      </c>
      <c r="E348" s="1" t="s">
        <v>97</v>
      </c>
      <c r="F348" s="4">
        <v>46303.0</v>
      </c>
      <c r="G348" s="1" t="s">
        <v>132</v>
      </c>
      <c r="H348" s="1" t="s">
        <v>507</v>
      </c>
      <c r="J348" s="1" t="s">
        <v>33</v>
      </c>
      <c r="K348" s="1" t="s">
        <v>235</v>
      </c>
      <c r="L348" s="1" t="s">
        <v>99</v>
      </c>
      <c r="O348" s="4">
        <v>45006.0</v>
      </c>
    </row>
    <row r="349">
      <c r="A349" s="1" t="s">
        <v>779</v>
      </c>
      <c r="B349" s="1" t="s">
        <v>94</v>
      </c>
      <c r="C349" s="1" t="s">
        <v>95</v>
      </c>
      <c r="D349" s="1" t="s">
        <v>788</v>
      </c>
      <c r="E349" s="1" t="s">
        <v>97</v>
      </c>
      <c r="F349" s="8">
        <v>46311.0</v>
      </c>
      <c r="G349" s="1" t="s">
        <v>71</v>
      </c>
      <c r="K349" s="1" t="s">
        <v>235</v>
      </c>
      <c r="L349" s="1" t="s">
        <v>99</v>
      </c>
      <c r="O349" s="4">
        <v>45006.0</v>
      </c>
    </row>
    <row r="350">
      <c r="A350" s="1" t="s">
        <v>779</v>
      </c>
      <c r="B350" s="1" t="s">
        <v>94</v>
      </c>
      <c r="C350" s="1" t="s">
        <v>95</v>
      </c>
      <c r="D350" s="1" t="s">
        <v>789</v>
      </c>
      <c r="E350" s="1" t="s">
        <v>97</v>
      </c>
      <c r="F350" s="8">
        <v>46311.0</v>
      </c>
      <c r="G350" s="1" t="s">
        <v>71</v>
      </c>
      <c r="K350" s="1" t="s">
        <v>235</v>
      </c>
      <c r="L350" s="1" t="s">
        <v>99</v>
      </c>
      <c r="O350" s="4">
        <v>45006.0</v>
      </c>
    </row>
    <row r="351">
      <c r="A351" s="1" t="s">
        <v>779</v>
      </c>
      <c r="B351" s="1" t="s">
        <v>94</v>
      </c>
      <c r="C351" s="1" t="s">
        <v>95</v>
      </c>
      <c r="D351" s="1" t="s">
        <v>790</v>
      </c>
      <c r="E351" s="1" t="s">
        <v>97</v>
      </c>
      <c r="F351" s="8">
        <v>46311.0</v>
      </c>
      <c r="G351" s="1" t="s">
        <v>71</v>
      </c>
      <c r="K351" s="1" t="s">
        <v>235</v>
      </c>
      <c r="L351" s="1" t="s">
        <v>99</v>
      </c>
      <c r="O351" s="4">
        <v>45006.0</v>
      </c>
    </row>
    <row r="352">
      <c r="A352" s="1" t="s">
        <v>779</v>
      </c>
      <c r="B352" s="1" t="s">
        <v>94</v>
      </c>
      <c r="C352" s="1" t="s">
        <v>95</v>
      </c>
      <c r="D352" s="1" t="s">
        <v>791</v>
      </c>
      <c r="E352" s="1" t="s">
        <v>97</v>
      </c>
      <c r="F352" s="8">
        <v>46311.0</v>
      </c>
      <c r="G352" s="1" t="s">
        <v>71</v>
      </c>
      <c r="K352" s="1" t="s">
        <v>235</v>
      </c>
      <c r="L352" s="1" t="s">
        <v>99</v>
      </c>
      <c r="O352" s="4">
        <v>45006.0</v>
      </c>
    </row>
    <row r="353">
      <c r="A353" s="1" t="s">
        <v>779</v>
      </c>
      <c r="B353" s="1" t="s">
        <v>94</v>
      </c>
      <c r="C353" s="1" t="s">
        <v>95</v>
      </c>
      <c r="D353" s="1" t="s">
        <v>792</v>
      </c>
      <c r="E353" s="1" t="s">
        <v>70</v>
      </c>
      <c r="F353" s="8">
        <v>46311.0</v>
      </c>
      <c r="G353" s="1" t="s">
        <v>71</v>
      </c>
      <c r="K353" s="1" t="s">
        <v>235</v>
      </c>
      <c r="L353" s="1" t="s">
        <v>99</v>
      </c>
      <c r="O353" s="4">
        <v>45006.0</v>
      </c>
    </row>
    <row r="354">
      <c r="A354" s="1" t="s">
        <v>779</v>
      </c>
      <c r="B354" s="1" t="s">
        <v>94</v>
      </c>
      <c r="C354" s="1" t="s">
        <v>95</v>
      </c>
      <c r="D354" s="1" t="s">
        <v>793</v>
      </c>
      <c r="E354" s="1" t="s">
        <v>70</v>
      </c>
      <c r="F354" s="8">
        <v>46311.0</v>
      </c>
      <c r="G354" s="1" t="s">
        <v>132</v>
      </c>
      <c r="H354" s="1" t="s">
        <v>108</v>
      </c>
      <c r="J354" s="1" t="s">
        <v>47</v>
      </c>
      <c r="K354" s="1" t="s">
        <v>235</v>
      </c>
      <c r="L354" s="1" t="s">
        <v>99</v>
      </c>
      <c r="O354" s="4">
        <v>45006.0</v>
      </c>
    </row>
    <row r="355">
      <c r="A355" s="1" t="s">
        <v>779</v>
      </c>
      <c r="B355" s="1" t="s">
        <v>53</v>
      </c>
      <c r="C355" s="1" t="s">
        <v>54</v>
      </c>
      <c r="D355" s="1" t="s">
        <v>794</v>
      </c>
      <c r="E355" s="1" t="s">
        <v>97</v>
      </c>
      <c r="F355" s="8">
        <v>46316.0</v>
      </c>
      <c r="G355" s="1" t="s">
        <v>71</v>
      </c>
      <c r="K355" s="1" t="s">
        <v>235</v>
      </c>
      <c r="L355" s="1" t="s">
        <v>99</v>
      </c>
      <c r="O355" s="4">
        <v>45006.0</v>
      </c>
    </row>
    <row r="356">
      <c r="A356" s="1" t="s">
        <v>779</v>
      </c>
      <c r="B356" s="1" t="s">
        <v>53</v>
      </c>
      <c r="C356" s="1" t="s">
        <v>54</v>
      </c>
      <c r="D356" s="1" t="s">
        <v>795</v>
      </c>
      <c r="E356" s="1" t="s">
        <v>97</v>
      </c>
      <c r="F356" s="8">
        <v>46316.0</v>
      </c>
      <c r="G356" s="1" t="s">
        <v>71</v>
      </c>
      <c r="K356" s="1" t="s">
        <v>235</v>
      </c>
      <c r="L356" s="1" t="s">
        <v>99</v>
      </c>
      <c r="O356" s="4">
        <v>45006.0</v>
      </c>
    </row>
    <row r="357">
      <c r="A357" s="1" t="s">
        <v>779</v>
      </c>
      <c r="B357" s="1" t="s">
        <v>53</v>
      </c>
      <c r="C357" s="1" t="s">
        <v>54</v>
      </c>
      <c r="D357" s="1" t="s">
        <v>796</v>
      </c>
      <c r="E357" s="1" t="s">
        <v>97</v>
      </c>
      <c r="F357" s="8">
        <v>46316.0</v>
      </c>
      <c r="G357" s="1" t="s">
        <v>71</v>
      </c>
      <c r="K357" s="1" t="s">
        <v>235</v>
      </c>
      <c r="L357" s="1" t="s">
        <v>99</v>
      </c>
      <c r="O357" s="4">
        <v>45006.0</v>
      </c>
    </row>
    <row r="358">
      <c r="A358" s="1" t="s">
        <v>779</v>
      </c>
      <c r="B358" s="1" t="s">
        <v>53</v>
      </c>
      <c r="C358" s="1" t="s">
        <v>54</v>
      </c>
      <c r="D358" s="1" t="s">
        <v>797</v>
      </c>
      <c r="E358" s="1" t="s">
        <v>97</v>
      </c>
      <c r="F358" s="8">
        <v>46316.0</v>
      </c>
      <c r="G358" s="1" t="s">
        <v>71</v>
      </c>
      <c r="H358" s="1" t="s">
        <v>798</v>
      </c>
      <c r="K358" s="1" t="s">
        <v>235</v>
      </c>
      <c r="L358" s="1" t="s">
        <v>99</v>
      </c>
      <c r="O358" s="4">
        <v>45006.0</v>
      </c>
    </row>
    <row r="359">
      <c r="A359" s="1" t="s">
        <v>779</v>
      </c>
      <c r="B359" s="1" t="s">
        <v>53</v>
      </c>
      <c r="C359" s="1" t="s">
        <v>54</v>
      </c>
      <c r="D359" s="1" t="s">
        <v>799</v>
      </c>
      <c r="E359" s="1" t="s">
        <v>97</v>
      </c>
      <c r="F359" s="8">
        <v>46316.0</v>
      </c>
      <c r="G359" s="1" t="s">
        <v>71</v>
      </c>
      <c r="H359" s="1" t="s">
        <v>798</v>
      </c>
      <c r="K359" s="1" t="s">
        <v>235</v>
      </c>
      <c r="L359" s="1" t="s">
        <v>99</v>
      </c>
      <c r="O359" s="4">
        <v>45006.0</v>
      </c>
    </row>
    <row r="360">
      <c r="A360" s="1" t="s">
        <v>779</v>
      </c>
      <c r="B360" s="1" t="s">
        <v>342</v>
      </c>
      <c r="C360" s="1" t="s">
        <v>270</v>
      </c>
      <c r="D360" s="1" t="s">
        <v>800</v>
      </c>
      <c r="E360" s="1" t="s">
        <v>32</v>
      </c>
      <c r="F360" s="4">
        <v>46174.0</v>
      </c>
      <c r="H360" s="1" t="s">
        <v>33</v>
      </c>
      <c r="K360" s="1" t="s">
        <v>235</v>
      </c>
      <c r="L360" s="1" t="s">
        <v>35</v>
      </c>
      <c r="N360" s="4">
        <v>46174.0</v>
      </c>
      <c r="O360" s="4">
        <v>46174.0</v>
      </c>
    </row>
    <row r="361">
      <c r="A361" s="1" t="s">
        <v>779</v>
      </c>
      <c r="B361" s="1" t="s">
        <v>342</v>
      </c>
      <c r="C361" s="1" t="s">
        <v>270</v>
      </c>
      <c r="D361" s="1" t="s">
        <v>801</v>
      </c>
      <c r="E361" s="1" t="s">
        <v>32</v>
      </c>
      <c r="F361" s="4">
        <v>46174.0</v>
      </c>
      <c r="H361" s="1" t="s">
        <v>33</v>
      </c>
      <c r="K361" s="1" t="s">
        <v>235</v>
      </c>
      <c r="L361" s="1" t="s">
        <v>35</v>
      </c>
      <c r="N361" s="4">
        <v>46174.0</v>
      </c>
      <c r="O361" s="4">
        <v>46174.0</v>
      </c>
    </row>
    <row r="362">
      <c r="A362" s="1" t="s">
        <v>779</v>
      </c>
      <c r="B362" s="1" t="s">
        <v>342</v>
      </c>
      <c r="C362" s="1" t="s">
        <v>270</v>
      </c>
      <c r="D362" s="1" t="s">
        <v>802</v>
      </c>
      <c r="E362" s="1" t="s">
        <v>32</v>
      </c>
      <c r="F362" s="4">
        <v>46174.0</v>
      </c>
      <c r="H362" s="1" t="s">
        <v>33</v>
      </c>
      <c r="K362" s="1" t="s">
        <v>235</v>
      </c>
      <c r="L362" s="1" t="s">
        <v>35</v>
      </c>
      <c r="N362" s="4">
        <v>46174.0</v>
      </c>
      <c r="O362" s="4">
        <v>46174.0</v>
      </c>
    </row>
    <row r="363">
      <c r="A363" s="1" t="s">
        <v>779</v>
      </c>
      <c r="B363" s="1" t="s">
        <v>342</v>
      </c>
      <c r="C363" s="1" t="s">
        <v>270</v>
      </c>
      <c r="D363" s="1" t="s">
        <v>803</v>
      </c>
      <c r="E363" s="1" t="s">
        <v>32</v>
      </c>
      <c r="F363" s="4">
        <v>46174.0</v>
      </c>
      <c r="H363" s="1" t="s">
        <v>33</v>
      </c>
      <c r="K363" s="1" t="s">
        <v>235</v>
      </c>
      <c r="L363" s="1" t="s">
        <v>35</v>
      </c>
      <c r="N363" s="4">
        <v>46174.0</v>
      </c>
      <c r="O363" s="4">
        <v>46174.0</v>
      </c>
    </row>
    <row r="364">
      <c r="A364" s="1" t="s">
        <v>779</v>
      </c>
      <c r="B364" s="1" t="s">
        <v>342</v>
      </c>
      <c r="C364" s="1" t="s">
        <v>270</v>
      </c>
      <c r="D364" s="1" t="s">
        <v>804</v>
      </c>
      <c r="E364" s="1" t="s">
        <v>32</v>
      </c>
      <c r="F364" s="4">
        <v>46174.0</v>
      </c>
      <c r="H364" s="1" t="s">
        <v>33</v>
      </c>
      <c r="K364" s="1" t="s">
        <v>235</v>
      </c>
      <c r="L364" s="1" t="s">
        <v>35</v>
      </c>
      <c r="N364" s="4">
        <v>46174.0</v>
      </c>
      <c r="O364" s="4">
        <v>46174.0</v>
      </c>
    </row>
    <row r="365">
      <c r="A365" s="1" t="s">
        <v>779</v>
      </c>
      <c r="B365" s="1" t="s">
        <v>342</v>
      </c>
      <c r="C365" s="1" t="s">
        <v>270</v>
      </c>
      <c r="D365" s="1" t="s">
        <v>805</v>
      </c>
      <c r="E365" s="1" t="s">
        <v>32</v>
      </c>
      <c r="F365" s="4">
        <v>46174.0</v>
      </c>
      <c r="H365" s="1" t="s">
        <v>33</v>
      </c>
      <c r="K365" s="1" t="s">
        <v>235</v>
      </c>
      <c r="L365" s="1" t="s">
        <v>35</v>
      </c>
      <c r="N365" s="4">
        <v>46174.0</v>
      </c>
      <c r="O365" s="4">
        <v>46174.0</v>
      </c>
    </row>
    <row r="366">
      <c r="A366" s="1" t="s">
        <v>806</v>
      </c>
      <c r="B366" s="1" t="s">
        <v>807</v>
      </c>
      <c r="C366" s="1" t="s">
        <v>808</v>
      </c>
      <c r="D366" s="1" t="s">
        <v>809</v>
      </c>
      <c r="E366" s="1" t="s">
        <v>97</v>
      </c>
      <c r="F366" s="4">
        <v>46174.0</v>
      </c>
      <c r="G366" s="1" t="s">
        <v>71</v>
      </c>
      <c r="H366" s="1" t="s">
        <v>810</v>
      </c>
      <c r="K366" s="1" t="s">
        <v>811</v>
      </c>
      <c r="L366" s="1" t="s">
        <v>99</v>
      </c>
      <c r="O366" s="4">
        <v>44995.0</v>
      </c>
    </row>
    <row r="367">
      <c r="A367" s="1" t="s">
        <v>806</v>
      </c>
      <c r="B367" s="1" t="s">
        <v>807</v>
      </c>
      <c r="C367" s="1" t="s">
        <v>808</v>
      </c>
      <c r="D367" s="1" t="s">
        <v>812</v>
      </c>
      <c r="E367" s="1" t="s">
        <v>97</v>
      </c>
      <c r="F367" s="4">
        <v>46174.0</v>
      </c>
      <c r="G367" s="1" t="s">
        <v>71</v>
      </c>
      <c r="H367" s="1" t="s">
        <v>810</v>
      </c>
      <c r="K367" s="1" t="s">
        <v>811</v>
      </c>
      <c r="L367" s="1" t="s">
        <v>99</v>
      </c>
      <c r="O367" s="4">
        <v>44995.0</v>
      </c>
    </row>
    <row r="368">
      <c r="A368" s="1" t="s">
        <v>806</v>
      </c>
      <c r="B368" s="1" t="s">
        <v>807</v>
      </c>
      <c r="C368" s="1" t="s">
        <v>808</v>
      </c>
      <c r="D368" s="1" t="s">
        <v>813</v>
      </c>
      <c r="E368" s="1" t="s">
        <v>97</v>
      </c>
      <c r="F368" s="4">
        <v>46174.0</v>
      </c>
      <c r="G368" s="1" t="s">
        <v>71</v>
      </c>
      <c r="H368" s="1" t="s">
        <v>810</v>
      </c>
      <c r="K368" s="1" t="s">
        <v>811</v>
      </c>
      <c r="L368" s="1" t="s">
        <v>99</v>
      </c>
      <c r="O368" s="4">
        <v>44995.0</v>
      </c>
    </row>
    <row r="369">
      <c r="A369" s="1" t="s">
        <v>806</v>
      </c>
      <c r="B369" s="1" t="s">
        <v>807</v>
      </c>
      <c r="C369" s="1" t="s">
        <v>808</v>
      </c>
      <c r="D369" s="1" t="s">
        <v>814</v>
      </c>
      <c r="E369" s="1" t="s">
        <v>97</v>
      </c>
      <c r="F369" s="4">
        <v>46174.0</v>
      </c>
      <c r="G369" s="1" t="s">
        <v>71</v>
      </c>
      <c r="H369" s="1" t="s">
        <v>810</v>
      </c>
      <c r="K369" s="1" t="s">
        <v>811</v>
      </c>
      <c r="L369" s="1" t="s">
        <v>99</v>
      </c>
      <c r="O369" s="4">
        <v>44995.0</v>
      </c>
    </row>
    <row r="370">
      <c r="A370" s="1" t="s">
        <v>806</v>
      </c>
      <c r="B370" s="1" t="s">
        <v>807</v>
      </c>
      <c r="C370" s="1" t="s">
        <v>808</v>
      </c>
      <c r="D370" s="1" t="s">
        <v>815</v>
      </c>
      <c r="E370" s="1" t="s">
        <v>97</v>
      </c>
      <c r="F370" s="4">
        <v>46174.0</v>
      </c>
      <c r="G370" s="1" t="s">
        <v>71</v>
      </c>
      <c r="H370" s="1" t="s">
        <v>810</v>
      </c>
      <c r="K370" s="1" t="s">
        <v>811</v>
      </c>
      <c r="L370" s="1" t="s">
        <v>99</v>
      </c>
      <c r="O370" s="4">
        <v>45012.0</v>
      </c>
    </row>
    <row r="371">
      <c r="A371" s="1" t="s">
        <v>806</v>
      </c>
      <c r="B371" s="1" t="s">
        <v>807</v>
      </c>
      <c r="C371" s="1" t="s">
        <v>808</v>
      </c>
      <c r="D371" s="1" t="s">
        <v>816</v>
      </c>
      <c r="E371" s="1" t="s">
        <v>97</v>
      </c>
      <c r="F371" s="4">
        <v>46174.0</v>
      </c>
      <c r="G371" s="1" t="s">
        <v>71</v>
      </c>
      <c r="H371" s="1" t="s">
        <v>810</v>
      </c>
      <c r="K371" s="1" t="s">
        <v>811</v>
      </c>
      <c r="L371" s="1" t="s">
        <v>99</v>
      </c>
      <c r="O371" s="4">
        <v>44995.0</v>
      </c>
    </row>
    <row r="372">
      <c r="A372" s="1" t="s">
        <v>806</v>
      </c>
      <c r="B372" s="1" t="s">
        <v>807</v>
      </c>
      <c r="C372" s="1" t="s">
        <v>808</v>
      </c>
      <c r="D372" s="1" t="s">
        <v>817</v>
      </c>
      <c r="E372" s="1" t="s">
        <v>97</v>
      </c>
      <c r="F372" s="4">
        <v>46174.0</v>
      </c>
      <c r="G372" s="1" t="s">
        <v>71</v>
      </c>
      <c r="H372" s="1" t="s">
        <v>810</v>
      </c>
      <c r="K372" s="1" t="s">
        <v>811</v>
      </c>
      <c r="L372" s="1" t="s">
        <v>99</v>
      </c>
      <c r="O372" s="4">
        <v>44995.0</v>
      </c>
    </row>
    <row r="373">
      <c r="A373" s="1" t="s">
        <v>806</v>
      </c>
      <c r="B373" s="1" t="s">
        <v>807</v>
      </c>
      <c r="C373" s="1" t="s">
        <v>808</v>
      </c>
      <c r="D373" s="1" t="s">
        <v>818</v>
      </c>
      <c r="E373" s="1" t="s">
        <v>97</v>
      </c>
      <c r="F373" s="4">
        <v>46174.0</v>
      </c>
      <c r="G373" s="1" t="s">
        <v>71</v>
      </c>
      <c r="H373" s="1" t="s">
        <v>810</v>
      </c>
      <c r="K373" s="1" t="s">
        <v>811</v>
      </c>
      <c r="L373" s="1" t="s">
        <v>99</v>
      </c>
      <c r="O373" s="4">
        <v>44995.0</v>
      </c>
    </row>
    <row r="374">
      <c r="A374" s="1" t="s">
        <v>806</v>
      </c>
      <c r="B374" s="1" t="s">
        <v>807</v>
      </c>
      <c r="C374" s="1" t="s">
        <v>808</v>
      </c>
      <c r="D374" s="1" t="s">
        <v>819</v>
      </c>
      <c r="E374" s="1" t="s">
        <v>97</v>
      </c>
      <c r="F374" s="4">
        <v>46174.0</v>
      </c>
      <c r="G374" s="1" t="s">
        <v>71</v>
      </c>
      <c r="H374" s="1" t="s">
        <v>810</v>
      </c>
      <c r="K374" s="1" t="s">
        <v>811</v>
      </c>
      <c r="L374" s="1" t="s">
        <v>99</v>
      </c>
      <c r="O374" s="4">
        <v>44995.0</v>
      </c>
    </row>
    <row r="375">
      <c r="A375" s="1" t="s">
        <v>806</v>
      </c>
      <c r="B375" s="1" t="s">
        <v>807</v>
      </c>
      <c r="C375" s="1" t="s">
        <v>808</v>
      </c>
      <c r="D375" s="1" t="s">
        <v>820</v>
      </c>
      <c r="E375" s="1" t="s">
        <v>97</v>
      </c>
      <c r="F375" s="4">
        <v>46174.0</v>
      </c>
      <c r="G375" s="1" t="s">
        <v>71</v>
      </c>
      <c r="H375" s="1" t="s">
        <v>810</v>
      </c>
      <c r="K375" s="1" t="s">
        <v>811</v>
      </c>
      <c r="L375" s="1" t="s">
        <v>99</v>
      </c>
      <c r="O375" s="4">
        <v>44995.0</v>
      </c>
    </row>
    <row r="376">
      <c r="A376" s="1" t="s">
        <v>806</v>
      </c>
      <c r="B376" s="1" t="s">
        <v>807</v>
      </c>
      <c r="C376" s="1" t="s">
        <v>808</v>
      </c>
      <c r="D376" s="1" t="s">
        <v>821</v>
      </c>
      <c r="E376" s="1" t="s">
        <v>97</v>
      </c>
      <c r="F376" s="4">
        <v>46174.0</v>
      </c>
      <c r="G376" s="1" t="s">
        <v>71</v>
      </c>
      <c r="H376" s="1" t="s">
        <v>810</v>
      </c>
      <c r="K376" s="1" t="s">
        <v>811</v>
      </c>
      <c r="L376" s="1" t="s">
        <v>99</v>
      </c>
      <c r="O376" s="4">
        <v>44995.0</v>
      </c>
    </row>
    <row r="377">
      <c r="A377" s="1" t="s">
        <v>806</v>
      </c>
      <c r="B377" s="1" t="s">
        <v>212</v>
      </c>
      <c r="C377" s="1" t="s">
        <v>822</v>
      </c>
      <c r="D377" s="1" t="s">
        <v>823</v>
      </c>
      <c r="E377" s="1" t="s">
        <v>97</v>
      </c>
      <c r="F377" s="4">
        <v>46297.0</v>
      </c>
      <c r="G377" s="1" t="s">
        <v>71</v>
      </c>
      <c r="K377" s="1" t="s">
        <v>811</v>
      </c>
      <c r="L377" s="1" t="s">
        <v>99</v>
      </c>
      <c r="O377" s="4">
        <v>44995.0</v>
      </c>
    </row>
    <row r="378">
      <c r="A378" s="1" t="s">
        <v>806</v>
      </c>
      <c r="B378" s="1" t="s">
        <v>212</v>
      </c>
      <c r="C378" s="1" t="s">
        <v>822</v>
      </c>
      <c r="D378" s="1" t="s">
        <v>824</v>
      </c>
      <c r="E378" s="1" t="s">
        <v>97</v>
      </c>
      <c r="F378" s="4">
        <v>46297.0</v>
      </c>
      <c r="G378" s="1" t="s">
        <v>71</v>
      </c>
      <c r="K378" s="1" t="s">
        <v>811</v>
      </c>
      <c r="L378" s="1" t="s">
        <v>99</v>
      </c>
      <c r="O378" s="4">
        <v>44995.0</v>
      </c>
    </row>
    <row r="379">
      <c r="A379" s="1" t="s">
        <v>806</v>
      </c>
      <c r="B379" s="1" t="s">
        <v>212</v>
      </c>
      <c r="C379" s="1" t="s">
        <v>822</v>
      </c>
      <c r="D379" s="1" t="s">
        <v>825</v>
      </c>
      <c r="E379" s="1" t="s">
        <v>97</v>
      </c>
      <c r="F379" s="4">
        <v>46297.0</v>
      </c>
      <c r="G379" s="1" t="s">
        <v>71</v>
      </c>
      <c r="K379" s="1" t="s">
        <v>811</v>
      </c>
      <c r="L379" s="1" t="s">
        <v>99</v>
      </c>
      <c r="O379" s="4">
        <v>44995.0</v>
      </c>
    </row>
    <row r="380">
      <c r="A380" s="1" t="s">
        <v>806</v>
      </c>
      <c r="B380" s="1" t="s">
        <v>212</v>
      </c>
      <c r="C380" s="1" t="s">
        <v>822</v>
      </c>
      <c r="D380" s="1" t="s">
        <v>826</v>
      </c>
      <c r="E380" s="1" t="s">
        <v>97</v>
      </c>
      <c r="F380" s="4">
        <v>46297.0</v>
      </c>
      <c r="G380" s="1" t="s">
        <v>71</v>
      </c>
      <c r="K380" s="1" t="s">
        <v>811</v>
      </c>
      <c r="L380" s="1" t="s">
        <v>99</v>
      </c>
      <c r="O380" s="4">
        <v>44995.0</v>
      </c>
    </row>
    <row r="381">
      <c r="A381" s="1" t="s">
        <v>806</v>
      </c>
      <c r="B381" s="1" t="s">
        <v>212</v>
      </c>
      <c r="C381" s="1" t="s">
        <v>822</v>
      </c>
      <c r="D381" s="1" t="s">
        <v>827</v>
      </c>
      <c r="E381" s="1" t="s">
        <v>97</v>
      </c>
      <c r="F381" s="4">
        <v>46297.0</v>
      </c>
      <c r="G381" s="1" t="s">
        <v>71</v>
      </c>
      <c r="K381" s="1" t="s">
        <v>811</v>
      </c>
      <c r="L381" s="1" t="s">
        <v>99</v>
      </c>
      <c r="O381" s="4">
        <v>44995.0</v>
      </c>
    </row>
    <row r="382">
      <c r="A382" s="1" t="s">
        <v>806</v>
      </c>
      <c r="B382" s="1" t="s">
        <v>212</v>
      </c>
      <c r="C382" s="1" t="s">
        <v>822</v>
      </c>
      <c r="D382" s="1" t="s">
        <v>828</v>
      </c>
      <c r="E382" s="1" t="s">
        <v>97</v>
      </c>
      <c r="F382" s="4">
        <v>46297.0</v>
      </c>
      <c r="G382" s="1" t="s">
        <v>71</v>
      </c>
      <c r="K382" s="1" t="s">
        <v>811</v>
      </c>
      <c r="L382" s="1" t="s">
        <v>99</v>
      </c>
      <c r="O382" s="4">
        <v>44995.0</v>
      </c>
    </row>
    <row r="383">
      <c r="A383" s="1" t="s">
        <v>806</v>
      </c>
      <c r="B383" s="1" t="s">
        <v>291</v>
      </c>
      <c r="C383" s="1" t="s">
        <v>292</v>
      </c>
      <c r="D383" s="1" t="s">
        <v>829</v>
      </c>
      <c r="E383" s="1" t="s">
        <v>97</v>
      </c>
      <c r="F383" s="8">
        <v>46312.0</v>
      </c>
      <c r="G383" s="1" t="s">
        <v>71</v>
      </c>
      <c r="K383" s="1" t="s">
        <v>811</v>
      </c>
      <c r="L383" s="1" t="s">
        <v>99</v>
      </c>
      <c r="O383" s="4">
        <v>44995.0</v>
      </c>
    </row>
    <row r="384">
      <c r="A384" s="1" t="s">
        <v>806</v>
      </c>
      <c r="B384" s="1" t="s">
        <v>291</v>
      </c>
      <c r="C384" s="1" t="s">
        <v>292</v>
      </c>
      <c r="D384" s="1" t="s">
        <v>830</v>
      </c>
      <c r="E384" s="1" t="s">
        <v>97</v>
      </c>
      <c r="F384" s="8">
        <v>46312.0</v>
      </c>
      <c r="G384" s="1" t="s">
        <v>71</v>
      </c>
      <c r="K384" s="1" t="s">
        <v>811</v>
      </c>
      <c r="L384" s="1" t="s">
        <v>99</v>
      </c>
      <c r="O384" s="4">
        <v>44995.0</v>
      </c>
    </row>
    <row r="385">
      <c r="A385" s="1" t="s">
        <v>806</v>
      </c>
      <c r="B385" s="1" t="s">
        <v>291</v>
      </c>
      <c r="C385" s="1" t="s">
        <v>292</v>
      </c>
      <c r="D385" s="1" t="s">
        <v>831</v>
      </c>
      <c r="E385" s="1" t="s">
        <v>97</v>
      </c>
      <c r="F385" s="8">
        <v>46312.0</v>
      </c>
      <c r="G385" s="1" t="s">
        <v>71</v>
      </c>
      <c r="K385" s="1" t="s">
        <v>811</v>
      </c>
      <c r="L385" s="1" t="s">
        <v>99</v>
      </c>
      <c r="O385" s="4">
        <v>44995.0</v>
      </c>
    </row>
    <row r="386">
      <c r="A386" s="1" t="s">
        <v>806</v>
      </c>
      <c r="B386" s="1" t="s">
        <v>291</v>
      </c>
      <c r="C386" s="1" t="s">
        <v>292</v>
      </c>
      <c r="D386" s="1" t="s">
        <v>832</v>
      </c>
      <c r="E386" s="1" t="s">
        <v>97</v>
      </c>
      <c r="F386" s="8">
        <v>46312.0</v>
      </c>
      <c r="G386" s="1" t="s">
        <v>71</v>
      </c>
      <c r="K386" s="1" t="s">
        <v>811</v>
      </c>
      <c r="L386" s="1" t="s">
        <v>99</v>
      </c>
      <c r="O386" s="4">
        <v>44995.0</v>
      </c>
    </row>
    <row r="387">
      <c r="A387" s="1" t="s">
        <v>806</v>
      </c>
      <c r="B387" s="1" t="s">
        <v>291</v>
      </c>
      <c r="C387" s="1" t="s">
        <v>292</v>
      </c>
      <c r="D387" s="1" t="s">
        <v>833</v>
      </c>
      <c r="E387" s="1" t="s">
        <v>97</v>
      </c>
      <c r="F387" s="8">
        <v>46312.0</v>
      </c>
      <c r="G387" s="1" t="s">
        <v>71</v>
      </c>
      <c r="K387" s="1" t="s">
        <v>811</v>
      </c>
      <c r="L387" s="1" t="s">
        <v>99</v>
      </c>
      <c r="O387" s="4">
        <v>44995.0</v>
      </c>
    </row>
    <row r="388">
      <c r="A388" s="1" t="s">
        <v>806</v>
      </c>
      <c r="B388" s="1" t="s">
        <v>291</v>
      </c>
      <c r="C388" s="1" t="s">
        <v>292</v>
      </c>
      <c r="D388" s="1" t="s">
        <v>834</v>
      </c>
      <c r="E388" s="1" t="s">
        <v>97</v>
      </c>
      <c r="F388" s="8">
        <v>46312.0</v>
      </c>
      <c r="G388" s="1" t="s">
        <v>71</v>
      </c>
      <c r="K388" s="1" t="s">
        <v>811</v>
      </c>
      <c r="L388" s="1" t="s">
        <v>99</v>
      </c>
      <c r="O388" s="4">
        <v>44995.0</v>
      </c>
    </row>
    <row r="389">
      <c r="A389" s="1" t="s">
        <v>806</v>
      </c>
      <c r="B389" s="1" t="s">
        <v>835</v>
      </c>
      <c r="C389" s="1" t="s">
        <v>836</v>
      </c>
      <c r="D389" s="1" t="s">
        <v>837</v>
      </c>
      <c r="E389" s="1" t="s">
        <v>97</v>
      </c>
      <c r="F389" s="8">
        <v>46311.0</v>
      </c>
      <c r="G389" s="1" t="s">
        <v>71</v>
      </c>
      <c r="H389" s="1" t="s">
        <v>838</v>
      </c>
      <c r="K389" s="1" t="s">
        <v>811</v>
      </c>
      <c r="L389" s="1" t="s">
        <v>99</v>
      </c>
      <c r="O389" s="4">
        <v>44995.0</v>
      </c>
    </row>
    <row r="390">
      <c r="A390" s="1" t="s">
        <v>806</v>
      </c>
      <c r="B390" s="1" t="s">
        <v>835</v>
      </c>
      <c r="C390" s="1" t="s">
        <v>836</v>
      </c>
      <c r="D390" s="1" t="s">
        <v>839</v>
      </c>
      <c r="E390" s="1" t="s">
        <v>97</v>
      </c>
      <c r="F390" s="8">
        <v>46311.0</v>
      </c>
      <c r="G390" s="1" t="s">
        <v>71</v>
      </c>
      <c r="H390" s="1" t="s">
        <v>838</v>
      </c>
      <c r="K390" s="1" t="s">
        <v>811</v>
      </c>
      <c r="L390" s="1" t="s">
        <v>99</v>
      </c>
      <c r="O390" s="4">
        <v>44995.0</v>
      </c>
    </row>
    <row r="391">
      <c r="A391" s="1" t="s">
        <v>806</v>
      </c>
      <c r="B391" s="1" t="s">
        <v>835</v>
      </c>
      <c r="C391" s="1" t="s">
        <v>836</v>
      </c>
      <c r="D391" s="1" t="s">
        <v>840</v>
      </c>
      <c r="E391" s="1" t="s">
        <v>70</v>
      </c>
      <c r="F391" s="8">
        <v>46311.0</v>
      </c>
      <c r="G391" s="1" t="s">
        <v>107</v>
      </c>
      <c r="H391" s="1" t="s">
        <v>841</v>
      </c>
      <c r="J391" s="1" t="s">
        <v>47</v>
      </c>
      <c r="K391" s="1" t="s">
        <v>811</v>
      </c>
      <c r="L391" s="1" t="s">
        <v>99</v>
      </c>
      <c r="O391" s="4">
        <v>44995.0</v>
      </c>
    </row>
    <row r="392">
      <c r="A392" s="1" t="s">
        <v>806</v>
      </c>
      <c r="B392" s="1" t="s">
        <v>842</v>
      </c>
      <c r="C392" s="1" t="s">
        <v>843</v>
      </c>
      <c r="D392" s="1" t="s">
        <v>844</v>
      </c>
      <c r="E392" s="1" t="s">
        <v>97</v>
      </c>
      <c r="F392" s="4">
        <v>46267.0</v>
      </c>
      <c r="G392" s="1" t="s">
        <v>71</v>
      </c>
      <c r="H392" s="1" t="s">
        <v>845</v>
      </c>
      <c r="K392" s="1" t="s">
        <v>811</v>
      </c>
      <c r="L392" s="1" t="s">
        <v>99</v>
      </c>
      <c r="O392" s="4">
        <v>44995.0</v>
      </c>
    </row>
    <row r="393">
      <c r="A393" s="1" t="s">
        <v>806</v>
      </c>
      <c r="B393" s="1" t="s">
        <v>842</v>
      </c>
      <c r="C393" s="1" t="s">
        <v>843</v>
      </c>
      <c r="D393" s="1" t="s">
        <v>846</v>
      </c>
      <c r="E393" s="1" t="s">
        <v>97</v>
      </c>
      <c r="F393" s="4">
        <v>46267.0</v>
      </c>
      <c r="G393" s="1" t="s">
        <v>71</v>
      </c>
      <c r="H393" s="1" t="s">
        <v>845</v>
      </c>
      <c r="K393" s="1" t="s">
        <v>811</v>
      </c>
      <c r="L393" s="1" t="s">
        <v>99</v>
      </c>
      <c r="O393" s="4">
        <v>44995.0</v>
      </c>
    </row>
    <row r="394">
      <c r="A394" s="1" t="s">
        <v>806</v>
      </c>
      <c r="B394" s="1" t="s">
        <v>842</v>
      </c>
      <c r="C394" s="1" t="s">
        <v>843</v>
      </c>
      <c r="D394" s="1" t="s">
        <v>847</v>
      </c>
      <c r="E394" s="1" t="s">
        <v>97</v>
      </c>
      <c r="F394" s="4">
        <v>46267.0</v>
      </c>
      <c r="G394" s="1" t="s">
        <v>71</v>
      </c>
      <c r="H394" s="1" t="s">
        <v>845</v>
      </c>
      <c r="K394" s="1" t="s">
        <v>811</v>
      </c>
      <c r="L394" s="1" t="s">
        <v>99</v>
      </c>
      <c r="O394" s="4">
        <v>44995.0</v>
      </c>
    </row>
    <row r="395">
      <c r="A395" s="1" t="s">
        <v>806</v>
      </c>
      <c r="B395" s="1" t="s">
        <v>842</v>
      </c>
      <c r="C395" s="1" t="s">
        <v>843</v>
      </c>
      <c r="D395" s="1" t="s">
        <v>848</v>
      </c>
      <c r="E395" s="1" t="s">
        <v>97</v>
      </c>
      <c r="F395" s="4">
        <v>46267.0</v>
      </c>
      <c r="G395" s="1" t="s">
        <v>71</v>
      </c>
      <c r="H395" s="1" t="s">
        <v>845</v>
      </c>
      <c r="K395" s="1" t="s">
        <v>811</v>
      </c>
      <c r="L395" s="1" t="s">
        <v>99</v>
      </c>
      <c r="O395" s="4">
        <v>44995.0</v>
      </c>
    </row>
    <row r="396">
      <c r="A396" s="1" t="s">
        <v>806</v>
      </c>
      <c r="B396" s="1" t="s">
        <v>842</v>
      </c>
      <c r="C396" s="1" t="s">
        <v>843</v>
      </c>
      <c r="D396" s="1" t="s">
        <v>849</v>
      </c>
      <c r="E396" s="1" t="s">
        <v>97</v>
      </c>
      <c r="F396" s="4">
        <v>46267.0</v>
      </c>
      <c r="G396" s="1" t="s">
        <v>71</v>
      </c>
      <c r="H396" s="1" t="s">
        <v>845</v>
      </c>
      <c r="K396" s="1" t="s">
        <v>811</v>
      </c>
      <c r="L396" s="1" t="s">
        <v>99</v>
      </c>
      <c r="O396" s="4">
        <v>44995.0</v>
      </c>
    </row>
    <row r="397">
      <c r="A397" s="1" t="s">
        <v>806</v>
      </c>
      <c r="B397" s="1" t="s">
        <v>842</v>
      </c>
      <c r="C397" s="1" t="s">
        <v>843</v>
      </c>
      <c r="D397" s="1" t="s">
        <v>850</v>
      </c>
      <c r="E397" s="1" t="s">
        <v>97</v>
      </c>
      <c r="F397" s="4">
        <v>46267.0</v>
      </c>
      <c r="G397" s="1" t="s">
        <v>71</v>
      </c>
      <c r="H397" s="1" t="s">
        <v>845</v>
      </c>
      <c r="K397" s="1" t="s">
        <v>811</v>
      </c>
      <c r="L397" s="1" t="s">
        <v>99</v>
      </c>
      <c r="O397" s="4">
        <v>44995.0</v>
      </c>
    </row>
    <row r="398">
      <c r="A398" s="1" t="s">
        <v>806</v>
      </c>
      <c r="B398" s="1" t="s">
        <v>842</v>
      </c>
      <c r="C398" s="1" t="s">
        <v>843</v>
      </c>
      <c r="D398" s="1" t="s">
        <v>851</v>
      </c>
      <c r="E398" s="1" t="s">
        <v>97</v>
      </c>
      <c r="F398" s="4">
        <v>46267.0</v>
      </c>
      <c r="G398" s="1" t="s">
        <v>71</v>
      </c>
      <c r="H398" s="1" t="s">
        <v>845</v>
      </c>
      <c r="K398" s="1" t="s">
        <v>811</v>
      </c>
      <c r="L398" s="1" t="s">
        <v>99</v>
      </c>
      <c r="O398" s="4">
        <v>44995.0</v>
      </c>
    </row>
    <row r="399">
      <c r="A399" s="1" t="s">
        <v>806</v>
      </c>
      <c r="B399" s="1" t="s">
        <v>842</v>
      </c>
      <c r="C399" s="1" t="s">
        <v>843</v>
      </c>
      <c r="D399" s="1" t="s">
        <v>852</v>
      </c>
      <c r="E399" s="1" t="s">
        <v>97</v>
      </c>
      <c r="F399" s="4">
        <v>46267.0</v>
      </c>
      <c r="G399" s="1" t="s">
        <v>71</v>
      </c>
      <c r="H399" s="1" t="s">
        <v>845</v>
      </c>
      <c r="K399" s="1" t="s">
        <v>811</v>
      </c>
      <c r="L399" s="1" t="s">
        <v>99</v>
      </c>
      <c r="O399" s="4">
        <v>44995.0</v>
      </c>
    </row>
    <row r="400">
      <c r="A400" s="1" t="s">
        <v>806</v>
      </c>
      <c r="B400" s="1" t="s">
        <v>63</v>
      </c>
      <c r="C400" s="1" t="s">
        <v>64</v>
      </c>
      <c r="D400" s="1" t="s">
        <v>853</v>
      </c>
      <c r="E400" s="1" t="s">
        <v>70</v>
      </c>
      <c r="F400" s="8">
        <v>46318.0</v>
      </c>
      <c r="G400" s="1" t="s">
        <v>71</v>
      </c>
      <c r="K400" s="1" t="s">
        <v>811</v>
      </c>
      <c r="L400" s="1" t="s">
        <v>99</v>
      </c>
      <c r="O400" s="4">
        <v>44995.0</v>
      </c>
    </row>
    <row r="401">
      <c r="A401" s="1" t="s">
        <v>806</v>
      </c>
      <c r="B401" s="1" t="s">
        <v>63</v>
      </c>
      <c r="C401" s="1" t="s">
        <v>64</v>
      </c>
      <c r="D401" s="1" t="s">
        <v>854</v>
      </c>
      <c r="E401" s="1" t="s">
        <v>70</v>
      </c>
      <c r="F401" s="8">
        <v>46318.0</v>
      </c>
      <c r="G401" s="1" t="s">
        <v>71</v>
      </c>
      <c r="K401" s="1" t="s">
        <v>811</v>
      </c>
      <c r="L401" s="1" t="s">
        <v>99</v>
      </c>
      <c r="O401" s="4">
        <v>44995.0</v>
      </c>
    </row>
    <row r="402">
      <c r="A402" s="1" t="s">
        <v>806</v>
      </c>
      <c r="B402" s="1" t="s">
        <v>63</v>
      </c>
      <c r="C402" s="1" t="s">
        <v>64</v>
      </c>
      <c r="D402" s="1" t="s">
        <v>855</v>
      </c>
      <c r="E402" s="1" t="s">
        <v>70</v>
      </c>
      <c r="F402" s="8">
        <v>46318.0</v>
      </c>
      <c r="G402" s="1" t="s">
        <v>71</v>
      </c>
      <c r="K402" s="1" t="s">
        <v>811</v>
      </c>
      <c r="L402" s="1" t="s">
        <v>99</v>
      </c>
      <c r="O402" s="4">
        <v>44995.0</v>
      </c>
    </row>
    <row r="403">
      <c r="A403" s="1" t="s">
        <v>806</v>
      </c>
      <c r="B403" s="1" t="s">
        <v>63</v>
      </c>
      <c r="C403" s="1" t="s">
        <v>64</v>
      </c>
      <c r="D403" s="1" t="s">
        <v>856</v>
      </c>
      <c r="E403" s="1" t="s">
        <v>70</v>
      </c>
      <c r="F403" s="8">
        <v>46318.0</v>
      </c>
      <c r="G403" s="1" t="s">
        <v>71</v>
      </c>
      <c r="K403" s="1" t="s">
        <v>811</v>
      </c>
      <c r="L403" s="1" t="s">
        <v>99</v>
      </c>
      <c r="O403" s="4">
        <v>44995.0</v>
      </c>
    </row>
    <row r="404">
      <c r="A404" s="1" t="s">
        <v>806</v>
      </c>
      <c r="B404" s="1" t="s">
        <v>63</v>
      </c>
      <c r="C404" s="1" t="s">
        <v>64</v>
      </c>
      <c r="D404" s="1" t="s">
        <v>857</v>
      </c>
      <c r="E404" s="1" t="s">
        <v>70</v>
      </c>
      <c r="F404" s="8">
        <v>46318.0</v>
      </c>
      <c r="G404" s="1" t="s">
        <v>71</v>
      </c>
      <c r="K404" s="1" t="s">
        <v>811</v>
      </c>
      <c r="L404" s="1" t="s">
        <v>99</v>
      </c>
      <c r="O404" s="4">
        <v>44995.0</v>
      </c>
    </row>
    <row r="405">
      <c r="A405" s="1" t="s">
        <v>806</v>
      </c>
      <c r="B405" s="1" t="s">
        <v>63</v>
      </c>
      <c r="C405" s="1" t="s">
        <v>64</v>
      </c>
      <c r="D405" s="1" t="s">
        <v>858</v>
      </c>
      <c r="E405" s="1" t="s">
        <v>70</v>
      </c>
      <c r="F405" s="8">
        <v>46318.0</v>
      </c>
      <c r="G405" s="1" t="s">
        <v>71</v>
      </c>
      <c r="K405" s="1" t="s">
        <v>811</v>
      </c>
      <c r="L405" s="1" t="s">
        <v>99</v>
      </c>
      <c r="O405" s="4">
        <v>44995.0</v>
      </c>
    </row>
    <row r="406">
      <c r="A406" s="1" t="s">
        <v>859</v>
      </c>
      <c r="B406" s="1" t="s">
        <v>860</v>
      </c>
      <c r="C406" s="1" t="s">
        <v>861</v>
      </c>
      <c r="D406" s="1" t="s">
        <v>862</v>
      </c>
      <c r="E406" s="1" t="s">
        <v>97</v>
      </c>
      <c r="F406" s="8">
        <v>46310.0</v>
      </c>
      <c r="G406" s="1" t="s">
        <v>107</v>
      </c>
      <c r="H406" s="1" t="s">
        <v>133</v>
      </c>
      <c r="J406" s="1" t="s">
        <v>562</v>
      </c>
      <c r="K406" s="1" t="s">
        <v>366</v>
      </c>
      <c r="L406" s="1" t="s">
        <v>99</v>
      </c>
      <c r="O406" s="4">
        <v>44634.0</v>
      </c>
    </row>
    <row r="407">
      <c r="A407" s="1" t="s">
        <v>863</v>
      </c>
      <c r="B407" s="1" t="s">
        <v>864</v>
      </c>
      <c r="C407" s="1" t="s">
        <v>865</v>
      </c>
      <c r="D407" s="1" t="s">
        <v>866</v>
      </c>
      <c r="E407" s="1" t="s">
        <v>32</v>
      </c>
      <c r="F407" s="4">
        <v>46140.0</v>
      </c>
      <c r="H407" s="1" t="s">
        <v>867</v>
      </c>
      <c r="K407" s="1" t="s">
        <v>372</v>
      </c>
      <c r="L407" s="1" t="s">
        <v>35</v>
      </c>
      <c r="N407" s="4">
        <v>46140.0</v>
      </c>
      <c r="O407" s="4">
        <v>46140.0</v>
      </c>
    </row>
    <row r="408">
      <c r="A408" s="1" t="s">
        <v>868</v>
      </c>
      <c r="B408" s="1" t="s">
        <v>869</v>
      </c>
      <c r="C408" s="1" t="s">
        <v>870</v>
      </c>
      <c r="D408" s="1" t="s">
        <v>871</v>
      </c>
      <c r="E408" s="1" t="s">
        <v>97</v>
      </c>
      <c r="F408" s="4">
        <v>46295.0</v>
      </c>
      <c r="G408" s="1" t="s">
        <v>71</v>
      </c>
      <c r="H408" s="1" t="s">
        <v>425</v>
      </c>
      <c r="K408" s="1" t="s">
        <v>377</v>
      </c>
      <c r="L408" s="1" t="s">
        <v>99</v>
      </c>
      <c r="O408" s="4">
        <v>45233.0</v>
      </c>
    </row>
    <row r="409">
      <c r="A409" s="1" t="s">
        <v>868</v>
      </c>
      <c r="B409" s="1" t="s">
        <v>869</v>
      </c>
      <c r="C409" s="1" t="s">
        <v>870</v>
      </c>
      <c r="D409" s="1" t="s">
        <v>872</v>
      </c>
      <c r="E409" s="1" t="s">
        <v>97</v>
      </c>
      <c r="F409" s="4">
        <v>46295.0</v>
      </c>
      <c r="G409" s="1" t="s">
        <v>132</v>
      </c>
      <c r="H409" s="1" t="s">
        <v>529</v>
      </c>
      <c r="J409" s="1" t="s">
        <v>47</v>
      </c>
      <c r="K409" s="1" t="s">
        <v>377</v>
      </c>
      <c r="L409" s="1" t="s">
        <v>99</v>
      </c>
      <c r="O409" s="4">
        <v>45233.0</v>
      </c>
    </row>
    <row r="410">
      <c r="A410" s="1" t="s">
        <v>868</v>
      </c>
      <c r="B410" s="1" t="s">
        <v>869</v>
      </c>
      <c r="C410" s="1" t="s">
        <v>870</v>
      </c>
      <c r="D410" s="1" t="s">
        <v>873</v>
      </c>
      <c r="E410" s="1" t="s">
        <v>97</v>
      </c>
      <c r="F410" s="4">
        <v>46295.0</v>
      </c>
      <c r="G410" s="1" t="s">
        <v>132</v>
      </c>
      <c r="H410" s="1" t="s">
        <v>537</v>
      </c>
      <c r="J410" s="1" t="s">
        <v>47</v>
      </c>
      <c r="K410" s="1" t="s">
        <v>377</v>
      </c>
      <c r="L410" s="1" t="s">
        <v>99</v>
      </c>
      <c r="O410" s="4">
        <v>45233.0</v>
      </c>
    </row>
    <row r="411">
      <c r="A411" s="1" t="s">
        <v>868</v>
      </c>
      <c r="B411" s="1" t="s">
        <v>74</v>
      </c>
      <c r="C411" s="1" t="s">
        <v>874</v>
      </c>
      <c r="D411" s="1" t="s">
        <v>875</v>
      </c>
      <c r="E411" s="1" t="s">
        <v>97</v>
      </c>
      <c r="F411" s="4">
        <v>46266.0</v>
      </c>
      <c r="G411" s="1" t="s">
        <v>71</v>
      </c>
      <c r="K411" s="1" t="s">
        <v>377</v>
      </c>
      <c r="L411" s="1" t="s">
        <v>99</v>
      </c>
      <c r="O411" s="4">
        <v>45233.0</v>
      </c>
    </row>
    <row r="412">
      <c r="A412" s="1" t="s">
        <v>868</v>
      </c>
      <c r="B412" s="1" t="s">
        <v>876</v>
      </c>
      <c r="C412" s="1" t="s">
        <v>877</v>
      </c>
      <c r="D412" s="1" t="s">
        <v>878</v>
      </c>
      <c r="E412" s="1" t="s">
        <v>97</v>
      </c>
      <c r="F412" s="8">
        <v>46311.0</v>
      </c>
      <c r="G412" s="1" t="s">
        <v>71</v>
      </c>
      <c r="K412" s="1" t="s">
        <v>377</v>
      </c>
      <c r="L412" s="1" t="s">
        <v>99</v>
      </c>
      <c r="O412" s="4">
        <v>45233.0</v>
      </c>
    </row>
    <row r="413">
      <c r="A413" s="1" t="s">
        <v>868</v>
      </c>
      <c r="B413" s="1" t="s">
        <v>879</v>
      </c>
      <c r="C413" s="1" t="s">
        <v>880</v>
      </c>
      <c r="D413" s="1" t="s">
        <v>881</v>
      </c>
      <c r="E413" s="1" t="s">
        <v>97</v>
      </c>
      <c r="F413" s="8">
        <v>46314.0</v>
      </c>
      <c r="G413" s="1" t="s">
        <v>71</v>
      </c>
      <c r="K413" s="1" t="s">
        <v>377</v>
      </c>
      <c r="L413" s="1" t="s">
        <v>99</v>
      </c>
      <c r="O413" s="4">
        <v>45233.0</v>
      </c>
    </row>
    <row r="414">
      <c r="A414" s="1" t="s">
        <v>882</v>
      </c>
      <c r="B414" s="1" t="s">
        <v>342</v>
      </c>
      <c r="C414" s="1" t="s">
        <v>346</v>
      </c>
      <c r="D414" s="1" t="s">
        <v>883</v>
      </c>
      <c r="E414" s="1" t="s">
        <v>32</v>
      </c>
      <c r="F414" s="4">
        <v>46181.0</v>
      </c>
      <c r="H414" s="1" t="s">
        <v>33</v>
      </c>
      <c r="K414" s="1" t="s">
        <v>254</v>
      </c>
      <c r="L414" s="1" t="s">
        <v>35</v>
      </c>
      <c r="N414" s="4">
        <v>46181.0</v>
      </c>
      <c r="O414" s="4">
        <v>46181.0</v>
      </c>
    </row>
    <row r="415">
      <c r="A415" s="1" t="s">
        <v>882</v>
      </c>
      <c r="B415" s="1" t="s">
        <v>342</v>
      </c>
      <c r="C415" s="1" t="s">
        <v>346</v>
      </c>
      <c r="D415" s="1" t="s">
        <v>884</v>
      </c>
      <c r="E415" s="1" t="s">
        <v>32</v>
      </c>
      <c r="F415" s="4">
        <v>46181.0</v>
      </c>
      <c r="H415" s="1" t="s">
        <v>33</v>
      </c>
      <c r="K415" s="1" t="s">
        <v>254</v>
      </c>
      <c r="L415" s="1" t="s">
        <v>35</v>
      </c>
      <c r="N415" s="4">
        <v>46181.0</v>
      </c>
      <c r="O415" s="4">
        <v>46181.0</v>
      </c>
    </row>
    <row r="416">
      <c r="A416" s="1" t="s">
        <v>882</v>
      </c>
      <c r="B416" s="1" t="s">
        <v>342</v>
      </c>
      <c r="C416" s="1" t="s">
        <v>346</v>
      </c>
      <c r="D416" s="1" t="s">
        <v>885</v>
      </c>
      <c r="E416" s="1" t="s">
        <v>32</v>
      </c>
      <c r="F416" s="4">
        <v>46181.0</v>
      </c>
      <c r="H416" s="1" t="s">
        <v>33</v>
      </c>
      <c r="K416" s="1" t="s">
        <v>254</v>
      </c>
      <c r="L416" s="1" t="s">
        <v>35</v>
      </c>
      <c r="N416" s="4">
        <v>46181.0</v>
      </c>
      <c r="O416" s="4">
        <v>46181.0</v>
      </c>
    </row>
    <row r="417">
      <c r="A417" s="1" t="s">
        <v>886</v>
      </c>
      <c r="B417" s="1" t="s">
        <v>776</v>
      </c>
      <c r="C417" s="1" t="s">
        <v>777</v>
      </c>
      <c r="D417" s="1" t="s">
        <v>887</v>
      </c>
      <c r="E417" s="1" t="s">
        <v>32</v>
      </c>
      <c r="F417" s="4">
        <v>46108.0</v>
      </c>
      <c r="H417" s="1" t="s">
        <v>33</v>
      </c>
      <c r="K417" s="1" t="s">
        <v>380</v>
      </c>
      <c r="L417" s="1" t="s">
        <v>35</v>
      </c>
      <c r="N417" s="4">
        <v>46108.0</v>
      </c>
      <c r="O417" s="4">
        <v>46108.0</v>
      </c>
    </row>
    <row r="418">
      <c r="A418" s="1" t="s">
        <v>888</v>
      </c>
      <c r="B418" s="1" t="s">
        <v>735</v>
      </c>
      <c r="C418" s="1" t="s">
        <v>889</v>
      </c>
      <c r="D418" s="1" t="s">
        <v>890</v>
      </c>
      <c r="E418" s="1" t="s">
        <v>32</v>
      </c>
      <c r="F418" s="4">
        <v>46203.0</v>
      </c>
      <c r="H418" s="1" t="s">
        <v>891</v>
      </c>
      <c r="K418" s="1" t="s">
        <v>235</v>
      </c>
      <c r="L418" s="1" t="s">
        <v>35</v>
      </c>
      <c r="N418" s="4">
        <v>46203.0</v>
      </c>
      <c r="O418" s="4">
        <v>46203.0</v>
      </c>
    </row>
    <row r="419">
      <c r="A419" s="1" t="s">
        <v>888</v>
      </c>
      <c r="B419" s="1" t="s">
        <v>735</v>
      </c>
      <c r="C419" s="1" t="s">
        <v>889</v>
      </c>
      <c r="D419" s="1" t="s">
        <v>892</v>
      </c>
      <c r="E419" s="1" t="s">
        <v>32</v>
      </c>
      <c r="F419" s="4">
        <v>46203.0</v>
      </c>
      <c r="H419" s="1" t="s">
        <v>33</v>
      </c>
      <c r="K419" s="1" t="s">
        <v>235</v>
      </c>
      <c r="L419" s="1" t="s">
        <v>35</v>
      </c>
      <c r="N419" s="4">
        <v>46203.0</v>
      </c>
      <c r="O419" s="4">
        <v>46203.0</v>
      </c>
    </row>
    <row r="420">
      <c r="A420" s="1" t="s">
        <v>893</v>
      </c>
      <c r="B420" s="1" t="s">
        <v>251</v>
      </c>
      <c r="C420" s="1" t="s">
        <v>252</v>
      </c>
      <c r="D420" s="1" t="s">
        <v>894</v>
      </c>
      <c r="E420" s="1" t="s">
        <v>32</v>
      </c>
      <c r="F420" s="4">
        <v>46073.0</v>
      </c>
      <c r="H420" s="1" t="s">
        <v>33</v>
      </c>
      <c r="K420" s="1" t="s">
        <v>254</v>
      </c>
      <c r="L420" s="1" t="s">
        <v>35</v>
      </c>
      <c r="N420" s="4">
        <v>46073.0</v>
      </c>
      <c r="O420" s="4">
        <v>46073.0</v>
      </c>
    </row>
    <row r="421">
      <c r="A421" s="1" t="s">
        <v>893</v>
      </c>
      <c r="B421" s="1" t="s">
        <v>251</v>
      </c>
      <c r="C421" s="1" t="s">
        <v>252</v>
      </c>
      <c r="D421" s="1" t="s">
        <v>895</v>
      </c>
      <c r="E421" s="1" t="s">
        <v>32</v>
      </c>
      <c r="F421" s="4">
        <v>46073.0</v>
      </c>
      <c r="H421" s="1" t="s">
        <v>896</v>
      </c>
      <c r="K421" s="1" t="s">
        <v>254</v>
      </c>
      <c r="L421" s="1" t="s">
        <v>35</v>
      </c>
      <c r="N421" s="4">
        <v>46073.0</v>
      </c>
      <c r="O421" s="4">
        <v>46073.0</v>
      </c>
    </row>
    <row r="422">
      <c r="A422" s="1" t="s">
        <v>897</v>
      </c>
      <c r="B422" s="1" t="s">
        <v>898</v>
      </c>
      <c r="C422" s="1" t="s">
        <v>899</v>
      </c>
      <c r="D422" s="1" t="s">
        <v>900</v>
      </c>
      <c r="E422" s="1" t="s">
        <v>32</v>
      </c>
      <c r="F422" s="4">
        <v>45968.0</v>
      </c>
      <c r="H422" s="1" t="s">
        <v>344</v>
      </c>
      <c r="K422" s="1" t="s">
        <v>243</v>
      </c>
      <c r="L422" s="1" t="s">
        <v>35</v>
      </c>
      <c r="N422" s="4">
        <v>45968.0</v>
      </c>
      <c r="O422" s="4">
        <v>45968.0</v>
      </c>
    </row>
    <row r="423">
      <c r="A423" s="1" t="s">
        <v>901</v>
      </c>
      <c r="B423" s="1" t="s">
        <v>291</v>
      </c>
      <c r="C423" s="1" t="s">
        <v>902</v>
      </c>
      <c r="D423" s="1" t="s">
        <v>903</v>
      </c>
      <c r="E423" s="1" t="s">
        <v>32</v>
      </c>
      <c r="F423" s="4">
        <v>46169.0</v>
      </c>
      <c r="H423" s="1" t="s">
        <v>904</v>
      </c>
      <c r="K423" s="1" t="s">
        <v>366</v>
      </c>
      <c r="L423" s="1" t="s">
        <v>35</v>
      </c>
      <c r="N423" s="4">
        <v>46169.0</v>
      </c>
      <c r="O423" s="4">
        <v>46169.0</v>
      </c>
    </row>
    <row r="424">
      <c r="A424" s="1" t="s">
        <v>905</v>
      </c>
      <c r="B424" s="1" t="s">
        <v>735</v>
      </c>
      <c r="C424" s="1" t="s">
        <v>736</v>
      </c>
      <c r="D424" s="1" t="s">
        <v>906</v>
      </c>
      <c r="E424" s="1" t="s">
        <v>32</v>
      </c>
      <c r="F424" s="4">
        <v>46205.0</v>
      </c>
      <c r="H424" s="1" t="s">
        <v>907</v>
      </c>
      <c r="K424" s="1" t="s">
        <v>358</v>
      </c>
      <c r="L424" s="1" t="s">
        <v>35</v>
      </c>
      <c r="N424" s="4">
        <v>46205.0</v>
      </c>
      <c r="O424" s="4">
        <v>46205.0</v>
      </c>
    </row>
    <row r="425">
      <c r="A425" s="1" t="s">
        <v>908</v>
      </c>
      <c r="B425" s="1" t="s">
        <v>909</v>
      </c>
      <c r="C425" s="1" t="s">
        <v>910</v>
      </c>
      <c r="D425" s="1" t="s">
        <v>911</v>
      </c>
      <c r="E425" s="1" t="s">
        <v>97</v>
      </c>
      <c r="F425" s="4">
        <v>46143.0</v>
      </c>
      <c r="G425" s="1" t="s">
        <v>107</v>
      </c>
      <c r="H425" s="1" t="s">
        <v>133</v>
      </c>
      <c r="J425" s="1" t="s">
        <v>295</v>
      </c>
      <c r="K425" s="1" t="s">
        <v>243</v>
      </c>
      <c r="L425" s="1" t="s">
        <v>99</v>
      </c>
      <c r="O425" s="4">
        <v>44267.0</v>
      </c>
    </row>
    <row r="426">
      <c r="A426" s="1" t="s">
        <v>908</v>
      </c>
      <c r="B426" s="1" t="s">
        <v>909</v>
      </c>
      <c r="C426" s="1" t="s">
        <v>910</v>
      </c>
      <c r="D426" s="1" t="s">
        <v>912</v>
      </c>
      <c r="E426" s="1" t="s">
        <v>97</v>
      </c>
      <c r="F426" s="4">
        <v>46143.0</v>
      </c>
      <c r="G426" s="1" t="s">
        <v>107</v>
      </c>
      <c r="H426" s="1" t="s">
        <v>133</v>
      </c>
      <c r="J426" s="1" t="s">
        <v>295</v>
      </c>
      <c r="K426" s="1" t="s">
        <v>243</v>
      </c>
      <c r="L426" s="1" t="s">
        <v>99</v>
      </c>
      <c r="O426" s="4">
        <v>44267.0</v>
      </c>
    </row>
    <row r="427">
      <c r="A427" s="1" t="s">
        <v>908</v>
      </c>
      <c r="B427" s="1" t="s">
        <v>909</v>
      </c>
      <c r="C427" s="1" t="s">
        <v>910</v>
      </c>
      <c r="D427" s="1" t="s">
        <v>913</v>
      </c>
      <c r="E427" s="1" t="s">
        <v>97</v>
      </c>
      <c r="F427" s="4">
        <v>46143.0</v>
      </c>
      <c r="G427" s="1" t="s">
        <v>107</v>
      </c>
      <c r="H427" s="1" t="s">
        <v>133</v>
      </c>
      <c r="J427" s="1" t="s">
        <v>295</v>
      </c>
      <c r="K427" s="1" t="s">
        <v>243</v>
      </c>
      <c r="L427" s="1" t="s">
        <v>99</v>
      </c>
      <c r="O427" s="4">
        <v>44267.0</v>
      </c>
    </row>
    <row r="428">
      <c r="A428" s="1" t="s">
        <v>908</v>
      </c>
      <c r="B428" s="1" t="s">
        <v>914</v>
      </c>
      <c r="C428" s="1" t="s">
        <v>861</v>
      </c>
      <c r="D428" s="1" t="s">
        <v>915</v>
      </c>
      <c r="E428" s="1" t="s">
        <v>70</v>
      </c>
      <c r="F428" s="8">
        <v>46310.0</v>
      </c>
      <c r="G428" s="1" t="s">
        <v>132</v>
      </c>
      <c r="H428" s="1" t="s">
        <v>535</v>
      </c>
      <c r="J428" s="1" t="s">
        <v>562</v>
      </c>
      <c r="K428" s="1" t="s">
        <v>243</v>
      </c>
      <c r="L428" s="1" t="s">
        <v>99</v>
      </c>
      <c r="O428" s="4">
        <v>44267.0</v>
      </c>
    </row>
    <row r="429">
      <c r="A429" s="1" t="s">
        <v>916</v>
      </c>
      <c r="B429" s="1" t="s">
        <v>336</v>
      </c>
      <c r="C429" s="1" t="s">
        <v>338</v>
      </c>
      <c r="D429" s="1" t="s">
        <v>917</v>
      </c>
      <c r="E429" s="1" t="s">
        <v>97</v>
      </c>
      <c r="F429" s="8">
        <v>46314.0</v>
      </c>
      <c r="G429" s="1" t="s">
        <v>71</v>
      </c>
      <c r="H429" s="1" t="s">
        <v>396</v>
      </c>
      <c r="K429" s="1" t="s">
        <v>918</v>
      </c>
      <c r="L429" s="1" t="s">
        <v>99</v>
      </c>
      <c r="O429" s="4">
        <v>43504.0</v>
      </c>
    </row>
    <row r="430">
      <c r="A430" s="1" t="s">
        <v>916</v>
      </c>
      <c r="B430" s="1" t="s">
        <v>255</v>
      </c>
      <c r="C430" s="1" t="s">
        <v>256</v>
      </c>
      <c r="D430" s="1" t="s">
        <v>919</v>
      </c>
      <c r="E430" s="1" t="s">
        <v>97</v>
      </c>
      <c r="F430" s="8">
        <v>46310.0</v>
      </c>
      <c r="G430" s="1" t="s">
        <v>71</v>
      </c>
      <c r="H430" s="1" t="s">
        <v>920</v>
      </c>
      <c r="K430" s="1" t="s">
        <v>918</v>
      </c>
      <c r="L430" s="1" t="s">
        <v>99</v>
      </c>
      <c r="O430" s="4">
        <v>43504.0</v>
      </c>
    </row>
    <row r="431">
      <c r="A431" s="1" t="s">
        <v>916</v>
      </c>
      <c r="B431" s="1" t="s">
        <v>255</v>
      </c>
      <c r="C431" s="1" t="s">
        <v>256</v>
      </c>
      <c r="D431" s="1" t="s">
        <v>921</v>
      </c>
      <c r="E431" s="1" t="s">
        <v>70</v>
      </c>
      <c r="F431" s="8">
        <v>46310.0</v>
      </c>
      <c r="G431" s="1" t="s">
        <v>107</v>
      </c>
      <c r="H431" s="1" t="s">
        <v>922</v>
      </c>
      <c r="J431" s="1" t="s">
        <v>134</v>
      </c>
      <c r="K431" s="1" t="s">
        <v>918</v>
      </c>
      <c r="L431" s="1" t="s">
        <v>99</v>
      </c>
      <c r="O431" s="4">
        <v>43504.0</v>
      </c>
    </row>
    <row r="432">
      <c r="A432" s="1" t="s">
        <v>916</v>
      </c>
      <c r="B432" s="1" t="s">
        <v>923</v>
      </c>
      <c r="C432" s="1" t="s">
        <v>924</v>
      </c>
      <c r="D432" s="1" t="s">
        <v>925</v>
      </c>
      <c r="E432" s="1" t="s">
        <v>97</v>
      </c>
      <c r="F432" s="8">
        <v>46314.0</v>
      </c>
      <c r="G432" s="1" t="s">
        <v>71</v>
      </c>
      <c r="K432" s="1" t="s">
        <v>918</v>
      </c>
      <c r="L432" s="1" t="s">
        <v>99</v>
      </c>
      <c r="O432" s="4">
        <v>43504.0</v>
      </c>
    </row>
    <row r="433">
      <c r="A433" s="1" t="s">
        <v>916</v>
      </c>
      <c r="B433" s="1" t="s">
        <v>923</v>
      </c>
      <c r="C433" s="1" t="s">
        <v>924</v>
      </c>
      <c r="D433" s="1" t="s">
        <v>926</v>
      </c>
      <c r="E433" s="1" t="s">
        <v>97</v>
      </c>
      <c r="F433" s="8">
        <v>46314.0</v>
      </c>
      <c r="G433" s="1" t="s">
        <v>71</v>
      </c>
      <c r="K433" s="1" t="s">
        <v>918</v>
      </c>
      <c r="L433" s="1" t="s">
        <v>99</v>
      </c>
      <c r="O433" s="4">
        <v>43504.0</v>
      </c>
    </row>
    <row r="434">
      <c r="A434" s="1" t="s">
        <v>916</v>
      </c>
      <c r="B434" s="1" t="s">
        <v>923</v>
      </c>
      <c r="C434" s="1" t="s">
        <v>924</v>
      </c>
      <c r="D434" s="1" t="s">
        <v>927</v>
      </c>
      <c r="E434" s="1" t="s">
        <v>97</v>
      </c>
      <c r="F434" s="8">
        <v>46314.0</v>
      </c>
      <c r="G434" s="1" t="s">
        <v>71</v>
      </c>
      <c r="K434" s="1" t="s">
        <v>918</v>
      </c>
      <c r="L434" s="1" t="s">
        <v>99</v>
      </c>
      <c r="O434" s="4">
        <v>43504.0</v>
      </c>
    </row>
    <row r="435">
      <c r="A435" s="1" t="s">
        <v>916</v>
      </c>
      <c r="B435" s="1" t="s">
        <v>923</v>
      </c>
      <c r="C435" s="1" t="s">
        <v>924</v>
      </c>
      <c r="D435" s="1" t="s">
        <v>928</v>
      </c>
      <c r="E435" s="1" t="s">
        <v>97</v>
      </c>
      <c r="F435" s="8">
        <v>46314.0</v>
      </c>
      <c r="G435" s="1" t="s">
        <v>71</v>
      </c>
      <c r="K435" s="1" t="s">
        <v>918</v>
      </c>
      <c r="L435" s="1" t="s">
        <v>99</v>
      </c>
      <c r="O435" s="4">
        <v>43504.0</v>
      </c>
    </row>
    <row r="436">
      <c r="A436" s="1" t="s">
        <v>916</v>
      </c>
      <c r="B436" s="1" t="s">
        <v>303</v>
      </c>
      <c r="C436" s="1" t="s">
        <v>929</v>
      </c>
      <c r="D436" s="1" t="s">
        <v>930</v>
      </c>
      <c r="E436" s="1" t="s">
        <v>97</v>
      </c>
      <c r="F436" s="4">
        <v>46276.0</v>
      </c>
      <c r="G436" s="1" t="s">
        <v>71</v>
      </c>
      <c r="K436" s="1" t="s">
        <v>918</v>
      </c>
      <c r="L436" s="1" t="s">
        <v>99</v>
      </c>
      <c r="O436" s="4">
        <v>43504.0</v>
      </c>
    </row>
    <row r="437">
      <c r="A437" s="1" t="s">
        <v>916</v>
      </c>
      <c r="B437" s="1" t="s">
        <v>255</v>
      </c>
      <c r="C437" s="1" t="s">
        <v>256</v>
      </c>
      <c r="D437" s="1" t="s">
        <v>931</v>
      </c>
      <c r="E437" s="1" t="s">
        <v>97</v>
      </c>
      <c r="F437" s="8">
        <v>46310.0</v>
      </c>
      <c r="G437" s="1" t="s">
        <v>71</v>
      </c>
      <c r="H437" s="1" t="s">
        <v>396</v>
      </c>
      <c r="K437" s="1" t="s">
        <v>918</v>
      </c>
      <c r="L437" s="1" t="s">
        <v>99</v>
      </c>
      <c r="O437" s="4">
        <v>43504.0</v>
      </c>
    </row>
    <row r="438">
      <c r="A438" s="1" t="s">
        <v>916</v>
      </c>
      <c r="B438" s="1" t="s">
        <v>255</v>
      </c>
      <c r="C438" s="1" t="s">
        <v>256</v>
      </c>
      <c r="D438" s="1" t="s">
        <v>932</v>
      </c>
      <c r="E438" s="1" t="s">
        <v>97</v>
      </c>
      <c r="F438" s="8">
        <v>46310.0</v>
      </c>
      <c r="G438" s="1" t="s">
        <v>71</v>
      </c>
      <c r="H438" s="1" t="s">
        <v>396</v>
      </c>
      <c r="K438" s="1" t="s">
        <v>918</v>
      </c>
      <c r="L438" s="1" t="s">
        <v>99</v>
      </c>
      <c r="O438" s="4">
        <v>43504.0</v>
      </c>
    </row>
    <row r="439">
      <c r="A439" s="1" t="s">
        <v>916</v>
      </c>
      <c r="B439" s="1" t="s">
        <v>255</v>
      </c>
      <c r="C439" s="1" t="s">
        <v>256</v>
      </c>
      <c r="D439" s="1" t="s">
        <v>933</v>
      </c>
      <c r="E439" s="1" t="s">
        <v>97</v>
      </c>
      <c r="F439" s="8">
        <v>46310.0</v>
      </c>
      <c r="G439" s="1" t="s">
        <v>71</v>
      </c>
      <c r="H439" s="1" t="s">
        <v>396</v>
      </c>
      <c r="K439" s="1" t="s">
        <v>918</v>
      </c>
      <c r="L439" s="1" t="s">
        <v>99</v>
      </c>
      <c r="O439" s="4">
        <v>43504.0</v>
      </c>
    </row>
    <row r="440">
      <c r="A440" s="1" t="s">
        <v>916</v>
      </c>
      <c r="B440" s="1" t="s">
        <v>255</v>
      </c>
      <c r="C440" s="1" t="s">
        <v>256</v>
      </c>
      <c r="D440" s="1" t="s">
        <v>934</v>
      </c>
      <c r="E440" s="1" t="s">
        <v>70</v>
      </c>
      <c r="F440" s="8">
        <v>46310.0</v>
      </c>
      <c r="G440" s="1" t="s">
        <v>107</v>
      </c>
      <c r="H440" s="1" t="s">
        <v>278</v>
      </c>
      <c r="J440" s="1" t="s">
        <v>134</v>
      </c>
      <c r="K440" s="1" t="s">
        <v>918</v>
      </c>
      <c r="L440" s="1" t="s">
        <v>99</v>
      </c>
      <c r="O440" s="4">
        <v>43504.0</v>
      </c>
    </row>
    <row r="441">
      <c r="A441" s="1" t="s">
        <v>916</v>
      </c>
      <c r="B441" s="1" t="s">
        <v>255</v>
      </c>
      <c r="C441" s="1" t="s">
        <v>256</v>
      </c>
      <c r="D441" s="1" t="s">
        <v>935</v>
      </c>
      <c r="E441" s="1" t="s">
        <v>97</v>
      </c>
      <c r="F441" s="8">
        <v>46310.0</v>
      </c>
      <c r="G441" s="1" t="s">
        <v>71</v>
      </c>
      <c r="H441" s="1" t="s">
        <v>396</v>
      </c>
      <c r="K441" s="1" t="s">
        <v>918</v>
      </c>
      <c r="L441" s="1" t="s">
        <v>99</v>
      </c>
      <c r="O441" s="4">
        <v>43504.0</v>
      </c>
    </row>
    <row r="442">
      <c r="A442" s="1" t="s">
        <v>916</v>
      </c>
      <c r="B442" s="1" t="s">
        <v>288</v>
      </c>
      <c r="C442" s="1" t="s">
        <v>289</v>
      </c>
      <c r="D442" s="1" t="s">
        <v>936</v>
      </c>
      <c r="E442" s="1" t="s">
        <v>70</v>
      </c>
      <c r="F442" s="8">
        <v>46309.0</v>
      </c>
      <c r="G442" s="1" t="s">
        <v>107</v>
      </c>
      <c r="H442" s="1" t="s">
        <v>937</v>
      </c>
      <c r="J442" s="1" t="s">
        <v>134</v>
      </c>
      <c r="K442" s="1" t="s">
        <v>918</v>
      </c>
      <c r="L442" s="1" t="s">
        <v>99</v>
      </c>
      <c r="O442" s="4">
        <v>43504.0</v>
      </c>
    </row>
    <row r="443">
      <c r="A443" s="1" t="s">
        <v>916</v>
      </c>
      <c r="B443" s="1" t="s">
        <v>288</v>
      </c>
      <c r="C443" s="1" t="s">
        <v>289</v>
      </c>
      <c r="D443" s="1" t="s">
        <v>938</v>
      </c>
      <c r="E443" s="1" t="s">
        <v>97</v>
      </c>
      <c r="F443" s="8">
        <v>46309.0</v>
      </c>
      <c r="G443" s="1" t="s">
        <v>71</v>
      </c>
      <c r="H443" s="1" t="s">
        <v>414</v>
      </c>
      <c r="K443" s="1" t="s">
        <v>918</v>
      </c>
      <c r="L443" s="1" t="s">
        <v>99</v>
      </c>
      <c r="O443" s="4">
        <v>43504.0</v>
      </c>
    </row>
    <row r="444">
      <c r="A444" s="1" t="s">
        <v>916</v>
      </c>
      <c r="B444" s="1" t="s">
        <v>288</v>
      </c>
      <c r="C444" s="1" t="s">
        <v>289</v>
      </c>
      <c r="D444" s="1" t="s">
        <v>939</v>
      </c>
      <c r="E444" s="1" t="s">
        <v>97</v>
      </c>
      <c r="F444" s="8">
        <v>46309.0</v>
      </c>
      <c r="G444" s="1" t="s">
        <v>71</v>
      </c>
      <c r="H444" s="1" t="s">
        <v>940</v>
      </c>
      <c r="K444" s="1" t="s">
        <v>918</v>
      </c>
      <c r="L444" s="1" t="s">
        <v>99</v>
      </c>
      <c r="O444" s="4">
        <v>43504.0</v>
      </c>
    </row>
    <row r="445">
      <c r="A445" s="1" t="s">
        <v>916</v>
      </c>
      <c r="B445" s="1" t="s">
        <v>303</v>
      </c>
      <c r="C445" s="1" t="s">
        <v>304</v>
      </c>
      <c r="D445" s="1" t="s">
        <v>941</v>
      </c>
      <c r="E445" s="1" t="s">
        <v>97</v>
      </c>
      <c r="F445" s="4">
        <v>46276.0</v>
      </c>
      <c r="G445" s="1" t="s">
        <v>71</v>
      </c>
      <c r="K445" s="1" t="s">
        <v>918</v>
      </c>
      <c r="L445" s="1" t="s">
        <v>99</v>
      </c>
      <c r="O445" s="4">
        <v>43504.0</v>
      </c>
    </row>
    <row r="446">
      <c r="A446" s="1" t="s">
        <v>916</v>
      </c>
      <c r="B446" s="1" t="s">
        <v>255</v>
      </c>
      <c r="C446" s="1" t="s">
        <v>256</v>
      </c>
      <c r="D446" s="1" t="s">
        <v>942</v>
      </c>
      <c r="E446" s="1" t="s">
        <v>70</v>
      </c>
      <c r="F446" s="8">
        <v>46310.0</v>
      </c>
      <c r="G446" s="1" t="s">
        <v>107</v>
      </c>
      <c r="H446" s="1" t="s">
        <v>922</v>
      </c>
      <c r="J446" s="1" t="s">
        <v>134</v>
      </c>
      <c r="K446" s="1" t="s">
        <v>918</v>
      </c>
      <c r="L446" s="1" t="s">
        <v>99</v>
      </c>
      <c r="O446" s="4">
        <v>43504.0</v>
      </c>
    </row>
    <row r="447">
      <c r="A447" s="1" t="s">
        <v>916</v>
      </c>
      <c r="B447" s="1" t="s">
        <v>255</v>
      </c>
      <c r="C447" s="1" t="s">
        <v>256</v>
      </c>
      <c r="D447" s="1" t="s">
        <v>943</v>
      </c>
      <c r="E447" s="1" t="s">
        <v>97</v>
      </c>
      <c r="F447" s="8">
        <v>46310.0</v>
      </c>
      <c r="G447" s="1" t="s">
        <v>71</v>
      </c>
      <c r="H447" s="1" t="s">
        <v>396</v>
      </c>
      <c r="K447" s="1" t="s">
        <v>918</v>
      </c>
      <c r="L447" s="1" t="s">
        <v>99</v>
      </c>
      <c r="O447" s="4">
        <v>43504.0</v>
      </c>
    </row>
    <row r="448">
      <c r="A448" s="1" t="s">
        <v>944</v>
      </c>
      <c r="B448" s="1" t="s">
        <v>303</v>
      </c>
      <c r="C448" s="1" t="s">
        <v>304</v>
      </c>
      <c r="D448" s="1" t="s">
        <v>945</v>
      </c>
      <c r="E448" s="1" t="s">
        <v>97</v>
      </c>
      <c r="F448" s="4">
        <v>46276.0</v>
      </c>
      <c r="G448" s="1" t="s">
        <v>71</v>
      </c>
      <c r="K448" s="1" t="s">
        <v>358</v>
      </c>
      <c r="L448" s="1" t="s">
        <v>99</v>
      </c>
      <c r="O448" s="4">
        <v>43931.0</v>
      </c>
    </row>
    <row r="449">
      <c r="A449" s="1" t="s">
        <v>944</v>
      </c>
      <c r="B449" s="1" t="s">
        <v>303</v>
      </c>
      <c r="C449" s="1" t="s">
        <v>304</v>
      </c>
      <c r="D449" s="1" t="s">
        <v>946</v>
      </c>
      <c r="E449" s="1" t="s">
        <v>97</v>
      </c>
      <c r="F449" s="4">
        <v>46276.0</v>
      </c>
      <c r="G449" s="1" t="s">
        <v>71</v>
      </c>
      <c r="K449" s="1" t="s">
        <v>358</v>
      </c>
      <c r="L449" s="1" t="s">
        <v>99</v>
      </c>
      <c r="O449" s="4">
        <v>43931.0</v>
      </c>
    </row>
    <row r="450">
      <c r="A450" s="1" t="s">
        <v>944</v>
      </c>
      <c r="B450" s="1" t="s">
        <v>947</v>
      </c>
      <c r="C450" s="1" t="s">
        <v>948</v>
      </c>
      <c r="D450" s="1" t="s">
        <v>949</v>
      </c>
      <c r="E450" s="1" t="s">
        <v>32</v>
      </c>
      <c r="F450" s="4">
        <v>46178.0</v>
      </c>
      <c r="H450" s="1" t="s">
        <v>33</v>
      </c>
      <c r="K450" s="1" t="s">
        <v>358</v>
      </c>
      <c r="L450" s="1" t="s">
        <v>35</v>
      </c>
      <c r="N450" s="4">
        <v>46178.0</v>
      </c>
      <c r="O450" s="4">
        <v>46178.0</v>
      </c>
    </row>
    <row r="451">
      <c r="A451" s="1" t="s">
        <v>944</v>
      </c>
      <c r="B451" s="1" t="s">
        <v>947</v>
      </c>
      <c r="C451" s="1" t="s">
        <v>948</v>
      </c>
      <c r="D451" s="1" t="s">
        <v>950</v>
      </c>
      <c r="E451" s="1" t="s">
        <v>32</v>
      </c>
      <c r="F451" s="4">
        <v>46178.0</v>
      </c>
      <c r="H451" s="1" t="s">
        <v>33</v>
      </c>
      <c r="K451" s="1" t="s">
        <v>358</v>
      </c>
      <c r="L451" s="1" t="s">
        <v>35</v>
      </c>
      <c r="N451" s="4">
        <v>46178.0</v>
      </c>
      <c r="O451" s="4">
        <v>46178.0</v>
      </c>
    </row>
    <row r="452">
      <c r="A452" s="1" t="s">
        <v>944</v>
      </c>
      <c r="B452" s="1" t="s">
        <v>951</v>
      </c>
      <c r="C452" s="1" t="s">
        <v>952</v>
      </c>
      <c r="D452" s="1" t="s">
        <v>953</v>
      </c>
      <c r="E452" s="1" t="s">
        <v>97</v>
      </c>
      <c r="F452" s="8">
        <v>46310.0</v>
      </c>
      <c r="G452" s="1" t="s">
        <v>71</v>
      </c>
      <c r="H452" s="1" t="s">
        <v>954</v>
      </c>
      <c r="K452" s="1" t="s">
        <v>358</v>
      </c>
      <c r="L452" s="1" t="s">
        <v>99</v>
      </c>
      <c r="O452" s="4">
        <v>43931.0</v>
      </c>
    </row>
    <row r="453">
      <c r="A453" s="1" t="s">
        <v>944</v>
      </c>
      <c r="B453" s="1" t="s">
        <v>951</v>
      </c>
      <c r="C453" s="1" t="s">
        <v>952</v>
      </c>
      <c r="D453" s="1" t="s">
        <v>955</v>
      </c>
      <c r="E453" s="1" t="s">
        <v>97</v>
      </c>
      <c r="F453" s="8">
        <v>46310.0</v>
      </c>
      <c r="G453" s="1" t="s">
        <v>71</v>
      </c>
      <c r="H453" s="1" t="s">
        <v>954</v>
      </c>
      <c r="K453" s="1" t="s">
        <v>358</v>
      </c>
      <c r="L453" s="1" t="s">
        <v>99</v>
      </c>
      <c r="O453" s="4">
        <v>43931.0</v>
      </c>
    </row>
    <row r="454">
      <c r="A454" s="1" t="s">
        <v>944</v>
      </c>
      <c r="B454" s="1" t="s">
        <v>735</v>
      </c>
      <c r="C454" s="1" t="s">
        <v>956</v>
      </c>
      <c r="D454" s="1" t="s">
        <v>957</v>
      </c>
      <c r="E454" s="1" t="s">
        <v>32</v>
      </c>
      <c r="F454" s="8">
        <v>46309.0</v>
      </c>
      <c r="H454" s="1" t="s">
        <v>958</v>
      </c>
      <c r="K454" s="1" t="s">
        <v>358</v>
      </c>
      <c r="L454" s="1" t="s">
        <v>35</v>
      </c>
      <c r="N454" s="8">
        <v>46309.0</v>
      </c>
      <c r="O454" s="8">
        <v>46309.0</v>
      </c>
    </row>
    <row r="455">
      <c r="A455" s="1" t="s">
        <v>944</v>
      </c>
      <c r="B455" s="1" t="s">
        <v>291</v>
      </c>
      <c r="C455" s="1" t="s">
        <v>292</v>
      </c>
      <c r="D455" s="1" t="s">
        <v>959</v>
      </c>
      <c r="E455" s="1" t="s">
        <v>97</v>
      </c>
      <c r="F455" s="4">
        <v>46280.0</v>
      </c>
      <c r="G455" s="1" t="s">
        <v>107</v>
      </c>
      <c r="H455" s="1" t="s">
        <v>33</v>
      </c>
      <c r="J455" s="1" t="s">
        <v>33</v>
      </c>
      <c r="K455" s="1" t="s">
        <v>358</v>
      </c>
      <c r="L455" s="1" t="s">
        <v>99</v>
      </c>
      <c r="O455" s="4">
        <v>43931.0</v>
      </c>
      <c r="T455" s="19" t="s">
        <v>960</v>
      </c>
    </row>
    <row r="456">
      <c r="A456" s="1" t="s">
        <v>944</v>
      </c>
      <c r="B456" s="1" t="s">
        <v>291</v>
      </c>
      <c r="C456" s="1" t="s">
        <v>292</v>
      </c>
      <c r="D456" s="1" t="s">
        <v>961</v>
      </c>
      <c r="E456" s="1" t="s">
        <v>97</v>
      </c>
      <c r="F456" s="4">
        <v>46280.0</v>
      </c>
      <c r="G456" s="1" t="s">
        <v>107</v>
      </c>
      <c r="H456" s="1" t="s">
        <v>33</v>
      </c>
      <c r="J456" s="1" t="s">
        <v>33</v>
      </c>
      <c r="K456" s="1" t="s">
        <v>358</v>
      </c>
      <c r="L456" s="1" t="s">
        <v>99</v>
      </c>
      <c r="O456" s="4">
        <v>43931.0</v>
      </c>
    </row>
    <row r="457">
      <c r="A457" s="1" t="s">
        <v>944</v>
      </c>
      <c r="B457" s="1" t="s">
        <v>336</v>
      </c>
      <c r="C457" s="1" t="s">
        <v>338</v>
      </c>
      <c r="D457" s="1" t="s">
        <v>962</v>
      </c>
      <c r="E457" s="1" t="s">
        <v>97</v>
      </c>
      <c r="F457" s="8">
        <v>46314.0</v>
      </c>
      <c r="G457" s="1" t="s">
        <v>71</v>
      </c>
      <c r="H457" s="1" t="s">
        <v>396</v>
      </c>
      <c r="K457" s="1" t="s">
        <v>358</v>
      </c>
      <c r="L457" s="1" t="s">
        <v>99</v>
      </c>
      <c r="O457" s="4">
        <v>43931.0</v>
      </c>
    </row>
    <row r="458">
      <c r="A458" s="1" t="s">
        <v>944</v>
      </c>
      <c r="B458" s="1" t="s">
        <v>94</v>
      </c>
      <c r="C458" s="1" t="s">
        <v>95</v>
      </c>
      <c r="D458" s="1" t="s">
        <v>963</v>
      </c>
      <c r="E458" s="1" t="s">
        <v>97</v>
      </c>
      <c r="F458" s="8">
        <v>46311.0</v>
      </c>
      <c r="G458" s="1" t="s">
        <v>71</v>
      </c>
      <c r="K458" s="1" t="s">
        <v>358</v>
      </c>
      <c r="L458" s="1" t="s">
        <v>99</v>
      </c>
      <c r="O458" s="4">
        <v>43931.0</v>
      </c>
    </row>
    <row r="459">
      <c r="A459" s="1" t="s">
        <v>944</v>
      </c>
      <c r="B459" s="1" t="s">
        <v>94</v>
      </c>
      <c r="C459" s="1" t="s">
        <v>95</v>
      </c>
      <c r="D459" s="1" t="s">
        <v>964</v>
      </c>
      <c r="E459" s="1" t="s">
        <v>97</v>
      </c>
      <c r="F459" s="8">
        <v>46311.0</v>
      </c>
      <c r="G459" s="1" t="s">
        <v>71</v>
      </c>
      <c r="K459" s="1" t="s">
        <v>358</v>
      </c>
      <c r="L459" s="1" t="s">
        <v>99</v>
      </c>
      <c r="O459" s="4">
        <v>43931.0</v>
      </c>
    </row>
    <row r="460">
      <c r="A460" s="1" t="s">
        <v>944</v>
      </c>
      <c r="B460" s="1" t="s">
        <v>94</v>
      </c>
      <c r="C460" s="1" t="s">
        <v>95</v>
      </c>
      <c r="D460" s="1" t="s">
        <v>965</v>
      </c>
      <c r="E460" s="1" t="s">
        <v>97</v>
      </c>
      <c r="F460" s="8">
        <v>46311.0</v>
      </c>
      <c r="G460" s="1" t="s">
        <v>71</v>
      </c>
      <c r="K460" s="1" t="s">
        <v>358</v>
      </c>
      <c r="L460" s="1" t="s">
        <v>99</v>
      </c>
      <c r="O460" s="4">
        <v>43931.0</v>
      </c>
    </row>
    <row r="461">
      <c r="A461" s="1" t="s">
        <v>944</v>
      </c>
      <c r="B461" s="1" t="s">
        <v>94</v>
      </c>
      <c r="C461" s="1" t="s">
        <v>95</v>
      </c>
      <c r="D461" s="1" t="s">
        <v>966</v>
      </c>
      <c r="E461" s="1" t="s">
        <v>97</v>
      </c>
      <c r="F461" s="8">
        <v>46311.0</v>
      </c>
      <c r="G461" s="1" t="s">
        <v>71</v>
      </c>
      <c r="K461" s="1" t="s">
        <v>358</v>
      </c>
      <c r="L461" s="1" t="s">
        <v>99</v>
      </c>
      <c r="O461" s="4">
        <v>43931.0</v>
      </c>
    </row>
    <row r="462">
      <c r="A462" s="1" t="s">
        <v>944</v>
      </c>
      <c r="B462" s="1" t="s">
        <v>255</v>
      </c>
      <c r="C462" s="1" t="s">
        <v>256</v>
      </c>
      <c r="D462" s="1" t="s">
        <v>967</v>
      </c>
      <c r="E462" s="1" t="s">
        <v>97</v>
      </c>
      <c r="F462" s="8">
        <v>46310.0</v>
      </c>
      <c r="G462" s="1" t="s">
        <v>107</v>
      </c>
      <c r="H462" s="1" t="s">
        <v>968</v>
      </c>
      <c r="J462" s="1" t="s">
        <v>47</v>
      </c>
      <c r="K462" s="1" t="s">
        <v>358</v>
      </c>
      <c r="L462" s="1" t="s">
        <v>99</v>
      </c>
      <c r="O462" s="4">
        <v>43931.0</v>
      </c>
    </row>
    <row r="463">
      <c r="A463" s="1" t="s">
        <v>944</v>
      </c>
      <c r="B463" s="1" t="s">
        <v>255</v>
      </c>
      <c r="C463" s="1" t="s">
        <v>256</v>
      </c>
      <c r="D463" s="1" t="s">
        <v>969</v>
      </c>
      <c r="E463" s="1" t="s">
        <v>97</v>
      </c>
      <c r="F463" s="8">
        <v>46310.0</v>
      </c>
      <c r="G463" s="1" t="s">
        <v>107</v>
      </c>
      <c r="H463" s="1" t="s">
        <v>133</v>
      </c>
      <c r="J463" s="1" t="s">
        <v>562</v>
      </c>
      <c r="K463" s="1" t="s">
        <v>358</v>
      </c>
      <c r="L463" s="1" t="s">
        <v>99</v>
      </c>
      <c r="O463" s="4">
        <v>43931.0</v>
      </c>
    </row>
    <row r="464">
      <c r="A464" s="1" t="s">
        <v>944</v>
      </c>
      <c r="B464" s="1" t="s">
        <v>255</v>
      </c>
      <c r="C464" s="1" t="s">
        <v>256</v>
      </c>
      <c r="D464" s="1" t="s">
        <v>970</v>
      </c>
      <c r="E464" s="1" t="s">
        <v>97</v>
      </c>
      <c r="F464" s="8">
        <v>46310.0</v>
      </c>
      <c r="G464" s="1" t="s">
        <v>107</v>
      </c>
      <c r="H464" s="1" t="s">
        <v>968</v>
      </c>
      <c r="J464" s="1" t="s">
        <v>562</v>
      </c>
      <c r="K464" s="1" t="s">
        <v>358</v>
      </c>
      <c r="L464" s="1" t="s">
        <v>99</v>
      </c>
      <c r="O464" s="4">
        <v>43931.0</v>
      </c>
    </row>
    <row r="465">
      <c r="A465" s="1" t="s">
        <v>944</v>
      </c>
      <c r="B465" s="1" t="s">
        <v>255</v>
      </c>
      <c r="C465" s="1" t="s">
        <v>256</v>
      </c>
      <c r="D465" s="1" t="s">
        <v>971</v>
      </c>
      <c r="E465" s="1" t="s">
        <v>97</v>
      </c>
      <c r="F465" s="8">
        <v>46310.0</v>
      </c>
      <c r="G465" s="1" t="s">
        <v>107</v>
      </c>
      <c r="H465" s="1" t="s">
        <v>133</v>
      </c>
      <c r="J465" s="1" t="s">
        <v>134</v>
      </c>
      <c r="K465" s="1" t="s">
        <v>358</v>
      </c>
      <c r="L465" s="1" t="s">
        <v>99</v>
      </c>
      <c r="O465" s="4">
        <v>43931.0</v>
      </c>
    </row>
    <row r="466">
      <c r="A466" s="1" t="s">
        <v>944</v>
      </c>
      <c r="B466" s="1" t="s">
        <v>972</v>
      </c>
      <c r="C466" s="1" t="s">
        <v>973</v>
      </c>
      <c r="D466" s="1" t="s">
        <v>974</v>
      </c>
      <c r="E466" s="1" t="s">
        <v>97</v>
      </c>
      <c r="F466" s="4">
        <v>46296.0</v>
      </c>
      <c r="G466" s="1" t="s">
        <v>71</v>
      </c>
      <c r="H466" s="1" t="s">
        <v>975</v>
      </c>
      <c r="K466" s="1" t="s">
        <v>358</v>
      </c>
      <c r="L466" s="1" t="s">
        <v>99</v>
      </c>
      <c r="O466" s="4">
        <v>43931.0</v>
      </c>
    </row>
    <row r="467">
      <c r="A467" s="1" t="s">
        <v>944</v>
      </c>
      <c r="B467" s="1" t="s">
        <v>972</v>
      </c>
      <c r="C467" s="1" t="s">
        <v>973</v>
      </c>
      <c r="D467" s="1" t="s">
        <v>976</v>
      </c>
      <c r="E467" s="1" t="s">
        <v>97</v>
      </c>
      <c r="F467" s="4">
        <v>46296.0</v>
      </c>
      <c r="G467" s="1" t="s">
        <v>71</v>
      </c>
      <c r="H467" s="1" t="s">
        <v>975</v>
      </c>
      <c r="K467" s="1" t="s">
        <v>358</v>
      </c>
      <c r="L467" s="1" t="s">
        <v>99</v>
      </c>
      <c r="O467" s="4">
        <v>43931.0</v>
      </c>
    </row>
    <row r="468">
      <c r="A468" s="1" t="s">
        <v>944</v>
      </c>
      <c r="B468" s="1" t="s">
        <v>972</v>
      </c>
      <c r="C468" s="1" t="s">
        <v>973</v>
      </c>
      <c r="D468" s="1" t="s">
        <v>977</v>
      </c>
      <c r="E468" s="1" t="s">
        <v>97</v>
      </c>
      <c r="F468" s="4">
        <v>46296.0</v>
      </c>
      <c r="G468" s="1" t="s">
        <v>71</v>
      </c>
      <c r="H468" s="1" t="s">
        <v>975</v>
      </c>
      <c r="K468" s="1" t="s">
        <v>358</v>
      </c>
      <c r="L468" s="1" t="s">
        <v>99</v>
      </c>
      <c r="O468" s="4">
        <v>43931.0</v>
      </c>
    </row>
    <row r="469">
      <c r="A469" s="1" t="s">
        <v>944</v>
      </c>
      <c r="B469" s="1" t="s">
        <v>972</v>
      </c>
      <c r="C469" s="1" t="s">
        <v>973</v>
      </c>
      <c r="D469" s="1" t="s">
        <v>978</v>
      </c>
      <c r="E469" s="1" t="s">
        <v>97</v>
      </c>
      <c r="F469" s="4">
        <v>46296.0</v>
      </c>
      <c r="G469" s="1" t="s">
        <v>71</v>
      </c>
      <c r="H469" s="1" t="s">
        <v>975</v>
      </c>
      <c r="K469" s="1" t="s">
        <v>358</v>
      </c>
      <c r="L469" s="1" t="s">
        <v>99</v>
      </c>
      <c r="O469" s="4">
        <v>43931.0</v>
      </c>
    </row>
    <row r="470">
      <c r="A470" s="1" t="s">
        <v>944</v>
      </c>
      <c r="B470" s="1" t="s">
        <v>923</v>
      </c>
      <c r="C470" s="1" t="s">
        <v>924</v>
      </c>
      <c r="D470" s="1" t="s">
        <v>979</v>
      </c>
      <c r="E470" s="1" t="s">
        <v>97</v>
      </c>
      <c r="F470" s="8">
        <v>46314.0</v>
      </c>
      <c r="G470" s="1" t="s">
        <v>71</v>
      </c>
      <c r="K470" s="1" t="s">
        <v>358</v>
      </c>
      <c r="L470" s="1" t="s">
        <v>99</v>
      </c>
      <c r="O470" s="4">
        <v>43931.0</v>
      </c>
    </row>
    <row r="471">
      <c r="A471" s="1" t="s">
        <v>944</v>
      </c>
      <c r="B471" s="1" t="s">
        <v>980</v>
      </c>
      <c r="C471" s="1" t="s">
        <v>30</v>
      </c>
      <c r="D471" s="1" t="s">
        <v>981</v>
      </c>
      <c r="E471" s="1" t="s">
        <v>97</v>
      </c>
      <c r="F471" s="8">
        <v>46310.0</v>
      </c>
      <c r="G471" s="1" t="s">
        <v>107</v>
      </c>
      <c r="H471" s="1" t="s">
        <v>982</v>
      </c>
      <c r="J471" s="1" t="s">
        <v>47</v>
      </c>
      <c r="K471" s="1" t="s">
        <v>358</v>
      </c>
      <c r="L471" s="1" t="s">
        <v>99</v>
      </c>
      <c r="O471" s="4">
        <v>43931.0</v>
      </c>
    </row>
    <row r="472">
      <c r="A472" s="1" t="s">
        <v>944</v>
      </c>
      <c r="B472" s="1" t="s">
        <v>342</v>
      </c>
      <c r="C472" s="1" t="s">
        <v>270</v>
      </c>
      <c r="D472" s="1" t="s">
        <v>983</v>
      </c>
      <c r="E472" s="1" t="s">
        <v>97</v>
      </c>
      <c r="F472" s="4">
        <v>46286.0</v>
      </c>
      <c r="G472" s="1" t="s">
        <v>71</v>
      </c>
      <c r="K472" s="1" t="s">
        <v>358</v>
      </c>
      <c r="L472" s="1" t="s">
        <v>99</v>
      </c>
      <c r="O472" s="4">
        <v>43931.0</v>
      </c>
    </row>
    <row r="473">
      <c r="A473" s="1" t="s">
        <v>944</v>
      </c>
      <c r="B473" s="1" t="s">
        <v>342</v>
      </c>
      <c r="C473" s="1" t="s">
        <v>270</v>
      </c>
      <c r="D473" s="1" t="s">
        <v>984</v>
      </c>
      <c r="E473" s="1" t="s">
        <v>97</v>
      </c>
      <c r="F473" s="8">
        <v>46316.0</v>
      </c>
      <c r="G473" s="1" t="s">
        <v>71</v>
      </c>
      <c r="K473" s="1" t="s">
        <v>358</v>
      </c>
      <c r="L473" s="1" t="s">
        <v>99</v>
      </c>
      <c r="O473" s="4">
        <v>43931.0</v>
      </c>
    </row>
    <row r="474">
      <c r="A474" s="1" t="s">
        <v>944</v>
      </c>
      <c r="B474" s="1" t="s">
        <v>342</v>
      </c>
      <c r="C474" s="1" t="s">
        <v>270</v>
      </c>
      <c r="D474" s="1" t="s">
        <v>985</v>
      </c>
      <c r="E474" s="1" t="s">
        <v>97</v>
      </c>
      <c r="F474" s="8">
        <v>46316.0</v>
      </c>
      <c r="G474" s="1" t="s">
        <v>71</v>
      </c>
      <c r="K474" s="1" t="s">
        <v>358</v>
      </c>
      <c r="L474" s="1" t="s">
        <v>99</v>
      </c>
      <c r="O474" s="4">
        <v>43931.0</v>
      </c>
    </row>
    <row r="475">
      <c r="A475" s="1" t="s">
        <v>944</v>
      </c>
      <c r="B475" s="1" t="s">
        <v>342</v>
      </c>
      <c r="C475" s="1" t="s">
        <v>270</v>
      </c>
      <c r="D475" s="1" t="s">
        <v>986</v>
      </c>
      <c r="E475" s="1" t="s">
        <v>97</v>
      </c>
      <c r="F475" s="4">
        <v>46273.0</v>
      </c>
      <c r="G475" s="1" t="s">
        <v>71</v>
      </c>
      <c r="K475" s="1" t="s">
        <v>358</v>
      </c>
      <c r="L475" s="1" t="s">
        <v>99</v>
      </c>
      <c r="O475" s="4">
        <v>43931.0</v>
      </c>
    </row>
    <row r="476">
      <c r="A476" s="1" t="s">
        <v>944</v>
      </c>
      <c r="B476" s="1" t="s">
        <v>951</v>
      </c>
      <c r="C476" s="1" t="s">
        <v>952</v>
      </c>
      <c r="D476" s="1" t="s">
        <v>987</v>
      </c>
      <c r="E476" s="1" t="s">
        <v>97</v>
      </c>
      <c r="F476" s="8">
        <v>46310.0</v>
      </c>
      <c r="G476" s="1" t="s">
        <v>71</v>
      </c>
      <c r="H476" s="1" t="s">
        <v>550</v>
      </c>
      <c r="K476" s="1" t="s">
        <v>358</v>
      </c>
      <c r="L476" s="1" t="s">
        <v>99</v>
      </c>
      <c r="O476" s="4">
        <v>43931.0</v>
      </c>
    </row>
    <row r="477">
      <c r="A477" s="1" t="s">
        <v>944</v>
      </c>
      <c r="B477" s="1" t="s">
        <v>951</v>
      </c>
      <c r="C477" s="1" t="s">
        <v>952</v>
      </c>
      <c r="D477" s="1" t="s">
        <v>988</v>
      </c>
      <c r="E477" s="1" t="s">
        <v>97</v>
      </c>
      <c r="F477" s="8">
        <v>46310.0</v>
      </c>
      <c r="G477" s="1" t="s">
        <v>71</v>
      </c>
      <c r="H477" s="1" t="s">
        <v>550</v>
      </c>
      <c r="K477" s="1" t="s">
        <v>358</v>
      </c>
      <c r="L477" s="1" t="s">
        <v>99</v>
      </c>
      <c r="O477" s="4">
        <v>43931.0</v>
      </c>
    </row>
    <row r="478">
      <c r="A478" s="1" t="s">
        <v>944</v>
      </c>
      <c r="B478" s="1" t="s">
        <v>980</v>
      </c>
      <c r="C478" s="1" t="s">
        <v>30</v>
      </c>
      <c r="D478" s="1" t="s">
        <v>989</v>
      </c>
      <c r="E478" s="1" t="s">
        <v>97</v>
      </c>
      <c r="F478" s="8">
        <v>46310.0</v>
      </c>
      <c r="G478" s="1" t="s">
        <v>107</v>
      </c>
      <c r="H478" s="1" t="s">
        <v>513</v>
      </c>
      <c r="J478" s="1" t="s">
        <v>47</v>
      </c>
      <c r="K478" s="1" t="s">
        <v>358</v>
      </c>
      <c r="L478" s="1" t="s">
        <v>99</v>
      </c>
      <c r="O478" s="4">
        <v>43931.0</v>
      </c>
    </row>
    <row r="479">
      <c r="A479" s="1" t="s">
        <v>944</v>
      </c>
      <c r="B479" s="1" t="s">
        <v>980</v>
      </c>
      <c r="C479" s="1" t="s">
        <v>30</v>
      </c>
      <c r="D479" s="1" t="s">
        <v>990</v>
      </c>
      <c r="E479" s="1" t="s">
        <v>97</v>
      </c>
      <c r="F479" s="8">
        <v>46310.0</v>
      </c>
      <c r="G479" s="1" t="s">
        <v>107</v>
      </c>
      <c r="H479" s="1" t="s">
        <v>513</v>
      </c>
      <c r="J479" s="1" t="s">
        <v>47</v>
      </c>
      <c r="K479" s="1" t="s">
        <v>358</v>
      </c>
      <c r="L479" s="1" t="s">
        <v>99</v>
      </c>
      <c r="O479" s="4">
        <v>43931.0</v>
      </c>
    </row>
    <row r="480">
      <c r="A480" s="1" t="s">
        <v>944</v>
      </c>
      <c r="B480" s="1" t="s">
        <v>923</v>
      </c>
      <c r="C480" s="1" t="s">
        <v>924</v>
      </c>
      <c r="D480" s="1" t="s">
        <v>991</v>
      </c>
      <c r="E480" s="1" t="s">
        <v>97</v>
      </c>
      <c r="F480" s="8">
        <v>46314.0</v>
      </c>
      <c r="G480" s="1" t="s">
        <v>71</v>
      </c>
      <c r="K480" s="1" t="s">
        <v>358</v>
      </c>
      <c r="L480" s="1" t="s">
        <v>99</v>
      </c>
      <c r="O480" s="4">
        <v>43931.0</v>
      </c>
    </row>
    <row r="481">
      <c r="A481" s="1" t="s">
        <v>944</v>
      </c>
      <c r="B481" s="1" t="s">
        <v>923</v>
      </c>
      <c r="C481" s="1" t="s">
        <v>924</v>
      </c>
      <c r="D481" s="1" t="s">
        <v>992</v>
      </c>
      <c r="E481" s="1" t="s">
        <v>97</v>
      </c>
      <c r="F481" s="8">
        <v>46314.0</v>
      </c>
      <c r="G481" s="1" t="s">
        <v>71</v>
      </c>
      <c r="K481" s="1" t="s">
        <v>358</v>
      </c>
      <c r="L481" s="1" t="s">
        <v>99</v>
      </c>
      <c r="O481" s="4">
        <v>43931.0</v>
      </c>
    </row>
    <row r="482">
      <c r="A482" s="1" t="s">
        <v>944</v>
      </c>
      <c r="B482" s="1" t="s">
        <v>776</v>
      </c>
      <c r="C482" s="1" t="s">
        <v>777</v>
      </c>
      <c r="D482" s="1" t="s">
        <v>993</v>
      </c>
      <c r="E482" s="1" t="s">
        <v>97</v>
      </c>
      <c r="F482" s="4">
        <v>46301.0</v>
      </c>
      <c r="G482" s="1" t="s">
        <v>71</v>
      </c>
      <c r="K482" s="1" t="s">
        <v>358</v>
      </c>
      <c r="L482" s="1" t="s">
        <v>99</v>
      </c>
      <c r="O482" s="4">
        <v>43931.0</v>
      </c>
    </row>
    <row r="483">
      <c r="A483" s="1" t="s">
        <v>944</v>
      </c>
      <c r="B483" s="1" t="s">
        <v>776</v>
      </c>
      <c r="C483" s="1" t="s">
        <v>777</v>
      </c>
      <c r="D483" s="1" t="s">
        <v>994</v>
      </c>
      <c r="E483" s="1" t="s">
        <v>97</v>
      </c>
      <c r="F483" s="4">
        <v>46301.0</v>
      </c>
      <c r="G483" s="1" t="s">
        <v>71</v>
      </c>
      <c r="K483" s="1" t="s">
        <v>358</v>
      </c>
      <c r="L483" s="1" t="s">
        <v>99</v>
      </c>
      <c r="O483" s="4">
        <v>43931.0</v>
      </c>
    </row>
    <row r="484">
      <c r="A484" s="1" t="s">
        <v>944</v>
      </c>
      <c r="B484" s="1" t="s">
        <v>336</v>
      </c>
      <c r="C484" s="1" t="s">
        <v>338</v>
      </c>
      <c r="D484" s="1" t="s">
        <v>995</v>
      </c>
      <c r="E484" s="1" t="s">
        <v>97</v>
      </c>
      <c r="F484" s="8">
        <v>46314.0</v>
      </c>
      <c r="G484" s="1" t="s">
        <v>71</v>
      </c>
      <c r="H484" s="1" t="s">
        <v>396</v>
      </c>
      <c r="K484" s="1" t="s">
        <v>358</v>
      </c>
      <c r="L484" s="1" t="s">
        <v>99</v>
      </c>
      <c r="O484" s="4">
        <v>43931.0</v>
      </c>
    </row>
    <row r="485">
      <c r="A485" s="1" t="s">
        <v>944</v>
      </c>
      <c r="B485" s="1" t="s">
        <v>336</v>
      </c>
      <c r="C485" s="1" t="s">
        <v>338</v>
      </c>
      <c r="D485" s="1" t="s">
        <v>996</v>
      </c>
      <c r="E485" s="1" t="s">
        <v>97</v>
      </c>
      <c r="F485" s="8">
        <v>46314.0</v>
      </c>
      <c r="G485" s="1" t="s">
        <v>71</v>
      </c>
      <c r="H485" s="1" t="s">
        <v>396</v>
      </c>
      <c r="K485" s="1" t="s">
        <v>358</v>
      </c>
      <c r="L485" s="1" t="s">
        <v>99</v>
      </c>
      <c r="O485" s="4">
        <v>43931.0</v>
      </c>
    </row>
    <row r="486">
      <c r="A486" s="1" t="s">
        <v>944</v>
      </c>
      <c r="B486" s="1" t="s">
        <v>692</v>
      </c>
      <c r="C486" s="1" t="s">
        <v>505</v>
      </c>
      <c r="D486" s="1" t="s">
        <v>997</v>
      </c>
      <c r="E486" s="1" t="s">
        <v>97</v>
      </c>
      <c r="F486" s="8">
        <v>46316.0</v>
      </c>
      <c r="G486" s="1" t="s">
        <v>71</v>
      </c>
      <c r="H486" s="1" t="s">
        <v>505</v>
      </c>
      <c r="K486" s="1" t="s">
        <v>358</v>
      </c>
      <c r="L486" s="1" t="s">
        <v>99</v>
      </c>
      <c r="O486" s="4">
        <v>43931.0</v>
      </c>
    </row>
    <row r="487">
      <c r="A487" s="1" t="s">
        <v>944</v>
      </c>
      <c r="B487" s="1" t="s">
        <v>692</v>
      </c>
      <c r="C487" s="1" t="s">
        <v>505</v>
      </c>
      <c r="D487" s="1" t="s">
        <v>998</v>
      </c>
      <c r="E487" s="1" t="s">
        <v>97</v>
      </c>
      <c r="F487" s="8">
        <v>46316.0</v>
      </c>
      <c r="G487" s="1" t="s">
        <v>71</v>
      </c>
      <c r="H487" s="1" t="s">
        <v>505</v>
      </c>
      <c r="K487" s="1" t="s">
        <v>358</v>
      </c>
      <c r="L487" s="1" t="s">
        <v>99</v>
      </c>
      <c r="O487" s="4">
        <v>43931.0</v>
      </c>
    </row>
    <row r="488">
      <c r="A488" s="1" t="s">
        <v>944</v>
      </c>
      <c r="B488" s="1" t="s">
        <v>328</v>
      </c>
      <c r="C488" s="1" t="s">
        <v>329</v>
      </c>
      <c r="D488" s="1" t="s">
        <v>999</v>
      </c>
      <c r="E488" s="1" t="s">
        <v>97</v>
      </c>
      <c r="F488" s="4">
        <v>46261.0</v>
      </c>
      <c r="G488" s="1" t="s">
        <v>71</v>
      </c>
      <c r="K488" s="1" t="s">
        <v>358</v>
      </c>
      <c r="L488" s="1" t="s">
        <v>99</v>
      </c>
      <c r="O488" s="4">
        <v>44296.0</v>
      </c>
    </row>
    <row r="489">
      <c r="A489" s="1" t="s">
        <v>944</v>
      </c>
      <c r="B489" s="1" t="s">
        <v>735</v>
      </c>
      <c r="C489" s="1" t="s">
        <v>956</v>
      </c>
      <c r="D489" s="1" t="s">
        <v>957</v>
      </c>
      <c r="E489" s="1" t="s">
        <v>70</v>
      </c>
      <c r="F489" s="8">
        <v>46309.0</v>
      </c>
      <c r="G489" s="1" t="s">
        <v>107</v>
      </c>
      <c r="H489" s="1" t="s">
        <v>958</v>
      </c>
      <c r="J489" s="1" t="s">
        <v>33</v>
      </c>
      <c r="K489" s="1" t="s">
        <v>358</v>
      </c>
      <c r="L489" s="1" t="s">
        <v>99</v>
      </c>
      <c r="O489" s="4">
        <v>43931.0</v>
      </c>
      <c r="T489" s="19" t="s">
        <v>960</v>
      </c>
    </row>
    <row r="490">
      <c r="A490" s="1" t="s">
        <v>944</v>
      </c>
      <c r="B490" s="1" t="s">
        <v>342</v>
      </c>
      <c r="C490" s="1" t="s">
        <v>270</v>
      </c>
      <c r="D490" s="1" t="s">
        <v>1000</v>
      </c>
      <c r="E490" s="1" t="s">
        <v>97</v>
      </c>
      <c r="F490" s="8">
        <v>46316.0</v>
      </c>
      <c r="G490" s="1" t="s">
        <v>71</v>
      </c>
      <c r="K490" s="1" t="s">
        <v>358</v>
      </c>
      <c r="L490" s="1" t="s">
        <v>99</v>
      </c>
      <c r="O490" s="4">
        <v>43931.0</v>
      </c>
    </row>
    <row r="491">
      <c r="A491" s="1" t="s">
        <v>944</v>
      </c>
      <c r="B491" s="1" t="s">
        <v>342</v>
      </c>
      <c r="C491" s="1" t="s">
        <v>270</v>
      </c>
      <c r="D491" s="1" t="s">
        <v>1001</v>
      </c>
      <c r="E491" s="1" t="s">
        <v>97</v>
      </c>
      <c r="F491" s="8">
        <v>46316.0</v>
      </c>
      <c r="G491" s="1" t="s">
        <v>71</v>
      </c>
      <c r="K491" s="1" t="s">
        <v>358</v>
      </c>
      <c r="L491" s="1" t="s">
        <v>99</v>
      </c>
      <c r="O491" s="4">
        <v>43931.0</v>
      </c>
    </row>
    <row r="492">
      <c r="A492" s="1" t="s">
        <v>944</v>
      </c>
      <c r="B492" s="1" t="s">
        <v>342</v>
      </c>
      <c r="C492" s="1" t="s">
        <v>270</v>
      </c>
      <c r="D492" s="1" t="s">
        <v>1002</v>
      </c>
      <c r="E492" s="1" t="s">
        <v>97</v>
      </c>
      <c r="F492" s="4">
        <v>46286.0</v>
      </c>
      <c r="G492" s="1" t="s">
        <v>71</v>
      </c>
      <c r="K492" s="1" t="s">
        <v>358</v>
      </c>
      <c r="L492" s="1" t="s">
        <v>99</v>
      </c>
      <c r="O492" s="4">
        <v>43931.0</v>
      </c>
    </row>
    <row r="493">
      <c r="A493" s="1" t="s">
        <v>944</v>
      </c>
      <c r="B493" s="1" t="s">
        <v>291</v>
      </c>
      <c r="C493" s="1" t="s">
        <v>292</v>
      </c>
      <c r="D493" s="1" t="s">
        <v>959</v>
      </c>
      <c r="E493" s="1" t="s">
        <v>32</v>
      </c>
      <c r="F493" s="4">
        <v>46133.0</v>
      </c>
      <c r="H493" s="1" t="s">
        <v>33</v>
      </c>
      <c r="K493" s="1" t="s">
        <v>358</v>
      </c>
      <c r="L493" s="1" t="s">
        <v>35</v>
      </c>
      <c r="N493" s="4">
        <v>46133.0</v>
      </c>
      <c r="O493" s="4">
        <v>46133.0</v>
      </c>
    </row>
    <row r="494">
      <c r="A494" s="1" t="s">
        <v>944</v>
      </c>
      <c r="B494" s="1" t="s">
        <v>342</v>
      </c>
      <c r="C494" s="1" t="s">
        <v>270</v>
      </c>
      <c r="D494" s="1" t="s">
        <v>1003</v>
      </c>
      <c r="E494" s="1" t="s">
        <v>70</v>
      </c>
      <c r="F494" s="8">
        <v>46316.0</v>
      </c>
      <c r="G494" s="1" t="s">
        <v>132</v>
      </c>
      <c r="H494" s="1" t="s">
        <v>714</v>
      </c>
      <c r="J494" s="1" t="s">
        <v>47</v>
      </c>
      <c r="K494" s="1" t="s">
        <v>358</v>
      </c>
      <c r="L494" s="1" t="s">
        <v>99</v>
      </c>
      <c r="O494" s="4">
        <v>43931.0</v>
      </c>
    </row>
    <row r="495">
      <c r="A495" s="1" t="s">
        <v>944</v>
      </c>
      <c r="B495" s="1" t="s">
        <v>342</v>
      </c>
      <c r="C495" s="1" t="s">
        <v>270</v>
      </c>
      <c r="D495" s="1" t="s">
        <v>1004</v>
      </c>
      <c r="E495" s="1" t="s">
        <v>97</v>
      </c>
      <c r="F495" s="8">
        <v>46316.0</v>
      </c>
      <c r="G495" s="1" t="s">
        <v>71</v>
      </c>
      <c r="K495" s="1" t="s">
        <v>358</v>
      </c>
      <c r="L495" s="1" t="s">
        <v>99</v>
      </c>
      <c r="O495" s="4">
        <v>43931.0</v>
      </c>
    </row>
    <row r="496">
      <c r="A496" s="1" t="s">
        <v>944</v>
      </c>
      <c r="B496" s="1" t="s">
        <v>342</v>
      </c>
      <c r="C496" s="1" t="s">
        <v>270</v>
      </c>
      <c r="D496" s="1" t="s">
        <v>1005</v>
      </c>
      <c r="E496" s="1" t="s">
        <v>97</v>
      </c>
      <c r="F496" s="8">
        <v>46316.0</v>
      </c>
      <c r="G496" s="1" t="s">
        <v>71</v>
      </c>
      <c r="K496" s="1" t="s">
        <v>358</v>
      </c>
      <c r="L496" s="1" t="s">
        <v>99</v>
      </c>
      <c r="O496" s="4">
        <v>43931.0</v>
      </c>
    </row>
    <row r="497">
      <c r="A497" s="1" t="s">
        <v>944</v>
      </c>
      <c r="B497" s="1" t="s">
        <v>342</v>
      </c>
      <c r="C497" s="1" t="s">
        <v>270</v>
      </c>
      <c r="D497" s="1" t="s">
        <v>1006</v>
      </c>
      <c r="E497" s="1" t="s">
        <v>97</v>
      </c>
      <c r="F497" s="8">
        <v>46316.0</v>
      </c>
      <c r="G497" s="1" t="s">
        <v>71</v>
      </c>
      <c r="K497" s="1" t="s">
        <v>358</v>
      </c>
      <c r="L497" s="1" t="s">
        <v>99</v>
      </c>
      <c r="O497" s="4">
        <v>43931.0</v>
      </c>
    </row>
    <row r="498">
      <c r="A498" s="1" t="s">
        <v>944</v>
      </c>
      <c r="B498" s="1" t="s">
        <v>342</v>
      </c>
      <c r="C498" s="1" t="s">
        <v>270</v>
      </c>
      <c r="D498" s="1" t="s">
        <v>1007</v>
      </c>
      <c r="E498" s="1" t="s">
        <v>97</v>
      </c>
      <c r="F498" s="8">
        <v>46316.0</v>
      </c>
      <c r="G498" s="1" t="s">
        <v>71</v>
      </c>
      <c r="K498" s="1" t="s">
        <v>358</v>
      </c>
      <c r="L498" s="1" t="s">
        <v>99</v>
      </c>
      <c r="O498" s="4">
        <v>43931.0</v>
      </c>
    </row>
    <row r="499">
      <c r="A499" s="1" t="s">
        <v>944</v>
      </c>
      <c r="B499" s="1" t="s">
        <v>342</v>
      </c>
      <c r="C499" s="1" t="s">
        <v>270</v>
      </c>
      <c r="D499" s="1" t="s">
        <v>1008</v>
      </c>
      <c r="E499" s="1" t="s">
        <v>97</v>
      </c>
      <c r="F499" s="8">
        <v>46316.0</v>
      </c>
      <c r="G499" s="1" t="s">
        <v>71</v>
      </c>
      <c r="K499" s="1" t="s">
        <v>358</v>
      </c>
      <c r="L499" s="1" t="s">
        <v>99</v>
      </c>
      <c r="O499" s="4">
        <v>43931.0</v>
      </c>
    </row>
    <row r="500">
      <c r="A500" s="1" t="s">
        <v>944</v>
      </c>
      <c r="B500" s="1" t="s">
        <v>342</v>
      </c>
      <c r="C500" s="1" t="s">
        <v>270</v>
      </c>
      <c r="D500" s="1" t="s">
        <v>1009</v>
      </c>
      <c r="E500" s="1" t="s">
        <v>97</v>
      </c>
      <c r="F500" s="8">
        <v>46316.0</v>
      </c>
      <c r="G500" s="1" t="s">
        <v>71</v>
      </c>
      <c r="K500" s="1" t="s">
        <v>358</v>
      </c>
      <c r="L500" s="1" t="s">
        <v>99</v>
      </c>
      <c r="O500" s="4">
        <v>43931.0</v>
      </c>
    </row>
    <row r="501">
      <c r="A501" s="1" t="s">
        <v>944</v>
      </c>
      <c r="B501" s="1" t="s">
        <v>692</v>
      </c>
      <c r="C501" s="1" t="s">
        <v>1010</v>
      </c>
      <c r="D501" s="1" t="s">
        <v>1011</v>
      </c>
      <c r="E501" s="1" t="s">
        <v>97</v>
      </c>
      <c r="F501" s="8">
        <v>46316.0</v>
      </c>
      <c r="G501" s="1" t="s">
        <v>71</v>
      </c>
      <c r="H501" s="1" t="s">
        <v>1012</v>
      </c>
      <c r="K501" s="1" t="s">
        <v>358</v>
      </c>
      <c r="L501" s="1" t="s">
        <v>99</v>
      </c>
      <c r="O501" s="4">
        <v>43931.0</v>
      </c>
    </row>
    <row r="502">
      <c r="A502" s="1" t="s">
        <v>944</v>
      </c>
      <c r="B502" s="1" t="s">
        <v>1013</v>
      </c>
      <c r="C502" s="1" t="s">
        <v>956</v>
      </c>
      <c r="D502" s="1" t="s">
        <v>1014</v>
      </c>
      <c r="E502" s="1" t="s">
        <v>97</v>
      </c>
      <c r="F502" s="4">
        <v>46300.0</v>
      </c>
      <c r="G502" s="1" t="s">
        <v>71</v>
      </c>
      <c r="H502" s="1" t="s">
        <v>1015</v>
      </c>
      <c r="K502" s="1" t="s">
        <v>358</v>
      </c>
      <c r="L502" s="1" t="s">
        <v>99</v>
      </c>
      <c r="O502" s="4">
        <v>43931.0</v>
      </c>
    </row>
    <row r="503">
      <c r="A503" s="1" t="s">
        <v>944</v>
      </c>
      <c r="B503" s="1" t="s">
        <v>1013</v>
      </c>
      <c r="C503" s="1" t="s">
        <v>956</v>
      </c>
      <c r="D503" s="1" t="s">
        <v>1016</v>
      </c>
      <c r="E503" s="1" t="s">
        <v>97</v>
      </c>
      <c r="F503" s="4">
        <v>46300.0</v>
      </c>
      <c r="G503" s="1" t="s">
        <v>71</v>
      </c>
      <c r="H503" s="1" t="s">
        <v>1015</v>
      </c>
      <c r="K503" s="1" t="s">
        <v>358</v>
      </c>
      <c r="L503" s="1" t="s">
        <v>99</v>
      </c>
      <c r="O503" s="4">
        <v>43931.0</v>
      </c>
    </row>
    <row r="504">
      <c r="A504" s="1" t="s">
        <v>944</v>
      </c>
      <c r="B504" s="1" t="s">
        <v>1013</v>
      </c>
      <c r="C504" s="1" t="s">
        <v>956</v>
      </c>
      <c r="D504" s="1" t="s">
        <v>1017</v>
      </c>
      <c r="E504" s="1" t="s">
        <v>97</v>
      </c>
      <c r="F504" s="4">
        <v>46300.0</v>
      </c>
      <c r="G504" s="1" t="s">
        <v>71</v>
      </c>
      <c r="H504" s="1" t="s">
        <v>1015</v>
      </c>
      <c r="K504" s="1" t="s">
        <v>358</v>
      </c>
      <c r="L504" s="1" t="s">
        <v>99</v>
      </c>
      <c r="O504" s="4">
        <v>43931.0</v>
      </c>
    </row>
    <row r="505">
      <c r="A505" s="1" t="s">
        <v>944</v>
      </c>
      <c r="B505" s="1" t="s">
        <v>288</v>
      </c>
      <c r="C505" s="1" t="s">
        <v>289</v>
      </c>
      <c r="D505" s="1" t="s">
        <v>1018</v>
      </c>
      <c r="E505" s="1" t="s">
        <v>70</v>
      </c>
      <c r="F505" s="8">
        <v>46309.0</v>
      </c>
      <c r="G505" s="1" t="s">
        <v>71</v>
      </c>
      <c r="H505" s="1" t="s">
        <v>414</v>
      </c>
      <c r="K505" s="1" t="s">
        <v>358</v>
      </c>
      <c r="L505" s="1" t="s">
        <v>99</v>
      </c>
      <c r="O505" s="4">
        <v>43931.0</v>
      </c>
    </row>
    <row r="506">
      <c r="A506" s="1" t="s">
        <v>944</v>
      </c>
      <c r="B506" s="1" t="s">
        <v>776</v>
      </c>
      <c r="C506" s="1" t="s">
        <v>1019</v>
      </c>
      <c r="D506" s="1" t="s">
        <v>1020</v>
      </c>
      <c r="E506" s="1" t="s">
        <v>97</v>
      </c>
      <c r="F506" s="4">
        <v>46300.0</v>
      </c>
      <c r="G506" s="1" t="s">
        <v>71</v>
      </c>
      <c r="K506" s="1" t="s">
        <v>358</v>
      </c>
      <c r="L506" s="1" t="s">
        <v>99</v>
      </c>
      <c r="O506" s="4">
        <v>43931.0</v>
      </c>
    </row>
    <row r="507">
      <c r="A507" s="1" t="s">
        <v>944</v>
      </c>
      <c r="B507" s="1" t="s">
        <v>776</v>
      </c>
      <c r="C507" s="1" t="s">
        <v>777</v>
      </c>
      <c r="D507" s="1" t="s">
        <v>1021</v>
      </c>
      <c r="E507" s="1" t="s">
        <v>97</v>
      </c>
      <c r="F507" s="4">
        <v>46300.0</v>
      </c>
      <c r="G507" s="1" t="s">
        <v>71</v>
      </c>
      <c r="K507" s="1" t="s">
        <v>358</v>
      </c>
      <c r="L507" s="1" t="s">
        <v>99</v>
      </c>
      <c r="O507" s="4">
        <v>43931.0</v>
      </c>
    </row>
    <row r="508">
      <c r="A508" s="1" t="s">
        <v>1022</v>
      </c>
      <c r="B508" s="1" t="s">
        <v>94</v>
      </c>
      <c r="C508" s="1" t="s">
        <v>95</v>
      </c>
      <c r="D508" s="1" t="s">
        <v>1023</v>
      </c>
      <c r="E508" s="1" t="s">
        <v>97</v>
      </c>
      <c r="F508" s="8">
        <v>46311.0</v>
      </c>
      <c r="G508" s="1" t="s">
        <v>71</v>
      </c>
      <c r="K508" s="1" t="s">
        <v>1024</v>
      </c>
      <c r="L508" s="1" t="s">
        <v>99</v>
      </c>
      <c r="O508" s="4">
        <v>44621.0</v>
      </c>
    </row>
    <row r="509">
      <c r="A509" s="1" t="s">
        <v>1022</v>
      </c>
      <c r="B509" s="1" t="s">
        <v>94</v>
      </c>
      <c r="C509" s="1" t="s">
        <v>95</v>
      </c>
      <c r="D509" s="1" t="s">
        <v>1025</v>
      </c>
      <c r="E509" s="1" t="s">
        <v>97</v>
      </c>
      <c r="F509" s="8">
        <v>46311.0</v>
      </c>
      <c r="G509" s="1" t="s">
        <v>71</v>
      </c>
      <c r="K509" s="1" t="s">
        <v>1024</v>
      </c>
      <c r="L509" s="1" t="s">
        <v>99</v>
      </c>
      <c r="O509" s="4">
        <v>44621.0</v>
      </c>
    </row>
    <row r="510">
      <c r="A510" s="1" t="s">
        <v>1022</v>
      </c>
      <c r="B510" s="1" t="s">
        <v>94</v>
      </c>
      <c r="C510" s="1" t="s">
        <v>95</v>
      </c>
      <c r="D510" s="1" t="s">
        <v>1026</v>
      </c>
      <c r="E510" s="1" t="s">
        <v>97</v>
      </c>
      <c r="F510" s="8">
        <v>46311.0</v>
      </c>
      <c r="G510" s="1" t="s">
        <v>71</v>
      </c>
      <c r="K510" s="1" t="s">
        <v>1024</v>
      </c>
      <c r="L510" s="1" t="s">
        <v>99</v>
      </c>
      <c r="O510" s="4">
        <v>44621.0</v>
      </c>
    </row>
    <row r="511">
      <c r="A511" s="1" t="s">
        <v>1022</v>
      </c>
      <c r="B511" s="1" t="s">
        <v>102</v>
      </c>
      <c r="C511" s="1" t="s">
        <v>103</v>
      </c>
      <c r="D511" s="1" t="s">
        <v>1027</v>
      </c>
      <c r="E511" s="1" t="s">
        <v>97</v>
      </c>
      <c r="F511" s="8">
        <v>46314.0</v>
      </c>
      <c r="G511" s="1" t="s">
        <v>71</v>
      </c>
      <c r="K511" s="1" t="s">
        <v>1024</v>
      </c>
      <c r="L511" s="1" t="s">
        <v>99</v>
      </c>
      <c r="O511" s="4">
        <v>44621.0</v>
      </c>
    </row>
    <row r="512">
      <c r="A512" s="1" t="s">
        <v>1022</v>
      </c>
      <c r="B512" s="1" t="s">
        <v>102</v>
      </c>
      <c r="C512" s="1" t="s">
        <v>103</v>
      </c>
      <c r="D512" s="1" t="s">
        <v>1028</v>
      </c>
      <c r="E512" s="1" t="s">
        <v>97</v>
      </c>
      <c r="F512" s="8">
        <v>46314.0</v>
      </c>
      <c r="G512" s="1" t="s">
        <v>71</v>
      </c>
      <c r="K512" s="1" t="s">
        <v>1024</v>
      </c>
      <c r="L512" s="1" t="s">
        <v>99</v>
      </c>
      <c r="O512" s="4">
        <v>44621.0</v>
      </c>
    </row>
    <row r="513">
      <c r="A513" s="1" t="s">
        <v>1022</v>
      </c>
      <c r="B513" s="1" t="s">
        <v>102</v>
      </c>
      <c r="C513" s="1" t="s">
        <v>103</v>
      </c>
      <c r="D513" s="1" t="s">
        <v>1029</v>
      </c>
      <c r="E513" s="1" t="s">
        <v>97</v>
      </c>
      <c r="F513" s="8">
        <v>46314.0</v>
      </c>
      <c r="G513" s="1" t="s">
        <v>71</v>
      </c>
      <c r="K513" s="1" t="s">
        <v>1024</v>
      </c>
      <c r="L513" s="1" t="s">
        <v>99</v>
      </c>
      <c r="O513" s="4">
        <v>44621.0</v>
      </c>
    </row>
    <row r="514">
      <c r="A514" s="1" t="s">
        <v>1022</v>
      </c>
      <c r="B514" s="1" t="s">
        <v>255</v>
      </c>
      <c r="C514" s="1" t="s">
        <v>256</v>
      </c>
      <c r="D514" s="1" t="s">
        <v>1030</v>
      </c>
      <c r="E514" s="1" t="s">
        <v>97</v>
      </c>
      <c r="F514" s="8">
        <v>46310.0</v>
      </c>
      <c r="G514" s="1" t="s">
        <v>71</v>
      </c>
      <c r="H514" s="1" t="s">
        <v>396</v>
      </c>
      <c r="K514" s="1" t="s">
        <v>1024</v>
      </c>
      <c r="L514" s="1" t="s">
        <v>99</v>
      </c>
      <c r="O514" s="4">
        <v>44621.0</v>
      </c>
    </row>
    <row r="515">
      <c r="A515" s="1" t="s">
        <v>1022</v>
      </c>
      <c r="B515" s="1" t="s">
        <v>255</v>
      </c>
      <c r="C515" s="1" t="s">
        <v>256</v>
      </c>
      <c r="D515" s="1" t="s">
        <v>1031</v>
      </c>
      <c r="E515" s="1" t="s">
        <v>97</v>
      </c>
      <c r="F515" s="8">
        <v>46310.0</v>
      </c>
      <c r="G515" s="1" t="s">
        <v>71</v>
      </c>
      <c r="H515" s="1" t="s">
        <v>396</v>
      </c>
      <c r="K515" s="1" t="s">
        <v>1024</v>
      </c>
      <c r="L515" s="1" t="s">
        <v>99</v>
      </c>
      <c r="O515" s="4">
        <v>44621.0</v>
      </c>
    </row>
    <row r="516">
      <c r="A516" s="1" t="s">
        <v>1022</v>
      </c>
      <c r="B516" s="1" t="s">
        <v>255</v>
      </c>
      <c r="C516" s="1" t="s">
        <v>256</v>
      </c>
      <c r="D516" s="1" t="s">
        <v>1032</v>
      </c>
      <c r="E516" s="1" t="s">
        <v>97</v>
      </c>
      <c r="F516" s="8">
        <v>46310.0</v>
      </c>
      <c r="G516" s="1" t="s">
        <v>71</v>
      </c>
      <c r="H516" s="1" t="s">
        <v>396</v>
      </c>
      <c r="K516" s="1" t="s">
        <v>1024</v>
      </c>
      <c r="L516" s="1" t="s">
        <v>99</v>
      </c>
      <c r="O516" s="4">
        <v>44621.0</v>
      </c>
    </row>
    <row r="517">
      <c r="A517" s="1" t="s">
        <v>1022</v>
      </c>
      <c r="B517" s="1" t="s">
        <v>115</v>
      </c>
      <c r="C517" s="1" t="s">
        <v>116</v>
      </c>
      <c r="D517" s="1" t="s">
        <v>1033</v>
      </c>
      <c r="E517" s="1" t="s">
        <v>97</v>
      </c>
      <c r="F517" s="8">
        <v>46311.0</v>
      </c>
      <c r="G517" s="1" t="s">
        <v>71</v>
      </c>
      <c r="H517" s="1" t="s">
        <v>118</v>
      </c>
      <c r="K517" s="1" t="s">
        <v>1024</v>
      </c>
      <c r="L517" s="1" t="s">
        <v>99</v>
      </c>
      <c r="O517" s="4">
        <v>44621.0</v>
      </c>
    </row>
    <row r="518">
      <c r="A518" s="1" t="s">
        <v>1022</v>
      </c>
      <c r="B518" s="1" t="s">
        <v>115</v>
      </c>
      <c r="C518" s="1" t="s">
        <v>116</v>
      </c>
      <c r="D518" s="1" t="s">
        <v>1034</v>
      </c>
      <c r="E518" s="1" t="s">
        <v>97</v>
      </c>
      <c r="F518" s="8">
        <v>46311.0</v>
      </c>
      <c r="G518" s="1" t="s">
        <v>71</v>
      </c>
      <c r="H518" s="1" t="s">
        <v>118</v>
      </c>
      <c r="K518" s="1" t="s">
        <v>1024</v>
      </c>
      <c r="L518" s="1" t="s">
        <v>99</v>
      </c>
      <c r="O518" s="4">
        <v>44621.0</v>
      </c>
    </row>
    <row r="519">
      <c r="A519" s="1" t="s">
        <v>1022</v>
      </c>
      <c r="B519" s="1" t="s">
        <v>115</v>
      </c>
      <c r="C519" s="1" t="s">
        <v>116</v>
      </c>
      <c r="D519" s="1" t="s">
        <v>1035</v>
      </c>
      <c r="E519" s="1" t="s">
        <v>97</v>
      </c>
      <c r="F519" s="8">
        <v>46311.0</v>
      </c>
      <c r="G519" s="1" t="s">
        <v>71</v>
      </c>
      <c r="H519" s="1" t="s">
        <v>118</v>
      </c>
      <c r="K519" s="1" t="s">
        <v>1024</v>
      </c>
      <c r="L519" s="1" t="s">
        <v>99</v>
      </c>
      <c r="O519" s="4">
        <v>44621.0</v>
      </c>
    </row>
    <row r="520">
      <c r="A520" s="1" t="s">
        <v>1022</v>
      </c>
      <c r="B520" s="1" t="s">
        <v>115</v>
      </c>
      <c r="C520" s="1" t="s">
        <v>116</v>
      </c>
      <c r="D520" s="1" t="s">
        <v>1036</v>
      </c>
      <c r="E520" s="1" t="s">
        <v>97</v>
      </c>
      <c r="F520" s="8">
        <v>46311.0</v>
      </c>
      <c r="G520" s="1" t="s">
        <v>107</v>
      </c>
      <c r="H520" s="1" t="s">
        <v>1037</v>
      </c>
      <c r="J520" s="1" t="s">
        <v>33</v>
      </c>
      <c r="K520" s="1" t="s">
        <v>1024</v>
      </c>
      <c r="L520" s="1" t="s">
        <v>99</v>
      </c>
      <c r="O520" s="4">
        <v>44621.0</v>
      </c>
    </row>
    <row r="521">
      <c r="A521" s="1" t="s">
        <v>1038</v>
      </c>
      <c r="B521" s="1" t="s">
        <v>255</v>
      </c>
      <c r="C521" s="1" t="s">
        <v>256</v>
      </c>
      <c r="D521" s="1" t="s">
        <v>1039</v>
      </c>
      <c r="E521" s="1" t="s">
        <v>97</v>
      </c>
      <c r="F521" s="8">
        <v>46310.0</v>
      </c>
      <c r="G521" s="1" t="s">
        <v>71</v>
      </c>
      <c r="H521" s="1" t="s">
        <v>396</v>
      </c>
      <c r="K521" s="1" t="s">
        <v>1024</v>
      </c>
      <c r="L521" s="1" t="s">
        <v>99</v>
      </c>
      <c r="O521" s="4">
        <v>44606.0</v>
      </c>
    </row>
    <row r="522">
      <c r="A522" s="1" t="s">
        <v>1038</v>
      </c>
      <c r="B522" s="1" t="s">
        <v>255</v>
      </c>
      <c r="C522" s="1" t="s">
        <v>256</v>
      </c>
      <c r="D522" s="1" t="s">
        <v>1040</v>
      </c>
      <c r="E522" s="1" t="s">
        <v>97</v>
      </c>
      <c r="F522" s="8">
        <v>46310.0</v>
      </c>
      <c r="G522" s="1" t="s">
        <v>71</v>
      </c>
      <c r="H522" s="1" t="s">
        <v>396</v>
      </c>
      <c r="K522" s="1" t="s">
        <v>1024</v>
      </c>
      <c r="L522" s="1" t="s">
        <v>99</v>
      </c>
      <c r="O522" s="4">
        <v>44606.0</v>
      </c>
    </row>
    <row r="523">
      <c r="A523" s="1" t="s">
        <v>1038</v>
      </c>
      <c r="B523" s="1" t="s">
        <v>255</v>
      </c>
      <c r="C523" s="1" t="s">
        <v>256</v>
      </c>
      <c r="D523" s="1" t="s">
        <v>1041</v>
      </c>
      <c r="E523" s="1" t="s">
        <v>97</v>
      </c>
      <c r="F523" s="8">
        <v>46310.0</v>
      </c>
      <c r="G523" s="1" t="s">
        <v>71</v>
      </c>
      <c r="H523" s="1" t="s">
        <v>396</v>
      </c>
      <c r="K523" s="1" t="s">
        <v>1024</v>
      </c>
      <c r="L523" s="1" t="s">
        <v>99</v>
      </c>
      <c r="O523" s="4">
        <v>44606.0</v>
      </c>
    </row>
    <row r="524">
      <c r="A524" s="1" t="s">
        <v>1038</v>
      </c>
      <c r="B524" s="1" t="s">
        <v>255</v>
      </c>
      <c r="C524" s="1" t="s">
        <v>256</v>
      </c>
      <c r="D524" s="1" t="s">
        <v>1042</v>
      </c>
      <c r="E524" s="1" t="s">
        <v>97</v>
      </c>
      <c r="F524" s="8">
        <v>46310.0</v>
      </c>
      <c r="G524" s="1" t="s">
        <v>71</v>
      </c>
      <c r="H524" s="1" t="s">
        <v>396</v>
      </c>
      <c r="K524" s="1" t="s">
        <v>1024</v>
      </c>
      <c r="L524" s="1" t="s">
        <v>99</v>
      </c>
      <c r="O524" s="4">
        <v>44606.0</v>
      </c>
    </row>
    <row r="525">
      <c r="A525" s="1" t="s">
        <v>1038</v>
      </c>
      <c r="B525" s="1" t="s">
        <v>255</v>
      </c>
      <c r="C525" s="1" t="s">
        <v>256</v>
      </c>
      <c r="D525" s="1" t="s">
        <v>1043</v>
      </c>
      <c r="E525" s="1" t="s">
        <v>97</v>
      </c>
      <c r="F525" s="8">
        <v>46310.0</v>
      </c>
      <c r="G525" s="1" t="s">
        <v>71</v>
      </c>
      <c r="H525" s="1" t="s">
        <v>556</v>
      </c>
      <c r="K525" s="1" t="s">
        <v>1024</v>
      </c>
      <c r="L525" s="1" t="s">
        <v>99</v>
      </c>
      <c r="O525" s="4">
        <v>44606.0</v>
      </c>
    </row>
    <row r="526">
      <c r="A526" s="1" t="s">
        <v>1038</v>
      </c>
      <c r="B526" s="1" t="s">
        <v>115</v>
      </c>
      <c r="C526" s="1" t="s">
        <v>116</v>
      </c>
      <c r="D526" s="1" t="s">
        <v>1044</v>
      </c>
      <c r="E526" s="1" t="s">
        <v>97</v>
      </c>
      <c r="F526" s="8">
        <v>46311.0</v>
      </c>
      <c r="G526" s="1" t="s">
        <v>71</v>
      </c>
      <c r="H526" s="1" t="s">
        <v>118</v>
      </c>
      <c r="K526" s="1" t="s">
        <v>1024</v>
      </c>
      <c r="L526" s="1" t="s">
        <v>99</v>
      </c>
      <c r="O526" s="4">
        <v>44606.0</v>
      </c>
    </row>
    <row r="527">
      <c r="A527" s="1" t="s">
        <v>1038</v>
      </c>
      <c r="B527" s="1" t="s">
        <v>115</v>
      </c>
      <c r="C527" s="1" t="s">
        <v>116</v>
      </c>
      <c r="D527" s="1" t="s">
        <v>1045</v>
      </c>
      <c r="E527" s="1" t="s">
        <v>97</v>
      </c>
      <c r="F527" s="8">
        <v>46311.0</v>
      </c>
      <c r="G527" s="1" t="s">
        <v>71</v>
      </c>
      <c r="H527" s="1" t="s">
        <v>118</v>
      </c>
      <c r="K527" s="1" t="s">
        <v>1024</v>
      </c>
      <c r="L527" s="1" t="s">
        <v>99</v>
      </c>
      <c r="O527" s="4">
        <v>44606.0</v>
      </c>
    </row>
    <row r="528">
      <c r="A528" s="1" t="s">
        <v>1038</v>
      </c>
      <c r="B528" s="1" t="s">
        <v>115</v>
      </c>
      <c r="C528" s="1" t="s">
        <v>116</v>
      </c>
      <c r="D528" s="1" t="s">
        <v>1046</v>
      </c>
      <c r="E528" s="1" t="s">
        <v>97</v>
      </c>
      <c r="F528" s="8">
        <v>46311.0</v>
      </c>
      <c r="G528" s="1" t="s">
        <v>71</v>
      </c>
      <c r="H528" s="1" t="s">
        <v>118</v>
      </c>
      <c r="K528" s="1" t="s">
        <v>1024</v>
      </c>
      <c r="L528" s="1" t="s">
        <v>99</v>
      </c>
      <c r="O528" s="4">
        <v>44606.0</v>
      </c>
    </row>
    <row r="529">
      <c r="A529" s="1" t="s">
        <v>1038</v>
      </c>
      <c r="B529" s="1" t="s">
        <v>115</v>
      </c>
      <c r="C529" s="1" t="s">
        <v>116</v>
      </c>
      <c r="D529" s="1" t="s">
        <v>1047</v>
      </c>
      <c r="E529" s="1" t="s">
        <v>97</v>
      </c>
      <c r="F529" s="8">
        <v>46311.0</v>
      </c>
      <c r="G529" s="1" t="s">
        <v>71</v>
      </c>
      <c r="H529" s="1" t="s">
        <v>118</v>
      </c>
      <c r="K529" s="1" t="s">
        <v>1024</v>
      </c>
      <c r="L529" s="1" t="s">
        <v>99</v>
      </c>
      <c r="O529" s="4">
        <v>44606.0</v>
      </c>
    </row>
    <row r="530">
      <c r="A530" s="1" t="s">
        <v>1038</v>
      </c>
      <c r="B530" s="1" t="s">
        <v>115</v>
      </c>
      <c r="C530" s="1" t="s">
        <v>116</v>
      </c>
      <c r="D530" s="1" t="s">
        <v>1048</v>
      </c>
      <c r="E530" s="1" t="s">
        <v>97</v>
      </c>
      <c r="F530" s="8">
        <v>46311.0</v>
      </c>
      <c r="G530" s="1" t="s">
        <v>71</v>
      </c>
      <c r="H530" s="1" t="s">
        <v>118</v>
      </c>
      <c r="K530" s="1" t="s">
        <v>1024</v>
      </c>
      <c r="L530" s="1" t="s">
        <v>99</v>
      </c>
      <c r="O530" s="4">
        <v>44606.0</v>
      </c>
    </row>
    <row r="531">
      <c r="A531" s="1" t="s">
        <v>1038</v>
      </c>
      <c r="B531" s="1" t="s">
        <v>115</v>
      </c>
      <c r="C531" s="1" t="s">
        <v>116</v>
      </c>
      <c r="D531" s="1" t="s">
        <v>1049</v>
      </c>
      <c r="E531" s="1" t="s">
        <v>97</v>
      </c>
      <c r="F531" s="8">
        <v>46311.0</v>
      </c>
      <c r="G531" s="1" t="s">
        <v>71</v>
      </c>
      <c r="H531" s="1" t="s">
        <v>118</v>
      </c>
      <c r="K531" s="1" t="s">
        <v>1024</v>
      </c>
      <c r="L531" s="1" t="s">
        <v>99</v>
      </c>
      <c r="O531" s="4">
        <v>44606.0</v>
      </c>
    </row>
    <row r="532">
      <c r="A532" s="1" t="s">
        <v>1038</v>
      </c>
      <c r="B532" s="1" t="s">
        <v>115</v>
      </c>
      <c r="C532" s="1" t="s">
        <v>116</v>
      </c>
      <c r="D532" s="1" t="s">
        <v>1050</v>
      </c>
      <c r="E532" s="1" t="s">
        <v>97</v>
      </c>
      <c r="F532" s="8">
        <v>46311.0</v>
      </c>
      <c r="G532" s="1" t="s">
        <v>71</v>
      </c>
      <c r="H532" s="1" t="s">
        <v>118</v>
      </c>
      <c r="K532" s="1" t="s">
        <v>1024</v>
      </c>
      <c r="L532" s="1" t="s">
        <v>99</v>
      </c>
      <c r="O532" s="4">
        <v>44606.0</v>
      </c>
    </row>
    <row r="533">
      <c r="A533" s="1" t="s">
        <v>1038</v>
      </c>
      <c r="B533" s="1" t="s">
        <v>94</v>
      </c>
      <c r="C533" s="1" t="s">
        <v>95</v>
      </c>
      <c r="D533" s="1" t="s">
        <v>1051</v>
      </c>
      <c r="E533" s="1" t="s">
        <v>97</v>
      </c>
      <c r="F533" s="8">
        <v>46311.0</v>
      </c>
      <c r="G533" s="1" t="s">
        <v>71</v>
      </c>
      <c r="K533" s="1" t="s">
        <v>1024</v>
      </c>
      <c r="L533" s="1" t="s">
        <v>99</v>
      </c>
      <c r="O533" s="4">
        <v>44606.0</v>
      </c>
    </row>
    <row r="534">
      <c r="A534" s="1" t="s">
        <v>1038</v>
      </c>
      <c r="B534" s="1" t="s">
        <v>94</v>
      </c>
      <c r="C534" s="1" t="s">
        <v>95</v>
      </c>
      <c r="D534" s="1" t="s">
        <v>1052</v>
      </c>
      <c r="E534" s="1" t="s">
        <v>97</v>
      </c>
      <c r="F534" s="8">
        <v>46311.0</v>
      </c>
      <c r="G534" s="1" t="s">
        <v>71</v>
      </c>
      <c r="K534" s="1" t="s">
        <v>1024</v>
      </c>
      <c r="L534" s="1" t="s">
        <v>99</v>
      </c>
      <c r="O534" s="4">
        <v>44606.0</v>
      </c>
    </row>
    <row r="535">
      <c r="A535" s="1" t="s">
        <v>1038</v>
      </c>
      <c r="B535" s="1" t="s">
        <v>94</v>
      </c>
      <c r="C535" s="1" t="s">
        <v>95</v>
      </c>
      <c r="D535" s="1" t="s">
        <v>1053</v>
      </c>
      <c r="E535" s="1" t="s">
        <v>97</v>
      </c>
      <c r="F535" s="8">
        <v>46311.0</v>
      </c>
      <c r="G535" s="1" t="s">
        <v>107</v>
      </c>
      <c r="H535" s="1" t="s">
        <v>189</v>
      </c>
      <c r="J535" s="1" t="s">
        <v>134</v>
      </c>
      <c r="K535" s="1" t="s">
        <v>1024</v>
      </c>
      <c r="L535" s="1" t="s">
        <v>99</v>
      </c>
      <c r="O535" s="4">
        <v>44606.0</v>
      </c>
    </row>
    <row r="536">
      <c r="A536" s="1" t="s">
        <v>1038</v>
      </c>
      <c r="B536" s="1" t="s">
        <v>94</v>
      </c>
      <c r="C536" s="1" t="s">
        <v>95</v>
      </c>
      <c r="D536" s="1" t="s">
        <v>1054</v>
      </c>
      <c r="E536" s="1" t="s">
        <v>97</v>
      </c>
      <c r="F536" s="8">
        <v>46311.0</v>
      </c>
      <c r="G536" s="1" t="s">
        <v>71</v>
      </c>
      <c r="K536" s="1" t="s">
        <v>1024</v>
      </c>
      <c r="L536" s="1" t="s">
        <v>99</v>
      </c>
      <c r="O536" s="4">
        <v>44606.0</v>
      </c>
    </row>
    <row r="537">
      <c r="A537" s="1" t="s">
        <v>1038</v>
      </c>
      <c r="B537" s="1" t="s">
        <v>94</v>
      </c>
      <c r="C537" s="1" t="s">
        <v>95</v>
      </c>
      <c r="D537" s="1" t="s">
        <v>1055</v>
      </c>
      <c r="E537" s="1" t="s">
        <v>70</v>
      </c>
      <c r="F537" s="8">
        <v>46311.0</v>
      </c>
      <c r="G537" s="1" t="s">
        <v>107</v>
      </c>
      <c r="H537" s="1" t="s">
        <v>108</v>
      </c>
      <c r="J537" s="1" t="s">
        <v>134</v>
      </c>
      <c r="K537" s="1" t="s">
        <v>1024</v>
      </c>
      <c r="L537" s="1" t="s">
        <v>99</v>
      </c>
      <c r="O537" s="4">
        <v>44606.0</v>
      </c>
    </row>
    <row r="538">
      <c r="A538" s="1" t="s">
        <v>1038</v>
      </c>
      <c r="B538" s="1" t="s">
        <v>94</v>
      </c>
      <c r="C538" s="1" t="s">
        <v>95</v>
      </c>
      <c r="D538" s="1" t="s">
        <v>1056</v>
      </c>
      <c r="E538" s="1" t="s">
        <v>97</v>
      </c>
      <c r="F538" s="8">
        <v>46311.0</v>
      </c>
      <c r="G538" s="1" t="s">
        <v>71</v>
      </c>
      <c r="K538" s="1" t="s">
        <v>1024</v>
      </c>
      <c r="L538" s="1" t="s">
        <v>99</v>
      </c>
      <c r="O538" s="4">
        <v>44606.0</v>
      </c>
    </row>
    <row r="539">
      <c r="A539" s="1" t="s">
        <v>1038</v>
      </c>
      <c r="B539" s="1" t="s">
        <v>94</v>
      </c>
      <c r="C539" s="1" t="s">
        <v>95</v>
      </c>
      <c r="D539" s="1" t="s">
        <v>1057</v>
      </c>
      <c r="E539" s="1" t="s">
        <v>97</v>
      </c>
      <c r="F539" s="8">
        <v>46311.0</v>
      </c>
      <c r="G539" s="1" t="s">
        <v>71</v>
      </c>
      <c r="K539" s="1" t="s">
        <v>1024</v>
      </c>
      <c r="L539" s="1" t="s">
        <v>99</v>
      </c>
      <c r="O539" s="4">
        <v>44606.0</v>
      </c>
    </row>
    <row r="540">
      <c r="A540" s="1" t="s">
        <v>1038</v>
      </c>
      <c r="B540" s="1" t="s">
        <v>94</v>
      </c>
      <c r="C540" s="1" t="s">
        <v>95</v>
      </c>
      <c r="D540" s="1" t="s">
        <v>1058</v>
      </c>
      <c r="E540" s="1" t="s">
        <v>97</v>
      </c>
      <c r="F540" s="8">
        <v>46311.0</v>
      </c>
      <c r="G540" s="1" t="s">
        <v>71</v>
      </c>
      <c r="K540" s="1" t="s">
        <v>1024</v>
      </c>
      <c r="L540" s="1" t="s">
        <v>99</v>
      </c>
      <c r="O540" s="4">
        <v>44606.0</v>
      </c>
    </row>
    <row r="541">
      <c r="A541" s="1" t="s">
        <v>1038</v>
      </c>
      <c r="B541" s="1" t="s">
        <v>94</v>
      </c>
      <c r="C541" s="1" t="s">
        <v>95</v>
      </c>
      <c r="D541" s="1" t="s">
        <v>1059</v>
      </c>
      <c r="E541" s="1" t="s">
        <v>97</v>
      </c>
      <c r="F541" s="8">
        <v>46311.0</v>
      </c>
      <c r="G541" s="1" t="s">
        <v>71</v>
      </c>
      <c r="K541" s="1" t="s">
        <v>1024</v>
      </c>
      <c r="L541" s="1" t="s">
        <v>99</v>
      </c>
      <c r="O541" s="4">
        <v>44606.0</v>
      </c>
    </row>
    <row r="542">
      <c r="A542" s="1" t="s">
        <v>1038</v>
      </c>
      <c r="B542" s="1" t="s">
        <v>94</v>
      </c>
      <c r="C542" s="1" t="s">
        <v>95</v>
      </c>
      <c r="D542" s="1" t="s">
        <v>1060</v>
      </c>
      <c r="E542" s="1" t="s">
        <v>97</v>
      </c>
      <c r="F542" s="8">
        <v>46311.0</v>
      </c>
      <c r="G542" s="1" t="s">
        <v>71</v>
      </c>
      <c r="K542" s="1" t="s">
        <v>1024</v>
      </c>
      <c r="L542" s="1" t="s">
        <v>99</v>
      </c>
      <c r="O542" s="4">
        <v>44606.0</v>
      </c>
    </row>
    <row r="543">
      <c r="A543" s="1" t="s">
        <v>1038</v>
      </c>
      <c r="B543" s="1" t="s">
        <v>94</v>
      </c>
      <c r="C543" s="1" t="s">
        <v>95</v>
      </c>
      <c r="D543" s="1" t="s">
        <v>1061</v>
      </c>
      <c r="E543" s="1" t="s">
        <v>97</v>
      </c>
      <c r="F543" s="8">
        <v>46311.0</v>
      </c>
      <c r="G543" s="1" t="s">
        <v>71</v>
      </c>
      <c r="K543" s="1" t="s">
        <v>1024</v>
      </c>
      <c r="L543" s="1" t="s">
        <v>99</v>
      </c>
      <c r="O543" s="4">
        <v>44606.0</v>
      </c>
    </row>
    <row r="544">
      <c r="A544" s="1" t="s">
        <v>1038</v>
      </c>
      <c r="B544" s="1" t="s">
        <v>94</v>
      </c>
      <c r="C544" s="1" t="s">
        <v>95</v>
      </c>
      <c r="D544" s="1" t="s">
        <v>1062</v>
      </c>
      <c r="E544" s="1" t="s">
        <v>70</v>
      </c>
      <c r="F544" s="8">
        <v>46311.0</v>
      </c>
      <c r="G544" s="1" t="s">
        <v>71</v>
      </c>
      <c r="K544" s="1" t="s">
        <v>1024</v>
      </c>
      <c r="L544" s="1" t="s">
        <v>99</v>
      </c>
      <c r="O544" s="4">
        <v>44606.0</v>
      </c>
    </row>
    <row r="545">
      <c r="A545" s="1" t="s">
        <v>1038</v>
      </c>
      <c r="B545" s="1" t="s">
        <v>94</v>
      </c>
      <c r="C545" s="1" t="s">
        <v>95</v>
      </c>
      <c r="D545" s="1" t="s">
        <v>1063</v>
      </c>
      <c r="E545" s="1" t="s">
        <v>97</v>
      </c>
      <c r="F545" s="8">
        <v>46311.0</v>
      </c>
      <c r="G545" s="1" t="s">
        <v>71</v>
      </c>
      <c r="K545" s="1" t="s">
        <v>1024</v>
      </c>
      <c r="L545" s="1" t="s">
        <v>99</v>
      </c>
      <c r="O545" s="4">
        <v>44606.0</v>
      </c>
    </row>
    <row r="546">
      <c r="A546" s="1" t="s">
        <v>1038</v>
      </c>
      <c r="B546" s="1" t="s">
        <v>94</v>
      </c>
      <c r="C546" s="1" t="s">
        <v>95</v>
      </c>
      <c r="D546" s="1" t="s">
        <v>1064</v>
      </c>
      <c r="E546" s="1" t="s">
        <v>97</v>
      </c>
      <c r="F546" s="8">
        <v>46311.0</v>
      </c>
      <c r="G546" s="1" t="s">
        <v>71</v>
      </c>
      <c r="K546" s="1" t="s">
        <v>1024</v>
      </c>
      <c r="L546" s="1" t="s">
        <v>99</v>
      </c>
      <c r="O546" s="4">
        <v>44606.0</v>
      </c>
    </row>
    <row r="547">
      <c r="A547" s="1" t="s">
        <v>1038</v>
      </c>
      <c r="B547" s="1" t="s">
        <v>102</v>
      </c>
      <c r="C547" s="1" t="s">
        <v>103</v>
      </c>
      <c r="D547" s="1" t="s">
        <v>1065</v>
      </c>
      <c r="E547" s="1" t="s">
        <v>97</v>
      </c>
      <c r="F547" s="8">
        <v>46314.0</v>
      </c>
      <c r="G547" s="1" t="s">
        <v>71</v>
      </c>
      <c r="K547" s="1" t="s">
        <v>1024</v>
      </c>
      <c r="L547" s="1" t="s">
        <v>99</v>
      </c>
      <c r="O547" s="4">
        <v>44606.0</v>
      </c>
    </row>
    <row r="548">
      <c r="A548" s="1" t="s">
        <v>1038</v>
      </c>
      <c r="B548" s="1" t="s">
        <v>102</v>
      </c>
      <c r="C548" s="1" t="s">
        <v>103</v>
      </c>
      <c r="D548" s="1" t="s">
        <v>1066</v>
      </c>
      <c r="E548" s="1" t="s">
        <v>97</v>
      </c>
      <c r="F548" s="8">
        <v>46314.0</v>
      </c>
      <c r="G548" s="1" t="s">
        <v>71</v>
      </c>
      <c r="K548" s="1" t="s">
        <v>1024</v>
      </c>
      <c r="L548" s="1" t="s">
        <v>99</v>
      </c>
      <c r="O548" s="4">
        <v>44606.0</v>
      </c>
    </row>
    <row r="549">
      <c r="A549" s="1" t="s">
        <v>1038</v>
      </c>
      <c r="B549" s="1" t="s">
        <v>102</v>
      </c>
      <c r="C549" s="1" t="s">
        <v>103</v>
      </c>
      <c r="D549" s="1" t="s">
        <v>1067</v>
      </c>
      <c r="E549" s="1" t="s">
        <v>97</v>
      </c>
      <c r="F549" s="8">
        <v>46314.0</v>
      </c>
      <c r="G549" s="1" t="s">
        <v>71</v>
      </c>
      <c r="K549" s="1" t="s">
        <v>1024</v>
      </c>
      <c r="L549" s="1" t="s">
        <v>99</v>
      </c>
      <c r="O549" s="4">
        <v>44606.0</v>
      </c>
    </row>
    <row r="550">
      <c r="A550" s="1" t="s">
        <v>1038</v>
      </c>
      <c r="B550" s="1" t="s">
        <v>102</v>
      </c>
      <c r="C550" s="1" t="s">
        <v>103</v>
      </c>
      <c r="D550" s="1" t="s">
        <v>1068</v>
      </c>
      <c r="E550" s="1" t="s">
        <v>97</v>
      </c>
      <c r="F550" s="8">
        <v>46314.0</v>
      </c>
      <c r="G550" s="1" t="s">
        <v>71</v>
      </c>
      <c r="K550" s="1" t="s">
        <v>1024</v>
      </c>
      <c r="L550" s="1" t="s">
        <v>99</v>
      </c>
      <c r="O550" s="4">
        <v>44606.0</v>
      </c>
    </row>
    <row r="551">
      <c r="A551" s="1" t="s">
        <v>1038</v>
      </c>
      <c r="B551" s="1" t="s">
        <v>102</v>
      </c>
      <c r="C551" s="1" t="s">
        <v>103</v>
      </c>
      <c r="D551" s="1" t="s">
        <v>1069</v>
      </c>
      <c r="E551" s="1" t="s">
        <v>97</v>
      </c>
      <c r="F551" s="8">
        <v>46314.0</v>
      </c>
      <c r="G551" s="1" t="s">
        <v>71</v>
      </c>
      <c r="K551" s="1" t="s">
        <v>1024</v>
      </c>
      <c r="L551" s="1" t="s">
        <v>99</v>
      </c>
      <c r="O551" s="4">
        <v>44606.0</v>
      </c>
    </row>
    <row r="552">
      <c r="A552" s="1" t="s">
        <v>1038</v>
      </c>
      <c r="B552" s="1" t="s">
        <v>115</v>
      </c>
      <c r="C552" s="1" t="s">
        <v>116</v>
      </c>
      <c r="D552" s="1" t="s">
        <v>1070</v>
      </c>
      <c r="E552" s="1" t="s">
        <v>97</v>
      </c>
      <c r="F552" s="8">
        <v>46311.0</v>
      </c>
      <c r="G552" s="1" t="s">
        <v>71</v>
      </c>
      <c r="H552" s="1" t="s">
        <v>118</v>
      </c>
      <c r="K552" s="1" t="s">
        <v>1024</v>
      </c>
      <c r="L552" s="1" t="s">
        <v>99</v>
      </c>
      <c r="O552" s="4">
        <v>44606.0</v>
      </c>
    </row>
    <row r="553">
      <c r="A553" s="1" t="s">
        <v>1038</v>
      </c>
      <c r="B553" s="1" t="s">
        <v>115</v>
      </c>
      <c r="C553" s="1" t="s">
        <v>116</v>
      </c>
      <c r="D553" s="1" t="s">
        <v>1071</v>
      </c>
      <c r="E553" s="1" t="s">
        <v>97</v>
      </c>
      <c r="F553" s="8">
        <v>46311.0</v>
      </c>
      <c r="G553" s="1" t="s">
        <v>71</v>
      </c>
      <c r="H553" s="1" t="s">
        <v>118</v>
      </c>
      <c r="K553" s="1" t="s">
        <v>1024</v>
      </c>
      <c r="L553" s="1" t="s">
        <v>99</v>
      </c>
      <c r="O553" s="4">
        <v>44606.0</v>
      </c>
    </row>
    <row r="554">
      <c r="A554" s="1" t="s">
        <v>1038</v>
      </c>
      <c r="B554" s="1" t="s">
        <v>115</v>
      </c>
      <c r="C554" s="1" t="s">
        <v>116</v>
      </c>
      <c r="D554" s="1" t="s">
        <v>1072</v>
      </c>
      <c r="E554" s="1" t="s">
        <v>97</v>
      </c>
      <c r="F554" s="8">
        <v>46311.0</v>
      </c>
      <c r="G554" s="1" t="s">
        <v>71</v>
      </c>
      <c r="H554" s="1" t="s">
        <v>118</v>
      </c>
      <c r="K554" s="1" t="s">
        <v>1024</v>
      </c>
      <c r="L554" s="1" t="s">
        <v>99</v>
      </c>
      <c r="O554" s="4">
        <v>44606.0</v>
      </c>
    </row>
    <row r="555">
      <c r="A555" s="1" t="s">
        <v>1038</v>
      </c>
      <c r="B555" s="1" t="s">
        <v>94</v>
      </c>
      <c r="C555" s="1" t="s">
        <v>95</v>
      </c>
      <c r="D555" s="1" t="s">
        <v>1073</v>
      </c>
      <c r="E555" s="1" t="s">
        <v>97</v>
      </c>
      <c r="F555" s="8">
        <v>46311.0</v>
      </c>
      <c r="G555" s="1" t="s">
        <v>71</v>
      </c>
      <c r="K555" s="1" t="s">
        <v>1024</v>
      </c>
      <c r="L555" s="1" t="s">
        <v>99</v>
      </c>
      <c r="O555" s="4">
        <v>44606.0</v>
      </c>
    </row>
    <row r="556">
      <c r="A556" s="1" t="s">
        <v>1038</v>
      </c>
      <c r="B556" s="1" t="s">
        <v>94</v>
      </c>
      <c r="C556" s="1" t="s">
        <v>95</v>
      </c>
      <c r="D556" s="1" t="s">
        <v>1074</v>
      </c>
      <c r="E556" s="1" t="s">
        <v>97</v>
      </c>
      <c r="F556" s="8">
        <v>46311.0</v>
      </c>
      <c r="G556" s="1" t="s">
        <v>71</v>
      </c>
      <c r="K556" s="1" t="s">
        <v>1024</v>
      </c>
      <c r="L556" s="1" t="s">
        <v>99</v>
      </c>
      <c r="O556" s="4">
        <v>46223.0</v>
      </c>
    </row>
    <row r="557">
      <c r="A557" s="1" t="s">
        <v>1075</v>
      </c>
      <c r="B557" s="1" t="s">
        <v>279</v>
      </c>
      <c r="C557" s="1" t="s">
        <v>280</v>
      </c>
      <c r="D557" s="1" t="s">
        <v>1076</v>
      </c>
      <c r="E557" s="1" t="s">
        <v>97</v>
      </c>
      <c r="F557" s="8">
        <v>46311.0</v>
      </c>
      <c r="G557" s="1" t="s">
        <v>132</v>
      </c>
      <c r="J557" s="1" t="s">
        <v>134</v>
      </c>
      <c r="K557" s="1" t="s">
        <v>1077</v>
      </c>
      <c r="L557" s="1" t="s">
        <v>99</v>
      </c>
      <c r="O557" s="4">
        <v>44574.0</v>
      </c>
    </row>
    <row r="558">
      <c r="A558" s="1" t="s">
        <v>1075</v>
      </c>
      <c r="B558" s="1" t="s">
        <v>269</v>
      </c>
      <c r="C558" s="1" t="s">
        <v>270</v>
      </c>
      <c r="D558" s="1" t="s">
        <v>1078</v>
      </c>
      <c r="E558" s="1" t="s">
        <v>70</v>
      </c>
      <c r="F558" s="4">
        <v>46303.0</v>
      </c>
      <c r="G558" s="1" t="s">
        <v>107</v>
      </c>
      <c r="H558" s="1" t="s">
        <v>1079</v>
      </c>
      <c r="J558" s="1" t="s">
        <v>47</v>
      </c>
      <c r="K558" s="1" t="s">
        <v>1077</v>
      </c>
      <c r="L558" s="1" t="s">
        <v>99</v>
      </c>
      <c r="O558" s="4">
        <v>44574.0</v>
      </c>
    </row>
    <row r="559">
      <c r="A559" s="1" t="s">
        <v>1075</v>
      </c>
      <c r="B559" s="1" t="s">
        <v>269</v>
      </c>
      <c r="C559" s="1" t="s">
        <v>270</v>
      </c>
      <c r="D559" s="1" t="s">
        <v>1080</v>
      </c>
      <c r="E559" s="1" t="s">
        <v>70</v>
      </c>
      <c r="F559" s="8">
        <v>46316.0</v>
      </c>
      <c r="G559" s="1" t="s">
        <v>132</v>
      </c>
      <c r="H559" s="1" t="s">
        <v>1081</v>
      </c>
      <c r="J559" s="1" t="s">
        <v>47</v>
      </c>
      <c r="K559" s="1" t="s">
        <v>1077</v>
      </c>
      <c r="L559" s="1" t="s">
        <v>99</v>
      </c>
      <c r="O559" s="4">
        <v>44574.0</v>
      </c>
    </row>
    <row r="560">
      <c r="A560" s="1" t="s">
        <v>1075</v>
      </c>
      <c r="B560" s="1" t="s">
        <v>269</v>
      </c>
      <c r="C560" s="1" t="s">
        <v>270</v>
      </c>
      <c r="D560" s="1" t="s">
        <v>1082</v>
      </c>
      <c r="E560" s="1" t="s">
        <v>32</v>
      </c>
      <c r="F560" s="4">
        <v>45968.0</v>
      </c>
      <c r="H560" s="1" t="s">
        <v>33</v>
      </c>
      <c r="K560" s="1" t="s">
        <v>1077</v>
      </c>
      <c r="L560" s="1" t="s">
        <v>35</v>
      </c>
      <c r="N560" s="4">
        <v>45968.0</v>
      </c>
      <c r="O560" s="4">
        <v>45968.0</v>
      </c>
    </row>
    <row r="561">
      <c r="A561" s="1" t="s">
        <v>1083</v>
      </c>
      <c r="B561" s="1" t="s">
        <v>115</v>
      </c>
      <c r="C561" s="1" t="s">
        <v>116</v>
      </c>
      <c r="D561" s="1" t="s">
        <v>1084</v>
      </c>
      <c r="E561" s="1" t="s">
        <v>97</v>
      </c>
      <c r="F561" s="8">
        <v>46311.0</v>
      </c>
      <c r="G561" s="1" t="s">
        <v>71</v>
      </c>
      <c r="H561" s="1" t="s">
        <v>118</v>
      </c>
      <c r="K561" s="1" t="s">
        <v>1024</v>
      </c>
      <c r="L561" s="1" t="s">
        <v>99</v>
      </c>
      <c r="O561" s="8">
        <v>45576.0</v>
      </c>
    </row>
    <row r="562">
      <c r="A562" s="1" t="s">
        <v>1083</v>
      </c>
      <c r="B562" s="1" t="s">
        <v>102</v>
      </c>
      <c r="C562" s="1" t="s">
        <v>103</v>
      </c>
      <c r="D562" s="1" t="s">
        <v>1085</v>
      </c>
      <c r="E562" s="1" t="s">
        <v>97</v>
      </c>
      <c r="F562" s="8">
        <v>46314.0</v>
      </c>
      <c r="G562" s="1" t="s">
        <v>71</v>
      </c>
      <c r="K562" s="1" t="s">
        <v>1024</v>
      </c>
      <c r="L562" s="1" t="s">
        <v>99</v>
      </c>
      <c r="O562" s="8">
        <v>45576.0</v>
      </c>
    </row>
    <row r="563">
      <c r="A563" s="1" t="s">
        <v>1083</v>
      </c>
      <c r="B563" s="1" t="s">
        <v>115</v>
      </c>
      <c r="C563" s="1" t="s">
        <v>116</v>
      </c>
      <c r="D563" s="1" t="s">
        <v>1086</v>
      </c>
      <c r="E563" s="1" t="s">
        <v>97</v>
      </c>
      <c r="F563" s="8">
        <v>46311.0</v>
      </c>
      <c r="G563" s="1" t="s">
        <v>71</v>
      </c>
      <c r="H563" s="1" t="s">
        <v>118</v>
      </c>
      <c r="K563" s="1" t="s">
        <v>1024</v>
      </c>
      <c r="L563" s="1" t="s">
        <v>99</v>
      </c>
      <c r="O563" s="8">
        <v>45576.0</v>
      </c>
    </row>
    <row r="564">
      <c r="A564" s="1" t="s">
        <v>1083</v>
      </c>
      <c r="B564" s="1" t="s">
        <v>94</v>
      </c>
      <c r="C564" s="1" t="s">
        <v>95</v>
      </c>
      <c r="D564" s="1" t="s">
        <v>1087</v>
      </c>
      <c r="E564" s="1" t="s">
        <v>70</v>
      </c>
      <c r="F564" s="8">
        <v>46311.0</v>
      </c>
      <c r="G564" s="1" t="s">
        <v>71</v>
      </c>
      <c r="K564" s="1" t="s">
        <v>1024</v>
      </c>
      <c r="L564" s="1" t="s">
        <v>99</v>
      </c>
      <c r="O564" s="8">
        <v>45576.0</v>
      </c>
    </row>
    <row r="565">
      <c r="A565" s="1" t="s">
        <v>1088</v>
      </c>
      <c r="B565" s="1" t="s">
        <v>1089</v>
      </c>
      <c r="C565" s="1" t="s">
        <v>1090</v>
      </c>
      <c r="D565" s="1" t="s">
        <v>1091</v>
      </c>
      <c r="E565" s="1" t="s">
        <v>32</v>
      </c>
      <c r="F565" s="4">
        <v>46275.0</v>
      </c>
      <c r="H565" s="1" t="s">
        <v>242</v>
      </c>
      <c r="K565" s="1" t="s">
        <v>383</v>
      </c>
      <c r="L565" s="1" t="s">
        <v>35</v>
      </c>
      <c r="N565" s="4">
        <v>46275.0</v>
      </c>
      <c r="O565" s="4">
        <v>46275.0</v>
      </c>
    </row>
    <row r="566">
      <c r="A566" s="1" t="s">
        <v>1092</v>
      </c>
      <c r="B566" s="1" t="s">
        <v>63</v>
      </c>
      <c r="C566" s="1" t="s">
        <v>64</v>
      </c>
      <c r="D566" s="1" t="s">
        <v>1093</v>
      </c>
      <c r="E566" s="1" t="s">
        <v>32</v>
      </c>
      <c r="F566" s="4">
        <v>46247.0</v>
      </c>
      <c r="H566" s="1" t="s">
        <v>242</v>
      </c>
      <c r="K566" s="1" t="s">
        <v>1094</v>
      </c>
      <c r="L566" s="1" t="s">
        <v>35</v>
      </c>
      <c r="N566" s="4">
        <v>46247.0</v>
      </c>
      <c r="O566" s="4">
        <v>46247.0</v>
      </c>
    </row>
    <row r="567">
      <c r="A567" s="1" t="s">
        <v>1092</v>
      </c>
      <c r="B567" s="1" t="s">
        <v>63</v>
      </c>
      <c r="C567" s="1" t="s">
        <v>64</v>
      </c>
      <c r="D567" s="1" t="s">
        <v>1095</v>
      </c>
      <c r="E567" s="1" t="s">
        <v>32</v>
      </c>
      <c r="F567" s="4">
        <v>46247.0</v>
      </c>
      <c r="H567" s="1" t="s">
        <v>242</v>
      </c>
      <c r="K567" s="1" t="s">
        <v>1094</v>
      </c>
      <c r="L567" s="1" t="s">
        <v>35</v>
      </c>
      <c r="N567" s="4">
        <v>46247.0</v>
      </c>
      <c r="O567" s="4">
        <v>46247.0</v>
      </c>
    </row>
    <row r="568">
      <c r="A568" s="1" t="s">
        <v>1092</v>
      </c>
      <c r="B568" s="1" t="s">
        <v>63</v>
      </c>
      <c r="C568" s="1" t="s">
        <v>64</v>
      </c>
      <c r="D568" s="1" t="s">
        <v>1096</v>
      </c>
      <c r="E568" s="1" t="s">
        <v>32</v>
      </c>
      <c r="F568" s="4">
        <v>46247.0</v>
      </c>
      <c r="H568" s="1" t="s">
        <v>242</v>
      </c>
      <c r="K568" s="1" t="s">
        <v>1094</v>
      </c>
      <c r="L568" s="1" t="s">
        <v>35</v>
      </c>
      <c r="N568" s="4">
        <v>46247.0</v>
      </c>
      <c r="O568" s="4">
        <v>46247.0</v>
      </c>
    </row>
    <row r="569">
      <c r="A569" s="1" t="s">
        <v>1092</v>
      </c>
      <c r="B569" s="1" t="s">
        <v>63</v>
      </c>
      <c r="C569" s="1" t="s">
        <v>64</v>
      </c>
      <c r="D569" s="1" t="s">
        <v>1097</v>
      </c>
      <c r="E569" s="1" t="s">
        <v>32</v>
      </c>
      <c r="F569" s="4">
        <v>46247.0</v>
      </c>
      <c r="H569" s="1" t="s">
        <v>242</v>
      </c>
      <c r="K569" s="1" t="s">
        <v>1094</v>
      </c>
      <c r="L569" s="1" t="s">
        <v>35</v>
      </c>
      <c r="N569" s="4">
        <v>46247.0</v>
      </c>
      <c r="O569" s="4">
        <v>46247.0</v>
      </c>
    </row>
    <row r="570">
      <c r="A570" s="1" t="s">
        <v>1092</v>
      </c>
      <c r="B570" s="1" t="s">
        <v>63</v>
      </c>
      <c r="C570" s="1" t="s">
        <v>64</v>
      </c>
      <c r="D570" s="1" t="s">
        <v>1098</v>
      </c>
      <c r="E570" s="1" t="s">
        <v>32</v>
      </c>
      <c r="F570" s="4">
        <v>46247.0</v>
      </c>
      <c r="H570" s="1" t="s">
        <v>242</v>
      </c>
      <c r="K570" s="1" t="s">
        <v>1094</v>
      </c>
      <c r="L570" s="1" t="s">
        <v>35</v>
      </c>
      <c r="N570" s="4">
        <v>46247.0</v>
      </c>
      <c r="O570" s="4">
        <v>46247.0</v>
      </c>
    </row>
    <row r="571">
      <c r="A571" s="1" t="s">
        <v>1092</v>
      </c>
      <c r="B571" s="1" t="s">
        <v>63</v>
      </c>
      <c r="C571" s="1" t="s">
        <v>64</v>
      </c>
      <c r="D571" s="1" t="s">
        <v>1099</v>
      </c>
      <c r="E571" s="1" t="s">
        <v>32</v>
      </c>
      <c r="F571" s="4">
        <v>46247.0</v>
      </c>
      <c r="H571" s="1" t="s">
        <v>242</v>
      </c>
      <c r="K571" s="1" t="s">
        <v>1094</v>
      </c>
      <c r="L571" s="1" t="s">
        <v>35</v>
      </c>
      <c r="N571" s="4">
        <v>46247.0</v>
      </c>
      <c r="O571" s="4">
        <v>46247.0</v>
      </c>
    </row>
    <row r="572">
      <c r="A572" s="1" t="s">
        <v>1100</v>
      </c>
      <c r="B572" s="1" t="s">
        <v>269</v>
      </c>
      <c r="C572" s="1" t="s">
        <v>1101</v>
      </c>
      <c r="D572" s="1" t="s">
        <v>1102</v>
      </c>
      <c r="E572" s="1" t="s">
        <v>32</v>
      </c>
      <c r="F572" s="4">
        <v>46027.0</v>
      </c>
      <c r="H572" s="1" t="s">
        <v>33</v>
      </c>
      <c r="K572" s="1" t="s">
        <v>366</v>
      </c>
      <c r="L572" s="1" t="s">
        <v>35</v>
      </c>
      <c r="N572" s="4">
        <v>46027.0</v>
      </c>
      <c r="O572" s="4">
        <v>46027.0</v>
      </c>
    </row>
    <row r="573">
      <c r="A573" s="1" t="s">
        <v>1103</v>
      </c>
      <c r="B573" s="1" t="s">
        <v>342</v>
      </c>
      <c r="C573" s="1" t="s">
        <v>346</v>
      </c>
      <c r="D573" s="1" t="s">
        <v>1104</v>
      </c>
      <c r="E573" s="1" t="s">
        <v>32</v>
      </c>
      <c r="F573" s="4">
        <v>46258.0</v>
      </c>
      <c r="H573" s="1" t="s">
        <v>33</v>
      </c>
      <c r="K573" s="1" t="s">
        <v>366</v>
      </c>
      <c r="L573" s="1" t="s">
        <v>35</v>
      </c>
      <c r="N573" s="4">
        <v>46258.0</v>
      </c>
      <c r="O573" s="4">
        <v>46258.0</v>
      </c>
    </row>
    <row r="574">
      <c r="A574" s="1" t="s">
        <v>1103</v>
      </c>
      <c r="B574" s="1" t="s">
        <v>342</v>
      </c>
      <c r="C574" s="1" t="s">
        <v>346</v>
      </c>
      <c r="D574" s="1" t="s">
        <v>1105</v>
      </c>
      <c r="E574" s="1" t="s">
        <v>32</v>
      </c>
      <c r="F574" s="4">
        <v>46258.0</v>
      </c>
      <c r="H574" s="1" t="s">
        <v>33</v>
      </c>
      <c r="K574" s="1" t="s">
        <v>366</v>
      </c>
      <c r="L574" s="1" t="s">
        <v>35</v>
      </c>
      <c r="N574" s="4">
        <v>46258.0</v>
      </c>
      <c r="O574" s="4">
        <v>46258.0</v>
      </c>
    </row>
    <row r="575">
      <c r="A575" s="1" t="s">
        <v>1106</v>
      </c>
      <c r="B575" s="1" t="s">
        <v>269</v>
      </c>
      <c r="C575" s="1" t="s">
        <v>270</v>
      </c>
      <c r="D575" s="1" t="s">
        <v>1107</v>
      </c>
      <c r="E575" s="1" t="s">
        <v>97</v>
      </c>
      <c r="F575" s="8">
        <v>46316.0</v>
      </c>
      <c r="G575" s="1" t="s">
        <v>71</v>
      </c>
      <c r="K575" s="1" t="s">
        <v>1108</v>
      </c>
      <c r="L575" s="1" t="s">
        <v>99</v>
      </c>
      <c r="O575" s="4">
        <v>43045.0</v>
      </c>
    </row>
    <row r="576">
      <c r="A576" s="1" t="s">
        <v>1106</v>
      </c>
      <c r="B576" s="1" t="s">
        <v>269</v>
      </c>
      <c r="C576" s="1" t="s">
        <v>270</v>
      </c>
      <c r="D576" s="1" t="s">
        <v>1109</v>
      </c>
      <c r="E576" s="1" t="s">
        <v>97</v>
      </c>
      <c r="F576" s="8">
        <v>46316.0</v>
      </c>
      <c r="G576" s="1" t="s">
        <v>71</v>
      </c>
      <c r="K576" s="1" t="s">
        <v>1108</v>
      </c>
      <c r="L576" s="1" t="s">
        <v>99</v>
      </c>
      <c r="O576" s="4">
        <v>43045.0</v>
      </c>
    </row>
    <row r="577">
      <c r="A577" s="1" t="s">
        <v>1106</v>
      </c>
      <c r="B577" s="1" t="s">
        <v>269</v>
      </c>
      <c r="C577" s="1" t="s">
        <v>270</v>
      </c>
      <c r="D577" s="1" t="s">
        <v>1110</v>
      </c>
      <c r="E577" s="1" t="s">
        <v>97</v>
      </c>
      <c r="F577" s="8">
        <v>46316.0</v>
      </c>
      <c r="G577" s="1" t="s">
        <v>71</v>
      </c>
      <c r="K577" s="1" t="s">
        <v>1108</v>
      </c>
      <c r="L577" s="1" t="s">
        <v>99</v>
      </c>
      <c r="O577" s="4">
        <v>43045.0</v>
      </c>
    </row>
    <row r="578">
      <c r="A578" s="1" t="s">
        <v>1106</v>
      </c>
      <c r="B578" s="1" t="s">
        <v>94</v>
      </c>
      <c r="C578" s="1" t="s">
        <v>95</v>
      </c>
      <c r="D578" s="1" t="s">
        <v>1111</v>
      </c>
      <c r="E578" s="1" t="s">
        <v>97</v>
      </c>
      <c r="F578" s="8">
        <v>46311.0</v>
      </c>
      <c r="G578" s="1" t="s">
        <v>71</v>
      </c>
      <c r="K578" s="1" t="s">
        <v>1108</v>
      </c>
      <c r="L578" s="1" t="s">
        <v>99</v>
      </c>
      <c r="O578" s="4">
        <v>43045.0</v>
      </c>
    </row>
    <row r="579">
      <c r="A579" s="1" t="s">
        <v>1106</v>
      </c>
      <c r="B579" s="1" t="s">
        <v>94</v>
      </c>
      <c r="C579" s="1" t="s">
        <v>95</v>
      </c>
      <c r="D579" s="1" t="s">
        <v>1112</v>
      </c>
      <c r="E579" s="1" t="s">
        <v>97</v>
      </c>
      <c r="F579" s="8">
        <v>46311.0</v>
      </c>
      <c r="G579" s="1" t="s">
        <v>71</v>
      </c>
      <c r="K579" s="1" t="s">
        <v>1108</v>
      </c>
      <c r="L579" s="1" t="s">
        <v>99</v>
      </c>
      <c r="O579" s="4">
        <v>43045.0</v>
      </c>
    </row>
    <row r="580">
      <c r="A580" s="1" t="s">
        <v>1106</v>
      </c>
      <c r="B580" s="1" t="s">
        <v>1113</v>
      </c>
      <c r="C580" s="1" t="s">
        <v>1114</v>
      </c>
      <c r="D580" s="1" t="s">
        <v>1115</v>
      </c>
      <c r="E580" s="1" t="s">
        <v>97</v>
      </c>
      <c r="F580" s="8">
        <v>46316.0</v>
      </c>
      <c r="G580" s="1" t="s">
        <v>71</v>
      </c>
      <c r="H580" s="1" t="s">
        <v>554</v>
      </c>
      <c r="K580" s="1" t="s">
        <v>1108</v>
      </c>
      <c r="L580" s="1" t="s">
        <v>99</v>
      </c>
      <c r="O580" s="4">
        <v>43045.0</v>
      </c>
    </row>
    <row r="581">
      <c r="A581" s="1" t="s">
        <v>1106</v>
      </c>
      <c r="B581" s="1" t="s">
        <v>269</v>
      </c>
      <c r="C581" s="1" t="s">
        <v>270</v>
      </c>
      <c r="D581" s="1" t="s">
        <v>1116</v>
      </c>
      <c r="E581" s="1" t="s">
        <v>70</v>
      </c>
      <c r="F581" s="8">
        <v>46316.0</v>
      </c>
      <c r="G581" s="1" t="s">
        <v>107</v>
      </c>
      <c r="H581" s="1" t="s">
        <v>1117</v>
      </c>
      <c r="J581" s="1" t="s">
        <v>47</v>
      </c>
      <c r="K581" s="1" t="s">
        <v>1108</v>
      </c>
      <c r="L581" s="1" t="s">
        <v>99</v>
      </c>
      <c r="O581" s="4">
        <v>43045.0</v>
      </c>
    </row>
    <row r="582">
      <c r="A582" s="1" t="s">
        <v>1106</v>
      </c>
      <c r="B582" s="1" t="s">
        <v>269</v>
      </c>
      <c r="C582" s="1" t="s">
        <v>270</v>
      </c>
      <c r="D582" s="1" t="s">
        <v>1118</v>
      </c>
      <c r="E582" s="1" t="s">
        <v>97</v>
      </c>
      <c r="F582" s="8">
        <v>46316.0</v>
      </c>
      <c r="G582" s="1" t="s">
        <v>71</v>
      </c>
      <c r="K582" s="1" t="s">
        <v>1108</v>
      </c>
      <c r="L582" s="1" t="s">
        <v>99</v>
      </c>
      <c r="O582" s="4">
        <v>43045.0</v>
      </c>
    </row>
    <row r="583">
      <c r="A583" s="1" t="s">
        <v>1106</v>
      </c>
      <c r="B583" s="1" t="s">
        <v>269</v>
      </c>
      <c r="C583" s="1" t="s">
        <v>270</v>
      </c>
      <c r="D583" s="1" t="s">
        <v>1119</v>
      </c>
      <c r="E583" s="1" t="s">
        <v>97</v>
      </c>
      <c r="F583" s="8">
        <v>46316.0</v>
      </c>
      <c r="G583" s="1" t="s">
        <v>71</v>
      </c>
      <c r="K583" s="1" t="s">
        <v>1108</v>
      </c>
      <c r="L583" s="1" t="s">
        <v>99</v>
      </c>
      <c r="O583" s="4">
        <v>43045.0</v>
      </c>
    </row>
    <row r="584">
      <c r="A584" s="1" t="s">
        <v>1106</v>
      </c>
      <c r="B584" s="1" t="s">
        <v>94</v>
      </c>
      <c r="C584" s="1" t="s">
        <v>95</v>
      </c>
      <c r="D584" s="1" t="s">
        <v>1120</v>
      </c>
      <c r="E584" s="1" t="s">
        <v>97</v>
      </c>
      <c r="F584" s="8">
        <v>46311.0</v>
      </c>
      <c r="G584" s="1" t="s">
        <v>71</v>
      </c>
      <c r="K584" s="1" t="s">
        <v>1108</v>
      </c>
      <c r="L584" s="1" t="s">
        <v>99</v>
      </c>
      <c r="O584" s="4">
        <v>43045.0</v>
      </c>
    </row>
    <row r="585">
      <c r="A585" s="1" t="s">
        <v>1121</v>
      </c>
      <c r="B585" s="1" t="s">
        <v>251</v>
      </c>
      <c r="C585" s="1" t="s">
        <v>252</v>
      </c>
      <c r="D585" s="1" t="s">
        <v>1122</v>
      </c>
      <c r="E585" s="1" t="s">
        <v>32</v>
      </c>
      <c r="F585" s="4">
        <v>46073.0</v>
      </c>
      <c r="H585" s="1" t="s">
        <v>242</v>
      </c>
      <c r="K585" s="1" t="s">
        <v>254</v>
      </c>
      <c r="L585" s="1" t="s">
        <v>35</v>
      </c>
      <c r="N585" s="4">
        <v>46073.0</v>
      </c>
      <c r="O585" s="4">
        <v>46073.0</v>
      </c>
    </row>
    <row r="586">
      <c r="A586" s="1" t="s">
        <v>1121</v>
      </c>
      <c r="B586" s="1" t="s">
        <v>251</v>
      </c>
      <c r="C586" s="1" t="s">
        <v>252</v>
      </c>
      <c r="D586" s="1" t="s">
        <v>1123</v>
      </c>
      <c r="E586" s="1" t="s">
        <v>32</v>
      </c>
      <c r="F586" s="4">
        <v>46073.0</v>
      </c>
      <c r="H586" s="1" t="s">
        <v>242</v>
      </c>
      <c r="K586" s="1" t="s">
        <v>254</v>
      </c>
      <c r="L586" s="1" t="s">
        <v>35</v>
      </c>
      <c r="N586" s="4">
        <v>46073.0</v>
      </c>
      <c r="O586" s="4">
        <v>46073.0</v>
      </c>
    </row>
    <row r="587">
      <c r="A587" s="1" t="s">
        <v>1124</v>
      </c>
      <c r="B587" s="1" t="s">
        <v>776</v>
      </c>
      <c r="C587" s="1" t="s">
        <v>777</v>
      </c>
      <c r="D587" s="1" t="s">
        <v>1125</v>
      </c>
      <c r="E587" s="1" t="s">
        <v>32</v>
      </c>
      <c r="F587" s="4">
        <v>46188.0</v>
      </c>
      <c r="H587" s="1" t="s">
        <v>33</v>
      </c>
      <c r="K587" s="1" t="s">
        <v>367</v>
      </c>
      <c r="L587" s="1" t="s">
        <v>35</v>
      </c>
      <c r="N587" s="4">
        <v>46188.0</v>
      </c>
      <c r="O587" s="4">
        <v>46188.0</v>
      </c>
    </row>
    <row r="588">
      <c r="A588" s="1" t="s">
        <v>1124</v>
      </c>
      <c r="B588" s="1" t="s">
        <v>776</v>
      </c>
      <c r="C588" s="1" t="s">
        <v>777</v>
      </c>
      <c r="D588" s="1" t="s">
        <v>1126</v>
      </c>
      <c r="E588" s="1" t="s">
        <v>32</v>
      </c>
      <c r="F588" s="4">
        <v>46188.0</v>
      </c>
      <c r="H588" s="1" t="s">
        <v>33</v>
      </c>
      <c r="K588" s="1" t="s">
        <v>367</v>
      </c>
      <c r="L588" s="1" t="s">
        <v>35</v>
      </c>
      <c r="N588" s="4">
        <v>46188.0</v>
      </c>
      <c r="O588" s="4">
        <v>46188.0</v>
      </c>
    </row>
    <row r="589">
      <c r="A589" s="1" t="s">
        <v>1127</v>
      </c>
      <c r="B589" s="1" t="s">
        <v>269</v>
      </c>
      <c r="C589" s="1" t="s">
        <v>270</v>
      </c>
      <c r="D589" s="1" t="s">
        <v>1128</v>
      </c>
      <c r="E589" s="1" t="s">
        <v>97</v>
      </c>
      <c r="F589" s="8">
        <v>46316.0</v>
      </c>
      <c r="G589" s="1" t="s">
        <v>71</v>
      </c>
      <c r="K589" s="1" t="s">
        <v>366</v>
      </c>
      <c r="L589" s="1" t="s">
        <v>99</v>
      </c>
      <c r="O589" s="4">
        <v>43045.0</v>
      </c>
    </row>
    <row r="590">
      <c r="A590" s="1" t="s">
        <v>1127</v>
      </c>
      <c r="B590" s="1" t="s">
        <v>269</v>
      </c>
      <c r="C590" s="1" t="s">
        <v>270</v>
      </c>
      <c r="D590" s="1" t="s">
        <v>1129</v>
      </c>
      <c r="E590" s="1" t="s">
        <v>97</v>
      </c>
      <c r="F590" s="8">
        <v>46316.0</v>
      </c>
      <c r="G590" s="1" t="s">
        <v>71</v>
      </c>
      <c r="K590" s="1" t="s">
        <v>366</v>
      </c>
      <c r="L590" s="1" t="s">
        <v>99</v>
      </c>
      <c r="O590" s="4">
        <v>43045.0</v>
      </c>
    </row>
    <row r="591">
      <c r="A591" s="1" t="s">
        <v>1127</v>
      </c>
      <c r="B591" s="1" t="s">
        <v>94</v>
      </c>
      <c r="C591" s="1" t="s">
        <v>95</v>
      </c>
      <c r="D591" s="1" t="s">
        <v>1130</v>
      </c>
      <c r="E591" s="1" t="s">
        <v>97</v>
      </c>
      <c r="F591" s="8">
        <v>46311.0</v>
      </c>
      <c r="G591" s="1" t="s">
        <v>71</v>
      </c>
      <c r="K591" s="1" t="s">
        <v>366</v>
      </c>
      <c r="L591" s="1" t="s">
        <v>99</v>
      </c>
      <c r="O591" s="4">
        <v>43045.0</v>
      </c>
    </row>
    <row r="592">
      <c r="A592" s="1" t="s">
        <v>1127</v>
      </c>
      <c r="B592" s="1" t="s">
        <v>94</v>
      </c>
      <c r="C592" s="1" t="s">
        <v>95</v>
      </c>
      <c r="D592" s="1" t="s">
        <v>1131</v>
      </c>
      <c r="E592" s="1" t="s">
        <v>97</v>
      </c>
      <c r="F592" s="8">
        <v>46311.0</v>
      </c>
      <c r="G592" s="1" t="s">
        <v>71</v>
      </c>
      <c r="K592" s="1" t="s">
        <v>366</v>
      </c>
      <c r="L592" s="1" t="s">
        <v>99</v>
      </c>
      <c r="O592" s="4">
        <v>43045.0</v>
      </c>
    </row>
    <row r="593">
      <c r="A593" s="1" t="s">
        <v>1127</v>
      </c>
      <c r="B593" s="1" t="s">
        <v>94</v>
      </c>
      <c r="C593" s="1" t="s">
        <v>95</v>
      </c>
      <c r="D593" s="1" t="s">
        <v>1132</v>
      </c>
      <c r="E593" s="1" t="s">
        <v>97</v>
      </c>
      <c r="F593" s="8">
        <v>46311.0</v>
      </c>
      <c r="G593" s="1" t="s">
        <v>71</v>
      </c>
      <c r="K593" s="1" t="s">
        <v>366</v>
      </c>
      <c r="L593" s="1" t="s">
        <v>99</v>
      </c>
      <c r="O593" s="4">
        <v>43045.0</v>
      </c>
    </row>
    <row r="594">
      <c r="A594" s="1" t="s">
        <v>1127</v>
      </c>
      <c r="B594" s="1" t="s">
        <v>94</v>
      </c>
      <c r="C594" s="1" t="s">
        <v>95</v>
      </c>
      <c r="D594" s="1" t="s">
        <v>1133</v>
      </c>
      <c r="E594" s="1" t="s">
        <v>97</v>
      </c>
      <c r="F594" s="8">
        <v>46311.0</v>
      </c>
      <c r="G594" s="1" t="s">
        <v>71</v>
      </c>
      <c r="K594" s="1" t="s">
        <v>366</v>
      </c>
      <c r="L594" s="1" t="s">
        <v>99</v>
      </c>
      <c r="O594" s="4">
        <v>43045.0</v>
      </c>
    </row>
    <row r="595">
      <c r="A595" s="1" t="s">
        <v>1127</v>
      </c>
      <c r="B595" s="1" t="s">
        <v>269</v>
      </c>
      <c r="C595" s="1" t="s">
        <v>270</v>
      </c>
      <c r="D595" s="1" t="s">
        <v>1134</v>
      </c>
      <c r="E595" s="1" t="s">
        <v>70</v>
      </c>
      <c r="F595" s="8">
        <v>46316.0</v>
      </c>
      <c r="G595" s="1" t="s">
        <v>107</v>
      </c>
      <c r="H595" s="1" t="s">
        <v>1117</v>
      </c>
      <c r="J595" s="1" t="s">
        <v>47</v>
      </c>
      <c r="K595" s="1" t="s">
        <v>366</v>
      </c>
      <c r="L595" s="1" t="s">
        <v>99</v>
      </c>
      <c r="O595" s="4">
        <v>43045.0</v>
      </c>
    </row>
    <row r="596">
      <c r="A596" s="1" t="s">
        <v>1127</v>
      </c>
      <c r="B596" s="1" t="s">
        <v>269</v>
      </c>
      <c r="C596" s="1" t="s">
        <v>270</v>
      </c>
      <c r="D596" s="1" t="s">
        <v>1135</v>
      </c>
      <c r="E596" s="1" t="s">
        <v>97</v>
      </c>
      <c r="F596" s="8">
        <v>46316.0</v>
      </c>
      <c r="G596" s="1" t="s">
        <v>71</v>
      </c>
      <c r="K596" s="1" t="s">
        <v>366</v>
      </c>
      <c r="L596" s="1" t="s">
        <v>99</v>
      </c>
      <c r="O596" s="4">
        <v>43045.0</v>
      </c>
    </row>
    <row r="597">
      <c r="A597" s="1" t="s">
        <v>1127</v>
      </c>
      <c r="B597" s="1" t="s">
        <v>269</v>
      </c>
      <c r="C597" s="1" t="s">
        <v>270</v>
      </c>
      <c r="D597" s="1" t="s">
        <v>1136</v>
      </c>
      <c r="E597" s="1" t="s">
        <v>97</v>
      </c>
      <c r="F597" s="4">
        <v>46303.0</v>
      </c>
      <c r="G597" s="1" t="s">
        <v>71</v>
      </c>
      <c r="K597" s="1" t="s">
        <v>366</v>
      </c>
      <c r="L597" s="1" t="s">
        <v>99</v>
      </c>
      <c r="O597" s="4">
        <v>43045.0</v>
      </c>
    </row>
    <row r="598">
      <c r="A598" s="1" t="s">
        <v>1127</v>
      </c>
      <c r="B598" s="1" t="s">
        <v>288</v>
      </c>
      <c r="C598" s="1" t="s">
        <v>289</v>
      </c>
      <c r="D598" s="1" t="s">
        <v>1137</v>
      </c>
      <c r="E598" s="1" t="s">
        <v>97</v>
      </c>
      <c r="F598" s="8">
        <v>46309.0</v>
      </c>
      <c r="G598" s="1" t="s">
        <v>107</v>
      </c>
      <c r="H598" s="1" t="s">
        <v>540</v>
      </c>
      <c r="J598" s="1" t="s">
        <v>134</v>
      </c>
      <c r="K598" s="1" t="s">
        <v>366</v>
      </c>
      <c r="L598" s="1" t="s">
        <v>99</v>
      </c>
      <c r="O598" s="4">
        <v>43045.0</v>
      </c>
    </row>
    <row r="599">
      <c r="A599" s="1" t="s">
        <v>1127</v>
      </c>
      <c r="B599" s="1" t="s">
        <v>288</v>
      </c>
      <c r="C599" s="1" t="s">
        <v>289</v>
      </c>
      <c r="D599" s="1" t="s">
        <v>1138</v>
      </c>
      <c r="E599" s="1" t="s">
        <v>70</v>
      </c>
      <c r="F599" s="8">
        <v>46309.0</v>
      </c>
      <c r="G599" s="1" t="s">
        <v>107</v>
      </c>
      <c r="H599" s="1" t="s">
        <v>469</v>
      </c>
      <c r="J599" s="1" t="s">
        <v>134</v>
      </c>
      <c r="K599" s="1" t="s">
        <v>366</v>
      </c>
      <c r="L599" s="1" t="s">
        <v>99</v>
      </c>
      <c r="O599" s="4">
        <v>43045.0</v>
      </c>
    </row>
    <row r="600">
      <c r="A600" s="1" t="s">
        <v>1139</v>
      </c>
      <c r="B600" s="1" t="s">
        <v>1140</v>
      </c>
      <c r="C600" s="1" t="s">
        <v>1141</v>
      </c>
      <c r="D600" s="1" t="s">
        <v>1142</v>
      </c>
      <c r="E600" s="1" t="s">
        <v>32</v>
      </c>
      <c r="F600" s="8">
        <v>46001.0</v>
      </c>
      <c r="H600" s="1" t="s">
        <v>33</v>
      </c>
      <c r="K600" s="1" t="s">
        <v>372</v>
      </c>
      <c r="L600" s="1" t="s">
        <v>35</v>
      </c>
      <c r="N600" s="8">
        <v>46001.0</v>
      </c>
      <c r="O600" s="8">
        <v>46001.0</v>
      </c>
    </row>
    <row r="601">
      <c r="A601" s="1" t="s">
        <v>1139</v>
      </c>
      <c r="B601" s="1" t="s">
        <v>1140</v>
      </c>
      <c r="C601" s="1" t="s">
        <v>1141</v>
      </c>
      <c r="D601" s="1" t="s">
        <v>1143</v>
      </c>
      <c r="E601" s="1" t="s">
        <v>32</v>
      </c>
      <c r="F601" s="8">
        <v>46001.0</v>
      </c>
      <c r="H601" s="1" t="s">
        <v>33</v>
      </c>
      <c r="K601" s="1" t="s">
        <v>372</v>
      </c>
      <c r="L601" s="1" t="s">
        <v>35</v>
      </c>
      <c r="N601" s="8">
        <v>46001.0</v>
      </c>
      <c r="O601" s="8">
        <v>46001.0</v>
      </c>
    </row>
    <row r="602">
      <c r="A602" s="1" t="s">
        <v>1139</v>
      </c>
      <c r="B602" s="1" t="s">
        <v>1140</v>
      </c>
      <c r="C602" s="1" t="s">
        <v>1141</v>
      </c>
      <c r="D602" s="1" t="s">
        <v>1144</v>
      </c>
      <c r="E602" s="1" t="s">
        <v>32</v>
      </c>
      <c r="F602" s="8">
        <v>46001.0</v>
      </c>
      <c r="H602" s="1" t="s">
        <v>33</v>
      </c>
      <c r="K602" s="1" t="s">
        <v>372</v>
      </c>
      <c r="L602" s="1" t="s">
        <v>35</v>
      </c>
      <c r="N602" s="8">
        <v>46001.0</v>
      </c>
      <c r="O602" s="8">
        <v>46001.0</v>
      </c>
    </row>
    <row r="603">
      <c r="A603" s="1" t="s">
        <v>1145</v>
      </c>
      <c r="B603" s="1" t="s">
        <v>1146</v>
      </c>
      <c r="C603" s="1" t="s">
        <v>924</v>
      </c>
      <c r="D603" s="1" t="s">
        <v>1147</v>
      </c>
      <c r="E603" s="1" t="s">
        <v>32</v>
      </c>
      <c r="F603" s="4">
        <v>46034.0</v>
      </c>
      <c r="H603" s="1" t="s">
        <v>33</v>
      </c>
      <c r="K603" s="1" t="s">
        <v>235</v>
      </c>
      <c r="L603" s="1" t="s">
        <v>35</v>
      </c>
      <c r="N603" s="4">
        <v>46034.0</v>
      </c>
      <c r="O603" s="4">
        <v>46034.0</v>
      </c>
    </row>
    <row r="604">
      <c r="A604" s="1" t="s">
        <v>1145</v>
      </c>
      <c r="B604" s="1" t="s">
        <v>1146</v>
      </c>
      <c r="C604" s="1" t="s">
        <v>924</v>
      </c>
      <c r="D604" s="1" t="s">
        <v>1148</v>
      </c>
      <c r="E604" s="1" t="s">
        <v>32</v>
      </c>
      <c r="F604" s="4">
        <v>46034.0</v>
      </c>
      <c r="H604" s="1" t="s">
        <v>33</v>
      </c>
      <c r="K604" s="1" t="s">
        <v>235</v>
      </c>
      <c r="L604" s="1" t="s">
        <v>35</v>
      </c>
      <c r="N604" s="4">
        <v>46034.0</v>
      </c>
      <c r="O604" s="4">
        <v>46034.0</v>
      </c>
    </row>
    <row r="605">
      <c r="A605" s="1" t="s">
        <v>1149</v>
      </c>
      <c r="B605" s="1" t="s">
        <v>63</v>
      </c>
      <c r="C605" s="1" t="s">
        <v>64</v>
      </c>
      <c r="D605" s="1" t="s">
        <v>1150</v>
      </c>
      <c r="E605" s="1" t="s">
        <v>32</v>
      </c>
      <c r="F605" s="4">
        <v>46233.0</v>
      </c>
      <c r="H605" s="1" t="s">
        <v>33</v>
      </c>
      <c r="K605" s="1" t="s">
        <v>235</v>
      </c>
      <c r="L605" s="1" t="s">
        <v>35</v>
      </c>
      <c r="N605" s="4">
        <v>46233.0</v>
      </c>
      <c r="O605" s="4">
        <v>46233.0</v>
      </c>
    </row>
    <row r="606">
      <c r="A606" s="1" t="s">
        <v>1149</v>
      </c>
      <c r="B606" s="1" t="s">
        <v>63</v>
      </c>
      <c r="C606" s="1" t="s">
        <v>64</v>
      </c>
      <c r="D606" s="1" t="s">
        <v>1151</v>
      </c>
      <c r="E606" s="1" t="s">
        <v>32</v>
      </c>
      <c r="F606" s="4">
        <v>46233.0</v>
      </c>
      <c r="H606" s="1" t="s">
        <v>33</v>
      </c>
      <c r="K606" s="1" t="s">
        <v>235</v>
      </c>
      <c r="L606" s="1" t="s">
        <v>35</v>
      </c>
      <c r="N606" s="4">
        <v>46233.0</v>
      </c>
      <c r="O606" s="4">
        <v>46233.0</v>
      </c>
    </row>
    <row r="607">
      <c r="A607" s="1" t="s">
        <v>1152</v>
      </c>
      <c r="B607" s="1" t="s">
        <v>1146</v>
      </c>
      <c r="C607" s="1" t="s">
        <v>924</v>
      </c>
      <c r="D607" s="1" t="s">
        <v>1153</v>
      </c>
      <c r="E607" s="1" t="s">
        <v>32</v>
      </c>
      <c r="F607" s="4">
        <v>46034.0</v>
      </c>
      <c r="H607" s="1" t="s">
        <v>242</v>
      </c>
      <c r="K607" s="1" t="s">
        <v>47</v>
      </c>
      <c r="L607" s="1" t="s">
        <v>35</v>
      </c>
      <c r="N607" s="4">
        <v>46034.0</v>
      </c>
      <c r="O607" s="4">
        <v>46034.0</v>
      </c>
    </row>
    <row r="608">
      <c r="A608" s="1" t="s">
        <v>1154</v>
      </c>
      <c r="B608" s="1" t="s">
        <v>1155</v>
      </c>
      <c r="C608" s="1" t="s">
        <v>1156</v>
      </c>
      <c r="D608" s="1" t="s">
        <v>1157</v>
      </c>
      <c r="E608" s="1" t="s">
        <v>97</v>
      </c>
      <c r="F608" s="4">
        <v>46266.0</v>
      </c>
      <c r="G608" s="1" t="s">
        <v>71</v>
      </c>
      <c r="H608" s="1" t="s">
        <v>1158</v>
      </c>
      <c r="J608" s="1" t="s">
        <v>47</v>
      </c>
      <c r="K608" s="1" t="s">
        <v>378</v>
      </c>
      <c r="L608" s="1" t="s">
        <v>99</v>
      </c>
      <c r="O608" s="4">
        <v>43732.0</v>
      </c>
    </row>
    <row r="609">
      <c r="A609" s="1" t="s">
        <v>1159</v>
      </c>
      <c r="B609" s="1" t="s">
        <v>1160</v>
      </c>
      <c r="C609" s="1" t="s">
        <v>1161</v>
      </c>
      <c r="D609" s="1" t="s">
        <v>1162</v>
      </c>
      <c r="E609" s="1" t="s">
        <v>32</v>
      </c>
      <c r="F609" s="4">
        <v>46190.0</v>
      </c>
      <c r="H609" s="1" t="s">
        <v>1163</v>
      </c>
      <c r="K609" s="1" t="s">
        <v>235</v>
      </c>
      <c r="L609" s="1" t="s">
        <v>35</v>
      </c>
      <c r="N609" s="4">
        <v>46190.0</v>
      </c>
      <c r="O609" s="4">
        <v>46190.0</v>
      </c>
    </row>
    <row r="610">
      <c r="A610" s="1" t="s">
        <v>1164</v>
      </c>
      <c r="B610" s="1" t="s">
        <v>1160</v>
      </c>
      <c r="C610" s="1" t="s">
        <v>1161</v>
      </c>
      <c r="D610" s="1" t="s">
        <v>1165</v>
      </c>
      <c r="E610" s="1" t="s">
        <v>32</v>
      </c>
      <c r="F610" s="4">
        <v>46190.0</v>
      </c>
      <c r="H610" s="1" t="s">
        <v>1163</v>
      </c>
      <c r="K610" s="1" t="s">
        <v>235</v>
      </c>
      <c r="L610" s="1" t="s">
        <v>35</v>
      </c>
      <c r="N610" s="4">
        <v>46190.0</v>
      </c>
      <c r="O610" s="4">
        <v>46190.0</v>
      </c>
    </row>
    <row r="611">
      <c r="A611" s="1" t="s">
        <v>1166</v>
      </c>
      <c r="B611" s="1" t="s">
        <v>1140</v>
      </c>
      <c r="C611" s="1" t="s">
        <v>1141</v>
      </c>
      <c r="D611" s="1" t="s">
        <v>1167</v>
      </c>
      <c r="E611" s="1" t="s">
        <v>32</v>
      </c>
      <c r="F611" s="8">
        <v>46315.0</v>
      </c>
      <c r="H611" s="1" t="s">
        <v>1168</v>
      </c>
      <c r="K611" s="1" t="s">
        <v>243</v>
      </c>
      <c r="L611" s="1" t="s">
        <v>35</v>
      </c>
      <c r="N611" s="8">
        <v>46315.0</v>
      </c>
      <c r="O611" s="8">
        <v>46315.0</v>
      </c>
    </row>
    <row r="612">
      <c r="A612" s="1" t="s">
        <v>1166</v>
      </c>
      <c r="B612" s="1" t="s">
        <v>1140</v>
      </c>
      <c r="C612" s="1" t="s">
        <v>1169</v>
      </c>
      <c r="D612" s="1" t="s">
        <v>1170</v>
      </c>
      <c r="E612" s="1" t="s">
        <v>32</v>
      </c>
      <c r="F612" s="8">
        <v>46315.0</v>
      </c>
      <c r="H612" s="1" t="s">
        <v>1168</v>
      </c>
      <c r="K612" s="1" t="s">
        <v>243</v>
      </c>
      <c r="L612" s="1" t="s">
        <v>35</v>
      </c>
      <c r="N612" s="8">
        <v>46315.0</v>
      </c>
      <c r="O612" s="8">
        <v>46315.0</v>
      </c>
    </row>
    <row r="613">
      <c r="A613" s="1" t="s">
        <v>1166</v>
      </c>
      <c r="B613" s="1" t="s">
        <v>1140</v>
      </c>
      <c r="C613" s="1" t="s">
        <v>1169</v>
      </c>
      <c r="D613" s="1" t="s">
        <v>1171</v>
      </c>
      <c r="E613" s="1" t="s">
        <v>32</v>
      </c>
      <c r="F613" s="8">
        <v>46315.0</v>
      </c>
      <c r="H613" s="1" t="s">
        <v>1168</v>
      </c>
      <c r="K613" s="1" t="s">
        <v>243</v>
      </c>
      <c r="L613" s="1" t="s">
        <v>35</v>
      </c>
      <c r="N613" s="8">
        <v>46315.0</v>
      </c>
      <c r="O613" s="8">
        <v>46315.0</v>
      </c>
    </row>
    <row r="614">
      <c r="A614" s="1" t="s">
        <v>1166</v>
      </c>
      <c r="B614" s="1" t="s">
        <v>1140</v>
      </c>
      <c r="C614" s="1" t="s">
        <v>1169</v>
      </c>
      <c r="D614" s="1" t="s">
        <v>1172</v>
      </c>
      <c r="E614" s="1" t="s">
        <v>32</v>
      </c>
      <c r="F614" s="8">
        <v>46315.0</v>
      </c>
      <c r="H614" s="1" t="s">
        <v>1168</v>
      </c>
      <c r="K614" s="1" t="s">
        <v>243</v>
      </c>
      <c r="L614" s="1" t="s">
        <v>35</v>
      </c>
      <c r="N614" s="8">
        <v>46315.0</v>
      </c>
      <c r="O614" s="8">
        <v>46315.0</v>
      </c>
    </row>
    <row r="615">
      <c r="A615" s="1" t="s">
        <v>1166</v>
      </c>
      <c r="B615" s="1" t="s">
        <v>1140</v>
      </c>
      <c r="C615" s="1" t="s">
        <v>1169</v>
      </c>
      <c r="D615" s="1" t="s">
        <v>1173</v>
      </c>
      <c r="E615" s="1" t="s">
        <v>32</v>
      </c>
      <c r="F615" s="8">
        <v>46315.0</v>
      </c>
      <c r="H615" s="1" t="s">
        <v>1168</v>
      </c>
      <c r="K615" s="1" t="s">
        <v>243</v>
      </c>
      <c r="L615" s="1" t="s">
        <v>35</v>
      </c>
      <c r="N615" s="8">
        <v>46315.0</v>
      </c>
      <c r="O615" s="8">
        <v>46315.0</v>
      </c>
    </row>
    <row r="616">
      <c r="A616" s="1" t="s">
        <v>1166</v>
      </c>
      <c r="B616" s="1" t="s">
        <v>1140</v>
      </c>
      <c r="C616" s="1" t="s">
        <v>1169</v>
      </c>
      <c r="D616" s="1" t="s">
        <v>1174</v>
      </c>
      <c r="E616" s="1" t="s">
        <v>32</v>
      </c>
      <c r="F616" s="8">
        <v>46315.0</v>
      </c>
      <c r="H616" s="1" t="s">
        <v>1168</v>
      </c>
      <c r="K616" s="1" t="s">
        <v>243</v>
      </c>
      <c r="L616" s="1" t="s">
        <v>35</v>
      </c>
      <c r="N616" s="8">
        <v>46315.0</v>
      </c>
      <c r="O616" s="8">
        <v>46315.0</v>
      </c>
    </row>
    <row r="617">
      <c r="A617" s="1" t="s">
        <v>1166</v>
      </c>
      <c r="B617" s="1" t="s">
        <v>1140</v>
      </c>
      <c r="C617" s="1" t="s">
        <v>1169</v>
      </c>
      <c r="D617" s="1" t="s">
        <v>1175</v>
      </c>
      <c r="E617" s="1" t="s">
        <v>32</v>
      </c>
      <c r="F617" s="8">
        <v>46315.0</v>
      </c>
      <c r="H617" s="1" t="s">
        <v>1168</v>
      </c>
      <c r="K617" s="1" t="s">
        <v>243</v>
      </c>
      <c r="L617" s="1" t="s">
        <v>35</v>
      </c>
      <c r="N617" s="8">
        <v>46315.0</v>
      </c>
      <c r="O617" s="8">
        <v>46315.0</v>
      </c>
    </row>
    <row r="618">
      <c r="A618" s="1" t="s">
        <v>1166</v>
      </c>
      <c r="B618" s="1" t="s">
        <v>1140</v>
      </c>
      <c r="C618" s="1" t="s">
        <v>1169</v>
      </c>
      <c r="D618" s="1" t="s">
        <v>1176</v>
      </c>
      <c r="E618" s="1" t="s">
        <v>32</v>
      </c>
      <c r="F618" s="8">
        <v>46315.0</v>
      </c>
      <c r="H618" s="1" t="s">
        <v>1168</v>
      </c>
      <c r="K618" s="1" t="s">
        <v>243</v>
      </c>
      <c r="L618" s="1" t="s">
        <v>35</v>
      </c>
      <c r="N618" s="8">
        <v>46315.0</v>
      </c>
      <c r="O618" s="8">
        <v>46315.0</v>
      </c>
    </row>
    <row r="619">
      <c r="A619" s="1" t="s">
        <v>1166</v>
      </c>
      <c r="B619" s="1" t="s">
        <v>1140</v>
      </c>
      <c r="C619" s="1" t="s">
        <v>1169</v>
      </c>
      <c r="D619" s="1" t="s">
        <v>1177</v>
      </c>
      <c r="E619" s="1" t="s">
        <v>32</v>
      </c>
      <c r="F619" s="8">
        <v>46315.0</v>
      </c>
      <c r="H619" s="1" t="s">
        <v>1168</v>
      </c>
      <c r="K619" s="1" t="s">
        <v>243</v>
      </c>
      <c r="L619" s="1" t="s">
        <v>35</v>
      </c>
      <c r="N619" s="8">
        <v>46315.0</v>
      </c>
      <c r="O619" s="8">
        <v>46315.0</v>
      </c>
    </row>
    <row r="620">
      <c r="A620" s="1" t="s">
        <v>1166</v>
      </c>
      <c r="B620" s="1" t="s">
        <v>1140</v>
      </c>
      <c r="C620" s="1" t="s">
        <v>1169</v>
      </c>
      <c r="D620" s="1" t="s">
        <v>1178</v>
      </c>
      <c r="E620" s="1" t="s">
        <v>32</v>
      </c>
      <c r="F620" s="8">
        <v>46315.0</v>
      </c>
      <c r="H620" s="1" t="s">
        <v>1168</v>
      </c>
      <c r="K620" s="1" t="s">
        <v>243</v>
      </c>
      <c r="L620" s="1" t="s">
        <v>35</v>
      </c>
      <c r="N620" s="8">
        <v>46315.0</v>
      </c>
      <c r="O620" s="8">
        <v>46315.0</v>
      </c>
    </row>
    <row r="621">
      <c r="A621" s="1" t="s">
        <v>1166</v>
      </c>
      <c r="B621" s="1" t="s">
        <v>1140</v>
      </c>
      <c r="C621" s="1" t="s">
        <v>1169</v>
      </c>
      <c r="D621" s="1" t="s">
        <v>1179</v>
      </c>
      <c r="E621" s="1" t="s">
        <v>32</v>
      </c>
      <c r="F621" s="8">
        <v>46315.0</v>
      </c>
      <c r="H621" s="1" t="s">
        <v>1168</v>
      </c>
      <c r="K621" s="1" t="s">
        <v>243</v>
      </c>
      <c r="L621" s="1" t="s">
        <v>35</v>
      </c>
      <c r="N621" s="8">
        <v>46315.0</v>
      </c>
      <c r="O621" s="8">
        <v>46315.0</v>
      </c>
    </row>
    <row r="622">
      <c r="A622" s="1" t="s">
        <v>1166</v>
      </c>
      <c r="B622" s="1" t="s">
        <v>1140</v>
      </c>
      <c r="C622" s="1" t="s">
        <v>1169</v>
      </c>
      <c r="D622" s="1" t="s">
        <v>1180</v>
      </c>
      <c r="E622" s="1" t="s">
        <v>32</v>
      </c>
      <c r="F622" s="8">
        <v>46315.0</v>
      </c>
      <c r="H622" s="1" t="s">
        <v>1168</v>
      </c>
      <c r="K622" s="1" t="s">
        <v>243</v>
      </c>
      <c r="L622" s="1" t="s">
        <v>35</v>
      </c>
      <c r="N622" s="8">
        <v>46315.0</v>
      </c>
      <c r="O622" s="8">
        <v>46315.0</v>
      </c>
    </row>
    <row r="623">
      <c r="A623" s="1" t="s">
        <v>1166</v>
      </c>
      <c r="B623" s="1" t="s">
        <v>1140</v>
      </c>
      <c r="C623" s="1" t="s">
        <v>1169</v>
      </c>
      <c r="D623" s="1" t="s">
        <v>1181</v>
      </c>
      <c r="E623" s="1" t="s">
        <v>32</v>
      </c>
      <c r="F623" s="8">
        <v>46315.0</v>
      </c>
      <c r="H623" s="1" t="s">
        <v>1168</v>
      </c>
      <c r="K623" s="1" t="s">
        <v>243</v>
      </c>
      <c r="L623" s="1" t="s">
        <v>35</v>
      </c>
      <c r="N623" s="8">
        <v>46315.0</v>
      </c>
      <c r="O623" s="8">
        <v>46315.0</v>
      </c>
    </row>
    <row r="624">
      <c r="A624" s="1" t="s">
        <v>1166</v>
      </c>
      <c r="B624" s="1" t="s">
        <v>1140</v>
      </c>
      <c r="C624" s="1" t="s">
        <v>1169</v>
      </c>
      <c r="D624" s="1" t="s">
        <v>1182</v>
      </c>
      <c r="E624" s="1" t="s">
        <v>32</v>
      </c>
      <c r="F624" s="8">
        <v>46315.0</v>
      </c>
      <c r="H624" s="1" t="s">
        <v>1168</v>
      </c>
      <c r="K624" s="1" t="s">
        <v>243</v>
      </c>
      <c r="L624" s="1" t="s">
        <v>35</v>
      </c>
      <c r="N624" s="8">
        <v>46315.0</v>
      </c>
      <c r="O624" s="8">
        <v>46315.0</v>
      </c>
    </row>
    <row r="625">
      <c r="A625" s="1" t="s">
        <v>1166</v>
      </c>
      <c r="B625" s="1" t="s">
        <v>1140</v>
      </c>
      <c r="C625" s="1" t="s">
        <v>1169</v>
      </c>
      <c r="D625" s="1" t="s">
        <v>1183</v>
      </c>
      <c r="E625" s="1" t="s">
        <v>32</v>
      </c>
      <c r="F625" s="8">
        <v>46315.0</v>
      </c>
      <c r="H625" s="1" t="s">
        <v>1168</v>
      </c>
      <c r="K625" s="1" t="s">
        <v>243</v>
      </c>
      <c r="L625" s="1" t="s">
        <v>35</v>
      </c>
      <c r="N625" s="8">
        <v>46315.0</v>
      </c>
      <c r="O625" s="8">
        <v>46315.0</v>
      </c>
    </row>
    <row r="626">
      <c r="A626" s="1" t="s">
        <v>1166</v>
      </c>
      <c r="B626" s="1" t="s">
        <v>1140</v>
      </c>
      <c r="C626" s="1" t="s">
        <v>1169</v>
      </c>
      <c r="D626" s="1" t="s">
        <v>1184</v>
      </c>
      <c r="E626" s="1" t="s">
        <v>32</v>
      </c>
      <c r="F626" s="8">
        <v>46315.0</v>
      </c>
      <c r="H626" s="1" t="s">
        <v>1168</v>
      </c>
      <c r="K626" s="1" t="s">
        <v>243</v>
      </c>
      <c r="L626" s="1" t="s">
        <v>35</v>
      </c>
      <c r="N626" s="8">
        <v>46315.0</v>
      </c>
      <c r="O626" s="8">
        <v>46315.0</v>
      </c>
    </row>
    <row r="627">
      <c r="A627" s="1" t="s">
        <v>1166</v>
      </c>
      <c r="B627" s="1" t="s">
        <v>1140</v>
      </c>
      <c r="C627" s="1" t="s">
        <v>1169</v>
      </c>
      <c r="D627" s="1" t="s">
        <v>1185</v>
      </c>
      <c r="E627" s="1" t="s">
        <v>32</v>
      </c>
      <c r="F627" s="8">
        <v>46315.0</v>
      </c>
      <c r="H627" s="1" t="s">
        <v>1168</v>
      </c>
      <c r="K627" s="1" t="s">
        <v>243</v>
      </c>
      <c r="L627" s="1" t="s">
        <v>35</v>
      </c>
      <c r="N627" s="8">
        <v>46315.0</v>
      </c>
      <c r="O627" s="8">
        <v>46315.0</v>
      </c>
    </row>
    <row r="628">
      <c r="A628" s="1" t="s">
        <v>1166</v>
      </c>
      <c r="B628" s="1" t="s">
        <v>1140</v>
      </c>
      <c r="C628" s="1" t="s">
        <v>1169</v>
      </c>
      <c r="D628" s="1" t="s">
        <v>1186</v>
      </c>
      <c r="E628" s="1" t="s">
        <v>32</v>
      </c>
      <c r="F628" s="8">
        <v>46315.0</v>
      </c>
      <c r="H628" s="1" t="s">
        <v>1168</v>
      </c>
      <c r="K628" s="1" t="s">
        <v>243</v>
      </c>
      <c r="L628" s="1" t="s">
        <v>35</v>
      </c>
      <c r="N628" s="8">
        <v>46315.0</v>
      </c>
      <c r="O628" s="8">
        <v>46315.0</v>
      </c>
    </row>
    <row r="629">
      <c r="A629" s="1" t="s">
        <v>1166</v>
      </c>
      <c r="B629" s="1" t="s">
        <v>1140</v>
      </c>
      <c r="C629" s="1" t="s">
        <v>1169</v>
      </c>
      <c r="D629" s="1" t="s">
        <v>1187</v>
      </c>
      <c r="E629" s="1" t="s">
        <v>32</v>
      </c>
      <c r="F629" s="8">
        <v>46315.0</v>
      </c>
      <c r="H629" s="1" t="s">
        <v>1168</v>
      </c>
      <c r="K629" s="1" t="s">
        <v>243</v>
      </c>
      <c r="L629" s="1" t="s">
        <v>35</v>
      </c>
      <c r="N629" s="8">
        <v>46315.0</v>
      </c>
      <c r="O629" s="8">
        <v>46315.0</v>
      </c>
    </row>
    <row r="630">
      <c r="A630" s="1" t="s">
        <v>1166</v>
      </c>
      <c r="B630" s="1" t="s">
        <v>1140</v>
      </c>
      <c r="C630" s="1" t="s">
        <v>1169</v>
      </c>
      <c r="D630" s="1" t="s">
        <v>1188</v>
      </c>
      <c r="E630" s="1" t="s">
        <v>32</v>
      </c>
      <c r="F630" s="8">
        <v>46315.0</v>
      </c>
      <c r="H630" s="1" t="s">
        <v>1168</v>
      </c>
      <c r="K630" s="1" t="s">
        <v>243</v>
      </c>
      <c r="L630" s="1" t="s">
        <v>35</v>
      </c>
      <c r="N630" s="8">
        <v>46315.0</v>
      </c>
      <c r="O630" s="8">
        <v>46315.0</v>
      </c>
    </row>
    <row r="631">
      <c r="A631" s="1" t="s">
        <v>1166</v>
      </c>
      <c r="B631" s="1" t="s">
        <v>1140</v>
      </c>
      <c r="C631" s="1" t="s">
        <v>1169</v>
      </c>
      <c r="D631" s="1" t="s">
        <v>1189</v>
      </c>
      <c r="E631" s="1" t="s">
        <v>32</v>
      </c>
      <c r="F631" s="8">
        <v>46315.0</v>
      </c>
      <c r="H631" s="1" t="s">
        <v>1168</v>
      </c>
      <c r="K631" s="1" t="s">
        <v>243</v>
      </c>
      <c r="L631" s="1" t="s">
        <v>35</v>
      </c>
      <c r="N631" s="8">
        <v>46315.0</v>
      </c>
      <c r="O631" s="8">
        <v>46315.0</v>
      </c>
    </row>
    <row r="632">
      <c r="A632" s="1" t="s">
        <v>1166</v>
      </c>
      <c r="B632" s="1" t="s">
        <v>1140</v>
      </c>
      <c r="C632" s="1" t="s">
        <v>1169</v>
      </c>
      <c r="D632" s="1" t="s">
        <v>1190</v>
      </c>
      <c r="E632" s="1" t="s">
        <v>32</v>
      </c>
      <c r="F632" s="8">
        <v>46315.0</v>
      </c>
      <c r="H632" s="1" t="s">
        <v>1168</v>
      </c>
      <c r="K632" s="1" t="s">
        <v>243</v>
      </c>
      <c r="L632" s="1" t="s">
        <v>35</v>
      </c>
      <c r="N632" s="8">
        <v>46315.0</v>
      </c>
      <c r="O632" s="8">
        <v>46315.0</v>
      </c>
    </row>
    <row r="633">
      <c r="A633" s="1" t="s">
        <v>1166</v>
      </c>
      <c r="B633" s="1" t="s">
        <v>1140</v>
      </c>
      <c r="C633" s="1" t="s">
        <v>1169</v>
      </c>
      <c r="D633" s="1" t="s">
        <v>1191</v>
      </c>
      <c r="E633" s="1" t="s">
        <v>32</v>
      </c>
      <c r="F633" s="8">
        <v>46315.0</v>
      </c>
      <c r="H633" s="1" t="s">
        <v>1168</v>
      </c>
      <c r="K633" s="1" t="s">
        <v>243</v>
      </c>
      <c r="L633" s="1" t="s">
        <v>35</v>
      </c>
      <c r="N633" s="8">
        <v>46315.0</v>
      </c>
      <c r="O633" s="8">
        <v>46315.0</v>
      </c>
    </row>
    <row r="634">
      <c r="A634" s="1" t="s">
        <v>1166</v>
      </c>
      <c r="B634" s="1" t="s">
        <v>1140</v>
      </c>
      <c r="C634" s="1" t="s">
        <v>1169</v>
      </c>
      <c r="D634" s="1" t="s">
        <v>1192</v>
      </c>
      <c r="E634" s="1" t="s">
        <v>32</v>
      </c>
      <c r="F634" s="8">
        <v>46315.0</v>
      </c>
      <c r="H634" s="1" t="s">
        <v>1168</v>
      </c>
      <c r="K634" s="1" t="s">
        <v>243</v>
      </c>
      <c r="L634" s="1" t="s">
        <v>35</v>
      </c>
      <c r="N634" s="8">
        <v>46315.0</v>
      </c>
      <c r="O634" s="8">
        <v>46315.0</v>
      </c>
    </row>
    <row r="635">
      <c r="A635" s="1" t="s">
        <v>1193</v>
      </c>
      <c r="B635" s="1" t="s">
        <v>255</v>
      </c>
      <c r="C635" s="1" t="s">
        <v>256</v>
      </c>
      <c r="D635" s="1" t="s">
        <v>1194</v>
      </c>
      <c r="E635" s="1" t="s">
        <v>97</v>
      </c>
      <c r="F635" s="8">
        <v>46310.0</v>
      </c>
      <c r="G635" s="1" t="s">
        <v>107</v>
      </c>
      <c r="H635" s="1" t="s">
        <v>638</v>
      </c>
      <c r="J635" s="1" t="s">
        <v>134</v>
      </c>
      <c r="K635" s="1" t="s">
        <v>1195</v>
      </c>
      <c r="L635" s="1" t="s">
        <v>99</v>
      </c>
      <c r="O635" s="8">
        <v>42657.0</v>
      </c>
    </row>
    <row r="636">
      <c r="A636" s="1" t="s">
        <v>1193</v>
      </c>
      <c r="B636" s="1" t="s">
        <v>255</v>
      </c>
      <c r="C636" s="1" t="s">
        <v>256</v>
      </c>
      <c r="D636" s="1" t="s">
        <v>1196</v>
      </c>
      <c r="E636" s="1" t="s">
        <v>97</v>
      </c>
      <c r="F636" s="8">
        <v>46310.0</v>
      </c>
      <c r="G636" s="1" t="s">
        <v>71</v>
      </c>
      <c r="H636" s="1" t="s">
        <v>396</v>
      </c>
      <c r="K636" s="1" t="s">
        <v>1195</v>
      </c>
      <c r="L636" s="1" t="s">
        <v>99</v>
      </c>
      <c r="O636" s="8">
        <v>42657.0</v>
      </c>
    </row>
    <row r="637">
      <c r="A637" s="1" t="s">
        <v>1193</v>
      </c>
      <c r="B637" s="1" t="s">
        <v>255</v>
      </c>
      <c r="C637" s="1" t="s">
        <v>256</v>
      </c>
      <c r="D637" s="1" t="s">
        <v>1197</v>
      </c>
      <c r="E637" s="1" t="s">
        <v>97</v>
      </c>
      <c r="F637" s="8">
        <v>46310.0</v>
      </c>
      <c r="G637" s="1" t="s">
        <v>71</v>
      </c>
      <c r="H637" s="1" t="s">
        <v>396</v>
      </c>
      <c r="K637" s="1" t="s">
        <v>1195</v>
      </c>
      <c r="L637" s="1" t="s">
        <v>99</v>
      </c>
      <c r="O637" s="8">
        <v>42657.0</v>
      </c>
    </row>
    <row r="638">
      <c r="A638" s="1" t="s">
        <v>1193</v>
      </c>
      <c r="B638" s="1" t="s">
        <v>255</v>
      </c>
      <c r="C638" s="1" t="s">
        <v>256</v>
      </c>
      <c r="D638" s="1" t="s">
        <v>1198</v>
      </c>
      <c r="E638" s="1" t="s">
        <v>97</v>
      </c>
      <c r="F638" s="8">
        <v>46310.0</v>
      </c>
      <c r="G638" s="1" t="s">
        <v>71</v>
      </c>
      <c r="H638" s="1" t="s">
        <v>396</v>
      </c>
      <c r="K638" s="1" t="s">
        <v>1195</v>
      </c>
      <c r="L638" s="1" t="s">
        <v>99</v>
      </c>
      <c r="O638" s="8">
        <v>42657.0</v>
      </c>
    </row>
    <row r="639">
      <c r="A639" s="1" t="s">
        <v>1193</v>
      </c>
      <c r="B639" s="1" t="s">
        <v>269</v>
      </c>
      <c r="C639" s="1" t="s">
        <v>270</v>
      </c>
      <c r="D639" s="1" t="s">
        <v>1199</v>
      </c>
      <c r="E639" s="1" t="s">
        <v>70</v>
      </c>
      <c r="F639" s="8">
        <v>46316.0</v>
      </c>
      <c r="G639" s="1" t="s">
        <v>107</v>
      </c>
      <c r="H639" s="1" t="s">
        <v>283</v>
      </c>
      <c r="J639" s="1" t="s">
        <v>47</v>
      </c>
      <c r="K639" s="1" t="s">
        <v>1195</v>
      </c>
      <c r="L639" s="1" t="s">
        <v>99</v>
      </c>
      <c r="O639" s="4">
        <v>40961.0</v>
      </c>
    </row>
    <row r="640">
      <c r="A640" s="1" t="s">
        <v>1193</v>
      </c>
      <c r="B640" s="1" t="s">
        <v>269</v>
      </c>
      <c r="C640" s="1" t="s">
        <v>270</v>
      </c>
      <c r="D640" s="1" t="s">
        <v>1200</v>
      </c>
      <c r="E640" s="1" t="s">
        <v>70</v>
      </c>
      <c r="F640" s="8">
        <v>46316.0</v>
      </c>
      <c r="G640" s="1" t="s">
        <v>132</v>
      </c>
      <c r="H640" s="1" t="s">
        <v>428</v>
      </c>
      <c r="J640" s="1" t="s">
        <v>47</v>
      </c>
      <c r="K640" s="1" t="s">
        <v>1195</v>
      </c>
      <c r="L640" s="1" t="s">
        <v>99</v>
      </c>
      <c r="O640" s="4">
        <v>40961.0</v>
      </c>
    </row>
    <row r="641">
      <c r="A641" s="1" t="s">
        <v>1193</v>
      </c>
      <c r="B641" s="1" t="s">
        <v>269</v>
      </c>
      <c r="C641" s="1" t="s">
        <v>270</v>
      </c>
      <c r="D641" s="1" t="s">
        <v>1201</v>
      </c>
      <c r="E641" s="1" t="s">
        <v>70</v>
      </c>
      <c r="F641" s="8">
        <v>46316.0</v>
      </c>
      <c r="G641" s="1" t="s">
        <v>107</v>
      </c>
      <c r="H641" s="1" t="s">
        <v>1202</v>
      </c>
      <c r="J641" s="1" t="s">
        <v>47</v>
      </c>
      <c r="K641" s="1" t="s">
        <v>1195</v>
      </c>
      <c r="L641" s="1" t="s">
        <v>99</v>
      </c>
      <c r="O641" s="4">
        <v>40961.0</v>
      </c>
    </row>
    <row r="642">
      <c r="A642" s="1" t="s">
        <v>1193</v>
      </c>
      <c r="B642" s="1" t="s">
        <v>269</v>
      </c>
      <c r="C642" s="1" t="s">
        <v>270</v>
      </c>
      <c r="D642" s="1" t="s">
        <v>1203</v>
      </c>
      <c r="E642" s="1" t="s">
        <v>70</v>
      </c>
      <c r="F642" s="8">
        <v>46316.0</v>
      </c>
      <c r="G642" s="1" t="s">
        <v>132</v>
      </c>
      <c r="H642" s="1" t="s">
        <v>1204</v>
      </c>
      <c r="J642" s="1" t="s">
        <v>47</v>
      </c>
      <c r="K642" s="1" t="s">
        <v>1195</v>
      </c>
      <c r="L642" s="1" t="s">
        <v>99</v>
      </c>
      <c r="O642" s="4">
        <v>40961.0</v>
      </c>
    </row>
    <row r="643">
      <c r="A643" s="1" t="s">
        <v>1193</v>
      </c>
      <c r="B643" s="1" t="s">
        <v>269</v>
      </c>
      <c r="C643" s="1" t="s">
        <v>270</v>
      </c>
      <c r="D643" s="1" t="s">
        <v>1205</v>
      </c>
      <c r="E643" s="1" t="s">
        <v>70</v>
      </c>
      <c r="F643" s="8">
        <v>46316.0</v>
      </c>
      <c r="G643" s="1" t="s">
        <v>107</v>
      </c>
      <c r="H643" s="1" t="s">
        <v>412</v>
      </c>
      <c r="J643" s="1" t="s">
        <v>47</v>
      </c>
      <c r="K643" s="1" t="s">
        <v>1195</v>
      </c>
      <c r="L643" s="1" t="s">
        <v>99</v>
      </c>
      <c r="O643" s="4">
        <v>40961.0</v>
      </c>
    </row>
    <row r="644">
      <c r="A644" s="1" t="s">
        <v>1193</v>
      </c>
      <c r="B644" s="1" t="s">
        <v>269</v>
      </c>
      <c r="C644" s="1" t="s">
        <v>270</v>
      </c>
      <c r="D644" s="1" t="s">
        <v>1206</v>
      </c>
      <c r="E644" s="1" t="s">
        <v>70</v>
      </c>
      <c r="F644" s="8">
        <v>46316.0</v>
      </c>
      <c r="G644" s="1" t="s">
        <v>1207</v>
      </c>
      <c r="H644" s="1" t="s">
        <v>1208</v>
      </c>
      <c r="J644" s="1" t="s">
        <v>47</v>
      </c>
      <c r="K644" s="1" t="s">
        <v>1195</v>
      </c>
      <c r="L644" s="1" t="s">
        <v>99</v>
      </c>
      <c r="O644" s="4">
        <v>40961.0</v>
      </c>
    </row>
    <row r="645">
      <c r="A645" s="1" t="s">
        <v>1193</v>
      </c>
      <c r="B645" s="1" t="s">
        <v>269</v>
      </c>
      <c r="C645" s="1" t="s">
        <v>270</v>
      </c>
      <c r="D645" s="1" t="s">
        <v>1209</v>
      </c>
      <c r="E645" s="1" t="s">
        <v>70</v>
      </c>
      <c r="F645" s="8">
        <v>46316.0</v>
      </c>
      <c r="G645" s="1" t="s">
        <v>107</v>
      </c>
      <c r="H645" s="1" t="s">
        <v>781</v>
      </c>
      <c r="J645" s="1" t="s">
        <v>47</v>
      </c>
      <c r="K645" s="1" t="s">
        <v>1195</v>
      </c>
      <c r="L645" s="1" t="s">
        <v>99</v>
      </c>
      <c r="O645" s="4">
        <v>40961.0</v>
      </c>
    </row>
    <row r="646">
      <c r="A646" s="1" t="s">
        <v>1193</v>
      </c>
      <c r="B646" s="1" t="s">
        <v>269</v>
      </c>
      <c r="C646" s="1" t="s">
        <v>270</v>
      </c>
      <c r="D646" s="1" t="s">
        <v>1210</v>
      </c>
      <c r="E646" s="1" t="s">
        <v>70</v>
      </c>
      <c r="F646" s="8">
        <v>46316.0</v>
      </c>
      <c r="G646" s="1" t="s">
        <v>132</v>
      </c>
      <c r="H646" s="1" t="s">
        <v>1208</v>
      </c>
      <c r="J646" s="1" t="s">
        <v>47</v>
      </c>
      <c r="K646" s="1" t="s">
        <v>1195</v>
      </c>
      <c r="L646" s="1" t="s">
        <v>99</v>
      </c>
      <c r="O646" s="4">
        <v>40961.0</v>
      </c>
    </row>
    <row r="647">
      <c r="A647" s="1" t="s">
        <v>1193</v>
      </c>
      <c r="B647" s="1" t="s">
        <v>269</v>
      </c>
      <c r="C647" s="1" t="s">
        <v>270</v>
      </c>
      <c r="D647" s="1" t="s">
        <v>1211</v>
      </c>
      <c r="E647" s="1" t="s">
        <v>70</v>
      </c>
      <c r="F647" s="8">
        <v>46316.0</v>
      </c>
      <c r="G647" s="1" t="s">
        <v>132</v>
      </c>
      <c r="H647" s="1" t="s">
        <v>1208</v>
      </c>
      <c r="J647" s="1" t="s">
        <v>47</v>
      </c>
      <c r="K647" s="1" t="s">
        <v>1195</v>
      </c>
      <c r="L647" s="1" t="s">
        <v>99</v>
      </c>
      <c r="O647" s="4">
        <v>40961.0</v>
      </c>
    </row>
    <row r="648">
      <c r="A648" s="1" t="s">
        <v>1193</v>
      </c>
      <c r="B648" s="1" t="s">
        <v>269</v>
      </c>
      <c r="C648" s="1" t="s">
        <v>270</v>
      </c>
      <c r="D648" s="1" t="s">
        <v>1212</v>
      </c>
      <c r="E648" s="1" t="s">
        <v>70</v>
      </c>
      <c r="F648" s="8">
        <v>46316.0</v>
      </c>
      <c r="G648" s="1" t="s">
        <v>132</v>
      </c>
      <c r="H648" s="1" t="s">
        <v>1213</v>
      </c>
      <c r="J648" s="1" t="s">
        <v>47</v>
      </c>
      <c r="K648" s="1" t="s">
        <v>1195</v>
      </c>
      <c r="L648" s="1" t="s">
        <v>99</v>
      </c>
      <c r="O648" s="4">
        <v>40961.0</v>
      </c>
    </row>
    <row r="649">
      <c r="A649" s="1" t="s">
        <v>1193</v>
      </c>
      <c r="B649" s="1" t="s">
        <v>255</v>
      </c>
      <c r="C649" s="1" t="s">
        <v>256</v>
      </c>
      <c r="D649" s="1" t="s">
        <v>1214</v>
      </c>
      <c r="E649" s="1" t="s">
        <v>97</v>
      </c>
      <c r="F649" s="8">
        <v>46310.0</v>
      </c>
      <c r="G649" s="1" t="s">
        <v>107</v>
      </c>
      <c r="H649" s="1" t="s">
        <v>278</v>
      </c>
      <c r="J649" s="1" t="s">
        <v>134</v>
      </c>
      <c r="K649" s="1" t="s">
        <v>1195</v>
      </c>
      <c r="L649" s="1" t="s">
        <v>99</v>
      </c>
      <c r="O649" s="8">
        <v>42657.0</v>
      </c>
    </row>
    <row r="650">
      <c r="A650" s="1" t="s">
        <v>1193</v>
      </c>
      <c r="B650" s="1" t="s">
        <v>255</v>
      </c>
      <c r="C650" s="1" t="s">
        <v>256</v>
      </c>
      <c r="D650" s="1" t="s">
        <v>1215</v>
      </c>
      <c r="E650" s="1" t="s">
        <v>97</v>
      </c>
      <c r="F650" s="8">
        <v>46310.0</v>
      </c>
      <c r="G650" s="1" t="s">
        <v>71</v>
      </c>
      <c r="H650" s="1" t="s">
        <v>396</v>
      </c>
      <c r="K650" s="1" t="s">
        <v>1195</v>
      </c>
      <c r="L650" s="1" t="s">
        <v>99</v>
      </c>
      <c r="O650" s="8">
        <v>42657.0</v>
      </c>
    </row>
    <row r="651">
      <c r="A651" s="1" t="s">
        <v>1193</v>
      </c>
      <c r="B651" s="1" t="s">
        <v>255</v>
      </c>
      <c r="C651" s="1" t="s">
        <v>256</v>
      </c>
      <c r="D651" s="1" t="s">
        <v>1216</v>
      </c>
      <c r="E651" s="1" t="s">
        <v>97</v>
      </c>
      <c r="F651" s="8">
        <v>46310.0</v>
      </c>
      <c r="G651" s="1" t="s">
        <v>71</v>
      </c>
      <c r="H651" s="1" t="s">
        <v>396</v>
      </c>
      <c r="K651" s="1" t="s">
        <v>1195</v>
      </c>
      <c r="L651" s="1" t="s">
        <v>99</v>
      </c>
      <c r="O651" s="8">
        <v>42657.0</v>
      </c>
    </row>
    <row r="652">
      <c r="A652" s="1" t="s">
        <v>1193</v>
      </c>
      <c r="B652" s="1" t="s">
        <v>255</v>
      </c>
      <c r="C652" s="1" t="s">
        <v>256</v>
      </c>
      <c r="D652" s="1" t="s">
        <v>1217</v>
      </c>
      <c r="E652" s="1" t="s">
        <v>97</v>
      </c>
      <c r="F652" s="8">
        <v>46310.0</v>
      </c>
      <c r="G652" s="1" t="s">
        <v>71</v>
      </c>
      <c r="H652" s="1" t="s">
        <v>396</v>
      </c>
      <c r="K652" s="1" t="s">
        <v>1195</v>
      </c>
      <c r="L652" s="1" t="s">
        <v>99</v>
      </c>
      <c r="O652" s="8">
        <v>42657.0</v>
      </c>
    </row>
    <row r="653">
      <c r="A653" s="1" t="s">
        <v>1193</v>
      </c>
      <c r="B653" s="1" t="s">
        <v>255</v>
      </c>
      <c r="C653" s="1" t="s">
        <v>256</v>
      </c>
      <c r="D653" s="1" t="s">
        <v>1218</v>
      </c>
      <c r="E653" s="1" t="s">
        <v>97</v>
      </c>
      <c r="F653" s="8">
        <v>46310.0</v>
      </c>
      <c r="G653" s="1" t="s">
        <v>71</v>
      </c>
      <c r="H653" s="1" t="s">
        <v>396</v>
      </c>
      <c r="K653" s="1" t="s">
        <v>1195</v>
      </c>
      <c r="L653" s="1" t="s">
        <v>99</v>
      </c>
      <c r="O653" s="8">
        <v>42657.0</v>
      </c>
    </row>
    <row r="654">
      <c r="A654" s="1" t="s">
        <v>1193</v>
      </c>
      <c r="B654" s="1" t="s">
        <v>255</v>
      </c>
      <c r="C654" s="1" t="s">
        <v>256</v>
      </c>
      <c r="D654" s="1" t="s">
        <v>1219</v>
      </c>
      <c r="E654" s="1" t="s">
        <v>97</v>
      </c>
      <c r="F654" s="8">
        <v>46310.0</v>
      </c>
      <c r="G654" s="1" t="s">
        <v>71</v>
      </c>
      <c r="H654" s="1" t="s">
        <v>396</v>
      </c>
      <c r="K654" s="1" t="s">
        <v>1195</v>
      </c>
      <c r="L654" s="1" t="s">
        <v>99</v>
      </c>
      <c r="O654" s="8">
        <v>42657.0</v>
      </c>
    </row>
    <row r="655">
      <c r="A655" s="1" t="s">
        <v>1193</v>
      </c>
      <c r="B655" s="1" t="s">
        <v>255</v>
      </c>
      <c r="C655" s="1" t="s">
        <v>256</v>
      </c>
      <c r="D655" s="1" t="s">
        <v>1220</v>
      </c>
      <c r="E655" s="1" t="s">
        <v>97</v>
      </c>
      <c r="F655" s="8">
        <v>46310.0</v>
      </c>
      <c r="G655" s="1" t="s">
        <v>71</v>
      </c>
      <c r="H655" s="1" t="s">
        <v>396</v>
      </c>
      <c r="K655" s="1" t="s">
        <v>1195</v>
      </c>
      <c r="L655" s="1" t="s">
        <v>99</v>
      </c>
      <c r="O655" s="8">
        <v>42657.0</v>
      </c>
    </row>
    <row r="656">
      <c r="A656" s="1" t="s">
        <v>1193</v>
      </c>
      <c r="B656" s="1" t="s">
        <v>255</v>
      </c>
      <c r="C656" s="1" t="s">
        <v>256</v>
      </c>
      <c r="D656" s="1" t="s">
        <v>1221</v>
      </c>
      <c r="E656" s="1" t="s">
        <v>97</v>
      </c>
      <c r="F656" s="8">
        <v>46310.0</v>
      </c>
      <c r="G656" s="1" t="s">
        <v>107</v>
      </c>
      <c r="H656" s="1" t="s">
        <v>278</v>
      </c>
      <c r="J656" s="1" t="s">
        <v>47</v>
      </c>
      <c r="K656" s="1" t="s">
        <v>1195</v>
      </c>
      <c r="L656" s="1" t="s">
        <v>99</v>
      </c>
      <c r="O656" s="8">
        <v>42657.0</v>
      </c>
    </row>
    <row r="657">
      <c r="A657" s="1" t="s">
        <v>1222</v>
      </c>
      <c r="B657" s="1" t="s">
        <v>269</v>
      </c>
      <c r="C657" s="1" t="s">
        <v>270</v>
      </c>
      <c r="D657" s="1" t="s">
        <v>1223</v>
      </c>
      <c r="E657" s="1" t="s">
        <v>32</v>
      </c>
      <c r="F657" s="4">
        <v>45968.0</v>
      </c>
      <c r="H657" s="1" t="s">
        <v>33</v>
      </c>
      <c r="K657" s="1" t="s">
        <v>653</v>
      </c>
      <c r="L657" s="1" t="s">
        <v>35</v>
      </c>
      <c r="N657" s="4">
        <v>45968.0</v>
      </c>
      <c r="O657" s="4">
        <v>45968.0</v>
      </c>
    </row>
    <row r="658">
      <c r="A658" s="1" t="s">
        <v>1222</v>
      </c>
      <c r="B658" s="1" t="s">
        <v>269</v>
      </c>
      <c r="C658" s="1" t="s">
        <v>270</v>
      </c>
      <c r="D658" s="1" t="s">
        <v>1224</v>
      </c>
      <c r="E658" s="1" t="s">
        <v>32</v>
      </c>
      <c r="F658" s="4">
        <v>45968.0</v>
      </c>
      <c r="H658" s="1" t="s">
        <v>33</v>
      </c>
      <c r="K658" s="1" t="s">
        <v>653</v>
      </c>
      <c r="L658" s="1" t="s">
        <v>35</v>
      </c>
      <c r="N658" s="4">
        <v>45968.0</v>
      </c>
      <c r="O658" s="4">
        <v>45968.0</v>
      </c>
    </row>
    <row r="659">
      <c r="A659" s="1" t="s">
        <v>1225</v>
      </c>
      <c r="B659" s="1" t="s">
        <v>1226</v>
      </c>
      <c r="C659" s="1" t="s">
        <v>1227</v>
      </c>
      <c r="D659" s="1" t="s">
        <v>1228</v>
      </c>
      <c r="E659" s="1" t="s">
        <v>70</v>
      </c>
      <c r="F659" s="4">
        <v>46189.0</v>
      </c>
      <c r="G659" s="1" t="s">
        <v>71</v>
      </c>
      <c r="H659" s="1" t="s">
        <v>411</v>
      </c>
      <c r="K659" s="1" t="s">
        <v>358</v>
      </c>
      <c r="L659" s="1" t="s">
        <v>99</v>
      </c>
      <c r="O659" s="4">
        <v>44839.0</v>
      </c>
    </row>
    <row r="660">
      <c r="A660" s="1" t="s">
        <v>1225</v>
      </c>
      <c r="B660" s="1" t="s">
        <v>1226</v>
      </c>
      <c r="C660" s="1" t="s">
        <v>1227</v>
      </c>
      <c r="D660" s="1" t="s">
        <v>1229</v>
      </c>
      <c r="E660" s="1" t="s">
        <v>70</v>
      </c>
      <c r="F660" s="4">
        <v>46189.0</v>
      </c>
      <c r="G660" s="1" t="s">
        <v>71</v>
      </c>
      <c r="H660" s="1" t="s">
        <v>411</v>
      </c>
      <c r="K660" s="1" t="s">
        <v>358</v>
      </c>
      <c r="L660" s="1" t="s">
        <v>99</v>
      </c>
      <c r="O660" s="4">
        <v>44839.0</v>
      </c>
    </row>
    <row r="661">
      <c r="A661" s="1" t="s">
        <v>1225</v>
      </c>
      <c r="B661" s="1" t="s">
        <v>336</v>
      </c>
      <c r="C661" s="1" t="s">
        <v>338</v>
      </c>
      <c r="D661" s="1" t="s">
        <v>1230</v>
      </c>
      <c r="E661" s="1" t="s">
        <v>97</v>
      </c>
      <c r="F661" s="8">
        <v>46314.0</v>
      </c>
      <c r="G661" s="1" t="s">
        <v>107</v>
      </c>
      <c r="H661" s="1" t="s">
        <v>340</v>
      </c>
      <c r="J661" s="1" t="s">
        <v>134</v>
      </c>
      <c r="K661" s="1" t="s">
        <v>358</v>
      </c>
      <c r="L661" s="1" t="s">
        <v>99</v>
      </c>
      <c r="O661" s="4">
        <v>44839.0</v>
      </c>
    </row>
    <row r="662">
      <c r="A662" s="1" t="s">
        <v>1225</v>
      </c>
      <c r="B662" s="1" t="s">
        <v>336</v>
      </c>
      <c r="C662" s="1" t="s">
        <v>338</v>
      </c>
      <c r="D662" s="1" t="s">
        <v>1231</v>
      </c>
      <c r="E662" s="1" t="s">
        <v>97</v>
      </c>
      <c r="F662" s="8">
        <v>46314.0</v>
      </c>
      <c r="G662" s="1" t="s">
        <v>107</v>
      </c>
      <c r="H662" s="1" t="s">
        <v>340</v>
      </c>
      <c r="J662" s="1" t="s">
        <v>134</v>
      </c>
      <c r="K662" s="1" t="s">
        <v>358</v>
      </c>
      <c r="L662" s="1" t="s">
        <v>99</v>
      </c>
      <c r="O662" s="4">
        <v>44839.0</v>
      </c>
    </row>
    <row r="663">
      <c r="A663" s="1" t="s">
        <v>1225</v>
      </c>
      <c r="B663" s="1" t="s">
        <v>692</v>
      </c>
      <c r="C663" s="1" t="s">
        <v>1232</v>
      </c>
      <c r="D663" s="1" t="s">
        <v>1233</v>
      </c>
      <c r="E663" s="1" t="s">
        <v>97</v>
      </c>
      <c r="F663" s="8">
        <v>46316.0</v>
      </c>
      <c r="G663" s="1" t="s">
        <v>71</v>
      </c>
      <c r="H663" s="1" t="s">
        <v>1234</v>
      </c>
      <c r="K663" s="1" t="s">
        <v>358</v>
      </c>
      <c r="L663" s="1" t="s">
        <v>99</v>
      </c>
      <c r="O663" s="4">
        <v>44839.0</v>
      </c>
    </row>
    <row r="664">
      <c r="A664" s="1" t="s">
        <v>1225</v>
      </c>
      <c r="B664" s="1" t="s">
        <v>692</v>
      </c>
      <c r="C664" s="1" t="s">
        <v>1232</v>
      </c>
      <c r="D664" s="1" t="s">
        <v>1235</v>
      </c>
      <c r="E664" s="1" t="s">
        <v>97</v>
      </c>
      <c r="F664" s="8">
        <v>46316.0</v>
      </c>
      <c r="G664" s="1" t="s">
        <v>71</v>
      </c>
      <c r="H664" s="1" t="s">
        <v>1234</v>
      </c>
      <c r="K664" s="1" t="s">
        <v>358</v>
      </c>
      <c r="L664" s="1" t="s">
        <v>99</v>
      </c>
      <c r="O664" s="4">
        <v>44839.0</v>
      </c>
    </row>
    <row r="665">
      <c r="A665" s="1" t="s">
        <v>1225</v>
      </c>
      <c r="B665" s="1" t="s">
        <v>288</v>
      </c>
      <c r="C665" s="1" t="s">
        <v>289</v>
      </c>
      <c r="D665" s="1" t="s">
        <v>1236</v>
      </c>
      <c r="E665" s="1" t="s">
        <v>97</v>
      </c>
      <c r="F665" s="8">
        <v>46309.0</v>
      </c>
      <c r="G665" s="1" t="s">
        <v>71</v>
      </c>
      <c r="H665" s="1" t="s">
        <v>414</v>
      </c>
      <c r="K665" s="1" t="s">
        <v>358</v>
      </c>
      <c r="L665" s="1" t="s">
        <v>99</v>
      </c>
      <c r="O665" s="4">
        <v>44839.0</v>
      </c>
    </row>
    <row r="666">
      <c r="A666" s="1" t="s">
        <v>1225</v>
      </c>
      <c r="B666" s="1" t="s">
        <v>288</v>
      </c>
      <c r="C666" s="1" t="s">
        <v>289</v>
      </c>
      <c r="D666" s="1" t="s">
        <v>1237</v>
      </c>
      <c r="E666" s="1" t="s">
        <v>97</v>
      </c>
      <c r="F666" s="8">
        <v>46309.0</v>
      </c>
      <c r="G666" s="1" t="s">
        <v>71</v>
      </c>
      <c r="H666" s="1" t="s">
        <v>414</v>
      </c>
      <c r="K666" s="1" t="s">
        <v>358</v>
      </c>
      <c r="L666" s="1" t="s">
        <v>99</v>
      </c>
      <c r="O666" s="4">
        <v>44839.0</v>
      </c>
    </row>
    <row r="667">
      <c r="A667" s="1" t="s">
        <v>1225</v>
      </c>
      <c r="B667" s="1" t="s">
        <v>288</v>
      </c>
      <c r="C667" s="1" t="s">
        <v>289</v>
      </c>
      <c r="D667" s="1" t="s">
        <v>1238</v>
      </c>
      <c r="E667" s="1" t="s">
        <v>97</v>
      </c>
      <c r="F667" s="8">
        <v>46309.0</v>
      </c>
      <c r="G667" s="1" t="s">
        <v>71</v>
      </c>
      <c r="H667" s="1" t="s">
        <v>1239</v>
      </c>
      <c r="K667" s="1" t="s">
        <v>358</v>
      </c>
      <c r="L667" s="1" t="s">
        <v>99</v>
      </c>
      <c r="O667" s="4">
        <v>44839.0</v>
      </c>
    </row>
    <row r="668">
      <c r="A668" s="1" t="s">
        <v>1225</v>
      </c>
      <c r="B668" s="1" t="s">
        <v>288</v>
      </c>
      <c r="C668" s="1" t="s">
        <v>289</v>
      </c>
      <c r="D668" s="1" t="s">
        <v>1240</v>
      </c>
      <c r="E668" s="1" t="s">
        <v>97</v>
      </c>
      <c r="F668" s="8">
        <v>46309.0</v>
      </c>
      <c r="G668" s="1" t="s">
        <v>71</v>
      </c>
      <c r="H668" s="1" t="s">
        <v>1239</v>
      </c>
      <c r="K668" s="1" t="s">
        <v>358</v>
      </c>
      <c r="L668" s="1" t="s">
        <v>99</v>
      </c>
      <c r="O668" s="4">
        <v>44839.0</v>
      </c>
    </row>
    <row r="669">
      <c r="A669" s="1" t="s">
        <v>1225</v>
      </c>
      <c r="B669" s="1" t="s">
        <v>923</v>
      </c>
      <c r="C669" s="1" t="s">
        <v>924</v>
      </c>
      <c r="D669" s="1" t="s">
        <v>1241</v>
      </c>
      <c r="E669" s="1" t="s">
        <v>97</v>
      </c>
      <c r="F669" s="8">
        <v>46314.0</v>
      </c>
      <c r="G669" s="1" t="s">
        <v>107</v>
      </c>
      <c r="H669" s="1" t="s">
        <v>189</v>
      </c>
      <c r="J669" s="1" t="s">
        <v>134</v>
      </c>
      <c r="K669" s="1" t="s">
        <v>358</v>
      </c>
      <c r="L669" s="1" t="s">
        <v>99</v>
      </c>
      <c r="O669" s="4">
        <v>44839.0</v>
      </c>
    </row>
    <row r="670">
      <c r="A670" s="1" t="s">
        <v>1225</v>
      </c>
      <c r="B670" s="1" t="s">
        <v>923</v>
      </c>
      <c r="C670" s="1" t="s">
        <v>924</v>
      </c>
      <c r="D670" s="1" t="s">
        <v>1242</v>
      </c>
      <c r="E670" s="1" t="s">
        <v>97</v>
      </c>
      <c r="F670" s="8">
        <v>46314.0</v>
      </c>
      <c r="G670" s="1" t="s">
        <v>71</v>
      </c>
      <c r="K670" s="1" t="s">
        <v>358</v>
      </c>
      <c r="L670" s="1" t="s">
        <v>99</v>
      </c>
      <c r="O670" s="4">
        <v>44839.0</v>
      </c>
    </row>
    <row r="671">
      <c r="A671" s="1" t="s">
        <v>1225</v>
      </c>
      <c r="B671" s="1" t="s">
        <v>269</v>
      </c>
      <c r="C671" s="1" t="s">
        <v>270</v>
      </c>
      <c r="D671" s="1" t="s">
        <v>1243</v>
      </c>
      <c r="E671" s="1" t="s">
        <v>70</v>
      </c>
      <c r="F671" s="8">
        <v>46316.0</v>
      </c>
      <c r="G671" s="1" t="s">
        <v>107</v>
      </c>
      <c r="H671" s="1" t="s">
        <v>283</v>
      </c>
      <c r="J671" s="1" t="s">
        <v>47</v>
      </c>
      <c r="K671" s="1" t="s">
        <v>358</v>
      </c>
      <c r="L671" s="1" t="s">
        <v>99</v>
      </c>
      <c r="O671" s="4">
        <v>44839.0</v>
      </c>
    </row>
    <row r="672">
      <c r="A672" s="1" t="s">
        <v>1225</v>
      </c>
      <c r="B672" s="1" t="s">
        <v>269</v>
      </c>
      <c r="C672" s="1" t="s">
        <v>270</v>
      </c>
      <c r="D672" s="1" t="s">
        <v>1244</v>
      </c>
      <c r="E672" s="1" t="s">
        <v>70</v>
      </c>
      <c r="F672" s="8">
        <v>46316.0</v>
      </c>
      <c r="G672" s="1" t="s">
        <v>107</v>
      </c>
      <c r="H672" s="1" t="s">
        <v>283</v>
      </c>
      <c r="J672" s="1" t="s">
        <v>47</v>
      </c>
      <c r="K672" s="1" t="s">
        <v>358</v>
      </c>
      <c r="L672" s="1" t="s">
        <v>99</v>
      </c>
      <c r="O672" s="4">
        <v>44839.0</v>
      </c>
    </row>
    <row r="673">
      <c r="A673" s="1" t="s">
        <v>1225</v>
      </c>
      <c r="B673" s="1" t="s">
        <v>1226</v>
      </c>
      <c r="C673" s="1" t="s">
        <v>1245</v>
      </c>
      <c r="D673" s="1" t="s">
        <v>1246</v>
      </c>
      <c r="E673" s="1" t="s">
        <v>70</v>
      </c>
      <c r="F673" s="4">
        <v>46189.0</v>
      </c>
      <c r="G673" s="1" t="s">
        <v>71</v>
      </c>
      <c r="H673" s="1" t="s">
        <v>1247</v>
      </c>
      <c r="K673" s="1" t="s">
        <v>358</v>
      </c>
      <c r="L673" s="1" t="s">
        <v>99</v>
      </c>
      <c r="O673" s="4">
        <v>44839.0</v>
      </c>
    </row>
    <row r="674">
      <c r="A674" s="1" t="s">
        <v>1225</v>
      </c>
      <c r="B674" s="1" t="s">
        <v>1226</v>
      </c>
      <c r="C674" s="1" t="s">
        <v>1245</v>
      </c>
      <c r="D674" s="1" t="s">
        <v>1248</v>
      </c>
      <c r="E674" s="1" t="s">
        <v>70</v>
      </c>
      <c r="F674" s="4">
        <v>46189.0</v>
      </c>
      <c r="G674" s="1" t="s">
        <v>71</v>
      </c>
      <c r="H674" s="1" t="s">
        <v>1247</v>
      </c>
      <c r="K674" s="1" t="s">
        <v>358</v>
      </c>
      <c r="L674" s="1" t="s">
        <v>99</v>
      </c>
      <c r="O674" s="4">
        <v>44839.0</v>
      </c>
    </row>
    <row r="675">
      <c r="A675" s="1" t="s">
        <v>1225</v>
      </c>
      <c r="B675" s="1" t="s">
        <v>288</v>
      </c>
      <c r="C675" s="1" t="s">
        <v>289</v>
      </c>
      <c r="D675" s="1" t="s">
        <v>1249</v>
      </c>
      <c r="E675" s="1" t="s">
        <v>97</v>
      </c>
      <c r="F675" s="8">
        <v>46309.0</v>
      </c>
      <c r="G675" s="1" t="s">
        <v>71</v>
      </c>
      <c r="H675" s="1" t="s">
        <v>954</v>
      </c>
      <c r="K675" s="1" t="s">
        <v>358</v>
      </c>
      <c r="L675" s="1" t="s">
        <v>99</v>
      </c>
      <c r="O675" s="4">
        <v>44839.0</v>
      </c>
    </row>
    <row r="676">
      <c r="A676" s="1" t="s">
        <v>1225</v>
      </c>
      <c r="B676" s="1" t="s">
        <v>288</v>
      </c>
      <c r="C676" s="1" t="s">
        <v>289</v>
      </c>
      <c r="D676" s="1" t="s">
        <v>1250</v>
      </c>
      <c r="E676" s="1" t="s">
        <v>97</v>
      </c>
      <c r="F676" s="8">
        <v>46309.0</v>
      </c>
      <c r="G676" s="1" t="s">
        <v>71</v>
      </c>
      <c r="H676" s="1" t="s">
        <v>954</v>
      </c>
      <c r="K676" s="1" t="s">
        <v>358</v>
      </c>
      <c r="L676" s="1" t="s">
        <v>99</v>
      </c>
      <c r="O676" s="4">
        <v>44839.0</v>
      </c>
    </row>
    <row r="677">
      <c r="A677" s="1" t="s">
        <v>1251</v>
      </c>
      <c r="B677" s="1" t="s">
        <v>1252</v>
      </c>
      <c r="C677" s="1" t="s">
        <v>1253</v>
      </c>
      <c r="D677" s="1" t="s">
        <v>1254</v>
      </c>
      <c r="E677" s="1" t="s">
        <v>32</v>
      </c>
      <c r="F677" s="4">
        <v>46140.0</v>
      </c>
      <c r="H677" s="1" t="s">
        <v>33</v>
      </c>
      <c r="K677" s="1" t="s">
        <v>267</v>
      </c>
      <c r="L677" s="1" t="s">
        <v>35</v>
      </c>
      <c r="N677" s="4">
        <v>46140.0</v>
      </c>
      <c r="O677" s="4">
        <v>46140.0</v>
      </c>
    </row>
    <row r="678">
      <c r="A678" s="1" t="s">
        <v>1251</v>
      </c>
      <c r="B678" s="1" t="s">
        <v>1252</v>
      </c>
      <c r="C678" s="1" t="s">
        <v>1253</v>
      </c>
      <c r="D678" s="1" t="s">
        <v>1255</v>
      </c>
      <c r="E678" s="1" t="s">
        <v>32</v>
      </c>
      <c r="F678" s="4">
        <v>46140.0</v>
      </c>
      <c r="H678" s="1" t="s">
        <v>33</v>
      </c>
      <c r="K678" s="1" t="s">
        <v>267</v>
      </c>
      <c r="L678" s="1" t="s">
        <v>35</v>
      </c>
      <c r="N678" s="4">
        <v>46140.0</v>
      </c>
      <c r="O678" s="4">
        <v>46140.0</v>
      </c>
    </row>
    <row r="679">
      <c r="A679" s="1" t="s">
        <v>1256</v>
      </c>
      <c r="B679" s="1" t="s">
        <v>29</v>
      </c>
      <c r="C679" s="1" t="s">
        <v>30</v>
      </c>
      <c r="D679" s="1" t="s">
        <v>1257</v>
      </c>
      <c r="E679" s="1" t="s">
        <v>32</v>
      </c>
      <c r="F679" s="4">
        <v>46028.0</v>
      </c>
      <c r="H679" s="1" t="s">
        <v>33</v>
      </c>
      <c r="K679" s="1" t="s">
        <v>1258</v>
      </c>
      <c r="L679" s="1" t="s">
        <v>35</v>
      </c>
      <c r="N679" s="4">
        <v>46028.0</v>
      </c>
      <c r="O679" s="4">
        <v>46028.0</v>
      </c>
    </row>
    <row r="680">
      <c r="A680" s="1" t="s">
        <v>1256</v>
      </c>
      <c r="B680" s="1" t="s">
        <v>29</v>
      </c>
      <c r="C680" s="1" t="s">
        <v>30</v>
      </c>
      <c r="D680" s="1" t="s">
        <v>1259</v>
      </c>
      <c r="E680" s="1" t="s">
        <v>32</v>
      </c>
      <c r="F680" s="4">
        <v>46028.0</v>
      </c>
      <c r="H680" s="1" t="s">
        <v>33</v>
      </c>
      <c r="K680" s="1" t="s">
        <v>1258</v>
      </c>
      <c r="L680" s="1" t="s">
        <v>35</v>
      </c>
      <c r="N680" s="4">
        <v>46028.0</v>
      </c>
      <c r="O680" s="4">
        <v>46028.0</v>
      </c>
    </row>
    <row r="681">
      <c r="A681" s="1" t="s">
        <v>1256</v>
      </c>
      <c r="B681" s="1" t="s">
        <v>29</v>
      </c>
      <c r="C681" s="1" t="s">
        <v>30</v>
      </c>
      <c r="D681" s="1" t="s">
        <v>1260</v>
      </c>
      <c r="E681" s="1" t="s">
        <v>32</v>
      </c>
      <c r="F681" s="4">
        <v>46028.0</v>
      </c>
      <c r="H681" s="1" t="s">
        <v>33</v>
      </c>
      <c r="K681" s="1" t="s">
        <v>1258</v>
      </c>
      <c r="L681" s="1" t="s">
        <v>35</v>
      </c>
      <c r="N681" s="4">
        <v>46028.0</v>
      </c>
      <c r="O681" s="4">
        <v>46028.0</v>
      </c>
    </row>
    <row r="682">
      <c r="A682" s="1" t="s">
        <v>1256</v>
      </c>
      <c r="B682" s="1" t="s">
        <v>29</v>
      </c>
      <c r="C682" s="1" t="s">
        <v>30</v>
      </c>
      <c r="D682" s="1" t="s">
        <v>1261</v>
      </c>
      <c r="E682" s="1" t="s">
        <v>32</v>
      </c>
      <c r="F682" s="4">
        <v>46028.0</v>
      </c>
      <c r="H682" s="1" t="s">
        <v>33</v>
      </c>
      <c r="K682" s="1" t="s">
        <v>1258</v>
      </c>
      <c r="L682" s="1" t="s">
        <v>35</v>
      </c>
      <c r="N682" s="4">
        <v>46028.0</v>
      </c>
      <c r="O682" s="4">
        <v>46028.0</v>
      </c>
    </row>
    <row r="683">
      <c r="A683" s="1" t="s">
        <v>1256</v>
      </c>
      <c r="B683" s="1" t="s">
        <v>63</v>
      </c>
      <c r="C683" s="1" t="s">
        <v>64</v>
      </c>
      <c r="D683" s="1" t="s">
        <v>1262</v>
      </c>
      <c r="E683" s="1" t="s">
        <v>32</v>
      </c>
      <c r="F683" s="4">
        <v>46083.0</v>
      </c>
      <c r="H683" s="1" t="s">
        <v>33</v>
      </c>
      <c r="K683" s="1" t="s">
        <v>1258</v>
      </c>
      <c r="L683" s="1" t="s">
        <v>35</v>
      </c>
      <c r="N683" s="4">
        <v>46083.0</v>
      </c>
      <c r="O683" s="4">
        <v>46083.0</v>
      </c>
    </row>
    <row r="684">
      <c r="A684" s="1" t="s">
        <v>1256</v>
      </c>
      <c r="B684" s="1" t="s">
        <v>63</v>
      </c>
      <c r="C684" s="1" t="s">
        <v>64</v>
      </c>
      <c r="D684" s="1" t="s">
        <v>1263</v>
      </c>
      <c r="E684" s="1" t="s">
        <v>32</v>
      </c>
      <c r="F684" s="4">
        <v>46083.0</v>
      </c>
      <c r="H684" s="1" t="s">
        <v>33</v>
      </c>
      <c r="K684" s="1" t="s">
        <v>1258</v>
      </c>
      <c r="L684" s="1" t="s">
        <v>35</v>
      </c>
      <c r="N684" s="4">
        <v>46083.0</v>
      </c>
      <c r="O684" s="4">
        <v>46083.0</v>
      </c>
    </row>
    <row r="685">
      <c r="A685" s="1" t="s">
        <v>1256</v>
      </c>
      <c r="B685" s="1" t="s">
        <v>63</v>
      </c>
      <c r="C685" s="1" t="s">
        <v>64</v>
      </c>
      <c r="D685" s="1" t="s">
        <v>1264</v>
      </c>
      <c r="E685" s="1" t="s">
        <v>32</v>
      </c>
      <c r="F685" s="4">
        <v>46083.0</v>
      </c>
      <c r="H685" s="1" t="s">
        <v>33</v>
      </c>
      <c r="K685" s="1" t="s">
        <v>1258</v>
      </c>
      <c r="L685" s="1" t="s">
        <v>35</v>
      </c>
      <c r="N685" s="4">
        <v>46083.0</v>
      </c>
      <c r="O685" s="4">
        <v>46083.0</v>
      </c>
    </row>
    <row r="686">
      <c r="A686" s="1" t="s">
        <v>1256</v>
      </c>
      <c r="B686" s="1" t="s">
        <v>63</v>
      </c>
      <c r="C686" s="1" t="s">
        <v>64</v>
      </c>
      <c r="D686" s="1" t="s">
        <v>1265</v>
      </c>
      <c r="E686" s="1" t="s">
        <v>32</v>
      </c>
      <c r="F686" s="4">
        <v>46083.0</v>
      </c>
      <c r="H686" s="1" t="s">
        <v>33</v>
      </c>
      <c r="K686" s="1" t="s">
        <v>1258</v>
      </c>
      <c r="L686" s="1" t="s">
        <v>35</v>
      </c>
      <c r="N686" s="4">
        <v>46083.0</v>
      </c>
      <c r="O686" s="4">
        <v>46083.0</v>
      </c>
    </row>
    <row r="687">
      <c r="A687" s="1" t="s">
        <v>1256</v>
      </c>
      <c r="B687" s="1" t="s">
        <v>1146</v>
      </c>
      <c r="C687" s="1" t="s">
        <v>924</v>
      </c>
      <c r="D687" s="1" t="s">
        <v>1266</v>
      </c>
      <c r="E687" s="1" t="s">
        <v>32</v>
      </c>
      <c r="F687" s="4">
        <v>45964.0</v>
      </c>
      <c r="H687" s="1" t="s">
        <v>33</v>
      </c>
      <c r="K687" s="1" t="s">
        <v>1258</v>
      </c>
      <c r="L687" s="1" t="s">
        <v>35</v>
      </c>
      <c r="N687" s="4">
        <v>45964.0</v>
      </c>
      <c r="O687" s="4">
        <v>45964.0</v>
      </c>
    </row>
    <row r="688">
      <c r="A688" s="1" t="s">
        <v>1256</v>
      </c>
      <c r="B688" s="1" t="s">
        <v>1146</v>
      </c>
      <c r="C688" s="1" t="s">
        <v>924</v>
      </c>
      <c r="D688" s="1" t="s">
        <v>1267</v>
      </c>
      <c r="E688" s="1" t="s">
        <v>32</v>
      </c>
      <c r="F688" s="4">
        <v>45964.0</v>
      </c>
      <c r="H688" s="1" t="s">
        <v>33</v>
      </c>
      <c r="K688" s="1" t="s">
        <v>1258</v>
      </c>
      <c r="L688" s="1" t="s">
        <v>35</v>
      </c>
      <c r="N688" s="4">
        <v>45964.0</v>
      </c>
      <c r="O688" s="4">
        <v>45964.0</v>
      </c>
    </row>
    <row r="689">
      <c r="A689" s="1" t="s">
        <v>1256</v>
      </c>
      <c r="B689" s="1" t="s">
        <v>1146</v>
      </c>
      <c r="C689" s="1" t="s">
        <v>924</v>
      </c>
      <c r="D689" s="1" t="s">
        <v>1268</v>
      </c>
      <c r="E689" s="1" t="s">
        <v>32</v>
      </c>
      <c r="F689" s="4">
        <v>45964.0</v>
      </c>
      <c r="H689" s="1" t="s">
        <v>33</v>
      </c>
      <c r="K689" s="1" t="s">
        <v>1258</v>
      </c>
      <c r="L689" s="1" t="s">
        <v>35</v>
      </c>
      <c r="N689" s="4">
        <v>45964.0</v>
      </c>
      <c r="O689" s="4">
        <v>45964.0</v>
      </c>
    </row>
    <row r="690">
      <c r="A690" s="1" t="s">
        <v>1256</v>
      </c>
      <c r="B690" s="1" t="s">
        <v>980</v>
      </c>
      <c r="C690" s="1" t="s">
        <v>30</v>
      </c>
      <c r="D690" s="1" t="s">
        <v>1269</v>
      </c>
      <c r="E690" s="1" t="s">
        <v>32</v>
      </c>
      <c r="F690" s="8">
        <v>46309.0</v>
      </c>
      <c r="H690" s="1" t="s">
        <v>1270</v>
      </c>
      <c r="K690" s="1" t="s">
        <v>1258</v>
      </c>
      <c r="L690" s="1" t="s">
        <v>35</v>
      </c>
      <c r="N690" s="8">
        <v>46309.0</v>
      </c>
      <c r="O690" s="8">
        <v>46309.0</v>
      </c>
    </row>
    <row r="691">
      <c r="A691" s="1" t="s">
        <v>1256</v>
      </c>
      <c r="B691" s="1" t="s">
        <v>980</v>
      </c>
      <c r="C691" s="1" t="s">
        <v>30</v>
      </c>
      <c r="D691" s="1" t="s">
        <v>1271</v>
      </c>
      <c r="E691" s="1" t="s">
        <v>32</v>
      </c>
      <c r="F691" s="8">
        <v>46309.0</v>
      </c>
      <c r="H691" s="1" t="s">
        <v>1270</v>
      </c>
      <c r="K691" s="1" t="s">
        <v>1258</v>
      </c>
      <c r="L691" s="1" t="s">
        <v>35</v>
      </c>
      <c r="N691" s="8">
        <v>46309.0</v>
      </c>
      <c r="O691" s="8">
        <v>46309.0</v>
      </c>
    </row>
    <row r="692">
      <c r="A692" s="1" t="s">
        <v>1256</v>
      </c>
      <c r="B692" s="1" t="s">
        <v>980</v>
      </c>
      <c r="C692" s="1" t="s">
        <v>30</v>
      </c>
      <c r="D692" s="1" t="s">
        <v>1272</v>
      </c>
      <c r="E692" s="1" t="s">
        <v>32</v>
      </c>
      <c r="F692" s="8">
        <v>46309.0</v>
      </c>
      <c r="H692" s="1" t="s">
        <v>1270</v>
      </c>
      <c r="K692" s="1" t="s">
        <v>1258</v>
      </c>
      <c r="L692" s="1" t="s">
        <v>35</v>
      </c>
      <c r="N692" s="8">
        <v>46309.0</v>
      </c>
      <c r="O692" s="8">
        <v>46309.0</v>
      </c>
    </row>
    <row r="693">
      <c r="A693" s="1" t="s">
        <v>1256</v>
      </c>
      <c r="B693" s="1" t="s">
        <v>980</v>
      </c>
      <c r="C693" s="1" t="s">
        <v>30</v>
      </c>
      <c r="D693" s="1" t="s">
        <v>1273</v>
      </c>
      <c r="E693" s="1" t="s">
        <v>32</v>
      </c>
      <c r="F693" s="8">
        <v>46309.0</v>
      </c>
      <c r="H693" s="1" t="s">
        <v>1270</v>
      </c>
      <c r="K693" s="1" t="s">
        <v>1258</v>
      </c>
      <c r="L693" s="1" t="s">
        <v>35</v>
      </c>
      <c r="N693" s="8">
        <v>46309.0</v>
      </c>
      <c r="O693" s="8">
        <v>46309.0</v>
      </c>
    </row>
    <row r="694">
      <c r="A694" s="1" t="s">
        <v>1274</v>
      </c>
      <c r="B694" s="1" t="s">
        <v>980</v>
      </c>
      <c r="C694" s="1" t="s">
        <v>1275</v>
      </c>
      <c r="D694" s="1" t="s">
        <v>1276</v>
      </c>
      <c r="E694" s="1" t="s">
        <v>32</v>
      </c>
      <c r="F694" s="4">
        <v>46302.0</v>
      </c>
      <c r="H694" s="1" t="s">
        <v>1277</v>
      </c>
      <c r="K694" s="1" t="s">
        <v>366</v>
      </c>
      <c r="L694" s="1" t="s">
        <v>35</v>
      </c>
      <c r="N694" s="4">
        <v>46296.0</v>
      </c>
      <c r="O694" s="4">
        <v>46302.0</v>
      </c>
    </row>
    <row r="695">
      <c r="A695" s="1" t="s">
        <v>1274</v>
      </c>
      <c r="B695" s="1" t="s">
        <v>980</v>
      </c>
      <c r="C695" s="1" t="s">
        <v>1275</v>
      </c>
      <c r="D695" s="1" t="s">
        <v>1278</v>
      </c>
      <c r="E695" s="1" t="s">
        <v>32</v>
      </c>
      <c r="F695" s="4">
        <v>46302.0</v>
      </c>
      <c r="H695" s="1" t="s">
        <v>1277</v>
      </c>
      <c r="K695" s="1" t="s">
        <v>366</v>
      </c>
      <c r="L695" s="1" t="s">
        <v>35</v>
      </c>
      <c r="N695" s="4">
        <v>46296.0</v>
      </c>
      <c r="O695" s="4">
        <v>46302.0</v>
      </c>
    </row>
    <row r="696">
      <c r="A696" s="1" t="s">
        <v>1274</v>
      </c>
      <c r="B696" s="1" t="s">
        <v>980</v>
      </c>
      <c r="C696" s="1" t="s">
        <v>1275</v>
      </c>
      <c r="D696" s="1" t="s">
        <v>1279</v>
      </c>
      <c r="E696" s="1" t="s">
        <v>32</v>
      </c>
      <c r="F696" s="4">
        <v>46302.0</v>
      </c>
      <c r="H696" s="1" t="s">
        <v>1277</v>
      </c>
      <c r="K696" s="1" t="s">
        <v>366</v>
      </c>
      <c r="L696" s="1" t="s">
        <v>35</v>
      </c>
      <c r="N696" s="4">
        <v>46296.0</v>
      </c>
      <c r="O696" s="4">
        <v>46302.0</v>
      </c>
    </row>
    <row r="697">
      <c r="A697" s="1" t="s">
        <v>1274</v>
      </c>
      <c r="B697" s="1" t="s">
        <v>980</v>
      </c>
      <c r="C697" s="1" t="s">
        <v>1275</v>
      </c>
      <c r="D697" s="1" t="s">
        <v>1280</v>
      </c>
      <c r="E697" s="1" t="s">
        <v>32</v>
      </c>
      <c r="F697" s="4">
        <v>46302.0</v>
      </c>
      <c r="H697" s="1" t="s">
        <v>1277</v>
      </c>
      <c r="K697" s="1" t="s">
        <v>366</v>
      </c>
      <c r="L697" s="1" t="s">
        <v>35</v>
      </c>
      <c r="N697" s="4">
        <v>46296.0</v>
      </c>
      <c r="O697" s="4">
        <v>46302.0</v>
      </c>
    </row>
    <row r="698">
      <c r="A698" s="1" t="s">
        <v>1281</v>
      </c>
      <c r="B698" s="1" t="s">
        <v>980</v>
      </c>
      <c r="C698" s="1" t="s">
        <v>1275</v>
      </c>
      <c r="D698" s="1" t="s">
        <v>1282</v>
      </c>
      <c r="E698" s="1" t="s">
        <v>32</v>
      </c>
      <c r="F698" s="4">
        <v>46302.0</v>
      </c>
      <c r="H698" s="1" t="s">
        <v>1277</v>
      </c>
      <c r="K698" s="1" t="s">
        <v>366</v>
      </c>
      <c r="L698" s="1" t="s">
        <v>35</v>
      </c>
      <c r="N698" s="4">
        <v>46296.0</v>
      </c>
      <c r="O698" s="4">
        <v>46302.0</v>
      </c>
    </row>
    <row r="699">
      <c r="A699" s="1" t="s">
        <v>1281</v>
      </c>
      <c r="B699" s="1" t="s">
        <v>980</v>
      </c>
      <c r="C699" s="1" t="s">
        <v>1275</v>
      </c>
      <c r="D699" s="1" t="s">
        <v>1283</v>
      </c>
      <c r="E699" s="1" t="s">
        <v>32</v>
      </c>
      <c r="F699" s="4">
        <v>46302.0</v>
      </c>
      <c r="H699" s="1" t="s">
        <v>1277</v>
      </c>
      <c r="K699" s="1" t="s">
        <v>366</v>
      </c>
      <c r="L699" s="1" t="s">
        <v>35</v>
      </c>
      <c r="N699" s="4">
        <v>46296.0</v>
      </c>
      <c r="O699" s="4">
        <v>46302.0</v>
      </c>
    </row>
    <row r="700">
      <c r="A700" s="1" t="s">
        <v>1284</v>
      </c>
      <c r="B700" s="1" t="s">
        <v>269</v>
      </c>
      <c r="C700" s="1" t="s">
        <v>270</v>
      </c>
      <c r="D700" s="1" t="s">
        <v>1285</v>
      </c>
      <c r="E700" s="1" t="s">
        <v>70</v>
      </c>
      <c r="F700" s="8">
        <v>46316.0</v>
      </c>
      <c r="G700" s="1" t="s">
        <v>71</v>
      </c>
      <c r="K700" s="1" t="s">
        <v>1286</v>
      </c>
      <c r="L700" s="1" t="s">
        <v>99</v>
      </c>
      <c r="O700" s="4">
        <v>40909.0</v>
      </c>
    </row>
    <row r="701">
      <c r="A701" s="1" t="s">
        <v>1284</v>
      </c>
      <c r="B701" s="1" t="s">
        <v>288</v>
      </c>
      <c r="C701" s="1" t="s">
        <v>289</v>
      </c>
      <c r="D701" s="1" t="s">
        <v>1287</v>
      </c>
      <c r="E701" s="1" t="s">
        <v>97</v>
      </c>
      <c r="F701" s="8">
        <v>46309.0</v>
      </c>
      <c r="G701" s="1" t="s">
        <v>71</v>
      </c>
      <c r="H701" s="1" t="s">
        <v>1288</v>
      </c>
      <c r="K701" s="1" t="s">
        <v>1286</v>
      </c>
      <c r="L701" s="1" t="s">
        <v>99</v>
      </c>
      <c r="O701" s="8">
        <v>45280.0</v>
      </c>
    </row>
    <row r="702">
      <c r="A702" s="1" t="s">
        <v>1284</v>
      </c>
      <c r="B702" s="1" t="s">
        <v>255</v>
      </c>
      <c r="C702" s="1" t="s">
        <v>256</v>
      </c>
      <c r="D702" s="1" t="s">
        <v>1289</v>
      </c>
      <c r="E702" s="1" t="s">
        <v>97</v>
      </c>
      <c r="F702" s="8">
        <v>46310.0</v>
      </c>
      <c r="G702" s="1" t="s">
        <v>71</v>
      </c>
      <c r="H702" s="1" t="s">
        <v>396</v>
      </c>
      <c r="K702" s="1" t="s">
        <v>1286</v>
      </c>
      <c r="L702" s="1" t="s">
        <v>99</v>
      </c>
      <c r="O702" s="4">
        <v>40909.0</v>
      </c>
    </row>
    <row r="703">
      <c r="A703" s="1" t="s">
        <v>1284</v>
      </c>
      <c r="B703" s="1" t="s">
        <v>269</v>
      </c>
      <c r="C703" s="1" t="s">
        <v>270</v>
      </c>
      <c r="D703" s="1" t="s">
        <v>1290</v>
      </c>
      <c r="E703" s="1" t="s">
        <v>70</v>
      </c>
      <c r="F703" s="8">
        <v>46316.0</v>
      </c>
      <c r="G703" s="1" t="s">
        <v>71</v>
      </c>
      <c r="K703" s="1" t="s">
        <v>1286</v>
      </c>
      <c r="L703" s="1" t="s">
        <v>99</v>
      </c>
      <c r="O703" s="4">
        <v>40909.0</v>
      </c>
    </row>
    <row r="704">
      <c r="A704" s="1" t="s">
        <v>1284</v>
      </c>
      <c r="B704" s="1" t="s">
        <v>269</v>
      </c>
      <c r="C704" s="1" t="s">
        <v>270</v>
      </c>
      <c r="D704" s="1" t="s">
        <v>1291</v>
      </c>
      <c r="E704" s="1" t="s">
        <v>70</v>
      </c>
      <c r="F704" s="8">
        <v>46316.0</v>
      </c>
      <c r="G704" s="1" t="s">
        <v>132</v>
      </c>
      <c r="H704" s="1" t="s">
        <v>527</v>
      </c>
      <c r="J704" s="1" t="s">
        <v>134</v>
      </c>
      <c r="K704" s="1" t="s">
        <v>1286</v>
      </c>
      <c r="L704" s="1" t="s">
        <v>99</v>
      </c>
      <c r="O704" s="4">
        <v>40909.0</v>
      </c>
    </row>
    <row r="705">
      <c r="A705" s="1" t="s">
        <v>1284</v>
      </c>
      <c r="B705" s="1" t="s">
        <v>269</v>
      </c>
      <c r="C705" s="1" t="s">
        <v>270</v>
      </c>
      <c r="D705" s="1" t="s">
        <v>1292</v>
      </c>
      <c r="E705" s="1" t="s">
        <v>70</v>
      </c>
      <c r="F705" s="8">
        <v>46316.0</v>
      </c>
      <c r="G705" s="1" t="s">
        <v>132</v>
      </c>
      <c r="H705" s="1" t="s">
        <v>527</v>
      </c>
      <c r="J705" s="1" t="s">
        <v>134</v>
      </c>
      <c r="K705" s="1" t="s">
        <v>1286</v>
      </c>
      <c r="L705" s="1" t="s">
        <v>99</v>
      </c>
      <c r="O705" s="4">
        <v>40909.0</v>
      </c>
    </row>
    <row r="706">
      <c r="A706" s="1" t="s">
        <v>1284</v>
      </c>
      <c r="B706" s="1" t="s">
        <v>269</v>
      </c>
      <c r="C706" s="1" t="s">
        <v>270</v>
      </c>
      <c r="D706" s="1" t="s">
        <v>1293</v>
      </c>
      <c r="E706" s="1" t="s">
        <v>70</v>
      </c>
      <c r="F706" s="8">
        <v>46316.0</v>
      </c>
      <c r="G706" s="1" t="s">
        <v>132</v>
      </c>
      <c r="H706" s="1" t="s">
        <v>1294</v>
      </c>
      <c r="J706" s="1" t="s">
        <v>134</v>
      </c>
      <c r="K706" s="1" t="s">
        <v>1286</v>
      </c>
      <c r="L706" s="1" t="s">
        <v>99</v>
      </c>
      <c r="O706" s="4">
        <v>40909.0</v>
      </c>
    </row>
    <row r="707">
      <c r="A707" s="1" t="s">
        <v>1284</v>
      </c>
      <c r="B707" s="1" t="s">
        <v>269</v>
      </c>
      <c r="C707" s="1" t="s">
        <v>270</v>
      </c>
      <c r="D707" s="1" t="s">
        <v>1295</v>
      </c>
      <c r="E707" s="1" t="s">
        <v>70</v>
      </c>
      <c r="F707" s="8">
        <v>46316.0</v>
      </c>
      <c r="G707" s="1" t="s">
        <v>71</v>
      </c>
      <c r="K707" s="1" t="s">
        <v>1286</v>
      </c>
      <c r="L707" s="1" t="s">
        <v>99</v>
      </c>
      <c r="O707" s="4">
        <v>40909.0</v>
      </c>
    </row>
    <row r="708">
      <c r="A708" s="1" t="s">
        <v>1284</v>
      </c>
      <c r="B708" s="1" t="s">
        <v>288</v>
      </c>
      <c r="C708" s="1" t="s">
        <v>289</v>
      </c>
      <c r="D708" s="1" t="s">
        <v>1296</v>
      </c>
      <c r="E708" s="1" t="s">
        <v>97</v>
      </c>
      <c r="F708" s="8">
        <v>46309.0</v>
      </c>
      <c r="G708" s="1" t="s">
        <v>107</v>
      </c>
      <c r="H708" s="1" t="s">
        <v>1297</v>
      </c>
      <c r="J708" s="1" t="s">
        <v>47</v>
      </c>
      <c r="K708" s="1" t="s">
        <v>1286</v>
      </c>
      <c r="L708" s="1" t="s">
        <v>99</v>
      </c>
      <c r="O708" s="8">
        <v>45280.0</v>
      </c>
    </row>
    <row r="709">
      <c r="A709" s="1" t="s">
        <v>1284</v>
      </c>
      <c r="B709" s="1" t="s">
        <v>288</v>
      </c>
      <c r="C709" s="1" t="s">
        <v>289</v>
      </c>
      <c r="D709" s="1" t="s">
        <v>1298</v>
      </c>
      <c r="E709" s="1" t="s">
        <v>97</v>
      </c>
      <c r="F709" s="8">
        <v>46309.0</v>
      </c>
      <c r="G709" s="1" t="s">
        <v>107</v>
      </c>
      <c r="H709" s="1" t="s">
        <v>1297</v>
      </c>
      <c r="J709" s="1" t="s">
        <v>47</v>
      </c>
      <c r="K709" s="1" t="s">
        <v>1286</v>
      </c>
      <c r="L709" s="1" t="s">
        <v>99</v>
      </c>
      <c r="O709" s="8">
        <v>45280.0</v>
      </c>
    </row>
    <row r="710">
      <c r="A710" s="1" t="s">
        <v>1284</v>
      </c>
      <c r="B710" s="1" t="s">
        <v>288</v>
      </c>
      <c r="C710" s="1" t="s">
        <v>289</v>
      </c>
      <c r="D710" s="1" t="s">
        <v>1299</v>
      </c>
      <c r="E710" s="1" t="s">
        <v>97</v>
      </c>
      <c r="F710" s="8">
        <v>46309.0</v>
      </c>
      <c r="G710" s="1" t="s">
        <v>107</v>
      </c>
      <c r="H710" s="1" t="s">
        <v>1297</v>
      </c>
      <c r="J710" s="1" t="s">
        <v>47</v>
      </c>
      <c r="K710" s="1" t="s">
        <v>1286</v>
      </c>
      <c r="L710" s="1" t="s">
        <v>99</v>
      </c>
      <c r="O710" s="8">
        <v>45280.0</v>
      </c>
    </row>
    <row r="711">
      <c r="A711" s="1" t="s">
        <v>1284</v>
      </c>
      <c r="B711" s="1" t="s">
        <v>288</v>
      </c>
      <c r="C711" s="1" t="s">
        <v>289</v>
      </c>
      <c r="D711" s="1" t="s">
        <v>1300</v>
      </c>
      <c r="E711" s="1" t="s">
        <v>97</v>
      </c>
      <c r="F711" s="8">
        <v>46309.0</v>
      </c>
      <c r="G711" s="1" t="s">
        <v>71</v>
      </c>
      <c r="H711" s="1" t="s">
        <v>1288</v>
      </c>
      <c r="K711" s="1" t="s">
        <v>1286</v>
      </c>
      <c r="L711" s="1" t="s">
        <v>99</v>
      </c>
      <c r="O711" s="8">
        <v>45280.0</v>
      </c>
    </row>
    <row r="712">
      <c r="A712" s="1" t="s">
        <v>1284</v>
      </c>
      <c r="B712" s="1" t="s">
        <v>288</v>
      </c>
      <c r="C712" s="1" t="s">
        <v>289</v>
      </c>
      <c r="D712" s="1" t="s">
        <v>1301</v>
      </c>
      <c r="E712" s="1" t="s">
        <v>97</v>
      </c>
      <c r="F712" s="8">
        <v>46309.0</v>
      </c>
      <c r="G712" s="1" t="s">
        <v>71</v>
      </c>
      <c r="H712" s="1" t="s">
        <v>1288</v>
      </c>
      <c r="K712" s="1" t="s">
        <v>1286</v>
      </c>
      <c r="L712" s="1" t="s">
        <v>99</v>
      </c>
      <c r="O712" s="8">
        <v>45280.0</v>
      </c>
    </row>
    <row r="713">
      <c r="A713" s="1" t="s">
        <v>1284</v>
      </c>
      <c r="B713" s="1" t="s">
        <v>288</v>
      </c>
      <c r="C713" s="1" t="s">
        <v>289</v>
      </c>
      <c r="D713" s="1" t="s">
        <v>1302</v>
      </c>
      <c r="E713" s="1" t="s">
        <v>97</v>
      </c>
      <c r="F713" s="8">
        <v>46309.0</v>
      </c>
      <c r="G713" s="1" t="s">
        <v>71</v>
      </c>
      <c r="H713" s="1" t="s">
        <v>1288</v>
      </c>
      <c r="K713" s="1" t="s">
        <v>1286</v>
      </c>
      <c r="L713" s="1" t="s">
        <v>99</v>
      </c>
      <c r="O713" s="8">
        <v>45280.0</v>
      </c>
    </row>
    <row r="714">
      <c r="A714" s="1" t="s">
        <v>1284</v>
      </c>
      <c r="B714" s="1" t="s">
        <v>288</v>
      </c>
      <c r="C714" s="1" t="s">
        <v>289</v>
      </c>
      <c r="D714" s="1" t="s">
        <v>1303</v>
      </c>
      <c r="E714" s="1" t="s">
        <v>97</v>
      </c>
      <c r="F714" s="8">
        <v>46309.0</v>
      </c>
      <c r="G714" s="1" t="s">
        <v>71</v>
      </c>
      <c r="H714" s="1" t="s">
        <v>1288</v>
      </c>
      <c r="K714" s="1" t="s">
        <v>1286</v>
      </c>
      <c r="L714" s="1" t="s">
        <v>99</v>
      </c>
      <c r="O714" s="8">
        <v>45280.0</v>
      </c>
    </row>
    <row r="715">
      <c r="A715" s="1" t="s">
        <v>1284</v>
      </c>
      <c r="B715" s="1" t="s">
        <v>255</v>
      </c>
      <c r="C715" s="1" t="s">
        <v>256</v>
      </c>
      <c r="D715" s="1" t="s">
        <v>1304</v>
      </c>
      <c r="E715" s="1" t="s">
        <v>97</v>
      </c>
      <c r="F715" s="8">
        <v>46310.0</v>
      </c>
      <c r="G715" s="1" t="s">
        <v>71</v>
      </c>
      <c r="H715" s="1" t="s">
        <v>396</v>
      </c>
      <c r="K715" s="1" t="s">
        <v>1286</v>
      </c>
      <c r="L715" s="1" t="s">
        <v>99</v>
      </c>
      <c r="O715" s="4">
        <v>40909.0</v>
      </c>
    </row>
    <row r="716">
      <c r="A716" s="1" t="s">
        <v>1284</v>
      </c>
      <c r="B716" s="1" t="s">
        <v>255</v>
      </c>
      <c r="C716" s="1" t="s">
        <v>256</v>
      </c>
      <c r="D716" s="1" t="s">
        <v>1305</v>
      </c>
      <c r="E716" s="1" t="s">
        <v>97</v>
      </c>
      <c r="F716" s="8">
        <v>46310.0</v>
      </c>
      <c r="G716" s="1" t="s">
        <v>71</v>
      </c>
      <c r="H716" s="1" t="s">
        <v>396</v>
      </c>
      <c r="K716" s="1" t="s">
        <v>1286</v>
      </c>
      <c r="L716" s="1" t="s">
        <v>99</v>
      </c>
      <c r="O716" s="4">
        <v>40909.0</v>
      </c>
    </row>
    <row r="717">
      <c r="A717" s="1" t="s">
        <v>1284</v>
      </c>
      <c r="B717" s="1" t="s">
        <v>255</v>
      </c>
      <c r="C717" s="1" t="s">
        <v>256</v>
      </c>
      <c r="D717" s="1" t="s">
        <v>1306</v>
      </c>
      <c r="E717" s="1" t="s">
        <v>97</v>
      </c>
      <c r="F717" s="8">
        <v>46310.0</v>
      </c>
      <c r="G717" s="1" t="s">
        <v>71</v>
      </c>
      <c r="H717" s="1" t="s">
        <v>396</v>
      </c>
      <c r="K717" s="1" t="s">
        <v>1286</v>
      </c>
      <c r="L717" s="1" t="s">
        <v>99</v>
      </c>
      <c r="O717" s="4">
        <v>40909.0</v>
      </c>
    </row>
    <row r="718">
      <c r="A718" s="1" t="s">
        <v>1284</v>
      </c>
      <c r="B718" s="1" t="s">
        <v>255</v>
      </c>
      <c r="C718" s="1" t="s">
        <v>256</v>
      </c>
      <c r="D718" s="1" t="s">
        <v>1307</v>
      </c>
      <c r="E718" s="1" t="s">
        <v>97</v>
      </c>
      <c r="F718" s="8">
        <v>46310.0</v>
      </c>
      <c r="G718" s="1" t="s">
        <v>71</v>
      </c>
      <c r="H718" s="1" t="s">
        <v>396</v>
      </c>
      <c r="K718" s="1" t="s">
        <v>1286</v>
      </c>
      <c r="L718" s="1" t="s">
        <v>99</v>
      </c>
      <c r="O718" s="4">
        <v>40909.0</v>
      </c>
    </row>
    <row r="719">
      <c r="A719" s="1" t="s">
        <v>1284</v>
      </c>
      <c r="B719" s="1" t="s">
        <v>255</v>
      </c>
      <c r="C719" s="1" t="s">
        <v>256</v>
      </c>
      <c r="D719" s="1" t="s">
        <v>1308</v>
      </c>
      <c r="E719" s="1" t="s">
        <v>97</v>
      </c>
      <c r="F719" s="8">
        <v>46310.0</v>
      </c>
      <c r="G719" s="1" t="s">
        <v>71</v>
      </c>
      <c r="H719" s="1" t="s">
        <v>396</v>
      </c>
      <c r="K719" s="1" t="s">
        <v>1286</v>
      </c>
      <c r="L719" s="1" t="s">
        <v>99</v>
      </c>
      <c r="O719" s="4">
        <v>40909.0</v>
      </c>
    </row>
    <row r="720">
      <c r="A720" s="1" t="s">
        <v>1309</v>
      </c>
      <c r="B720" s="1" t="s">
        <v>63</v>
      </c>
      <c r="C720" s="1" t="s">
        <v>64</v>
      </c>
      <c r="D720" s="1" t="s">
        <v>1310</v>
      </c>
      <c r="E720" s="1" t="s">
        <v>32</v>
      </c>
      <c r="F720" s="4">
        <v>46297.0</v>
      </c>
      <c r="H720" s="1" t="s">
        <v>33</v>
      </c>
      <c r="K720" s="1" t="s">
        <v>380</v>
      </c>
      <c r="L720" s="1" t="s">
        <v>35</v>
      </c>
      <c r="N720" s="4">
        <v>46297.0</v>
      </c>
      <c r="O720" s="4">
        <v>46297.0</v>
      </c>
    </row>
    <row r="721">
      <c r="A721" s="1" t="s">
        <v>1309</v>
      </c>
      <c r="B721" s="1" t="s">
        <v>63</v>
      </c>
      <c r="C721" s="1" t="s">
        <v>64</v>
      </c>
      <c r="D721" s="1" t="s">
        <v>1311</v>
      </c>
      <c r="E721" s="1" t="s">
        <v>32</v>
      </c>
      <c r="F721" s="4">
        <v>46297.0</v>
      </c>
      <c r="H721" s="1" t="s">
        <v>33</v>
      </c>
      <c r="K721" s="1" t="s">
        <v>380</v>
      </c>
      <c r="L721" s="1" t="s">
        <v>35</v>
      </c>
      <c r="N721" s="4">
        <v>46297.0</v>
      </c>
      <c r="O721" s="4">
        <v>46297.0</v>
      </c>
    </row>
    <row r="722">
      <c r="A722" s="1" t="s">
        <v>1309</v>
      </c>
      <c r="B722" s="1" t="s">
        <v>63</v>
      </c>
      <c r="C722" s="1" t="s">
        <v>64</v>
      </c>
      <c r="D722" s="1" t="s">
        <v>1312</v>
      </c>
      <c r="E722" s="1" t="s">
        <v>32</v>
      </c>
      <c r="F722" s="4">
        <v>46297.0</v>
      </c>
      <c r="H722" s="1" t="s">
        <v>33</v>
      </c>
      <c r="K722" s="1" t="s">
        <v>380</v>
      </c>
      <c r="L722" s="1" t="s">
        <v>35</v>
      </c>
      <c r="N722" s="4">
        <v>46297.0</v>
      </c>
      <c r="O722" s="4">
        <v>46297.0</v>
      </c>
    </row>
    <row r="723">
      <c r="A723" s="1" t="s">
        <v>1313</v>
      </c>
      <c r="B723" s="1" t="s">
        <v>74</v>
      </c>
      <c r="C723" s="1" t="s">
        <v>1314</v>
      </c>
      <c r="D723" s="1" t="s">
        <v>1315</v>
      </c>
      <c r="E723" s="1" t="s">
        <v>97</v>
      </c>
      <c r="F723" s="4">
        <v>46266.0</v>
      </c>
      <c r="G723" s="1" t="s">
        <v>107</v>
      </c>
      <c r="H723" s="1" t="s">
        <v>1316</v>
      </c>
      <c r="J723" s="1" t="s">
        <v>1317</v>
      </c>
      <c r="K723" s="1" t="s">
        <v>1318</v>
      </c>
      <c r="L723" s="1" t="s">
        <v>99</v>
      </c>
      <c r="O723" s="4">
        <v>44776.0</v>
      </c>
    </row>
    <row r="724">
      <c r="A724" s="1" t="s">
        <v>1313</v>
      </c>
      <c r="B724" s="1" t="s">
        <v>74</v>
      </c>
      <c r="C724" s="1" t="s">
        <v>1314</v>
      </c>
      <c r="D724" s="1" t="s">
        <v>1319</v>
      </c>
      <c r="E724" s="1" t="s">
        <v>97</v>
      </c>
      <c r="F724" s="4">
        <v>46266.0</v>
      </c>
      <c r="G724" s="1" t="s">
        <v>107</v>
      </c>
      <c r="H724" s="1" t="s">
        <v>1316</v>
      </c>
      <c r="J724" s="1" t="s">
        <v>1317</v>
      </c>
      <c r="K724" s="1" t="s">
        <v>1318</v>
      </c>
      <c r="L724" s="1" t="s">
        <v>99</v>
      </c>
      <c r="O724" s="4">
        <v>44776.0</v>
      </c>
    </row>
    <row r="725">
      <c r="A725" s="1" t="s">
        <v>1313</v>
      </c>
      <c r="B725" s="1" t="s">
        <v>1320</v>
      </c>
      <c r="C725" s="1" t="s">
        <v>1321</v>
      </c>
      <c r="D725" s="1" t="s">
        <v>1322</v>
      </c>
      <c r="E725" s="1" t="s">
        <v>97</v>
      </c>
      <c r="F725" s="4">
        <v>46280.0</v>
      </c>
      <c r="G725" s="1" t="s">
        <v>71</v>
      </c>
      <c r="K725" s="1" t="s">
        <v>1318</v>
      </c>
      <c r="L725" s="1" t="s">
        <v>99</v>
      </c>
      <c r="O725" s="4">
        <v>44776.0</v>
      </c>
    </row>
    <row r="726">
      <c r="A726" s="1" t="s">
        <v>1313</v>
      </c>
      <c r="B726" s="1" t="s">
        <v>1320</v>
      </c>
      <c r="C726" s="1" t="s">
        <v>1321</v>
      </c>
      <c r="D726" s="1" t="s">
        <v>1323</v>
      </c>
      <c r="E726" s="1" t="s">
        <v>97</v>
      </c>
      <c r="F726" s="4">
        <v>46280.0</v>
      </c>
      <c r="G726" s="1" t="s">
        <v>71</v>
      </c>
      <c r="K726" s="1" t="s">
        <v>1318</v>
      </c>
      <c r="L726" s="1" t="s">
        <v>99</v>
      </c>
      <c r="O726" s="4">
        <v>44776.0</v>
      </c>
    </row>
    <row r="727">
      <c r="A727" s="1" t="s">
        <v>1313</v>
      </c>
      <c r="B727" s="1" t="s">
        <v>1320</v>
      </c>
      <c r="C727" s="1" t="s">
        <v>1321</v>
      </c>
      <c r="D727" s="1" t="s">
        <v>1324</v>
      </c>
      <c r="E727" s="1" t="s">
        <v>97</v>
      </c>
      <c r="F727" s="4">
        <v>46280.0</v>
      </c>
      <c r="G727" s="1" t="s">
        <v>71</v>
      </c>
      <c r="K727" s="1" t="s">
        <v>1325</v>
      </c>
      <c r="L727" s="1" t="s">
        <v>99</v>
      </c>
      <c r="O727" s="4">
        <v>44776.0</v>
      </c>
    </row>
    <row r="728">
      <c r="A728" s="1" t="s">
        <v>1313</v>
      </c>
      <c r="B728" s="1" t="s">
        <v>1320</v>
      </c>
      <c r="C728" s="1" t="s">
        <v>1321</v>
      </c>
      <c r="D728" s="1" t="s">
        <v>1326</v>
      </c>
      <c r="E728" s="1" t="s">
        <v>97</v>
      </c>
      <c r="F728" s="4">
        <v>46280.0</v>
      </c>
      <c r="G728" s="1" t="s">
        <v>71</v>
      </c>
      <c r="K728" s="1" t="s">
        <v>1318</v>
      </c>
      <c r="L728" s="1" t="s">
        <v>99</v>
      </c>
      <c r="O728" s="4">
        <v>44776.0</v>
      </c>
    </row>
    <row r="729">
      <c r="A729" s="1" t="s">
        <v>1327</v>
      </c>
      <c r="B729" s="1" t="s">
        <v>1328</v>
      </c>
      <c r="C729" s="1" t="s">
        <v>1329</v>
      </c>
      <c r="D729" s="1" t="s">
        <v>1330</v>
      </c>
      <c r="E729" s="1" t="s">
        <v>32</v>
      </c>
      <c r="F729" s="4">
        <v>46230.0</v>
      </c>
      <c r="H729" s="1" t="s">
        <v>1331</v>
      </c>
      <c r="K729" s="1" t="s">
        <v>377</v>
      </c>
      <c r="L729" s="1" t="s">
        <v>35</v>
      </c>
      <c r="N729" s="4">
        <v>46230.0</v>
      </c>
      <c r="O729" s="4">
        <v>46230.0</v>
      </c>
    </row>
    <row r="730">
      <c r="A730" s="1" t="s">
        <v>1327</v>
      </c>
      <c r="B730" s="1" t="s">
        <v>1328</v>
      </c>
      <c r="C730" s="1" t="s">
        <v>1329</v>
      </c>
      <c r="D730" s="1" t="s">
        <v>1332</v>
      </c>
      <c r="E730" s="1" t="s">
        <v>32</v>
      </c>
      <c r="F730" s="4">
        <v>46230.0</v>
      </c>
      <c r="H730" s="1" t="s">
        <v>1331</v>
      </c>
      <c r="K730" s="1" t="s">
        <v>377</v>
      </c>
      <c r="L730" s="1" t="s">
        <v>35</v>
      </c>
      <c r="N730" s="4">
        <v>46230.0</v>
      </c>
      <c r="O730" s="4">
        <v>46230.0</v>
      </c>
    </row>
    <row r="731">
      <c r="A731" s="1" t="s">
        <v>1327</v>
      </c>
      <c r="B731" s="1" t="s">
        <v>1328</v>
      </c>
      <c r="C731" s="1" t="s">
        <v>1329</v>
      </c>
      <c r="D731" s="1" t="s">
        <v>1333</v>
      </c>
      <c r="E731" s="1" t="s">
        <v>32</v>
      </c>
      <c r="F731" s="4">
        <v>46230.0</v>
      </c>
      <c r="H731" s="1" t="s">
        <v>1331</v>
      </c>
      <c r="K731" s="1" t="s">
        <v>377</v>
      </c>
      <c r="L731" s="1" t="s">
        <v>35</v>
      </c>
      <c r="N731" s="4">
        <v>46230.0</v>
      </c>
      <c r="O731" s="4">
        <v>46230.0</v>
      </c>
    </row>
    <row r="732">
      <c r="A732" s="1" t="s">
        <v>1334</v>
      </c>
      <c r="B732" s="1" t="s">
        <v>53</v>
      </c>
      <c r="C732" s="1" t="s">
        <v>54</v>
      </c>
      <c r="D732" s="1" t="s">
        <v>1335</v>
      </c>
      <c r="E732" s="1" t="s">
        <v>32</v>
      </c>
      <c r="F732" s="4">
        <v>46049.0</v>
      </c>
      <c r="H732" s="1" t="s">
        <v>33</v>
      </c>
      <c r="K732" s="1" t="s">
        <v>366</v>
      </c>
      <c r="L732" s="1" t="s">
        <v>35</v>
      </c>
      <c r="N732" s="4">
        <v>46049.0</v>
      </c>
      <c r="O732" s="4">
        <v>46049.0</v>
      </c>
    </row>
    <row r="733">
      <c r="A733" s="1" t="s">
        <v>1334</v>
      </c>
      <c r="B733" s="1" t="s">
        <v>53</v>
      </c>
      <c r="C733" s="1" t="s">
        <v>54</v>
      </c>
      <c r="D733" s="1" t="s">
        <v>1336</v>
      </c>
      <c r="E733" s="1" t="s">
        <v>32</v>
      </c>
      <c r="F733" s="4">
        <v>46049.0</v>
      </c>
      <c r="H733" s="1" t="s">
        <v>33</v>
      </c>
      <c r="K733" s="1" t="s">
        <v>366</v>
      </c>
      <c r="L733" s="1" t="s">
        <v>35</v>
      </c>
      <c r="N733" s="4">
        <v>46049.0</v>
      </c>
      <c r="O733" s="4">
        <v>46049.0</v>
      </c>
    </row>
    <row r="734">
      <c r="A734" s="1" t="s">
        <v>1334</v>
      </c>
      <c r="B734" s="1" t="s">
        <v>53</v>
      </c>
      <c r="C734" s="1" t="s">
        <v>54</v>
      </c>
      <c r="D734" s="1" t="s">
        <v>1337</v>
      </c>
      <c r="E734" s="1" t="s">
        <v>32</v>
      </c>
      <c r="F734" s="4">
        <v>46049.0</v>
      </c>
      <c r="H734" s="1" t="s">
        <v>33</v>
      </c>
      <c r="K734" s="1" t="s">
        <v>366</v>
      </c>
      <c r="L734" s="1" t="s">
        <v>35</v>
      </c>
      <c r="N734" s="4">
        <v>46049.0</v>
      </c>
      <c r="O734" s="4">
        <v>46049.0</v>
      </c>
    </row>
    <row r="735">
      <c r="A735" s="1" t="s">
        <v>1338</v>
      </c>
      <c r="B735" s="1" t="s">
        <v>255</v>
      </c>
      <c r="C735" s="1" t="s">
        <v>256</v>
      </c>
      <c r="D735" s="1" t="s">
        <v>1339</v>
      </c>
      <c r="E735" s="1" t="s">
        <v>32</v>
      </c>
      <c r="F735" s="4">
        <v>46120.0</v>
      </c>
      <c r="H735" s="1" t="s">
        <v>33</v>
      </c>
      <c r="K735" s="1" t="s">
        <v>98</v>
      </c>
      <c r="L735" s="1" t="s">
        <v>35</v>
      </c>
      <c r="N735" s="4">
        <v>46120.0</v>
      </c>
      <c r="O735" s="4">
        <v>46120.0</v>
      </c>
    </row>
    <row r="736">
      <c r="A736" s="1" t="s">
        <v>1340</v>
      </c>
      <c r="B736" s="1" t="s">
        <v>29</v>
      </c>
      <c r="C736" s="1" t="s">
        <v>30</v>
      </c>
      <c r="D736" s="1" t="s">
        <v>1341</v>
      </c>
      <c r="E736" s="1" t="s">
        <v>32</v>
      </c>
      <c r="F736" s="4">
        <v>46077.0</v>
      </c>
      <c r="H736" s="1" t="s">
        <v>242</v>
      </c>
      <c r="K736" s="1" t="s">
        <v>367</v>
      </c>
      <c r="L736" s="1" t="s">
        <v>35</v>
      </c>
      <c r="N736" s="4">
        <v>46077.0</v>
      </c>
      <c r="O736" s="4">
        <v>46077.0</v>
      </c>
    </row>
    <row r="737">
      <c r="A737" s="1" t="s">
        <v>1340</v>
      </c>
      <c r="B737" s="1" t="s">
        <v>29</v>
      </c>
      <c r="C737" s="1" t="s">
        <v>30</v>
      </c>
      <c r="D737" s="1" t="s">
        <v>1342</v>
      </c>
      <c r="E737" s="1" t="s">
        <v>32</v>
      </c>
      <c r="F737" s="8">
        <v>45973.0</v>
      </c>
      <c r="H737" s="1" t="s">
        <v>242</v>
      </c>
      <c r="K737" s="1" t="s">
        <v>367</v>
      </c>
      <c r="L737" s="1" t="s">
        <v>35</v>
      </c>
      <c r="N737" s="8">
        <v>45973.0</v>
      </c>
      <c r="O737" s="8">
        <v>45973.0</v>
      </c>
    </row>
    <row r="738">
      <c r="A738" s="1" t="s">
        <v>1343</v>
      </c>
      <c r="B738" s="1" t="s">
        <v>255</v>
      </c>
      <c r="C738" s="1" t="s">
        <v>256</v>
      </c>
      <c r="D738" s="1" t="s">
        <v>1344</v>
      </c>
      <c r="E738" s="1" t="s">
        <v>32</v>
      </c>
      <c r="F738" s="4">
        <v>46248.0</v>
      </c>
      <c r="H738" s="1" t="s">
        <v>33</v>
      </c>
      <c r="K738" s="1" t="s">
        <v>254</v>
      </c>
      <c r="L738" s="1" t="s">
        <v>35</v>
      </c>
      <c r="N738" s="4">
        <v>46248.0</v>
      </c>
      <c r="O738" s="4">
        <v>46248.0</v>
      </c>
    </row>
    <row r="739">
      <c r="A739" s="1" t="s">
        <v>1345</v>
      </c>
      <c r="B739" s="1" t="s">
        <v>692</v>
      </c>
      <c r="C739" s="1" t="s">
        <v>1346</v>
      </c>
      <c r="D739" s="1" t="s">
        <v>1347</v>
      </c>
      <c r="E739" s="1" t="s">
        <v>32</v>
      </c>
      <c r="F739" s="4">
        <v>46140.0</v>
      </c>
      <c r="H739" s="1" t="s">
        <v>1348</v>
      </c>
      <c r="K739" s="1" t="s">
        <v>366</v>
      </c>
      <c r="L739" s="1" t="s">
        <v>35</v>
      </c>
      <c r="N739" s="4">
        <v>46140.0</v>
      </c>
      <c r="O739" s="4">
        <v>46140.0</v>
      </c>
    </row>
    <row r="740">
      <c r="A740" s="1" t="s">
        <v>1345</v>
      </c>
      <c r="B740" s="1" t="s">
        <v>692</v>
      </c>
      <c r="C740" s="1" t="s">
        <v>1346</v>
      </c>
      <c r="D740" s="1" t="s">
        <v>1349</v>
      </c>
      <c r="E740" s="1" t="s">
        <v>32</v>
      </c>
      <c r="F740" s="4">
        <v>46140.0</v>
      </c>
      <c r="H740" s="1" t="s">
        <v>1348</v>
      </c>
      <c r="K740" s="1" t="s">
        <v>366</v>
      </c>
      <c r="L740" s="1" t="s">
        <v>35</v>
      </c>
      <c r="N740" s="4">
        <v>46140.0</v>
      </c>
      <c r="O740" s="4">
        <v>46140.0</v>
      </c>
    </row>
    <row r="741">
      <c r="A741" s="1" t="s">
        <v>1345</v>
      </c>
      <c r="B741" s="1" t="s">
        <v>692</v>
      </c>
      <c r="C741" s="1" t="s">
        <v>375</v>
      </c>
      <c r="D741" s="1" t="s">
        <v>1350</v>
      </c>
      <c r="E741" s="1" t="s">
        <v>32</v>
      </c>
      <c r="F741" s="4">
        <v>46140.0</v>
      </c>
      <c r="H741" s="1" t="s">
        <v>1348</v>
      </c>
      <c r="K741" s="1" t="s">
        <v>366</v>
      </c>
      <c r="L741" s="1" t="s">
        <v>35</v>
      </c>
      <c r="N741" s="4">
        <v>46140.0</v>
      </c>
      <c r="O741" s="4">
        <v>46140.0</v>
      </c>
    </row>
    <row r="742">
      <c r="A742" s="1" t="s">
        <v>1345</v>
      </c>
      <c r="B742" s="1" t="s">
        <v>291</v>
      </c>
      <c r="C742" s="1" t="s">
        <v>902</v>
      </c>
      <c r="D742" s="1" t="s">
        <v>1351</v>
      </c>
      <c r="E742" s="1" t="s">
        <v>97</v>
      </c>
      <c r="F742" s="8">
        <v>46312.0</v>
      </c>
      <c r="G742" s="1" t="s">
        <v>107</v>
      </c>
      <c r="H742" s="1" t="s">
        <v>690</v>
      </c>
      <c r="J742" s="1" t="s">
        <v>295</v>
      </c>
      <c r="K742" s="1" t="s">
        <v>366</v>
      </c>
      <c r="L742" s="1" t="s">
        <v>99</v>
      </c>
      <c r="O742" s="4">
        <v>43928.0</v>
      </c>
    </row>
    <row r="743">
      <c r="A743" s="1" t="s">
        <v>1345</v>
      </c>
      <c r="B743" s="1" t="s">
        <v>291</v>
      </c>
      <c r="C743" s="1" t="s">
        <v>902</v>
      </c>
      <c r="D743" s="1" t="s">
        <v>1352</v>
      </c>
      <c r="E743" s="1" t="s">
        <v>97</v>
      </c>
      <c r="F743" s="8">
        <v>46312.0</v>
      </c>
      <c r="G743" s="1" t="s">
        <v>107</v>
      </c>
      <c r="H743" s="1" t="s">
        <v>690</v>
      </c>
      <c r="J743" s="1" t="s">
        <v>295</v>
      </c>
      <c r="K743" s="1" t="s">
        <v>366</v>
      </c>
      <c r="L743" s="1" t="s">
        <v>99</v>
      </c>
      <c r="O743" s="4">
        <v>43928.0</v>
      </c>
    </row>
    <row r="744">
      <c r="A744" s="1" t="s">
        <v>1345</v>
      </c>
      <c r="B744" s="1" t="s">
        <v>291</v>
      </c>
      <c r="C744" s="1" t="s">
        <v>902</v>
      </c>
      <c r="D744" s="1" t="s">
        <v>1353</v>
      </c>
      <c r="E744" s="1" t="s">
        <v>97</v>
      </c>
      <c r="F744" s="8">
        <v>46312.0</v>
      </c>
      <c r="G744" s="1" t="s">
        <v>107</v>
      </c>
      <c r="H744" s="1" t="s">
        <v>690</v>
      </c>
      <c r="J744" s="1" t="s">
        <v>295</v>
      </c>
      <c r="K744" s="1" t="s">
        <v>366</v>
      </c>
      <c r="L744" s="1" t="s">
        <v>99</v>
      </c>
      <c r="O744" s="4">
        <v>43928.0</v>
      </c>
    </row>
    <row r="745">
      <c r="A745" s="1" t="s">
        <v>1345</v>
      </c>
      <c r="B745" s="1" t="s">
        <v>269</v>
      </c>
      <c r="C745" s="1" t="s">
        <v>270</v>
      </c>
      <c r="D745" s="1" t="s">
        <v>1354</v>
      </c>
      <c r="E745" s="1" t="s">
        <v>70</v>
      </c>
      <c r="F745" s="4">
        <v>46303.0</v>
      </c>
      <c r="G745" s="1" t="s">
        <v>107</v>
      </c>
      <c r="H745" s="1" t="s">
        <v>781</v>
      </c>
      <c r="J745" s="1" t="s">
        <v>47</v>
      </c>
      <c r="K745" s="1" t="s">
        <v>366</v>
      </c>
      <c r="L745" s="1" t="s">
        <v>99</v>
      </c>
      <c r="O745" s="4">
        <v>43928.0</v>
      </c>
    </row>
    <row r="746">
      <c r="A746" s="1" t="s">
        <v>1345</v>
      </c>
      <c r="B746" s="1" t="s">
        <v>328</v>
      </c>
      <c r="C746" s="1" t="s">
        <v>329</v>
      </c>
      <c r="D746" s="1" t="s">
        <v>1355</v>
      </c>
      <c r="E746" s="1" t="s">
        <v>97</v>
      </c>
      <c r="F746" s="4">
        <v>46261.0</v>
      </c>
      <c r="G746" s="1" t="s">
        <v>71</v>
      </c>
      <c r="H746" s="1" t="s">
        <v>396</v>
      </c>
      <c r="K746" s="1" t="s">
        <v>366</v>
      </c>
      <c r="L746" s="1" t="s">
        <v>99</v>
      </c>
      <c r="O746" s="4">
        <v>43928.0</v>
      </c>
    </row>
    <row r="747">
      <c r="A747" s="1" t="s">
        <v>1345</v>
      </c>
      <c r="B747" s="1" t="s">
        <v>328</v>
      </c>
      <c r="C747" s="1" t="s">
        <v>329</v>
      </c>
      <c r="D747" s="1" t="s">
        <v>1356</v>
      </c>
      <c r="E747" s="1" t="s">
        <v>97</v>
      </c>
      <c r="F747" s="4">
        <v>46261.0</v>
      </c>
      <c r="G747" s="1" t="s">
        <v>71</v>
      </c>
      <c r="H747" s="1" t="s">
        <v>396</v>
      </c>
      <c r="K747" s="1" t="s">
        <v>366</v>
      </c>
      <c r="L747" s="1" t="s">
        <v>99</v>
      </c>
      <c r="O747" s="4">
        <v>43928.0</v>
      </c>
    </row>
    <row r="748">
      <c r="A748" s="1" t="s">
        <v>1345</v>
      </c>
      <c r="B748" s="1" t="s">
        <v>328</v>
      </c>
      <c r="C748" s="1" t="s">
        <v>329</v>
      </c>
      <c r="D748" s="1" t="s">
        <v>1357</v>
      </c>
      <c r="E748" s="1" t="s">
        <v>97</v>
      </c>
      <c r="F748" s="4">
        <v>46261.0</v>
      </c>
      <c r="G748" s="1" t="s">
        <v>71</v>
      </c>
      <c r="H748" s="1" t="s">
        <v>396</v>
      </c>
      <c r="K748" s="1" t="s">
        <v>366</v>
      </c>
      <c r="L748" s="1" t="s">
        <v>99</v>
      </c>
      <c r="O748" s="4">
        <v>43928.0</v>
      </c>
    </row>
    <row r="749">
      <c r="A749" s="1" t="s">
        <v>1345</v>
      </c>
      <c r="B749" s="1" t="s">
        <v>692</v>
      </c>
      <c r="C749" s="1" t="s">
        <v>375</v>
      </c>
      <c r="D749" s="1" t="s">
        <v>1347</v>
      </c>
      <c r="E749" s="1" t="s">
        <v>97</v>
      </c>
      <c r="F749" s="8">
        <v>46316.0</v>
      </c>
      <c r="G749" s="1" t="s">
        <v>107</v>
      </c>
      <c r="H749" s="1" t="s">
        <v>1358</v>
      </c>
      <c r="J749" s="1" t="s">
        <v>33</v>
      </c>
      <c r="K749" s="1" t="s">
        <v>366</v>
      </c>
      <c r="L749" s="1" t="s">
        <v>99</v>
      </c>
      <c r="O749" s="4">
        <v>43928.0</v>
      </c>
      <c r="T749" s="19" t="s">
        <v>1359</v>
      </c>
    </row>
    <row r="750">
      <c r="A750" s="1" t="s">
        <v>1345</v>
      </c>
      <c r="B750" s="1" t="s">
        <v>692</v>
      </c>
      <c r="C750" s="1" t="s">
        <v>375</v>
      </c>
      <c r="D750" s="1" t="s">
        <v>1349</v>
      </c>
      <c r="E750" s="1" t="s">
        <v>97</v>
      </c>
      <c r="F750" s="8">
        <v>46316.0</v>
      </c>
      <c r="G750" s="1" t="s">
        <v>107</v>
      </c>
      <c r="H750" s="1" t="s">
        <v>1358</v>
      </c>
      <c r="J750" s="1" t="s">
        <v>33</v>
      </c>
      <c r="K750" s="1" t="s">
        <v>366</v>
      </c>
      <c r="L750" s="1" t="s">
        <v>99</v>
      </c>
      <c r="O750" s="4">
        <v>43928.0</v>
      </c>
      <c r="T750" s="19" t="s">
        <v>1359</v>
      </c>
    </row>
    <row r="751">
      <c r="A751" s="1" t="s">
        <v>1345</v>
      </c>
      <c r="B751" s="1" t="s">
        <v>692</v>
      </c>
      <c r="C751" s="1" t="s">
        <v>1360</v>
      </c>
      <c r="D751" s="1" t="s">
        <v>1350</v>
      </c>
      <c r="E751" s="1" t="s">
        <v>97</v>
      </c>
      <c r="F751" s="8">
        <v>46316.0</v>
      </c>
      <c r="G751" s="1" t="s">
        <v>107</v>
      </c>
      <c r="H751" s="1" t="s">
        <v>1358</v>
      </c>
      <c r="J751" s="1" t="s">
        <v>33</v>
      </c>
      <c r="K751" s="1" t="s">
        <v>366</v>
      </c>
      <c r="L751" s="1" t="s">
        <v>99</v>
      </c>
      <c r="O751" s="4">
        <v>43928.0</v>
      </c>
      <c r="T751" s="19" t="s">
        <v>1359</v>
      </c>
    </row>
    <row r="752">
      <c r="A752" s="1" t="s">
        <v>1345</v>
      </c>
      <c r="B752" s="1" t="s">
        <v>255</v>
      </c>
      <c r="C752" s="1" t="s">
        <v>256</v>
      </c>
      <c r="D752" s="1" t="s">
        <v>1361</v>
      </c>
      <c r="E752" s="1" t="s">
        <v>97</v>
      </c>
      <c r="F752" s="8">
        <v>46310.0</v>
      </c>
      <c r="G752" s="1" t="s">
        <v>71</v>
      </c>
      <c r="H752" s="1" t="s">
        <v>396</v>
      </c>
      <c r="K752" s="1" t="s">
        <v>366</v>
      </c>
      <c r="L752" s="1" t="s">
        <v>99</v>
      </c>
      <c r="O752" s="4">
        <v>43928.0</v>
      </c>
    </row>
    <row r="753">
      <c r="A753" s="1" t="s">
        <v>1345</v>
      </c>
      <c r="B753" s="1" t="s">
        <v>255</v>
      </c>
      <c r="C753" s="1" t="s">
        <v>256</v>
      </c>
      <c r="D753" s="1" t="s">
        <v>1362</v>
      </c>
      <c r="E753" s="1" t="s">
        <v>97</v>
      </c>
      <c r="F753" s="8">
        <v>46310.0</v>
      </c>
      <c r="G753" s="1" t="s">
        <v>71</v>
      </c>
      <c r="H753" s="1" t="s">
        <v>396</v>
      </c>
      <c r="K753" s="1" t="s">
        <v>366</v>
      </c>
      <c r="L753" s="1" t="s">
        <v>99</v>
      </c>
      <c r="O753" s="4">
        <v>43928.0</v>
      </c>
    </row>
    <row r="754">
      <c r="A754" s="1" t="s">
        <v>1345</v>
      </c>
      <c r="B754" s="1" t="s">
        <v>255</v>
      </c>
      <c r="C754" s="1" t="s">
        <v>256</v>
      </c>
      <c r="D754" s="1" t="s">
        <v>1363</v>
      </c>
      <c r="E754" s="1" t="s">
        <v>97</v>
      </c>
      <c r="F754" s="8">
        <v>46310.0</v>
      </c>
      <c r="G754" s="1" t="s">
        <v>71</v>
      </c>
      <c r="H754" s="1" t="s">
        <v>396</v>
      </c>
      <c r="K754" s="1" t="s">
        <v>366</v>
      </c>
      <c r="L754" s="1" t="s">
        <v>99</v>
      </c>
      <c r="O754" s="4">
        <v>43928.0</v>
      </c>
    </row>
    <row r="755">
      <c r="A755" s="1" t="s">
        <v>1345</v>
      </c>
      <c r="B755" s="1" t="s">
        <v>336</v>
      </c>
      <c r="C755" s="1" t="s">
        <v>338</v>
      </c>
      <c r="D755" s="1" t="s">
        <v>1364</v>
      </c>
      <c r="E755" s="1" t="s">
        <v>97</v>
      </c>
      <c r="F755" s="8">
        <v>46314.0</v>
      </c>
      <c r="G755" s="1" t="s">
        <v>107</v>
      </c>
      <c r="H755" s="1" t="s">
        <v>340</v>
      </c>
      <c r="J755" s="1" t="s">
        <v>134</v>
      </c>
      <c r="K755" s="1" t="s">
        <v>366</v>
      </c>
      <c r="L755" s="1" t="s">
        <v>99</v>
      </c>
      <c r="O755" s="4">
        <v>43928.0</v>
      </c>
    </row>
    <row r="756">
      <c r="A756" s="1" t="s">
        <v>1345</v>
      </c>
      <c r="B756" s="1" t="s">
        <v>336</v>
      </c>
      <c r="C756" s="1" t="s">
        <v>338</v>
      </c>
      <c r="D756" s="1" t="s">
        <v>1365</v>
      </c>
      <c r="E756" s="1" t="s">
        <v>97</v>
      </c>
      <c r="F756" s="8">
        <v>46314.0</v>
      </c>
      <c r="G756" s="1" t="s">
        <v>71</v>
      </c>
      <c r="H756" s="1" t="s">
        <v>396</v>
      </c>
      <c r="K756" s="1" t="s">
        <v>366</v>
      </c>
      <c r="L756" s="1" t="s">
        <v>99</v>
      </c>
      <c r="O756" s="4">
        <v>43928.0</v>
      </c>
    </row>
    <row r="757">
      <c r="A757" s="1" t="s">
        <v>1345</v>
      </c>
      <c r="B757" s="1" t="s">
        <v>336</v>
      </c>
      <c r="C757" s="1" t="s">
        <v>338</v>
      </c>
      <c r="D757" s="1" t="s">
        <v>1366</v>
      </c>
      <c r="E757" s="1" t="s">
        <v>97</v>
      </c>
      <c r="F757" s="8">
        <v>46314.0</v>
      </c>
      <c r="G757" s="1" t="s">
        <v>71</v>
      </c>
      <c r="H757" s="1" t="s">
        <v>396</v>
      </c>
      <c r="K757" s="1" t="s">
        <v>366</v>
      </c>
      <c r="L757" s="1" t="s">
        <v>99</v>
      </c>
      <c r="O757" s="4">
        <v>43928.0</v>
      </c>
    </row>
    <row r="758">
      <c r="A758" s="1" t="s">
        <v>1345</v>
      </c>
      <c r="B758" s="1" t="s">
        <v>94</v>
      </c>
      <c r="C758" s="1" t="s">
        <v>95</v>
      </c>
      <c r="D758" s="1" t="s">
        <v>1367</v>
      </c>
      <c r="E758" s="1" t="s">
        <v>97</v>
      </c>
      <c r="F758" s="8">
        <v>46311.0</v>
      </c>
      <c r="G758" s="1" t="s">
        <v>71</v>
      </c>
      <c r="K758" s="1" t="s">
        <v>366</v>
      </c>
      <c r="L758" s="1" t="s">
        <v>99</v>
      </c>
      <c r="O758" s="4">
        <v>43928.0</v>
      </c>
    </row>
    <row r="759">
      <c r="A759" s="1" t="s">
        <v>1345</v>
      </c>
      <c r="B759" s="1" t="s">
        <v>94</v>
      </c>
      <c r="C759" s="1" t="s">
        <v>95</v>
      </c>
      <c r="D759" s="1" t="s">
        <v>1368</v>
      </c>
      <c r="E759" s="1" t="s">
        <v>97</v>
      </c>
      <c r="F759" s="8">
        <v>46311.0</v>
      </c>
      <c r="G759" s="1" t="s">
        <v>71</v>
      </c>
      <c r="K759" s="1" t="s">
        <v>366</v>
      </c>
      <c r="L759" s="1" t="s">
        <v>99</v>
      </c>
      <c r="O759" s="4">
        <v>43928.0</v>
      </c>
    </row>
    <row r="760">
      <c r="A760" s="1" t="s">
        <v>1345</v>
      </c>
      <c r="B760" s="1" t="s">
        <v>94</v>
      </c>
      <c r="C760" s="1" t="s">
        <v>95</v>
      </c>
      <c r="D760" s="1" t="s">
        <v>1369</v>
      </c>
      <c r="E760" s="1" t="s">
        <v>97</v>
      </c>
      <c r="F760" s="8">
        <v>46311.0</v>
      </c>
      <c r="G760" s="1" t="s">
        <v>71</v>
      </c>
      <c r="K760" s="1" t="s">
        <v>366</v>
      </c>
      <c r="L760" s="1" t="s">
        <v>99</v>
      </c>
      <c r="O760" s="4">
        <v>43928.0</v>
      </c>
    </row>
    <row r="761">
      <c r="A761" s="1" t="s">
        <v>1345</v>
      </c>
      <c r="B761" s="1" t="s">
        <v>1370</v>
      </c>
      <c r="C761" s="1" t="s">
        <v>1371</v>
      </c>
      <c r="D761" s="1" t="s">
        <v>1372</v>
      </c>
      <c r="E761" s="1" t="s">
        <v>97</v>
      </c>
      <c r="F761" s="8">
        <v>46310.0</v>
      </c>
      <c r="G761" s="1" t="s">
        <v>71</v>
      </c>
      <c r="K761" s="1" t="s">
        <v>366</v>
      </c>
      <c r="L761" s="1" t="s">
        <v>99</v>
      </c>
      <c r="O761" s="4">
        <v>43928.0</v>
      </c>
    </row>
    <row r="762">
      <c r="A762" s="1" t="s">
        <v>1345</v>
      </c>
      <c r="B762" s="1" t="s">
        <v>1370</v>
      </c>
      <c r="C762" s="1" t="s">
        <v>1371</v>
      </c>
      <c r="D762" s="1" t="s">
        <v>1373</v>
      </c>
      <c r="E762" s="1" t="s">
        <v>97</v>
      </c>
      <c r="F762" s="8">
        <v>46310.0</v>
      </c>
      <c r="G762" s="1" t="s">
        <v>71</v>
      </c>
      <c r="K762" s="1" t="s">
        <v>366</v>
      </c>
      <c r="L762" s="1" t="s">
        <v>99</v>
      </c>
      <c r="O762" s="4">
        <v>43928.0</v>
      </c>
    </row>
    <row r="763">
      <c r="A763" s="1" t="s">
        <v>1345</v>
      </c>
      <c r="B763" s="1" t="s">
        <v>1370</v>
      </c>
      <c r="C763" s="1" t="s">
        <v>1371</v>
      </c>
      <c r="D763" s="1" t="s">
        <v>1374</v>
      </c>
      <c r="E763" s="1" t="s">
        <v>97</v>
      </c>
      <c r="F763" s="8">
        <v>46310.0</v>
      </c>
      <c r="G763" s="1" t="s">
        <v>107</v>
      </c>
      <c r="H763" s="1" t="s">
        <v>426</v>
      </c>
      <c r="J763" s="1" t="s">
        <v>47</v>
      </c>
      <c r="K763" s="1" t="s">
        <v>366</v>
      </c>
      <c r="L763" s="1" t="s">
        <v>99</v>
      </c>
      <c r="O763" s="4">
        <v>43928.0</v>
      </c>
    </row>
    <row r="764">
      <c r="A764" s="1" t="s">
        <v>1345</v>
      </c>
      <c r="B764" s="1" t="s">
        <v>269</v>
      </c>
      <c r="C764" s="1" t="s">
        <v>270</v>
      </c>
      <c r="D764" s="1" t="s">
        <v>1375</v>
      </c>
      <c r="E764" s="1" t="s">
        <v>97</v>
      </c>
      <c r="F764" s="8">
        <v>46316.0</v>
      </c>
      <c r="G764" s="1" t="s">
        <v>71</v>
      </c>
      <c r="K764" s="1" t="s">
        <v>366</v>
      </c>
      <c r="L764" s="1" t="s">
        <v>99</v>
      </c>
      <c r="O764" s="4">
        <v>43928.0</v>
      </c>
    </row>
    <row r="765">
      <c r="A765" s="1" t="s">
        <v>1345</v>
      </c>
      <c r="B765" s="1" t="s">
        <v>269</v>
      </c>
      <c r="C765" s="1" t="s">
        <v>270</v>
      </c>
      <c r="D765" s="1" t="s">
        <v>1376</v>
      </c>
      <c r="E765" s="1" t="s">
        <v>97</v>
      </c>
      <c r="F765" s="8">
        <v>46316.0</v>
      </c>
      <c r="G765" s="1" t="s">
        <v>71</v>
      </c>
      <c r="K765" s="1" t="s">
        <v>366</v>
      </c>
      <c r="L765" s="1" t="s">
        <v>99</v>
      </c>
      <c r="O765" s="4">
        <v>43928.0</v>
      </c>
    </row>
    <row r="766">
      <c r="A766" s="1" t="s">
        <v>1345</v>
      </c>
      <c r="B766" s="1" t="s">
        <v>269</v>
      </c>
      <c r="C766" s="1" t="s">
        <v>270</v>
      </c>
      <c r="D766" s="1" t="s">
        <v>1377</v>
      </c>
      <c r="E766" s="1" t="s">
        <v>97</v>
      </c>
      <c r="F766" s="8">
        <v>46316.0</v>
      </c>
      <c r="G766" s="1" t="s">
        <v>71</v>
      </c>
      <c r="K766" s="1" t="s">
        <v>366</v>
      </c>
      <c r="L766" s="1" t="s">
        <v>99</v>
      </c>
      <c r="O766" s="4">
        <v>43928.0</v>
      </c>
    </row>
    <row r="767">
      <c r="A767" s="1" t="s">
        <v>1345</v>
      </c>
      <c r="B767" s="1" t="s">
        <v>269</v>
      </c>
      <c r="C767" s="1" t="s">
        <v>270</v>
      </c>
      <c r="D767" s="1" t="s">
        <v>1378</v>
      </c>
      <c r="E767" s="1" t="s">
        <v>70</v>
      </c>
      <c r="F767" s="4">
        <v>46303.0</v>
      </c>
      <c r="G767" s="1" t="s">
        <v>107</v>
      </c>
      <c r="H767" s="1" t="s">
        <v>1117</v>
      </c>
      <c r="J767" s="1" t="s">
        <v>47</v>
      </c>
      <c r="K767" s="1" t="s">
        <v>366</v>
      </c>
      <c r="L767" s="1" t="s">
        <v>99</v>
      </c>
      <c r="O767" s="4">
        <v>43928.0</v>
      </c>
    </row>
    <row r="768">
      <c r="A768" s="1" t="s">
        <v>1345</v>
      </c>
      <c r="B768" s="1" t="s">
        <v>269</v>
      </c>
      <c r="C768" s="1" t="s">
        <v>270</v>
      </c>
      <c r="D768" s="1" t="s">
        <v>1379</v>
      </c>
      <c r="E768" s="1" t="s">
        <v>70</v>
      </c>
      <c r="F768" s="4">
        <v>46303.0</v>
      </c>
      <c r="G768" s="1" t="s">
        <v>107</v>
      </c>
      <c r="H768" s="1" t="s">
        <v>1117</v>
      </c>
      <c r="J768" s="1" t="s">
        <v>47</v>
      </c>
      <c r="K768" s="1" t="s">
        <v>366</v>
      </c>
      <c r="L768" s="1" t="s">
        <v>99</v>
      </c>
      <c r="O768" s="4">
        <v>43928.0</v>
      </c>
    </row>
    <row r="769">
      <c r="A769" s="1" t="s">
        <v>1380</v>
      </c>
      <c r="B769" s="1" t="s">
        <v>288</v>
      </c>
      <c r="C769" s="1" t="s">
        <v>289</v>
      </c>
      <c r="D769" s="1" t="s">
        <v>1381</v>
      </c>
      <c r="E769" s="1" t="s">
        <v>97</v>
      </c>
      <c r="F769" s="8">
        <v>46309.0</v>
      </c>
      <c r="G769" s="1" t="s">
        <v>71</v>
      </c>
      <c r="J769" s="1" t="s">
        <v>109</v>
      </c>
      <c r="K769" s="1" t="s">
        <v>366</v>
      </c>
      <c r="L769" s="1" t="s">
        <v>99</v>
      </c>
      <c r="O769" s="4">
        <v>46112.0</v>
      </c>
    </row>
    <row r="770">
      <c r="A770" s="1" t="s">
        <v>1380</v>
      </c>
      <c r="B770" s="1" t="s">
        <v>288</v>
      </c>
      <c r="C770" s="1" t="s">
        <v>289</v>
      </c>
      <c r="D770" s="1" t="s">
        <v>1382</v>
      </c>
      <c r="E770" s="1" t="s">
        <v>97</v>
      </c>
      <c r="F770" s="8">
        <v>46309.0</v>
      </c>
      <c r="G770" s="1" t="s">
        <v>132</v>
      </c>
      <c r="H770" s="1" t="s">
        <v>417</v>
      </c>
      <c r="J770" s="1" t="s">
        <v>109</v>
      </c>
      <c r="K770" s="1" t="s">
        <v>366</v>
      </c>
      <c r="L770" s="1" t="s">
        <v>99</v>
      </c>
      <c r="O770" s="4">
        <v>46112.0</v>
      </c>
    </row>
    <row r="771">
      <c r="A771" s="1" t="s">
        <v>1380</v>
      </c>
      <c r="B771" s="1" t="s">
        <v>288</v>
      </c>
      <c r="C771" s="1" t="s">
        <v>289</v>
      </c>
      <c r="D771" s="1" t="s">
        <v>1383</v>
      </c>
      <c r="E771" s="1" t="s">
        <v>97</v>
      </c>
      <c r="F771" s="8">
        <v>46309.0</v>
      </c>
      <c r="G771" s="1" t="s">
        <v>71</v>
      </c>
      <c r="K771" s="1" t="s">
        <v>366</v>
      </c>
      <c r="L771" s="1" t="s">
        <v>99</v>
      </c>
      <c r="O771" s="4">
        <v>46112.0</v>
      </c>
    </row>
    <row r="772">
      <c r="A772" s="1" t="s">
        <v>1384</v>
      </c>
      <c r="B772" s="1" t="s">
        <v>1013</v>
      </c>
      <c r="C772" s="1" t="s">
        <v>256</v>
      </c>
      <c r="D772" s="1" t="s">
        <v>1385</v>
      </c>
      <c r="E772" s="1" t="s">
        <v>32</v>
      </c>
      <c r="F772" s="4">
        <v>46203.0</v>
      </c>
      <c r="H772" s="1" t="s">
        <v>1386</v>
      </c>
      <c r="K772" s="1" t="s">
        <v>384</v>
      </c>
      <c r="L772" s="1" t="s">
        <v>35</v>
      </c>
      <c r="N772" s="4">
        <v>46203.0</v>
      </c>
      <c r="O772" s="4">
        <v>46203.0</v>
      </c>
    </row>
    <row r="773">
      <c r="A773" s="1" t="s">
        <v>1384</v>
      </c>
      <c r="B773" s="1" t="s">
        <v>1013</v>
      </c>
      <c r="C773" s="1" t="s">
        <v>256</v>
      </c>
      <c r="D773" s="1" t="s">
        <v>1387</v>
      </c>
      <c r="E773" s="1" t="s">
        <v>32</v>
      </c>
      <c r="F773" s="4">
        <v>46203.0</v>
      </c>
      <c r="H773" s="1" t="s">
        <v>1386</v>
      </c>
      <c r="K773" s="1" t="s">
        <v>384</v>
      </c>
      <c r="L773" s="1" t="s">
        <v>35</v>
      </c>
      <c r="N773" s="4">
        <v>46203.0</v>
      </c>
      <c r="O773" s="4">
        <v>46203.0</v>
      </c>
    </row>
    <row r="774">
      <c r="A774" s="1" t="s">
        <v>1384</v>
      </c>
      <c r="B774" s="1" t="s">
        <v>1013</v>
      </c>
      <c r="C774" s="1" t="s">
        <v>256</v>
      </c>
      <c r="D774" s="1" t="s">
        <v>1388</v>
      </c>
      <c r="E774" s="1" t="s">
        <v>32</v>
      </c>
      <c r="F774" s="4">
        <v>46203.0</v>
      </c>
      <c r="H774" s="1" t="s">
        <v>1386</v>
      </c>
      <c r="K774" s="1" t="s">
        <v>384</v>
      </c>
      <c r="L774" s="1" t="s">
        <v>35</v>
      </c>
      <c r="N774" s="4">
        <v>46203.0</v>
      </c>
      <c r="O774" s="4">
        <v>46203.0</v>
      </c>
    </row>
    <row r="775">
      <c r="A775" s="1" t="s">
        <v>1384</v>
      </c>
      <c r="B775" s="1" t="s">
        <v>1013</v>
      </c>
      <c r="C775" s="1" t="s">
        <v>256</v>
      </c>
      <c r="D775" s="1" t="s">
        <v>1389</v>
      </c>
      <c r="E775" s="1" t="s">
        <v>32</v>
      </c>
      <c r="F775" s="4">
        <v>46203.0</v>
      </c>
      <c r="H775" s="1" t="s">
        <v>1386</v>
      </c>
      <c r="K775" s="1" t="s">
        <v>384</v>
      </c>
      <c r="L775" s="1" t="s">
        <v>35</v>
      </c>
      <c r="N775" s="4">
        <v>46203.0</v>
      </c>
      <c r="O775" s="4">
        <v>46203.0</v>
      </c>
    </row>
    <row r="776">
      <c r="A776" s="1" t="s">
        <v>1390</v>
      </c>
      <c r="B776" s="1" t="s">
        <v>1013</v>
      </c>
      <c r="C776" s="1" t="s">
        <v>1391</v>
      </c>
      <c r="D776" s="1" t="s">
        <v>1392</v>
      </c>
      <c r="E776" s="1" t="s">
        <v>32</v>
      </c>
      <c r="F776" s="4">
        <v>46203.0</v>
      </c>
      <c r="H776" s="1" t="s">
        <v>1393</v>
      </c>
      <c r="K776" s="1" t="s">
        <v>384</v>
      </c>
      <c r="L776" s="1" t="s">
        <v>35</v>
      </c>
      <c r="N776" s="4">
        <v>46203.0</v>
      </c>
      <c r="O776" s="4">
        <v>46203.0</v>
      </c>
    </row>
    <row r="777">
      <c r="A777" s="1" t="s">
        <v>1390</v>
      </c>
      <c r="B777" s="1" t="s">
        <v>1013</v>
      </c>
      <c r="C777" s="1" t="s">
        <v>1391</v>
      </c>
      <c r="D777" s="1" t="s">
        <v>1394</v>
      </c>
      <c r="E777" s="1" t="s">
        <v>32</v>
      </c>
      <c r="F777" s="4">
        <v>46203.0</v>
      </c>
      <c r="H777" s="1" t="s">
        <v>1393</v>
      </c>
      <c r="K777" s="1" t="s">
        <v>384</v>
      </c>
      <c r="L777" s="1" t="s">
        <v>35</v>
      </c>
      <c r="N777" s="4">
        <v>46203.0</v>
      </c>
      <c r="O777" s="4">
        <v>46203.0</v>
      </c>
    </row>
    <row r="778">
      <c r="A778" s="1" t="s">
        <v>1390</v>
      </c>
      <c r="B778" s="1" t="s">
        <v>1013</v>
      </c>
      <c r="C778" s="1" t="s">
        <v>1391</v>
      </c>
      <c r="D778" s="1" t="s">
        <v>1395</v>
      </c>
      <c r="E778" s="1" t="s">
        <v>32</v>
      </c>
      <c r="F778" s="4">
        <v>46203.0</v>
      </c>
      <c r="H778" s="1" t="s">
        <v>1393</v>
      </c>
      <c r="K778" s="1" t="s">
        <v>384</v>
      </c>
      <c r="L778" s="1" t="s">
        <v>35</v>
      </c>
      <c r="N778" s="4">
        <v>46203.0</v>
      </c>
      <c r="O778" s="4">
        <v>46203.0</v>
      </c>
    </row>
    <row r="779">
      <c r="A779" s="1" t="s">
        <v>1390</v>
      </c>
      <c r="B779" s="1" t="s">
        <v>1013</v>
      </c>
      <c r="C779" s="1" t="s">
        <v>1391</v>
      </c>
      <c r="D779" s="1" t="s">
        <v>1396</v>
      </c>
      <c r="E779" s="1" t="s">
        <v>32</v>
      </c>
      <c r="F779" s="4">
        <v>46203.0</v>
      </c>
      <c r="H779" s="1" t="s">
        <v>1393</v>
      </c>
      <c r="K779" s="1" t="s">
        <v>384</v>
      </c>
      <c r="L779" s="1" t="s">
        <v>35</v>
      </c>
      <c r="N779" s="4">
        <v>46203.0</v>
      </c>
      <c r="O779" s="4">
        <v>46203.0</v>
      </c>
    </row>
    <row r="780">
      <c r="A780" s="1" t="s">
        <v>1390</v>
      </c>
      <c r="B780" s="1" t="s">
        <v>1013</v>
      </c>
      <c r="C780" s="1" t="s">
        <v>1397</v>
      </c>
      <c r="D780" s="1" t="s">
        <v>1392</v>
      </c>
      <c r="E780" s="1" t="s">
        <v>32</v>
      </c>
      <c r="F780" s="4">
        <v>46163.0</v>
      </c>
      <c r="H780" s="1" t="s">
        <v>33</v>
      </c>
      <c r="K780" s="1" t="s">
        <v>384</v>
      </c>
      <c r="L780" s="1" t="s">
        <v>35</v>
      </c>
      <c r="N780" s="4">
        <v>46163.0</v>
      </c>
      <c r="O780" s="4">
        <v>46163.0</v>
      </c>
    </row>
    <row r="781">
      <c r="A781" s="1" t="s">
        <v>1390</v>
      </c>
      <c r="B781" s="1" t="s">
        <v>1013</v>
      </c>
      <c r="C781" s="1" t="s">
        <v>1397</v>
      </c>
      <c r="D781" s="1" t="s">
        <v>1394</v>
      </c>
      <c r="E781" s="1" t="s">
        <v>32</v>
      </c>
      <c r="F781" s="4">
        <v>46163.0</v>
      </c>
      <c r="H781" s="1" t="s">
        <v>33</v>
      </c>
      <c r="K781" s="1" t="s">
        <v>384</v>
      </c>
      <c r="L781" s="1" t="s">
        <v>35</v>
      </c>
      <c r="N781" s="4">
        <v>46163.0</v>
      </c>
      <c r="O781" s="4">
        <v>46163.0</v>
      </c>
    </row>
    <row r="782">
      <c r="A782" s="1" t="s">
        <v>1390</v>
      </c>
      <c r="B782" s="1" t="s">
        <v>1013</v>
      </c>
      <c r="C782" s="1" t="s">
        <v>1397</v>
      </c>
      <c r="D782" s="1" t="s">
        <v>1395</v>
      </c>
      <c r="E782" s="1" t="s">
        <v>32</v>
      </c>
      <c r="F782" s="4">
        <v>46163.0</v>
      </c>
      <c r="H782" s="1" t="s">
        <v>33</v>
      </c>
      <c r="K782" s="1" t="s">
        <v>384</v>
      </c>
      <c r="L782" s="1" t="s">
        <v>35</v>
      </c>
      <c r="N782" s="4">
        <v>46163.0</v>
      </c>
      <c r="O782" s="4">
        <v>46163.0</v>
      </c>
    </row>
    <row r="783">
      <c r="A783" s="1" t="s">
        <v>1390</v>
      </c>
      <c r="B783" s="1" t="s">
        <v>1013</v>
      </c>
      <c r="C783" s="1" t="s">
        <v>1397</v>
      </c>
      <c r="D783" s="1" t="s">
        <v>1396</v>
      </c>
      <c r="E783" s="1" t="s">
        <v>32</v>
      </c>
      <c r="F783" s="4">
        <v>46163.0</v>
      </c>
      <c r="H783" s="1" t="s">
        <v>33</v>
      </c>
      <c r="K783" s="1" t="s">
        <v>384</v>
      </c>
      <c r="L783" s="1" t="s">
        <v>35</v>
      </c>
      <c r="N783" s="4">
        <v>46163.0</v>
      </c>
      <c r="O783" s="4">
        <v>46163.0</v>
      </c>
    </row>
    <row r="784">
      <c r="A784" s="1" t="s">
        <v>1398</v>
      </c>
      <c r="B784" s="1" t="s">
        <v>342</v>
      </c>
      <c r="C784" s="1" t="s">
        <v>346</v>
      </c>
      <c r="D784" s="1" t="s">
        <v>1399</v>
      </c>
      <c r="E784" s="1" t="s">
        <v>32</v>
      </c>
      <c r="F784" s="4">
        <v>46063.0</v>
      </c>
      <c r="H784" s="1" t="s">
        <v>344</v>
      </c>
      <c r="K784" s="1" t="s">
        <v>372</v>
      </c>
      <c r="L784" s="1" t="s">
        <v>35</v>
      </c>
      <c r="N784" s="4">
        <v>46063.0</v>
      </c>
      <c r="O784" s="4">
        <v>46063.0</v>
      </c>
    </row>
    <row r="785">
      <c r="A785" s="1" t="s">
        <v>1400</v>
      </c>
      <c r="B785" s="1" t="s">
        <v>1140</v>
      </c>
      <c r="C785" s="1" t="s">
        <v>1141</v>
      </c>
      <c r="D785" s="1" t="s">
        <v>1401</v>
      </c>
      <c r="E785" s="1" t="s">
        <v>32</v>
      </c>
      <c r="F785" s="4">
        <v>46244.0</v>
      </c>
      <c r="H785" s="1" t="s">
        <v>242</v>
      </c>
      <c r="K785" s="1" t="s">
        <v>372</v>
      </c>
      <c r="L785" s="1" t="s">
        <v>35</v>
      </c>
      <c r="N785" s="4">
        <v>46244.0</v>
      </c>
      <c r="O785" s="4">
        <v>46244.0</v>
      </c>
    </row>
    <row r="786">
      <c r="A786" s="1" t="s">
        <v>1400</v>
      </c>
      <c r="B786" s="1" t="s">
        <v>1140</v>
      </c>
      <c r="C786" s="1" t="s">
        <v>1141</v>
      </c>
      <c r="D786" s="1" t="s">
        <v>1402</v>
      </c>
      <c r="E786" s="1" t="s">
        <v>32</v>
      </c>
      <c r="F786" s="4">
        <v>46244.0</v>
      </c>
      <c r="H786" s="1" t="s">
        <v>242</v>
      </c>
      <c r="K786" s="1" t="s">
        <v>372</v>
      </c>
      <c r="L786" s="1" t="s">
        <v>35</v>
      </c>
      <c r="N786" s="4">
        <v>46244.0</v>
      </c>
      <c r="O786" s="4">
        <v>46244.0</v>
      </c>
    </row>
    <row r="787">
      <c r="A787" s="1" t="s">
        <v>1400</v>
      </c>
      <c r="B787" s="1" t="s">
        <v>1140</v>
      </c>
      <c r="C787" s="1" t="s">
        <v>1141</v>
      </c>
      <c r="D787" s="1" t="s">
        <v>1403</v>
      </c>
      <c r="E787" s="1" t="s">
        <v>32</v>
      </c>
      <c r="F787" s="4">
        <v>46244.0</v>
      </c>
      <c r="H787" s="1" t="s">
        <v>242</v>
      </c>
      <c r="K787" s="1" t="s">
        <v>372</v>
      </c>
      <c r="L787" s="1" t="s">
        <v>35</v>
      </c>
      <c r="N787" s="4">
        <v>46244.0</v>
      </c>
      <c r="O787" s="4">
        <v>46244.0</v>
      </c>
    </row>
    <row r="788">
      <c r="A788" s="1" t="s">
        <v>1400</v>
      </c>
      <c r="B788" s="1" t="s">
        <v>1140</v>
      </c>
      <c r="C788" s="1" t="s">
        <v>1141</v>
      </c>
      <c r="D788" s="1" t="s">
        <v>1404</v>
      </c>
      <c r="E788" s="1" t="s">
        <v>32</v>
      </c>
      <c r="F788" s="4">
        <v>46244.0</v>
      </c>
      <c r="H788" s="1" t="s">
        <v>242</v>
      </c>
      <c r="K788" s="1" t="s">
        <v>372</v>
      </c>
      <c r="L788" s="1" t="s">
        <v>35</v>
      </c>
      <c r="N788" s="4">
        <v>46244.0</v>
      </c>
      <c r="O788" s="4">
        <v>46244.0</v>
      </c>
    </row>
    <row r="789">
      <c r="A789" s="1" t="s">
        <v>1405</v>
      </c>
      <c r="B789" s="1" t="s">
        <v>1406</v>
      </c>
      <c r="C789" s="1" t="s">
        <v>1407</v>
      </c>
      <c r="D789" s="1" t="s">
        <v>1408</v>
      </c>
      <c r="E789" s="1" t="s">
        <v>32</v>
      </c>
      <c r="F789" s="4">
        <v>46266.0</v>
      </c>
      <c r="H789" s="1" t="s">
        <v>1277</v>
      </c>
      <c r="K789" s="1" t="s">
        <v>1409</v>
      </c>
      <c r="L789" s="1" t="s">
        <v>35</v>
      </c>
      <c r="N789" s="4">
        <v>46266.0</v>
      </c>
      <c r="O789" s="4">
        <v>46266.0</v>
      </c>
    </row>
    <row r="790">
      <c r="A790" s="1" t="s">
        <v>1405</v>
      </c>
      <c r="B790" s="1" t="s">
        <v>1406</v>
      </c>
      <c r="C790" s="1" t="s">
        <v>1407</v>
      </c>
      <c r="D790" s="1" t="s">
        <v>1410</v>
      </c>
      <c r="E790" s="1" t="s">
        <v>32</v>
      </c>
      <c r="F790" s="4">
        <v>46266.0</v>
      </c>
      <c r="H790" s="1" t="s">
        <v>1277</v>
      </c>
      <c r="K790" s="1" t="s">
        <v>1409</v>
      </c>
      <c r="L790" s="1" t="s">
        <v>35</v>
      </c>
      <c r="N790" s="4">
        <v>46266.0</v>
      </c>
      <c r="O790" s="4">
        <v>46266.0</v>
      </c>
    </row>
    <row r="791">
      <c r="A791" s="1" t="s">
        <v>1411</v>
      </c>
      <c r="B791" s="1" t="s">
        <v>255</v>
      </c>
      <c r="C791" s="1" t="s">
        <v>256</v>
      </c>
      <c r="D791" s="1" t="s">
        <v>1412</v>
      </c>
      <c r="E791" s="1" t="s">
        <v>32</v>
      </c>
      <c r="F791" s="4">
        <v>46233.0</v>
      </c>
      <c r="H791" s="1" t="s">
        <v>33</v>
      </c>
      <c r="K791" s="1" t="s">
        <v>358</v>
      </c>
      <c r="L791" s="1" t="s">
        <v>35</v>
      </c>
      <c r="N791" s="4">
        <v>46233.0</v>
      </c>
      <c r="O791" s="4">
        <v>46233.0</v>
      </c>
    </row>
    <row r="792">
      <c r="A792" s="1" t="s">
        <v>1411</v>
      </c>
      <c r="B792" s="1" t="s">
        <v>255</v>
      </c>
      <c r="C792" s="1" t="s">
        <v>256</v>
      </c>
      <c r="D792" s="1" t="s">
        <v>1413</v>
      </c>
      <c r="E792" s="1" t="s">
        <v>32</v>
      </c>
      <c r="F792" s="4">
        <v>46233.0</v>
      </c>
      <c r="H792" s="1" t="s">
        <v>33</v>
      </c>
      <c r="K792" s="1" t="s">
        <v>358</v>
      </c>
      <c r="L792" s="1" t="s">
        <v>35</v>
      </c>
      <c r="N792" s="4">
        <v>46233.0</v>
      </c>
      <c r="O792" s="4">
        <v>46233.0</v>
      </c>
    </row>
    <row r="793">
      <c r="A793" s="1" t="s">
        <v>1411</v>
      </c>
      <c r="B793" s="1" t="s">
        <v>255</v>
      </c>
      <c r="C793" s="1" t="s">
        <v>256</v>
      </c>
      <c r="D793" s="1" t="s">
        <v>1414</v>
      </c>
      <c r="E793" s="1" t="s">
        <v>32</v>
      </c>
      <c r="F793" s="4">
        <v>46233.0</v>
      </c>
      <c r="H793" s="1" t="s">
        <v>33</v>
      </c>
      <c r="K793" s="1" t="s">
        <v>358</v>
      </c>
      <c r="L793" s="1" t="s">
        <v>35</v>
      </c>
      <c r="N793" s="4">
        <v>46233.0</v>
      </c>
      <c r="O793" s="4">
        <v>46233.0</v>
      </c>
    </row>
    <row r="794">
      <c r="A794" s="1" t="s">
        <v>1411</v>
      </c>
      <c r="B794" s="1" t="s">
        <v>255</v>
      </c>
      <c r="C794" s="1" t="s">
        <v>256</v>
      </c>
      <c r="D794" s="1" t="s">
        <v>1415</v>
      </c>
      <c r="E794" s="1" t="s">
        <v>32</v>
      </c>
      <c r="F794" s="4">
        <v>46233.0</v>
      </c>
      <c r="H794" s="1" t="s">
        <v>33</v>
      </c>
      <c r="K794" s="1" t="s">
        <v>358</v>
      </c>
      <c r="L794" s="1" t="s">
        <v>35</v>
      </c>
      <c r="N794" s="4">
        <v>46233.0</v>
      </c>
      <c r="O794" s="4">
        <v>46233.0</v>
      </c>
    </row>
    <row r="795">
      <c r="A795" s="1" t="s">
        <v>1416</v>
      </c>
      <c r="B795" s="1" t="s">
        <v>1417</v>
      </c>
      <c r="C795" s="1" t="s">
        <v>64</v>
      </c>
      <c r="D795" s="1" t="s">
        <v>1418</v>
      </c>
      <c r="E795" s="1" t="s">
        <v>32</v>
      </c>
      <c r="F795" s="8">
        <v>45974.0</v>
      </c>
      <c r="H795" s="1" t="s">
        <v>242</v>
      </c>
      <c r="K795" s="1" t="s">
        <v>129</v>
      </c>
      <c r="L795" s="1" t="s">
        <v>35</v>
      </c>
      <c r="N795" s="8">
        <v>45974.0</v>
      </c>
      <c r="O795" s="8">
        <v>45974.0</v>
      </c>
    </row>
    <row r="796">
      <c r="A796" s="1" t="s">
        <v>1416</v>
      </c>
      <c r="B796" s="1" t="s">
        <v>1417</v>
      </c>
      <c r="C796" s="1" t="s">
        <v>64</v>
      </c>
      <c r="D796" s="1" t="s">
        <v>1419</v>
      </c>
      <c r="E796" s="1" t="s">
        <v>32</v>
      </c>
      <c r="F796" s="8">
        <v>45974.0</v>
      </c>
      <c r="H796" s="1" t="s">
        <v>242</v>
      </c>
      <c r="K796" s="1" t="s">
        <v>129</v>
      </c>
      <c r="L796" s="1" t="s">
        <v>35</v>
      </c>
      <c r="N796" s="8">
        <v>45974.0</v>
      </c>
      <c r="O796" s="8">
        <v>45974.0</v>
      </c>
    </row>
    <row r="797">
      <c r="A797" s="1" t="s">
        <v>1416</v>
      </c>
      <c r="B797" s="1" t="s">
        <v>1417</v>
      </c>
      <c r="C797" s="1" t="s">
        <v>64</v>
      </c>
      <c r="D797" s="1" t="s">
        <v>1420</v>
      </c>
      <c r="E797" s="1" t="s">
        <v>32</v>
      </c>
      <c r="F797" s="8">
        <v>45974.0</v>
      </c>
      <c r="H797" s="1" t="s">
        <v>242</v>
      </c>
      <c r="K797" s="1" t="s">
        <v>129</v>
      </c>
      <c r="L797" s="1" t="s">
        <v>35</v>
      </c>
      <c r="N797" s="8">
        <v>45974.0</v>
      </c>
      <c r="O797" s="8">
        <v>45974.0</v>
      </c>
    </row>
    <row r="798">
      <c r="A798" s="1" t="s">
        <v>1416</v>
      </c>
      <c r="B798" s="1" t="s">
        <v>1417</v>
      </c>
      <c r="C798" s="1" t="s">
        <v>64</v>
      </c>
      <c r="D798" s="1" t="s">
        <v>1421</v>
      </c>
      <c r="E798" s="1" t="s">
        <v>32</v>
      </c>
      <c r="F798" s="8">
        <v>45974.0</v>
      </c>
      <c r="H798" s="1" t="s">
        <v>242</v>
      </c>
      <c r="K798" s="1" t="s">
        <v>129</v>
      </c>
      <c r="L798" s="1" t="s">
        <v>35</v>
      </c>
      <c r="N798" s="8">
        <v>45974.0</v>
      </c>
      <c r="O798" s="8">
        <v>45974.0</v>
      </c>
    </row>
    <row r="799">
      <c r="A799" s="1" t="s">
        <v>1422</v>
      </c>
      <c r="B799" s="1" t="s">
        <v>255</v>
      </c>
      <c r="C799" s="1" t="s">
        <v>256</v>
      </c>
      <c r="D799" s="1" t="s">
        <v>1423</v>
      </c>
      <c r="E799" s="1" t="s">
        <v>32</v>
      </c>
      <c r="F799" s="4">
        <v>46031.0</v>
      </c>
      <c r="H799" s="1" t="s">
        <v>33</v>
      </c>
      <c r="K799" s="1" t="s">
        <v>129</v>
      </c>
      <c r="L799" s="1" t="s">
        <v>35</v>
      </c>
      <c r="N799" s="4">
        <v>46031.0</v>
      </c>
      <c r="O799" s="4">
        <v>46031.0</v>
      </c>
    </row>
    <row r="800">
      <c r="A800" s="1" t="s">
        <v>1422</v>
      </c>
      <c r="B800" s="1" t="s">
        <v>255</v>
      </c>
      <c r="C800" s="1" t="s">
        <v>256</v>
      </c>
      <c r="D800" s="1" t="s">
        <v>1424</v>
      </c>
      <c r="E800" s="1" t="s">
        <v>32</v>
      </c>
      <c r="F800" s="4">
        <v>46031.0</v>
      </c>
      <c r="H800" s="1" t="s">
        <v>33</v>
      </c>
      <c r="K800" s="1" t="s">
        <v>129</v>
      </c>
      <c r="L800" s="1" t="s">
        <v>35</v>
      </c>
      <c r="N800" s="4">
        <v>46031.0</v>
      </c>
      <c r="O800" s="4">
        <v>46031.0</v>
      </c>
    </row>
    <row r="801">
      <c r="A801" s="1" t="s">
        <v>1425</v>
      </c>
      <c r="B801" s="1" t="s">
        <v>102</v>
      </c>
      <c r="C801" s="1" t="s">
        <v>103</v>
      </c>
      <c r="D801" s="1" t="s">
        <v>1426</v>
      </c>
      <c r="E801" s="1" t="s">
        <v>97</v>
      </c>
      <c r="F801" s="8">
        <v>46314.0</v>
      </c>
      <c r="G801" s="1" t="s">
        <v>132</v>
      </c>
      <c r="H801" s="1" t="s">
        <v>1427</v>
      </c>
      <c r="J801" s="1" t="s">
        <v>47</v>
      </c>
      <c r="K801" s="1" t="s">
        <v>243</v>
      </c>
      <c r="L801" s="1" t="s">
        <v>99</v>
      </c>
      <c r="O801" s="8">
        <v>43053.0</v>
      </c>
    </row>
    <row r="802">
      <c r="A802" s="1" t="s">
        <v>1425</v>
      </c>
      <c r="B802" s="1" t="s">
        <v>94</v>
      </c>
      <c r="C802" s="1" t="s">
        <v>95</v>
      </c>
      <c r="D802" s="1" t="s">
        <v>1428</v>
      </c>
      <c r="E802" s="1" t="s">
        <v>97</v>
      </c>
      <c r="F802" s="8">
        <v>46311.0</v>
      </c>
      <c r="G802" s="1" t="s">
        <v>71</v>
      </c>
      <c r="K802" s="1" t="s">
        <v>243</v>
      </c>
      <c r="L802" s="1" t="s">
        <v>99</v>
      </c>
      <c r="O802" s="8">
        <v>43053.0</v>
      </c>
    </row>
    <row r="803">
      <c r="A803" s="1" t="s">
        <v>1425</v>
      </c>
      <c r="B803" s="1" t="s">
        <v>94</v>
      </c>
      <c r="C803" s="1" t="s">
        <v>95</v>
      </c>
      <c r="D803" s="1" t="s">
        <v>1429</v>
      </c>
      <c r="E803" s="1" t="s">
        <v>70</v>
      </c>
      <c r="F803" s="8">
        <v>46311.0</v>
      </c>
      <c r="G803" s="1" t="s">
        <v>132</v>
      </c>
      <c r="H803" s="1" t="s">
        <v>108</v>
      </c>
      <c r="J803" s="1" t="s">
        <v>134</v>
      </c>
      <c r="K803" s="1" t="s">
        <v>243</v>
      </c>
      <c r="L803" s="1" t="s">
        <v>99</v>
      </c>
      <c r="O803" s="8">
        <v>43053.0</v>
      </c>
    </row>
    <row r="804">
      <c r="A804" s="1" t="s">
        <v>1425</v>
      </c>
      <c r="B804" s="1" t="s">
        <v>255</v>
      </c>
      <c r="C804" s="1" t="s">
        <v>256</v>
      </c>
      <c r="D804" s="1" t="s">
        <v>1430</v>
      </c>
      <c r="E804" s="1" t="s">
        <v>70</v>
      </c>
      <c r="F804" s="8">
        <v>46310.0</v>
      </c>
      <c r="G804" s="1" t="s">
        <v>107</v>
      </c>
      <c r="H804" s="1" t="s">
        <v>638</v>
      </c>
      <c r="J804" s="1" t="s">
        <v>47</v>
      </c>
      <c r="K804" s="1" t="s">
        <v>243</v>
      </c>
      <c r="L804" s="1" t="s">
        <v>99</v>
      </c>
      <c r="O804" s="8">
        <v>43053.0</v>
      </c>
    </row>
    <row r="805">
      <c r="A805" s="1" t="s">
        <v>1425</v>
      </c>
      <c r="B805" s="1" t="s">
        <v>255</v>
      </c>
      <c r="C805" s="1" t="s">
        <v>256</v>
      </c>
      <c r="D805" s="1" t="s">
        <v>1431</v>
      </c>
      <c r="E805" s="1" t="s">
        <v>97</v>
      </c>
      <c r="F805" s="8">
        <v>46310.0</v>
      </c>
      <c r="G805" s="1" t="s">
        <v>71</v>
      </c>
      <c r="H805" s="1" t="s">
        <v>396</v>
      </c>
      <c r="K805" s="1" t="s">
        <v>243</v>
      </c>
      <c r="L805" s="1" t="s">
        <v>99</v>
      </c>
      <c r="O805" s="8">
        <v>43053.0</v>
      </c>
    </row>
    <row r="806">
      <c r="A806" s="1" t="s">
        <v>1425</v>
      </c>
      <c r="B806" s="1" t="s">
        <v>102</v>
      </c>
      <c r="C806" s="1" t="s">
        <v>103</v>
      </c>
      <c r="D806" s="1" t="s">
        <v>1432</v>
      </c>
      <c r="E806" s="1" t="s">
        <v>97</v>
      </c>
      <c r="F806" s="8">
        <v>46314.0</v>
      </c>
      <c r="G806" s="1" t="s">
        <v>132</v>
      </c>
      <c r="H806" s="1" t="s">
        <v>1427</v>
      </c>
      <c r="J806" s="1" t="s">
        <v>47</v>
      </c>
      <c r="K806" s="1" t="s">
        <v>243</v>
      </c>
      <c r="L806" s="1" t="s">
        <v>99</v>
      </c>
      <c r="O806" s="8">
        <v>43053.0</v>
      </c>
    </row>
    <row r="807">
      <c r="A807" s="1" t="s">
        <v>1425</v>
      </c>
      <c r="B807" s="1" t="s">
        <v>269</v>
      </c>
      <c r="C807" s="1" t="s">
        <v>270</v>
      </c>
      <c r="D807" s="1" t="s">
        <v>1433</v>
      </c>
      <c r="E807" s="1" t="s">
        <v>97</v>
      </c>
      <c r="F807" s="8">
        <v>46316.0</v>
      </c>
      <c r="G807" s="1" t="s">
        <v>71</v>
      </c>
      <c r="K807" s="1" t="s">
        <v>243</v>
      </c>
      <c r="L807" s="1" t="s">
        <v>99</v>
      </c>
      <c r="O807" s="8">
        <v>43053.0</v>
      </c>
    </row>
    <row r="808">
      <c r="A808" s="1" t="s">
        <v>1425</v>
      </c>
      <c r="B808" s="1" t="s">
        <v>269</v>
      </c>
      <c r="C808" s="1" t="s">
        <v>270</v>
      </c>
      <c r="D808" s="1" t="s">
        <v>1434</v>
      </c>
      <c r="E808" s="1" t="s">
        <v>97</v>
      </c>
      <c r="F808" s="8">
        <v>46316.0</v>
      </c>
      <c r="G808" s="1" t="s">
        <v>71</v>
      </c>
      <c r="K808" s="1" t="s">
        <v>243</v>
      </c>
      <c r="L808" s="1" t="s">
        <v>99</v>
      </c>
      <c r="O808" s="8">
        <v>43053.0</v>
      </c>
    </row>
    <row r="809">
      <c r="A809" s="1" t="s">
        <v>1435</v>
      </c>
      <c r="B809" s="1" t="s">
        <v>63</v>
      </c>
      <c r="C809" s="1" t="s">
        <v>64</v>
      </c>
      <c r="D809" s="1" t="s">
        <v>1436</v>
      </c>
      <c r="E809" s="1" t="s">
        <v>32</v>
      </c>
      <c r="F809" s="8">
        <v>45980.0</v>
      </c>
      <c r="H809" s="1" t="s">
        <v>242</v>
      </c>
      <c r="K809" s="1" t="s">
        <v>366</v>
      </c>
      <c r="L809" s="1" t="s">
        <v>35</v>
      </c>
      <c r="N809" s="8">
        <v>45980.0</v>
      </c>
      <c r="O809" s="8">
        <v>45980.0</v>
      </c>
    </row>
    <row r="810">
      <c r="A810" s="1" t="s">
        <v>1435</v>
      </c>
      <c r="B810" s="1" t="s">
        <v>63</v>
      </c>
      <c r="C810" s="1" t="s">
        <v>64</v>
      </c>
      <c r="D810" s="1" t="s">
        <v>1437</v>
      </c>
      <c r="E810" s="1" t="s">
        <v>32</v>
      </c>
      <c r="F810" s="8">
        <v>45980.0</v>
      </c>
      <c r="H810" s="1" t="s">
        <v>242</v>
      </c>
      <c r="K810" s="1" t="s">
        <v>366</v>
      </c>
      <c r="L810" s="1" t="s">
        <v>35</v>
      </c>
      <c r="N810" s="8">
        <v>45980.0</v>
      </c>
      <c r="O810" s="8">
        <v>45980.0</v>
      </c>
    </row>
    <row r="811">
      <c r="A811" s="1" t="s">
        <v>1438</v>
      </c>
      <c r="B811" s="1" t="s">
        <v>43</v>
      </c>
      <c r="C811" s="1" t="s">
        <v>259</v>
      </c>
      <c r="D811" s="1" t="s">
        <v>1439</v>
      </c>
      <c r="E811" s="1" t="s">
        <v>32</v>
      </c>
      <c r="F811" s="4">
        <v>46226.0</v>
      </c>
      <c r="H811" s="1" t="s">
        <v>33</v>
      </c>
      <c r="K811" s="1" t="s">
        <v>1440</v>
      </c>
      <c r="L811" s="1" t="s">
        <v>35</v>
      </c>
      <c r="N811" s="4">
        <v>46226.0</v>
      </c>
      <c r="O811" s="4">
        <v>46226.0</v>
      </c>
    </row>
    <row r="812">
      <c r="A812" s="1" t="s">
        <v>1438</v>
      </c>
      <c r="B812" s="1" t="s">
        <v>43</v>
      </c>
      <c r="C812" s="1" t="s">
        <v>259</v>
      </c>
      <c r="D812" s="1" t="s">
        <v>1441</v>
      </c>
      <c r="E812" s="1" t="s">
        <v>32</v>
      </c>
      <c r="F812" s="4">
        <v>46226.0</v>
      </c>
      <c r="H812" s="1" t="s">
        <v>33</v>
      </c>
      <c r="K812" s="1" t="s">
        <v>1440</v>
      </c>
      <c r="L812" s="1" t="s">
        <v>35</v>
      </c>
      <c r="N812" s="4">
        <v>46226.0</v>
      </c>
      <c r="O812" s="4">
        <v>46226.0</v>
      </c>
    </row>
    <row r="813">
      <c r="A813" s="1" t="s">
        <v>1442</v>
      </c>
      <c r="B813" s="1" t="s">
        <v>269</v>
      </c>
      <c r="C813" s="1" t="s">
        <v>270</v>
      </c>
      <c r="D813" s="1" t="s">
        <v>1443</v>
      </c>
      <c r="E813" s="1" t="s">
        <v>70</v>
      </c>
      <c r="F813" s="8">
        <v>46316.0</v>
      </c>
      <c r="G813" s="1" t="s">
        <v>132</v>
      </c>
      <c r="H813" s="1" t="s">
        <v>599</v>
      </c>
      <c r="J813" s="1" t="s">
        <v>47</v>
      </c>
      <c r="K813" s="1" t="s">
        <v>34</v>
      </c>
      <c r="L813" s="1" t="s">
        <v>99</v>
      </c>
      <c r="O813" s="4">
        <v>43040.0</v>
      </c>
    </row>
    <row r="814">
      <c r="A814" s="1" t="s">
        <v>1442</v>
      </c>
      <c r="B814" s="1" t="s">
        <v>269</v>
      </c>
      <c r="C814" s="1" t="s">
        <v>270</v>
      </c>
      <c r="D814" s="1" t="s">
        <v>1444</v>
      </c>
      <c r="E814" s="1" t="s">
        <v>70</v>
      </c>
      <c r="F814" s="8">
        <v>46316.0</v>
      </c>
      <c r="G814" s="1" t="s">
        <v>107</v>
      </c>
      <c r="H814" s="1" t="s">
        <v>599</v>
      </c>
      <c r="J814" s="1" t="s">
        <v>47</v>
      </c>
      <c r="K814" s="1" t="s">
        <v>34</v>
      </c>
      <c r="L814" s="1" t="s">
        <v>99</v>
      </c>
      <c r="O814" s="4">
        <v>43040.0</v>
      </c>
    </row>
    <row r="815">
      <c r="A815" s="1" t="s">
        <v>1442</v>
      </c>
      <c r="B815" s="1" t="s">
        <v>255</v>
      </c>
      <c r="C815" s="1" t="s">
        <v>256</v>
      </c>
      <c r="D815" s="1" t="s">
        <v>1445</v>
      </c>
      <c r="E815" s="1" t="s">
        <v>97</v>
      </c>
      <c r="F815" s="8">
        <v>46310.0</v>
      </c>
      <c r="G815" s="1" t="s">
        <v>107</v>
      </c>
      <c r="H815" s="1" t="s">
        <v>278</v>
      </c>
      <c r="J815" s="1" t="s">
        <v>47</v>
      </c>
      <c r="K815" s="1" t="s">
        <v>34</v>
      </c>
      <c r="L815" s="1" t="s">
        <v>99</v>
      </c>
      <c r="O815" s="8">
        <v>43039.0</v>
      </c>
    </row>
    <row r="816">
      <c r="A816" s="1" t="s">
        <v>1442</v>
      </c>
      <c r="B816" s="1" t="s">
        <v>269</v>
      </c>
      <c r="C816" s="1" t="s">
        <v>270</v>
      </c>
      <c r="D816" s="1" t="s">
        <v>1446</v>
      </c>
      <c r="E816" s="1" t="s">
        <v>97</v>
      </c>
      <c r="F816" s="8">
        <v>46316.0</v>
      </c>
      <c r="G816" s="1" t="s">
        <v>71</v>
      </c>
      <c r="K816" s="1" t="s">
        <v>34</v>
      </c>
      <c r="L816" s="1" t="s">
        <v>99</v>
      </c>
      <c r="O816" s="8">
        <v>43039.0</v>
      </c>
    </row>
    <row r="817">
      <c r="A817" s="1" t="s">
        <v>1442</v>
      </c>
      <c r="B817" s="1" t="s">
        <v>269</v>
      </c>
      <c r="C817" s="1" t="s">
        <v>270</v>
      </c>
      <c r="D817" s="1" t="s">
        <v>1447</v>
      </c>
      <c r="E817" s="1" t="s">
        <v>70</v>
      </c>
      <c r="F817" s="8">
        <v>46316.0</v>
      </c>
      <c r="G817" s="1" t="s">
        <v>107</v>
      </c>
      <c r="H817" s="1" t="s">
        <v>412</v>
      </c>
      <c r="J817" s="1" t="s">
        <v>47</v>
      </c>
      <c r="K817" s="1" t="s">
        <v>34</v>
      </c>
      <c r="L817" s="1" t="s">
        <v>99</v>
      </c>
      <c r="O817" s="8">
        <v>43039.0</v>
      </c>
    </row>
    <row r="818">
      <c r="A818" s="1" t="s">
        <v>1442</v>
      </c>
      <c r="B818" s="1" t="s">
        <v>269</v>
      </c>
      <c r="C818" s="1" t="s">
        <v>270</v>
      </c>
      <c r="D818" s="1" t="s">
        <v>1448</v>
      </c>
      <c r="E818" s="1" t="s">
        <v>70</v>
      </c>
      <c r="F818" s="8">
        <v>46316.0</v>
      </c>
      <c r="G818" s="1" t="s">
        <v>132</v>
      </c>
      <c r="H818" s="1" t="s">
        <v>1213</v>
      </c>
      <c r="J818" s="1" t="s">
        <v>47</v>
      </c>
      <c r="K818" s="1" t="s">
        <v>34</v>
      </c>
      <c r="L818" s="1" t="s">
        <v>99</v>
      </c>
      <c r="O818" s="8">
        <v>43039.0</v>
      </c>
    </row>
    <row r="819">
      <c r="A819" s="1" t="s">
        <v>1442</v>
      </c>
      <c r="B819" s="1" t="s">
        <v>255</v>
      </c>
      <c r="C819" s="1" t="s">
        <v>256</v>
      </c>
      <c r="D819" s="1" t="s">
        <v>1449</v>
      </c>
      <c r="E819" s="1" t="s">
        <v>97</v>
      </c>
      <c r="F819" s="8">
        <v>46310.0</v>
      </c>
      <c r="G819" s="1" t="s">
        <v>107</v>
      </c>
      <c r="H819" s="1" t="s">
        <v>278</v>
      </c>
      <c r="J819" s="1" t="s">
        <v>47</v>
      </c>
      <c r="K819" s="1" t="s">
        <v>34</v>
      </c>
      <c r="L819" s="1" t="s">
        <v>99</v>
      </c>
      <c r="O819" s="8">
        <v>43039.0</v>
      </c>
    </row>
    <row r="820">
      <c r="A820" s="1" t="s">
        <v>1442</v>
      </c>
      <c r="B820" s="1" t="s">
        <v>255</v>
      </c>
      <c r="C820" s="1" t="s">
        <v>256</v>
      </c>
      <c r="D820" s="1" t="s">
        <v>1450</v>
      </c>
      <c r="E820" s="1" t="s">
        <v>97</v>
      </c>
      <c r="F820" s="8">
        <v>46310.0</v>
      </c>
      <c r="G820" s="1" t="s">
        <v>107</v>
      </c>
      <c r="H820" s="1" t="s">
        <v>278</v>
      </c>
      <c r="J820" s="1" t="s">
        <v>47</v>
      </c>
      <c r="K820" s="1" t="s">
        <v>34</v>
      </c>
      <c r="L820" s="1" t="s">
        <v>99</v>
      </c>
      <c r="O820" s="4">
        <v>43040.0</v>
      </c>
    </row>
    <row r="821">
      <c r="A821" s="1" t="s">
        <v>1442</v>
      </c>
      <c r="B821" s="1" t="s">
        <v>255</v>
      </c>
      <c r="C821" s="1" t="s">
        <v>256</v>
      </c>
      <c r="D821" s="1" t="s">
        <v>1451</v>
      </c>
      <c r="E821" s="1" t="s">
        <v>97</v>
      </c>
      <c r="F821" s="8">
        <v>46310.0</v>
      </c>
      <c r="G821" s="1" t="s">
        <v>107</v>
      </c>
      <c r="H821" s="1" t="s">
        <v>1452</v>
      </c>
      <c r="J821" s="1" t="s">
        <v>47</v>
      </c>
      <c r="K821" s="1" t="s">
        <v>34</v>
      </c>
      <c r="L821" s="1" t="s">
        <v>99</v>
      </c>
      <c r="O821" s="4">
        <v>43040.0</v>
      </c>
    </row>
    <row r="822">
      <c r="A822" s="1" t="s">
        <v>1442</v>
      </c>
      <c r="B822" s="1" t="s">
        <v>255</v>
      </c>
      <c r="C822" s="1" t="s">
        <v>256</v>
      </c>
      <c r="D822" s="1" t="s">
        <v>1453</v>
      </c>
      <c r="E822" s="1" t="s">
        <v>97</v>
      </c>
      <c r="F822" s="8">
        <v>46310.0</v>
      </c>
      <c r="G822" s="1" t="s">
        <v>71</v>
      </c>
      <c r="H822" s="1" t="s">
        <v>396</v>
      </c>
      <c r="K822" s="1" t="s">
        <v>34</v>
      </c>
      <c r="L822" s="1" t="s">
        <v>99</v>
      </c>
      <c r="O822" s="8">
        <v>43039.0</v>
      </c>
    </row>
    <row r="823">
      <c r="A823" s="1" t="s">
        <v>1442</v>
      </c>
      <c r="B823" s="1" t="s">
        <v>255</v>
      </c>
      <c r="C823" s="1" t="s">
        <v>256</v>
      </c>
      <c r="D823" s="1" t="s">
        <v>1454</v>
      </c>
      <c r="E823" s="1" t="s">
        <v>97</v>
      </c>
      <c r="F823" s="8">
        <v>46310.0</v>
      </c>
      <c r="G823" s="1" t="s">
        <v>71</v>
      </c>
      <c r="H823" s="1" t="s">
        <v>396</v>
      </c>
      <c r="K823" s="1" t="s">
        <v>34</v>
      </c>
      <c r="L823" s="1" t="s">
        <v>99</v>
      </c>
      <c r="O823" s="8">
        <v>43039.0</v>
      </c>
    </row>
    <row r="824">
      <c r="A824" s="1" t="s">
        <v>1442</v>
      </c>
      <c r="B824" s="1" t="s">
        <v>255</v>
      </c>
      <c r="C824" s="1" t="s">
        <v>256</v>
      </c>
      <c r="D824" s="1" t="s">
        <v>1455</v>
      </c>
      <c r="E824" s="1" t="s">
        <v>97</v>
      </c>
      <c r="F824" s="8">
        <v>46310.0</v>
      </c>
      <c r="G824" s="1" t="s">
        <v>71</v>
      </c>
      <c r="H824" s="1" t="s">
        <v>396</v>
      </c>
      <c r="K824" s="1" t="s">
        <v>34</v>
      </c>
      <c r="L824" s="1" t="s">
        <v>99</v>
      </c>
      <c r="O824" s="4">
        <v>43040.0</v>
      </c>
    </row>
    <row r="825">
      <c r="A825" s="1" t="s">
        <v>1442</v>
      </c>
      <c r="B825" s="1" t="s">
        <v>255</v>
      </c>
      <c r="C825" s="1" t="s">
        <v>256</v>
      </c>
      <c r="D825" s="1" t="s">
        <v>1456</v>
      </c>
      <c r="E825" s="1" t="s">
        <v>97</v>
      </c>
      <c r="F825" s="8">
        <v>46310.0</v>
      </c>
      <c r="G825" s="1" t="s">
        <v>71</v>
      </c>
      <c r="H825" s="1" t="s">
        <v>396</v>
      </c>
      <c r="K825" s="1" t="s">
        <v>34</v>
      </c>
      <c r="L825" s="1" t="s">
        <v>99</v>
      </c>
      <c r="O825" s="8">
        <v>43039.0</v>
      </c>
    </row>
    <row r="826">
      <c r="A826" s="1" t="s">
        <v>1442</v>
      </c>
      <c r="B826" s="1" t="s">
        <v>255</v>
      </c>
      <c r="C826" s="1" t="s">
        <v>256</v>
      </c>
      <c r="D826" s="1" t="s">
        <v>1457</v>
      </c>
      <c r="E826" s="1" t="s">
        <v>97</v>
      </c>
      <c r="F826" s="8">
        <v>46310.0</v>
      </c>
      <c r="G826" s="1" t="s">
        <v>71</v>
      </c>
      <c r="H826" s="1" t="s">
        <v>642</v>
      </c>
      <c r="K826" s="1" t="s">
        <v>34</v>
      </c>
      <c r="L826" s="1" t="s">
        <v>99</v>
      </c>
      <c r="O826" s="8">
        <v>43039.0</v>
      </c>
    </row>
    <row r="827">
      <c r="A827" s="1" t="s">
        <v>1442</v>
      </c>
      <c r="B827" s="1" t="s">
        <v>255</v>
      </c>
      <c r="C827" s="1" t="s">
        <v>256</v>
      </c>
      <c r="D827" s="1" t="s">
        <v>1458</v>
      </c>
      <c r="E827" s="1" t="s">
        <v>97</v>
      </c>
      <c r="F827" s="8">
        <v>46310.0</v>
      </c>
      <c r="G827" s="1" t="s">
        <v>71</v>
      </c>
      <c r="H827" s="1" t="s">
        <v>396</v>
      </c>
      <c r="K827" s="1" t="s">
        <v>34</v>
      </c>
      <c r="L827" s="1" t="s">
        <v>99</v>
      </c>
      <c r="O827" s="8">
        <v>43039.0</v>
      </c>
    </row>
    <row r="828">
      <c r="A828" s="1" t="s">
        <v>1442</v>
      </c>
      <c r="B828" s="1" t="s">
        <v>269</v>
      </c>
      <c r="C828" s="1" t="s">
        <v>270</v>
      </c>
      <c r="D828" s="1" t="s">
        <v>1459</v>
      </c>
      <c r="E828" s="1" t="s">
        <v>97</v>
      </c>
      <c r="F828" s="8">
        <v>46316.0</v>
      </c>
      <c r="G828" s="1" t="s">
        <v>71</v>
      </c>
      <c r="K828" s="1" t="s">
        <v>34</v>
      </c>
      <c r="L828" s="1" t="s">
        <v>99</v>
      </c>
      <c r="O828" s="8">
        <v>43039.0</v>
      </c>
    </row>
    <row r="829">
      <c r="A829" s="1" t="s">
        <v>1442</v>
      </c>
      <c r="B829" s="1" t="s">
        <v>269</v>
      </c>
      <c r="C829" s="1" t="s">
        <v>270</v>
      </c>
      <c r="D829" s="1" t="s">
        <v>1460</v>
      </c>
      <c r="E829" s="1" t="s">
        <v>97</v>
      </c>
      <c r="F829" s="8">
        <v>46316.0</v>
      </c>
      <c r="G829" s="1" t="s">
        <v>71</v>
      </c>
      <c r="K829" s="1" t="s">
        <v>34</v>
      </c>
      <c r="L829" s="1" t="s">
        <v>99</v>
      </c>
      <c r="O829" s="8">
        <v>43039.0</v>
      </c>
    </row>
    <row r="830">
      <c r="A830" s="1" t="s">
        <v>1442</v>
      </c>
      <c r="B830" s="1" t="s">
        <v>269</v>
      </c>
      <c r="C830" s="1" t="s">
        <v>270</v>
      </c>
      <c r="D830" s="1" t="s">
        <v>1461</v>
      </c>
      <c r="E830" s="1" t="s">
        <v>97</v>
      </c>
      <c r="F830" s="8">
        <v>46316.0</v>
      </c>
      <c r="G830" s="1" t="s">
        <v>71</v>
      </c>
      <c r="K830" s="1" t="s">
        <v>34</v>
      </c>
      <c r="L830" s="1" t="s">
        <v>99</v>
      </c>
      <c r="O830" s="8">
        <v>43039.0</v>
      </c>
    </row>
    <row r="831">
      <c r="A831" s="1" t="s">
        <v>1442</v>
      </c>
      <c r="B831" s="1" t="s">
        <v>269</v>
      </c>
      <c r="C831" s="1" t="s">
        <v>270</v>
      </c>
      <c r="D831" s="1" t="s">
        <v>1462</v>
      </c>
      <c r="E831" s="1" t="s">
        <v>97</v>
      </c>
      <c r="F831" s="8">
        <v>46316.0</v>
      </c>
      <c r="G831" s="1" t="s">
        <v>71</v>
      </c>
      <c r="K831" s="1" t="s">
        <v>34</v>
      </c>
      <c r="L831" s="1" t="s">
        <v>99</v>
      </c>
      <c r="O831" s="8">
        <v>43039.0</v>
      </c>
    </row>
    <row r="832">
      <c r="A832" s="1" t="s">
        <v>1442</v>
      </c>
      <c r="B832" s="1" t="s">
        <v>269</v>
      </c>
      <c r="C832" s="1" t="s">
        <v>270</v>
      </c>
      <c r="D832" s="1" t="s">
        <v>1463</v>
      </c>
      <c r="E832" s="1" t="s">
        <v>97</v>
      </c>
      <c r="F832" s="8">
        <v>46316.0</v>
      </c>
      <c r="G832" s="1" t="s">
        <v>71</v>
      </c>
      <c r="K832" s="1" t="s">
        <v>34</v>
      </c>
      <c r="L832" s="1" t="s">
        <v>99</v>
      </c>
      <c r="O832" s="8">
        <v>43039.0</v>
      </c>
    </row>
    <row r="833">
      <c r="A833" s="1" t="s">
        <v>1442</v>
      </c>
      <c r="B833" s="1" t="s">
        <v>269</v>
      </c>
      <c r="C833" s="1" t="s">
        <v>270</v>
      </c>
      <c r="D833" s="1" t="s">
        <v>1464</v>
      </c>
      <c r="E833" s="1" t="s">
        <v>97</v>
      </c>
      <c r="F833" s="8">
        <v>46316.0</v>
      </c>
      <c r="G833" s="1" t="s">
        <v>71</v>
      </c>
      <c r="K833" s="1" t="s">
        <v>34</v>
      </c>
      <c r="L833" s="1" t="s">
        <v>99</v>
      </c>
      <c r="O833" s="8">
        <v>43039.0</v>
      </c>
    </row>
    <row r="834">
      <c r="A834" s="1" t="s">
        <v>1442</v>
      </c>
      <c r="B834" s="1" t="s">
        <v>63</v>
      </c>
      <c r="C834" s="1" t="s">
        <v>64</v>
      </c>
      <c r="D834" s="1" t="s">
        <v>1465</v>
      </c>
      <c r="E834" s="1" t="s">
        <v>97</v>
      </c>
      <c r="F834" s="8">
        <v>46310.0</v>
      </c>
      <c r="G834" s="1" t="s">
        <v>71</v>
      </c>
      <c r="K834" s="1" t="s">
        <v>34</v>
      </c>
      <c r="L834" s="1" t="s">
        <v>99</v>
      </c>
      <c r="O834" s="4">
        <v>43040.0</v>
      </c>
    </row>
    <row r="835">
      <c r="A835" s="1" t="s">
        <v>1442</v>
      </c>
      <c r="B835" s="1" t="s">
        <v>63</v>
      </c>
      <c r="C835" s="1" t="s">
        <v>64</v>
      </c>
      <c r="D835" s="1" t="s">
        <v>1466</v>
      </c>
      <c r="E835" s="1" t="s">
        <v>97</v>
      </c>
      <c r="F835" s="8">
        <v>46310.0</v>
      </c>
      <c r="G835" s="1" t="s">
        <v>132</v>
      </c>
      <c r="H835" s="1" t="s">
        <v>225</v>
      </c>
      <c r="J835" s="1" t="s">
        <v>47</v>
      </c>
      <c r="K835" s="1" t="s">
        <v>34</v>
      </c>
      <c r="L835" s="1" t="s">
        <v>99</v>
      </c>
      <c r="O835" s="4">
        <v>43040.0</v>
      </c>
    </row>
    <row r="836">
      <c r="A836" s="1" t="s">
        <v>1442</v>
      </c>
      <c r="B836" s="1" t="s">
        <v>63</v>
      </c>
      <c r="C836" s="1" t="s">
        <v>64</v>
      </c>
      <c r="D836" s="1" t="s">
        <v>1467</v>
      </c>
      <c r="E836" s="1" t="s">
        <v>97</v>
      </c>
      <c r="F836" s="8">
        <v>46310.0</v>
      </c>
      <c r="G836" s="1" t="s">
        <v>71</v>
      </c>
      <c r="K836" s="1" t="s">
        <v>34</v>
      </c>
      <c r="L836" s="1" t="s">
        <v>99</v>
      </c>
      <c r="O836" s="4">
        <v>43040.0</v>
      </c>
    </row>
    <row r="837">
      <c r="A837" s="1" t="s">
        <v>1442</v>
      </c>
      <c r="B837" s="1" t="s">
        <v>288</v>
      </c>
      <c r="C837" s="1" t="s">
        <v>289</v>
      </c>
      <c r="D837" s="1" t="s">
        <v>1468</v>
      </c>
      <c r="E837" s="1" t="s">
        <v>97</v>
      </c>
      <c r="F837" s="8">
        <v>46309.0</v>
      </c>
      <c r="G837" s="1" t="s">
        <v>71</v>
      </c>
      <c r="H837" s="1" t="s">
        <v>418</v>
      </c>
      <c r="K837" s="1" t="s">
        <v>34</v>
      </c>
      <c r="L837" s="1" t="s">
        <v>99</v>
      </c>
      <c r="M837" s="4">
        <v>45660.0</v>
      </c>
      <c r="O837" s="4">
        <v>43042.0</v>
      </c>
    </row>
    <row r="838">
      <c r="A838" s="1" t="s">
        <v>1442</v>
      </c>
      <c r="B838" s="1" t="s">
        <v>288</v>
      </c>
      <c r="C838" s="1" t="s">
        <v>289</v>
      </c>
      <c r="D838" s="1" t="s">
        <v>1469</v>
      </c>
      <c r="E838" s="1" t="s">
        <v>70</v>
      </c>
      <c r="F838" s="8">
        <v>46309.0</v>
      </c>
      <c r="G838" s="1" t="s">
        <v>107</v>
      </c>
      <c r="H838" s="1" t="s">
        <v>937</v>
      </c>
      <c r="J838" s="1" t="s">
        <v>134</v>
      </c>
      <c r="K838" s="1" t="s">
        <v>34</v>
      </c>
      <c r="L838" s="1" t="s">
        <v>99</v>
      </c>
      <c r="O838" s="4">
        <v>43040.0</v>
      </c>
    </row>
    <row r="839">
      <c r="A839" s="1" t="s">
        <v>1470</v>
      </c>
      <c r="B839" s="1" t="s">
        <v>43</v>
      </c>
      <c r="C839" s="1" t="s">
        <v>259</v>
      </c>
      <c r="D839" s="1" t="s">
        <v>1471</v>
      </c>
      <c r="E839" s="1" t="s">
        <v>32</v>
      </c>
      <c r="F839" s="4">
        <v>46226.0</v>
      </c>
      <c r="H839" s="1" t="s">
        <v>33</v>
      </c>
      <c r="K839" s="1" t="s">
        <v>34</v>
      </c>
      <c r="L839" s="1" t="s">
        <v>35</v>
      </c>
      <c r="N839" s="4">
        <v>46226.0</v>
      </c>
      <c r="O839" s="4">
        <v>46226.0</v>
      </c>
    </row>
    <row r="840">
      <c r="A840" s="1" t="s">
        <v>1472</v>
      </c>
      <c r="B840" s="1" t="s">
        <v>1473</v>
      </c>
      <c r="C840" s="1" t="s">
        <v>1474</v>
      </c>
      <c r="D840" s="1" t="s">
        <v>1475</v>
      </c>
      <c r="E840" s="1" t="s">
        <v>97</v>
      </c>
      <c r="F840" s="8">
        <v>46314.0</v>
      </c>
      <c r="G840" s="1" t="s">
        <v>132</v>
      </c>
      <c r="H840" s="1" t="s">
        <v>1476</v>
      </c>
      <c r="J840" s="1" t="s">
        <v>47</v>
      </c>
      <c r="K840" s="1" t="s">
        <v>47</v>
      </c>
      <c r="L840" s="1" t="s">
        <v>99</v>
      </c>
      <c r="O840" s="4">
        <v>45600.0</v>
      </c>
      <c r="T840" s="19" t="s">
        <v>1477</v>
      </c>
    </row>
    <row r="841">
      <c r="A841" s="1" t="s">
        <v>1472</v>
      </c>
      <c r="B841" s="1" t="s">
        <v>63</v>
      </c>
      <c r="C841" s="1" t="s">
        <v>64</v>
      </c>
      <c r="D841" s="1" t="s">
        <v>1478</v>
      </c>
      <c r="E841" s="1" t="s">
        <v>97</v>
      </c>
      <c r="F841" s="8">
        <v>46310.0</v>
      </c>
      <c r="G841" s="1" t="s">
        <v>107</v>
      </c>
      <c r="H841" s="1" t="s">
        <v>517</v>
      </c>
      <c r="J841" s="1" t="s">
        <v>47</v>
      </c>
      <c r="K841" s="1" t="s">
        <v>47</v>
      </c>
      <c r="L841" s="1" t="s">
        <v>99</v>
      </c>
      <c r="O841" s="4">
        <v>45600.0</v>
      </c>
    </row>
    <row r="842">
      <c r="A842" s="1" t="s">
        <v>1479</v>
      </c>
      <c r="B842" s="1" t="s">
        <v>63</v>
      </c>
      <c r="C842" s="1" t="s">
        <v>64</v>
      </c>
      <c r="D842" s="1" t="s">
        <v>1480</v>
      </c>
      <c r="E842" s="1" t="s">
        <v>32</v>
      </c>
      <c r="F842" s="4">
        <v>46027.0</v>
      </c>
      <c r="H842" s="1" t="s">
        <v>33</v>
      </c>
      <c r="K842" s="1" t="s">
        <v>1481</v>
      </c>
      <c r="L842" s="1" t="s">
        <v>35</v>
      </c>
      <c r="N842" s="4">
        <v>46027.0</v>
      </c>
      <c r="O842" s="4">
        <v>46027.0</v>
      </c>
    </row>
    <row r="843">
      <c r="A843" s="1" t="s">
        <v>1482</v>
      </c>
      <c r="B843" s="1" t="s">
        <v>255</v>
      </c>
      <c r="C843" s="1" t="s">
        <v>1483</v>
      </c>
      <c r="D843" s="1" t="s">
        <v>1484</v>
      </c>
      <c r="E843" s="1" t="s">
        <v>32</v>
      </c>
      <c r="F843" s="4">
        <v>46149.0</v>
      </c>
      <c r="H843" s="1" t="s">
        <v>1485</v>
      </c>
      <c r="K843" s="1" t="s">
        <v>243</v>
      </c>
      <c r="L843" s="1" t="s">
        <v>35</v>
      </c>
      <c r="N843" s="4">
        <v>46149.0</v>
      </c>
      <c r="O843" s="4">
        <v>46149.0</v>
      </c>
    </row>
    <row r="844">
      <c r="A844" s="1" t="s">
        <v>1482</v>
      </c>
      <c r="B844" s="1" t="s">
        <v>255</v>
      </c>
      <c r="C844" s="1" t="s">
        <v>1483</v>
      </c>
      <c r="D844" s="1" t="s">
        <v>1486</v>
      </c>
      <c r="E844" s="1" t="s">
        <v>32</v>
      </c>
      <c r="F844" s="4">
        <v>46149.0</v>
      </c>
      <c r="H844" s="1" t="s">
        <v>1485</v>
      </c>
      <c r="K844" s="1" t="s">
        <v>243</v>
      </c>
      <c r="L844" s="1" t="s">
        <v>35</v>
      </c>
      <c r="N844" s="4">
        <v>46149.0</v>
      </c>
      <c r="O844" s="4">
        <v>46149.0</v>
      </c>
    </row>
    <row r="845">
      <c r="A845" s="1" t="s">
        <v>1487</v>
      </c>
      <c r="B845" s="1" t="s">
        <v>914</v>
      </c>
      <c r="C845" s="1" t="s">
        <v>861</v>
      </c>
      <c r="D845" s="1" t="s">
        <v>1488</v>
      </c>
      <c r="E845" s="1" t="s">
        <v>32</v>
      </c>
      <c r="F845" s="4">
        <v>46113.0</v>
      </c>
      <c r="H845" s="1" t="s">
        <v>33</v>
      </c>
      <c r="K845" s="1" t="s">
        <v>366</v>
      </c>
      <c r="L845" s="1" t="s">
        <v>35</v>
      </c>
      <c r="N845" s="4">
        <v>46113.0</v>
      </c>
      <c r="O845" s="4">
        <v>46113.0</v>
      </c>
    </row>
    <row r="846">
      <c r="A846" s="1" t="s">
        <v>1487</v>
      </c>
      <c r="B846" s="1" t="s">
        <v>914</v>
      </c>
      <c r="C846" s="1" t="s">
        <v>861</v>
      </c>
      <c r="D846" s="1" t="s">
        <v>1489</v>
      </c>
      <c r="E846" s="1" t="s">
        <v>32</v>
      </c>
      <c r="F846" s="4">
        <v>46113.0</v>
      </c>
      <c r="H846" s="1" t="s">
        <v>33</v>
      </c>
      <c r="K846" s="1" t="s">
        <v>366</v>
      </c>
      <c r="L846" s="1" t="s">
        <v>35</v>
      </c>
      <c r="N846" s="4">
        <v>46113.0</v>
      </c>
      <c r="O846" s="4">
        <v>46113.0</v>
      </c>
    </row>
    <row r="847">
      <c r="A847" s="1" t="s">
        <v>1490</v>
      </c>
      <c r="B847" s="1" t="s">
        <v>1160</v>
      </c>
      <c r="C847" s="1" t="s">
        <v>1161</v>
      </c>
      <c r="D847" s="1" t="s">
        <v>1491</v>
      </c>
      <c r="E847" s="1" t="s">
        <v>32</v>
      </c>
      <c r="F847" s="4">
        <v>46119.0</v>
      </c>
      <c r="H847" s="1" t="s">
        <v>1492</v>
      </c>
      <c r="K847" s="1" t="s">
        <v>254</v>
      </c>
      <c r="L847" s="1" t="s">
        <v>35</v>
      </c>
      <c r="N847" s="4">
        <v>46119.0</v>
      </c>
      <c r="O847" s="4">
        <v>46119.0</v>
      </c>
    </row>
    <row r="848">
      <c r="A848" s="1" t="s">
        <v>1490</v>
      </c>
      <c r="B848" s="1" t="s">
        <v>1160</v>
      </c>
      <c r="C848" s="1" t="s">
        <v>1161</v>
      </c>
      <c r="D848" s="1" t="s">
        <v>1493</v>
      </c>
      <c r="E848" s="1" t="s">
        <v>32</v>
      </c>
      <c r="F848" s="4">
        <v>46119.0</v>
      </c>
      <c r="H848" s="1" t="s">
        <v>1492</v>
      </c>
      <c r="K848" s="1" t="s">
        <v>254</v>
      </c>
      <c r="L848" s="1" t="s">
        <v>35</v>
      </c>
      <c r="N848" s="4">
        <v>46119.0</v>
      </c>
      <c r="O848" s="4">
        <v>46119.0</v>
      </c>
    </row>
    <row r="849">
      <c r="A849" s="1" t="s">
        <v>1494</v>
      </c>
      <c r="B849" s="1" t="s">
        <v>94</v>
      </c>
      <c r="C849" s="1" t="s">
        <v>95</v>
      </c>
      <c r="D849" s="1" t="s">
        <v>1495</v>
      </c>
      <c r="E849" s="1" t="s">
        <v>97</v>
      </c>
      <c r="F849" s="8">
        <v>46311.0</v>
      </c>
      <c r="G849" s="1" t="s">
        <v>71</v>
      </c>
      <c r="K849" s="1" t="s">
        <v>1496</v>
      </c>
      <c r="L849" s="1" t="s">
        <v>99</v>
      </c>
      <c r="O849" s="4">
        <v>46185.0</v>
      </c>
    </row>
    <row r="850">
      <c r="A850" s="1" t="s">
        <v>1494</v>
      </c>
      <c r="B850" s="1" t="s">
        <v>94</v>
      </c>
      <c r="C850" s="1" t="s">
        <v>95</v>
      </c>
      <c r="D850" s="1" t="s">
        <v>1497</v>
      </c>
      <c r="E850" s="1" t="s">
        <v>97</v>
      </c>
      <c r="F850" s="8">
        <v>46311.0</v>
      </c>
      <c r="G850" s="1" t="s">
        <v>71</v>
      </c>
      <c r="K850" s="1" t="s">
        <v>1496</v>
      </c>
      <c r="L850" s="1" t="s">
        <v>99</v>
      </c>
      <c r="O850" s="4">
        <v>46185.0</v>
      </c>
    </row>
    <row r="851">
      <c r="A851" s="1" t="s">
        <v>1494</v>
      </c>
      <c r="B851" s="1" t="s">
        <v>94</v>
      </c>
      <c r="C851" s="1" t="s">
        <v>95</v>
      </c>
      <c r="D851" s="1" t="s">
        <v>1498</v>
      </c>
      <c r="E851" s="1" t="s">
        <v>97</v>
      </c>
      <c r="F851" s="8">
        <v>46311.0</v>
      </c>
      <c r="G851" s="1" t="s">
        <v>71</v>
      </c>
      <c r="K851" s="1" t="s">
        <v>1496</v>
      </c>
      <c r="L851" s="1" t="s">
        <v>99</v>
      </c>
      <c r="O851" s="4">
        <v>46185.0</v>
      </c>
    </row>
    <row r="852">
      <c r="A852" s="1" t="s">
        <v>1494</v>
      </c>
      <c r="B852" s="1" t="s">
        <v>94</v>
      </c>
      <c r="C852" s="1" t="s">
        <v>95</v>
      </c>
      <c r="D852" s="1" t="s">
        <v>1499</v>
      </c>
      <c r="E852" s="1" t="s">
        <v>97</v>
      </c>
      <c r="F852" s="8">
        <v>46311.0</v>
      </c>
      <c r="G852" s="1" t="s">
        <v>107</v>
      </c>
      <c r="H852" s="1" t="s">
        <v>189</v>
      </c>
      <c r="J852" s="1" t="s">
        <v>295</v>
      </c>
      <c r="K852" s="1" t="s">
        <v>1496</v>
      </c>
      <c r="L852" s="1" t="s">
        <v>99</v>
      </c>
      <c r="O852" s="4">
        <v>46185.0</v>
      </c>
    </row>
    <row r="853">
      <c r="A853" s="1" t="s">
        <v>1494</v>
      </c>
      <c r="B853" s="1" t="s">
        <v>288</v>
      </c>
      <c r="C853" s="1" t="s">
        <v>289</v>
      </c>
      <c r="D853" s="1" t="s">
        <v>1500</v>
      </c>
      <c r="E853" s="1" t="s">
        <v>70</v>
      </c>
      <c r="F853" s="8">
        <v>46309.0</v>
      </c>
      <c r="G853" s="1" t="s">
        <v>107</v>
      </c>
      <c r="H853" s="1" t="s">
        <v>469</v>
      </c>
      <c r="J853" s="1" t="s">
        <v>134</v>
      </c>
      <c r="K853" s="1" t="s">
        <v>1496</v>
      </c>
      <c r="L853" s="1" t="s">
        <v>99</v>
      </c>
      <c r="O853" s="4">
        <v>46185.0</v>
      </c>
    </row>
    <row r="854">
      <c r="A854" s="1" t="s">
        <v>1494</v>
      </c>
      <c r="B854" s="1" t="s">
        <v>288</v>
      </c>
      <c r="C854" s="1" t="s">
        <v>289</v>
      </c>
      <c r="D854" s="1" t="s">
        <v>1501</v>
      </c>
      <c r="E854" s="1" t="s">
        <v>70</v>
      </c>
      <c r="F854" s="8">
        <v>46309.0</v>
      </c>
      <c r="G854" s="1" t="s">
        <v>107</v>
      </c>
      <c r="H854" s="1" t="s">
        <v>469</v>
      </c>
      <c r="J854" s="1" t="s">
        <v>134</v>
      </c>
      <c r="K854" s="1" t="s">
        <v>1496</v>
      </c>
      <c r="L854" s="1" t="s">
        <v>99</v>
      </c>
      <c r="O854" s="4">
        <v>46185.0</v>
      </c>
    </row>
    <row r="855">
      <c r="A855" s="1" t="s">
        <v>1494</v>
      </c>
      <c r="B855" s="1" t="s">
        <v>255</v>
      </c>
      <c r="C855" s="1" t="s">
        <v>256</v>
      </c>
      <c r="D855" s="1" t="s">
        <v>1502</v>
      </c>
      <c r="E855" s="1" t="s">
        <v>97</v>
      </c>
      <c r="F855" s="8">
        <v>46310.0</v>
      </c>
      <c r="G855" s="1" t="s">
        <v>132</v>
      </c>
      <c r="H855" s="1" t="s">
        <v>396</v>
      </c>
      <c r="J855" s="1" t="s">
        <v>134</v>
      </c>
      <c r="K855" s="1" t="s">
        <v>1496</v>
      </c>
      <c r="L855" s="1" t="s">
        <v>99</v>
      </c>
      <c r="O855" s="4">
        <v>46185.0</v>
      </c>
    </row>
    <row r="856">
      <c r="A856" s="1" t="s">
        <v>1494</v>
      </c>
      <c r="B856" s="1" t="s">
        <v>750</v>
      </c>
      <c r="C856" s="1" t="s">
        <v>1503</v>
      </c>
      <c r="D856" s="1" t="s">
        <v>1504</v>
      </c>
      <c r="E856" s="1" t="s">
        <v>32</v>
      </c>
      <c r="F856" s="4">
        <v>46273.0</v>
      </c>
      <c r="G856" s="1" t="s">
        <v>71</v>
      </c>
      <c r="H856" s="1" t="s">
        <v>420</v>
      </c>
      <c r="K856" s="1" t="s">
        <v>1496</v>
      </c>
      <c r="L856" s="1" t="s">
        <v>99</v>
      </c>
      <c r="O856" s="4">
        <v>46185.0</v>
      </c>
      <c r="T856" s="19" t="s">
        <v>1505</v>
      </c>
    </row>
    <row r="857">
      <c r="A857" s="1" t="s">
        <v>1506</v>
      </c>
      <c r="B857" s="1" t="s">
        <v>1507</v>
      </c>
      <c r="C857" s="1" t="s">
        <v>247</v>
      </c>
      <c r="D857" s="1" t="s">
        <v>1508</v>
      </c>
      <c r="E857" s="1" t="s">
        <v>32</v>
      </c>
      <c r="F857" s="4">
        <v>46030.0</v>
      </c>
      <c r="H857" s="1" t="s">
        <v>1509</v>
      </c>
      <c r="K857" s="1" t="s">
        <v>235</v>
      </c>
      <c r="L857" s="1" t="s">
        <v>35</v>
      </c>
      <c r="N857" s="4">
        <v>46030.0</v>
      </c>
      <c r="O857" s="4">
        <v>46030.0</v>
      </c>
    </row>
    <row r="858">
      <c r="A858" s="1" t="s">
        <v>1510</v>
      </c>
      <c r="B858" s="1" t="s">
        <v>246</v>
      </c>
      <c r="C858" s="1" t="s">
        <v>247</v>
      </c>
      <c r="D858" s="1" t="s">
        <v>1511</v>
      </c>
      <c r="E858" s="1" t="s">
        <v>32</v>
      </c>
      <c r="F858" s="4">
        <v>46274.0</v>
      </c>
      <c r="H858" s="1" t="s">
        <v>1512</v>
      </c>
      <c r="K858" s="1" t="s">
        <v>235</v>
      </c>
      <c r="L858" s="1" t="s">
        <v>35</v>
      </c>
      <c r="N858" s="4">
        <v>46274.0</v>
      </c>
      <c r="O858" s="4">
        <v>46274.0</v>
      </c>
    </row>
    <row r="859">
      <c r="A859" s="1" t="s">
        <v>1513</v>
      </c>
      <c r="B859" s="1" t="s">
        <v>1514</v>
      </c>
      <c r="C859" s="1" t="s">
        <v>1515</v>
      </c>
      <c r="D859" s="1" t="s">
        <v>1516</v>
      </c>
      <c r="E859" s="1" t="s">
        <v>32</v>
      </c>
      <c r="F859" s="4">
        <v>46266.0</v>
      </c>
      <c r="H859" s="1" t="s">
        <v>1517</v>
      </c>
      <c r="K859" s="1" t="s">
        <v>372</v>
      </c>
      <c r="L859" s="1" t="s">
        <v>35</v>
      </c>
      <c r="N859" s="4">
        <v>46266.0</v>
      </c>
      <c r="O859" s="4">
        <v>46266.0</v>
      </c>
    </row>
    <row r="860">
      <c r="A860" s="1" t="s">
        <v>1518</v>
      </c>
      <c r="B860" s="1" t="s">
        <v>1514</v>
      </c>
      <c r="C860" s="1" t="s">
        <v>1515</v>
      </c>
      <c r="D860" s="1" t="s">
        <v>1519</v>
      </c>
      <c r="E860" s="1" t="s">
        <v>32</v>
      </c>
      <c r="F860" s="4">
        <v>46266.0</v>
      </c>
      <c r="H860" s="1" t="s">
        <v>1517</v>
      </c>
      <c r="K860" s="1" t="s">
        <v>372</v>
      </c>
      <c r="L860" s="1" t="s">
        <v>35</v>
      </c>
      <c r="N860" s="4">
        <v>46266.0</v>
      </c>
      <c r="O860" s="4">
        <v>46266.0</v>
      </c>
    </row>
    <row r="861">
      <c r="A861" s="1" t="s">
        <v>1520</v>
      </c>
      <c r="B861" s="1" t="s">
        <v>1514</v>
      </c>
      <c r="C861" s="1" t="s">
        <v>1515</v>
      </c>
      <c r="D861" s="1" t="s">
        <v>1521</v>
      </c>
      <c r="E861" s="1" t="s">
        <v>32</v>
      </c>
      <c r="F861" s="4">
        <v>46266.0</v>
      </c>
      <c r="H861" s="1" t="s">
        <v>1517</v>
      </c>
      <c r="K861" s="1" t="s">
        <v>372</v>
      </c>
      <c r="L861" s="1" t="s">
        <v>35</v>
      </c>
      <c r="N861" s="4">
        <v>46266.0</v>
      </c>
      <c r="O861" s="4">
        <v>46266.0</v>
      </c>
    </row>
    <row r="862">
      <c r="A862" s="1" t="s">
        <v>1522</v>
      </c>
      <c r="B862" s="1" t="s">
        <v>251</v>
      </c>
      <c r="C862" s="1" t="s">
        <v>252</v>
      </c>
      <c r="D862" s="1" t="s">
        <v>1523</v>
      </c>
      <c r="E862" s="1" t="s">
        <v>32</v>
      </c>
      <c r="F862" s="4">
        <v>46077.0</v>
      </c>
      <c r="H862" s="1" t="s">
        <v>242</v>
      </c>
      <c r="K862" s="1" t="s">
        <v>254</v>
      </c>
      <c r="L862" s="1" t="s">
        <v>35</v>
      </c>
      <c r="N862" s="4">
        <v>46077.0</v>
      </c>
      <c r="O862" s="4">
        <v>46077.0</v>
      </c>
    </row>
    <row r="863">
      <c r="A863" s="1" t="s">
        <v>1522</v>
      </c>
      <c r="B863" s="1" t="s">
        <v>251</v>
      </c>
      <c r="C863" s="1" t="s">
        <v>252</v>
      </c>
      <c r="D863" s="1" t="s">
        <v>1524</v>
      </c>
      <c r="E863" s="1" t="s">
        <v>32</v>
      </c>
      <c r="F863" s="4">
        <v>46077.0</v>
      </c>
      <c r="H863" s="1" t="s">
        <v>242</v>
      </c>
      <c r="K863" s="1" t="s">
        <v>254</v>
      </c>
      <c r="L863" s="1" t="s">
        <v>35</v>
      </c>
      <c r="N863" s="4">
        <v>46077.0</v>
      </c>
      <c r="O863" s="4">
        <v>46077.0</v>
      </c>
    </row>
    <row r="864">
      <c r="A864" s="1" t="s">
        <v>1525</v>
      </c>
      <c r="B864" s="1" t="s">
        <v>923</v>
      </c>
      <c r="C864" s="1" t="s">
        <v>924</v>
      </c>
      <c r="D864" s="1" t="s">
        <v>1526</v>
      </c>
      <c r="E864" s="1" t="s">
        <v>32</v>
      </c>
      <c r="F864" s="4">
        <v>46163.0</v>
      </c>
      <c r="H864" s="1" t="s">
        <v>1527</v>
      </c>
      <c r="K864" s="1" t="s">
        <v>243</v>
      </c>
      <c r="L864" s="1" t="s">
        <v>35</v>
      </c>
      <c r="N864" s="4">
        <v>46163.0</v>
      </c>
      <c r="O864" s="4">
        <v>46163.0</v>
      </c>
    </row>
    <row r="865">
      <c r="A865" s="1" t="s">
        <v>1528</v>
      </c>
      <c r="B865" s="1" t="s">
        <v>1529</v>
      </c>
      <c r="C865" s="1" t="s">
        <v>1530</v>
      </c>
      <c r="D865" s="1" t="s">
        <v>1531</v>
      </c>
      <c r="E865" s="1" t="s">
        <v>70</v>
      </c>
      <c r="F865" s="4">
        <v>46240.0</v>
      </c>
      <c r="G865" s="1" t="s">
        <v>132</v>
      </c>
      <c r="H865" s="1" t="s">
        <v>133</v>
      </c>
      <c r="J865" s="1" t="s">
        <v>47</v>
      </c>
      <c r="K865" s="1" t="s">
        <v>129</v>
      </c>
      <c r="L865" s="1" t="s">
        <v>99</v>
      </c>
      <c r="O865" s="4">
        <v>46128.0</v>
      </c>
    </row>
    <row r="866">
      <c r="A866" s="1" t="s">
        <v>1532</v>
      </c>
      <c r="B866" s="1" t="s">
        <v>1533</v>
      </c>
      <c r="C866" s="1" t="s">
        <v>1534</v>
      </c>
      <c r="D866" s="1" t="s">
        <v>1535</v>
      </c>
      <c r="E866" s="1" t="s">
        <v>32</v>
      </c>
      <c r="F866" s="4">
        <v>46080.0</v>
      </c>
      <c r="H866" s="1" t="s">
        <v>33</v>
      </c>
      <c r="K866" s="1" t="s">
        <v>1536</v>
      </c>
      <c r="L866" s="1" t="s">
        <v>35</v>
      </c>
      <c r="N866" s="4">
        <v>46080.0</v>
      </c>
      <c r="O866" s="4">
        <v>46080.0</v>
      </c>
    </row>
    <row r="867">
      <c r="A867" s="1" t="s">
        <v>1532</v>
      </c>
      <c r="B867" s="1" t="s">
        <v>1533</v>
      </c>
      <c r="C867" s="1" t="s">
        <v>1534</v>
      </c>
      <c r="D867" s="1" t="s">
        <v>1537</v>
      </c>
      <c r="E867" s="1" t="s">
        <v>32</v>
      </c>
      <c r="F867" s="4">
        <v>46080.0</v>
      </c>
      <c r="H867" s="1" t="s">
        <v>33</v>
      </c>
      <c r="K867" s="1" t="s">
        <v>1536</v>
      </c>
      <c r="L867" s="1" t="s">
        <v>35</v>
      </c>
      <c r="N867" s="4">
        <v>46080.0</v>
      </c>
      <c r="O867" s="4">
        <v>46080.0</v>
      </c>
    </row>
    <row r="868">
      <c r="A868" s="1" t="s">
        <v>1532</v>
      </c>
      <c r="B868" s="1" t="s">
        <v>1533</v>
      </c>
      <c r="C868" s="1" t="s">
        <v>1534</v>
      </c>
      <c r="D868" s="1" t="s">
        <v>1538</v>
      </c>
      <c r="E868" s="1" t="s">
        <v>32</v>
      </c>
      <c r="F868" s="4">
        <v>46080.0</v>
      </c>
      <c r="H868" s="1" t="s">
        <v>33</v>
      </c>
      <c r="K868" s="1" t="s">
        <v>1536</v>
      </c>
      <c r="L868" s="1" t="s">
        <v>35</v>
      </c>
      <c r="N868" s="4">
        <v>46080.0</v>
      </c>
      <c r="O868" s="4">
        <v>46080.0</v>
      </c>
    </row>
    <row r="869">
      <c r="A869" s="1" t="s">
        <v>1539</v>
      </c>
      <c r="B869" s="1" t="s">
        <v>1406</v>
      </c>
      <c r="C869" s="1" t="s">
        <v>1540</v>
      </c>
      <c r="D869" s="1" t="s">
        <v>1541</v>
      </c>
      <c r="E869" s="1" t="s">
        <v>32</v>
      </c>
      <c r="F869" s="4">
        <v>46105.0</v>
      </c>
      <c r="H869" s="1" t="s">
        <v>1542</v>
      </c>
      <c r="K869" s="1" t="s">
        <v>366</v>
      </c>
      <c r="L869" s="1" t="s">
        <v>35</v>
      </c>
      <c r="N869" s="4">
        <v>46023.0</v>
      </c>
      <c r="O869" s="4">
        <v>46105.0</v>
      </c>
    </row>
    <row r="870">
      <c r="A870" s="1" t="s">
        <v>1539</v>
      </c>
      <c r="B870" s="1" t="s">
        <v>1406</v>
      </c>
      <c r="C870" s="1" t="s">
        <v>1540</v>
      </c>
      <c r="D870" s="1" t="s">
        <v>1543</v>
      </c>
      <c r="E870" s="1" t="s">
        <v>32</v>
      </c>
      <c r="F870" s="4">
        <v>46105.0</v>
      </c>
      <c r="H870" s="1" t="s">
        <v>1542</v>
      </c>
      <c r="K870" s="1" t="s">
        <v>366</v>
      </c>
      <c r="L870" s="1" t="s">
        <v>35</v>
      </c>
      <c r="N870" s="4">
        <v>46023.0</v>
      </c>
      <c r="O870" s="4">
        <v>46105.0</v>
      </c>
    </row>
    <row r="871">
      <c r="A871" s="1" t="s">
        <v>1544</v>
      </c>
      <c r="B871" s="1" t="s">
        <v>1406</v>
      </c>
      <c r="C871" s="1" t="s">
        <v>1540</v>
      </c>
      <c r="D871" s="1" t="s">
        <v>1545</v>
      </c>
      <c r="E871" s="1" t="s">
        <v>32</v>
      </c>
      <c r="F871" s="4">
        <v>46105.0</v>
      </c>
      <c r="H871" s="1" t="s">
        <v>1542</v>
      </c>
      <c r="K871" s="1" t="s">
        <v>366</v>
      </c>
      <c r="L871" s="1" t="s">
        <v>35</v>
      </c>
      <c r="N871" s="4">
        <v>46023.0</v>
      </c>
      <c r="O871" s="4">
        <v>46105.0</v>
      </c>
    </row>
    <row r="872">
      <c r="A872" s="1" t="s">
        <v>1546</v>
      </c>
      <c r="B872" s="1" t="s">
        <v>246</v>
      </c>
      <c r="C872" s="1" t="s">
        <v>247</v>
      </c>
      <c r="D872" s="1" t="s">
        <v>1547</v>
      </c>
      <c r="E872" s="1" t="s">
        <v>32</v>
      </c>
      <c r="F872" s="4">
        <v>46294.0</v>
      </c>
      <c r="H872" s="1" t="s">
        <v>1548</v>
      </c>
      <c r="K872" s="1" t="s">
        <v>235</v>
      </c>
      <c r="L872" s="1" t="s">
        <v>35</v>
      </c>
      <c r="N872" s="4">
        <v>46294.0</v>
      </c>
      <c r="O872" s="4">
        <v>46294.0</v>
      </c>
    </row>
    <row r="873">
      <c r="A873" s="1" t="s">
        <v>1549</v>
      </c>
      <c r="B873" s="1" t="s">
        <v>342</v>
      </c>
      <c r="C873" s="1" t="s">
        <v>270</v>
      </c>
      <c r="D873" s="1" t="s">
        <v>1550</v>
      </c>
      <c r="E873" s="1" t="s">
        <v>32</v>
      </c>
      <c r="F873" s="4">
        <v>45968.0</v>
      </c>
      <c r="H873" s="1" t="s">
        <v>33</v>
      </c>
      <c r="K873" s="1" t="s">
        <v>358</v>
      </c>
      <c r="L873" s="1" t="s">
        <v>35</v>
      </c>
      <c r="N873" s="4">
        <v>45968.0</v>
      </c>
      <c r="O873" s="4">
        <v>45968.0</v>
      </c>
    </row>
    <row r="874">
      <c r="A874" s="1" t="s">
        <v>1551</v>
      </c>
      <c r="B874" s="1" t="s">
        <v>1552</v>
      </c>
      <c r="C874" s="1" t="s">
        <v>1553</v>
      </c>
      <c r="D874" s="1" t="s">
        <v>1554</v>
      </c>
      <c r="E874" s="1" t="s">
        <v>97</v>
      </c>
      <c r="F874" s="4">
        <v>46157.0</v>
      </c>
      <c r="G874" s="1" t="s">
        <v>71</v>
      </c>
      <c r="K874" s="1" t="s">
        <v>34</v>
      </c>
      <c r="L874" s="1" t="s">
        <v>99</v>
      </c>
      <c r="O874" s="4">
        <v>43182.0</v>
      </c>
    </row>
    <row r="875">
      <c r="A875" s="1" t="s">
        <v>1551</v>
      </c>
      <c r="B875" s="1" t="s">
        <v>1552</v>
      </c>
      <c r="C875" s="1" t="s">
        <v>1553</v>
      </c>
      <c r="D875" s="1" t="s">
        <v>1555</v>
      </c>
      <c r="E875" s="1" t="s">
        <v>97</v>
      </c>
      <c r="F875" s="4">
        <v>46157.0</v>
      </c>
      <c r="G875" s="1" t="s">
        <v>71</v>
      </c>
      <c r="K875" s="1" t="s">
        <v>34</v>
      </c>
      <c r="L875" s="1" t="s">
        <v>99</v>
      </c>
      <c r="O875" s="4">
        <v>43182.0</v>
      </c>
    </row>
    <row r="876">
      <c r="A876" s="1" t="s">
        <v>1551</v>
      </c>
      <c r="B876" s="1" t="s">
        <v>1552</v>
      </c>
      <c r="C876" s="1" t="s">
        <v>1553</v>
      </c>
      <c r="D876" s="1" t="s">
        <v>1556</v>
      </c>
      <c r="E876" s="1" t="s">
        <v>97</v>
      </c>
      <c r="F876" s="4">
        <v>46157.0</v>
      </c>
      <c r="G876" s="1" t="s">
        <v>71</v>
      </c>
      <c r="K876" s="1" t="s">
        <v>34</v>
      </c>
      <c r="L876" s="1" t="s">
        <v>99</v>
      </c>
      <c r="O876" s="4">
        <v>43182.0</v>
      </c>
    </row>
    <row r="877">
      <c r="A877" s="1" t="s">
        <v>1551</v>
      </c>
      <c r="B877" s="1" t="s">
        <v>692</v>
      </c>
      <c r="C877" s="1" t="s">
        <v>1232</v>
      </c>
      <c r="D877" s="1" t="s">
        <v>1557</v>
      </c>
      <c r="E877" s="1" t="s">
        <v>97</v>
      </c>
      <c r="F877" s="8">
        <v>46316.0</v>
      </c>
      <c r="G877" s="1" t="s">
        <v>71</v>
      </c>
      <c r="K877" s="1" t="s">
        <v>34</v>
      </c>
      <c r="L877" s="1" t="s">
        <v>99</v>
      </c>
      <c r="O877" s="4">
        <v>43182.0</v>
      </c>
    </row>
    <row r="878">
      <c r="A878" s="1" t="s">
        <v>1551</v>
      </c>
      <c r="B878" s="1" t="s">
        <v>692</v>
      </c>
      <c r="C878" s="1" t="s">
        <v>1232</v>
      </c>
      <c r="D878" s="1" t="s">
        <v>1558</v>
      </c>
      <c r="E878" s="1" t="s">
        <v>97</v>
      </c>
      <c r="F878" s="8">
        <v>46316.0</v>
      </c>
      <c r="G878" s="1" t="s">
        <v>71</v>
      </c>
      <c r="K878" s="1" t="s">
        <v>34</v>
      </c>
      <c r="L878" s="1" t="s">
        <v>99</v>
      </c>
      <c r="O878" s="4">
        <v>43182.0</v>
      </c>
    </row>
    <row r="879">
      <c r="A879" s="1" t="s">
        <v>1551</v>
      </c>
      <c r="B879" s="1" t="s">
        <v>692</v>
      </c>
      <c r="C879" s="1" t="s">
        <v>1232</v>
      </c>
      <c r="D879" s="1" t="s">
        <v>1559</v>
      </c>
      <c r="E879" s="1" t="s">
        <v>97</v>
      </c>
      <c r="F879" s="8">
        <v>46316.0</v>
      </c>
      <c r="G879" s="1" t="s">
        <v>71</v>
      </c>
      <c r="K879" s="1" t="s">
        <v>34</v>
      </c>
      <c r="L879" s="1" t="s">
        <v>99</v>
      </c>
      <c r="O879" s="4">
        <v>43182.0</v>
      </c>
    </row>
    <row r="880">
      <c r="A880" s="1" t="s">
        <v>1551</v>
      </c>
      <c r="B880" s="1" t="s">
        <v>255</v>
      </c>
      <c r="C880" s="1" t="s">
        <v>256</v>
      </c>
      <c r="D880" s="1" t="s">
        <v>1560</v>
      </c>
      <c r="E880" s="1" t="s">
        <v>97</v>
      </c>
      <c r="F880" s="8">
        <v>46310.0</v>
      </c>
      <c r="G880" s="1" t="s">
        <v>71</v>
      </c>
      <c r="H880" s="1" t="s">
        <v>396</v>
      </c>
      <c r="K880" s="1" t="s">
        <v>34</v>
      </c>
      <c r="L880" s="1" t="s">
        <v>99</v>
      </c>
      <c r="O880" s="4">
        <v>43182.0</v>
      </c>
    </row>
    <row r="881">
      <c r="A881" s="1" t="s">
        <v>1551</v>
      </c>
      <c r="B881" s="1" t="s">
        <v>255</v>
      </c>
      <c r="C881" s="1" t="s">
        <v>256</v>
      </c>
      <c r="D881" s="1" t="s">
        <v>1561</v>
      </c>
      <c r="E881" s="1" t="s">
        <v>97</v>
      </c>
      <c r="F881" s="8">
        <v>46310.0</v>
      </c>
      <c r="G881" s="1" t="s">
        <v>107</v>
      </c>
      <c r="H881" s="1" t="s">
        <v>1452</v>
      </c>
      <c r="J881" s="1" t="s">
        <v>562</v>
      </c>
      <c r="K881" s="1" t="s">
        <v>34</v>
      </c>
      <c r="L881" s="1" t="s">
        <v>99</v>
      </c>
      <c r="O881" s="4">
        <v>43182.0</v>
      </c>
    </row>
    <row r="882">
      <c r="A882" s="1" t="s">
        <v>1551</v>
      </c>
      <c r="B882" s="1" t="s">
        <v>255</v>
      </c>
      <c r="C882" s="1" t="s">
        <v>256</v>
      </c>
      <c r="D882" s="1" t="s">
        <v>1562</v>
      </c>
      <c r="E882" s="1" t="s">
        <v>97</v>
      </c>
      <c r="F882" s="8">
        <v>46310.0</v>
      </c>
      <c r="G882" s="1" t="s">
        <v>107</v>
      </c>
      <c r="H882" s="1" t="s">
        <v>1452</v>
      </c>
      <c r="J882" s="1" t="s">
        <v>562</v>
      </c>
      <c r="K882" s="1" t="s">
        <v>34</v>
      </c>
      <c r="L882" s="1" t="s">
        <v>99</v>
      </c>
      <c r="O882" s="4">
        <v>43182.0</v>
      </c>
    </row>
    <row r="883">
      <c r="A883" s="1" t="s">
        <v>1551</v>
      </c>
      <c r="B883" s="1" t="s">
        <v>288</v>
      </c>
      <c r="C883" s="1" t="s">
        <v>289</v>
      </c>
      <c r="D883" s="1" t="s">
        <v>1563</v>
      </c>
      <c r="E883" s="1" t="s">
        <v>97</v>
      </c>
      <c r="F883" s="8">
        <v>46309.0</v>
      </c>
      <c r="G883" s="1" t="s">
        <v>107</v>
      </c>
      <c r="H883" s="1" t="s">
        <v>133</v>
      </c>
      <c r="J883" s="1" t="s">
        <v>47</v>
      </c>
      <c r="K883" s="1" t="s">
        <v>34</v>
      </c>
      <c r="L883" s="1" t="s">
        <v>99</v>
      </c>
      <c r="O883" s="4">
        <v>43257.0</v>
      </c>
    </row>
    <row r="884">
      <c r="A884" s="1" t="s">
        <v>1551</v>
      </c>
      <c r="B884" s="1" t="s">
        <v>288</v>
      </c>
      <c r="C884" s="1" t="s">
        <v>289</v>
      </c>
      <c r="D884" s="1" t="s">
        <v>1564</v>
      </c>
      <c r="E884" s="1" t="s">
        <v>97</v>
      </c>
      <c r="F884" s="8">
        <v>46309.0</v>
      </c>
      <c r="G884" s="1" t="s">
        <v>107</v>
      </c>
      <c r="H884" s="1" t="s">
        <v>133</v>
      </c>
      <c r="J884" s="1" t="s">
        <v>47</v>
      </c>
      <c r="K884" s="1" t="s">
        <v>34</v>
      </c>
      <c r="L884" s="1" t="s">
        <v>99</v>
      </c>
      <c r="O884" s="4">
        <v>43257.0</v>
      </c>
    </row>
    <row r="885">
      <c r="A885" s="1" t="s">
        <v>1551</v>
      </c>
      <c r="B885" s="1" t="s">
        <v>288</v>
      </c>
      <c r="C885" s="1" t="s">
        <v>289</v>
      </c>
      <c r="D885" s="1" t="s">
        <v>1565</v>
      </c>
      <c r="E885" s="1" t="s">
        <v>97</v>
      </c>
      <c r="F885" s="8">
        <v>46309.0</v>
      </c>
      <c r="G885" s="1" t="s">
        <v>107</v>
      </c>
      <c r="H885" s="1" t="s">
        <v>133</v>
      </c>
      <c r="J885" s="1" t="s">
        <v>47</v>
      </c>
      <c r="K885" s="1" t="s">
        <v>34</v>
      </c>
      <c r="L885" s="1" t="s">
        <v>99</v>
      </c>
      <c r="O885" s="4">
        <v>43257.0</v>
      </c>
    </row>
    <row r="886">
      <c r="A886" s="1" t="s">
        <v>1551</v>
      </c>
      <c r="B886" s="1" t="s">
        <v>692</v>
      </c>
      <c r="C886" s="1" t="s">
        <v>1232</v>
      </c>
      <c r="D886" s="1" t="s">
        <v>1566</v>
      </c>
      <c r="E886" s="1" t="s">
        <v>97</v>
      </c>
      <c r="F886" s="8">
        <v>46316.0</v>
      </c>
      <c r="G886" s="1" t="s">
        <v>71</v>
      </c>
      <c r="H886" s="1" t="s">
        <v>1234</v>
      </c>
      <c r="K886" s="1" t="s">
        <v>34</v>
      </c>
      <c r="L886" s="1" t="s">
        <v>99</v>
      </c>
      <c r="O886" s="4">
        <v>43257.0</v>
      </c>
    </row>
    <row r="887">
      <c r="A887" s="1" t="s">
        <v>1551</v>
      </c>
      <c r="B887" s="1" t="s">
        <v>692</v>
      </c>
      <c r="C887" s="1" t="s">
        <v>1232</v>
      </c>
      <c r="D887" s="1" t="s">
        <v>1567</v>
      </c>
      <c r="E887" s="1" t="s">
        <v>97</v>
      </c>
      <c r="F887" s="8">
        <v>46316.0</v>
      </c>
      <c r="G887" s="1" t="s">
        <v>71</v>
      </c>
      <c r="H887" s="1" t="s">
        <v>1234</v>
      </c>
      <c r="K887" s="1" t="s">
        <v>34</v>
      </c>
      <c r="L887" s="1" t="s">
        <v>99</v>
      </c>
      <c r="O887" s="4">
        <v>43257.0</v>
      </c>
    </row>
    <row r="888">
      <c r="A888" s="1" t="s">
        <v>1551</v>
      </c>
      <c r="B888" s="1" t="s">
        <v>374</v>
      </c>
      <c r="C888" s="1" t="s">
        <v>375</v>
      </c>
      <c r="D888" s="1" t="s">
        <v>1558</v>
      </c>
      <c r="E888" s="1" t="s">
        <v>70</v>
      </c>
      <c r="F888" s="4">
        <v>46303.0</v>
      </c>
      <c r="G888" s="1" t="s">
        <v>132</v>
      </c>
      <c r="H888" s="1" t="s">
        <v>423</v>
      </c>
      <c r="J888" s="1" t="s">
        <v>562</v>
      </c>
      <c r="K888" s="1" t="s">
        <v>34</v>
      </c>
      <c r="L888" s="1" t="s">
        <v>99</v>
      </c>
      <c r="O888" s="4">
        <v>43185.0</v>
      </c>
    </row>
    <row r="889">
      <c r="A889" s="1" t="s">
        <v>1551</v>
      </c>
      <c r="B889" s="1" t="s">
        <v>374</v>
      </c>
      <c r="C889" s="1" t="s">
        <v>375</v>
      </c>
      <c r="D889" s="1" t="s">
        <v>1559</v>
      </c>
      <c r="E889" s="1" t="s">
        <v>97</v>
      </c>
      <c r="F889" s="4">
        <v>46303.0</v>
      </c>
      <c r="G889" s="1" t="s">
        <v>71</v>
      </c>
      <c r="K889" s="1" t="s">
        <v>34</v>
      </c>
      <c r="L889" s="1" t="s">
        <v>99</v>
      </c>
      <c r="O889" s="4">
        <v>43185.0</v>
      </c>
    </row>
    <row r="890">
      <c r="A890" s="1" t="s">
        <v>1551</v>
      </c>
      <c r="B890" s="1" t="s">
        <v>374</v>
      </c>
      <c r="C890" s="1" t="s">
        <v>375</v>
      </c>
      <c r="D890" s="1" t="s">
        <v>1557</v>
      </c>
      <c r="E890" s="1" t="s">
        <v>97</v>
      </c>
      <c r="F890" s="4">
        <v>46303.0</v>
      </c>
      <c r="G890" s="1" t="s">
        <v>71</v>
      </c>
      <c r="K890" s="1" t="s">
        <v>34</v>
      </c>
      <c r="L890" s="1" t="s">
        <v>99</v>
      </c>
      <c r="O890" s="4">
        <v>43185.0</v>
      </c>
    </row>
    <row r="891">
      <c r="A891" s="1" t="s">
        <v>1551</v>
      </c>
      <c r="B891" s="1" t="s">
        <v>269</v>
      </c>
      <c r="C891" s="1" t="s">
        <v>270</v>
      </c>
      <c r="D891" s="1" t="s">
        <v>1568</v>
      </c>
      <c r="E891" s="1" t="s">
        <v>70</v>
      </c>
      <c r="F891" s="4">
        <v>46303.0</v>
      </c>
      <c r="G891" s="1" t="s">
        <v>107</v>
      </c>
      <c r="H891" s="1" t="s">
        <v>1569</v>
      </c>
      <c r="J891" s="1" t="s">
        <v>47</v>
      </c>
      <c r="K891" s="1" t="s">
        <v>34</v>
      </c>
      <c r="L891" s="1" t="s">
        <v>99</v>
      </c>
      <c r="O891" s="4">
        <v>43185.0</v>
      </c>
    </row>
    <row r="892">
      <c r="A892" s="1" t="s">
        <v>1551</v>
      </c>
      <c r="B892" s="1" t="s">
        <v>269</v>
      </c>
      <c r="C892" s="1" t="s">
        <v>270</v>
      </c>
      <c r="D892" s="1" t="s">
        <v>1570</v>
      </c>
      <c r="E892" s="1" t="s">
        <v>70</v>
      </c>
      <c r="F892" s="8">
        <v>46316.0</v>
      </c>
      <c r="G892" s="1" t="s">
        <v>107</v>
      </c>
      <c r="H892" s="1" t="s">
        <v>1571</v>
      </c>
      <c r="J892" s="1" t="s">
        <v>47</v>
      </c>
      <c r="K892" s="1" t="s">
        <v>34</v>
      </c>
      <c r="L892" s="1" t="s">
        <v>99</v>
      </c>
      <c r="O892" s="4">
        <v>43185.0</v>
      </c>
    </row>
    <row r="893">
      <c r="A893" s="1" t="s">
        <v>1551</v>
      </c>
      <c r="B893" s="1" t="s">
        <v>269</v>
      </c>
      <c r="C893" s="1" t="s">
        <v>270</v>
      </c>
      <c r="D893" s="1" t="s">
        <v>1572</v>
      </c>
      <c r="E893" s="1" t="s">
        <v>70</v>
      </c>
      <c r="F893" s="8">
        <v>46316.0</v>
      </c>
      <c r="G893" s="1" t="s">
        <v>107</v>
      </c>
      <c r="H893" s="1" t="s">
        <v>1571</v>
      </c>
      <c r="J893" s="1" t="s">
        <v>47</v>
      </c>
      <c r="K893" s="1" t="s">
        <v>34</v>
      </c>
      <c r="L893" s="1" t="s">
        <v>99</v>
      </c>
      <c r="O893" s="4">
        <v>43185.0</v>
      </c>
    </row>
    <row r="894">
      <c r="A894" s="1" t="s">
        <v>1551</v>
      </c>
      <c r="B894" s="1" t="s">
        <v>94</v>
      </c>
      <c r="C894" s="1" t="s">
        <v>95</v>
      </c>
      <c r="D894" s="1" t="s">
        <v>1573</v>
      </c>
      <c r="E894" s="1" t="s">
        <v>97</v>
      </c>
      <c r="F894" s="8">
        <v>46311.0</v>
      </c>
      <c r="G894" s="1" t="s">
        <v>107</v>
      </c>
      <c r="H894" s="1" t="s">
        <v>108</v>
      </c>
      <c r="J894" s="1" t="s">
        <v>134</v>
      </c>
      <c r="K894" s="1" t="s">
        <v>34</v>
      </c>
      <c r="L894" s="1" t="s">
        <v>99</v>
      </c>
      <c r="O894" s="4">
        <v>43257.0</v>
      </c>
    </row>
    <row r="895">
      <c r="A895" s="1" t="s">
        <v>1551</v>
      </c>
      <c r="B895" s="1" t="s">
        <v>94</v>
      </c>
      <c r="C895" s="1" t="s">
        <v>95</v>
      </c>
      <c r="D895" s="1" t="s">
        <v>1574</v>
      </c>
      <c r="E895" s="1" t="s">
        <v>97</v>
      </c>
      <c r="F895" s="8">
        <v>46311.0</v>
      </c>
      <c r="G895" s="1" t="s">
        <v>71</v>
      </c>
      <c r="K895" s="1" t="s">
        <v>34</v>
      </c>
      <c r="L895" s="1" t="s">
        <v>99</v>
      </c>
      <c r="O895" s="4">
        <v>43257.0</v>
      </c>
    </row>
    <row r="896">
      <c r="A896" s="1" t="s">
        <v>1551</v>
      </c>
      <c r="B896" s="1" t="s">
        <v>255</v>
      </c>
      <c r="C896" s="1" t="s">
        <v>256</v>
      </c>
      <c r="D896" s="1" t="s">
        <v>1575</v>
      </c>
      <c r="E896" s="1" t="s">
        <v>97</v>
      </c>
      <c r="F896" s="8">
        <v>46310.0</v>
      </c>
      <c r="G896" s="1" t="s">
        <v>107</v>
      </c>
      <c r="H896" s="1" t="s">
        <v>133</v>
      </c>
      <c r="J896" s="1" t="s">
        <v>47</v>
      </c>
      <c r="K896" s="1" t="s">
        <v>34</v>
      </c>
      <c r="L896" s="1" t="s">
        <v>99</v>
      </c>
      <c r="O896" s="4">
        <v>43182.0</v>
      </c>
    </row>
    <row r="897">
      <c r="A897" s="1" t="s">
        <v>1551</v>
      </c>
      <c r="B897" s="1" t="s">
        <v>255</v>
      </c>
      <c r="C897" s="1" t="s">
        <v>256</v>
      </c>
      <c r="D897" s="1" t="s">
        <v>1576</v>
      </c>
      <c r="E897" s="1" t="s">
        <v>97</v>
      </c>
      <c r="F897" s="8">
        <v>46310.0</v>
      </c>
      <c r="G897" s="1" t="s">
        <v>107</v>
      </c>
      <c r="H897" s="1" t="s">
        <v>133</v>
      </c>
      <c r="J897" s="1" t="s">
        <v>47</v>
      </c>
      <c r="K897" s="1" t="s">
        <v>34</v>
      </c>
      <c r="L897" s="1" t="s">
        <v>99</v>
      </c>
      <c r="O897" s="4">
        <v>43182.0</v>
      </c>
    </row>
    <row r="898">
      <c r="A898" s="1" t="s">
        <v>1551</v>
      </c>
      <c r="B898" s="1" t="s">
        <v>255</v>
      </c>
      <c r="C898" s="1" t="s">
        <v>256</v>
      </c>
      <c r="D898" s="1" t="s">
        <v>1577</v>
      </c>
      <c r="E898" s="1" t="s">
        <v>97</v>
      </c>
      <c r="F898" s="8">
        <v>46310.0</v>
      </c>
      <c r="G898" s="1" t="s">
        <v>107</v>
      </c>
      <c r="H898" s="1" t="s">
        <v>133</v>
      </c>
      <c r="J898" s="1" t="s">
        <v>47</v>
      </c>
      <c r="K898" s="1" t="s">
        <v>34</v>
      </c>
      <c r="L898" s="1" t="s">
        <v>99</v>
      </c>
      <c r="O898" s="4">
        <v>43182.0</v>
      </c>
    </row>
    <row r="899">
      <c r="A899" s="1" t="s">
        <v>1578</v>
      </c>
      <c r="B899" s="1" t="s">
        <v>1146</v>
      </c>
      <c r="C899" s="1" t="s">
        <v>1579</v>
      </c>
      <c r="D899" s="1" t="s">
        <v>1580</v>
      </c>
      <c r="E899" s="1" t="s">
        <v>32</v>
      </c>
      <c r="F899" s="4">
        <v>46132.0</v>
      </c>
      <c r="H899" s="1" t="s">
        <v>33</v>
      </c>
      <c r="K899" s="1" t="s">
        <v>34</v>
      </c>
      <c r="L899" s="1" t="s">
        <v>35</v>
      </c>
      <c r="N899" s="4">
        <v>46132.0</v>
      </c>
      <c r="O899" s="4">
        <v>46132.0</v>
      </c>
    </row>
    <row r="900">
      <c r="A900" s="1" t="s">
        <v>1581</v>
      </c>
      <c r="B900" s="1" t="s">
        <v>1582</v>
      </c>
      <c r="C900" s="1" t="s">
        <v>1583</v>
      </c>
      <c r="D900" s="1" t="s">
        <v>1584</v>
      </c>
      <c r="E900" s="1" t="s">
        <v>32</v>
      </c>
      <c r="F900" s="8">
        <v>46314.0</v>
      </c>
      <c r="H900" s="1" t="s">
        <v>1585</v>
      </c>
      <c r="K900" s="1" t="s">
        <v>267</v>
      </c>
      <c r="L900" s="1" t="s">
        <v>35</v>
      </c>
      <c r="N900" s="8">
        <v>46314.0</v>
      </c>
      <c r="O900" s="8">
        <v>46314.0</v>
      </c>
    </row>
    <row r="901">
      <c r="A901" s="1" t="s">
        <v>1581</v>
      </c>
      <c r="B901" s="1" t="s">
        <v>1582</v>
      </c>
      <c r="C901" s="1" t="s">
        <v>1583</v>
      </c>
      <c r="D901" s="1" t="s">
        <v>1586</v>
      </c>
      <c r="E901" s="1" t="s">
        <v>32</v>
      </c>
      <c r="F901" s="8">
        <v>46314.0</v>
      </c>
      <c r="H901" s="1" t="s">
        <v>1585</v>
      </c>
      <c r="K901" s="1" t="s">
        <v>267</v>
      </c>
      <c r="L901" s="1" t="s">
        <v>35</v>
      </c>
      <c r="N901" s="8">
        <v>46314.0</v>
      </c>
      <c r="O901" s="8">
        <v>46314.0</v>
      </c>
    </row>
    <row r="902">
      <c r="A902" s="1" t="s">
        <v>1587</v>
      </c>
      <c r="B902" s="1" t="s">
        <v>1588</v>
      </c>
      <c r="C902" s="1" t="s">
        <v>30</v>
      </c>
      <c r="D902" s="1" t="s">
        <v>1589</v>
      </c>
      <c r="E902" s="1" t="s">
        <v>32</v>
      </c>
      <c r="F902" s="4">
        <v>46141.0</v>
      </c>
      <c r="H902" s="1" t="s">
        <v>33</v>
      </c>
      <c r="K902" s="1" t="s">
        <v>367</v>
      </c>
      <c r="L902" s="1" t="s">
        <v>35</v>
      </c>
      <c r="N902" s="4">
        <v>46141.0</v>
      </c>
      <c r="O902" s="4">
        <v>46141.0</v>
      </c>
    </row>
    <row r="903">
      <c r="A903" s="1" t="s">
        <v>1587</v>
      </c>
      <c r="B903" s="1" t="s">
        <v>1588</v>
      </c>
      <c r="C903" s="1" t="s">
        <v>30</v>
      </c>
      <c r="D903" s="1" t="s">
        <v>1590</v>
      </c>
      <c r="E903" s="1" t="s">
        <v>32</v>
      </c>
      <c r="F903" s="4">
        <v>46141.0</v>
      </c>
      <c r="H903" s="1" t="s">
        <v>33</v>
      </c>
      <c r="K903" s="1" t="s">
        <v>367</v>
      </c>
      <c r="L903" s="1" t="s">
        <v>35</v>
      </c>
      <c r="N903" s="4">
        <v>46141.0</v>
      </c>
      <c r="O903" s="4">
        <v>46141.0</v>
      </c>
    </row>
    <row r="904">
      <c r="A904" s="1" t="s">
        <v>1587</v>
      </c>
      <c r="B904" s="1" t="s">
        <v>1588</v>
      </c>
      <c r="C904" s="1" t="s">
        <v>30</v>
      </c>
      <c r="D904" s="1" t="s">
        <v>1591</v>
      </c>
      <c r="E904" s="1" t="s">
        <v>32</v>
      </c>
      <c r="F904" s="4">
        <v>46141.0</v>
      </c>
      <c r="H904" s="1" t="s">
        <v>33</v>
      </c>
      <c r="K904" s="1" t="s">
        <v>367</v>
      </c>
      <c r="L904" s="1" t="s">
        <v>35</v>
      </c>
      <c r="N904" s="4">
        <v>46141.0</v>
      </c>
      <c r="O904" s="4">
        <v>46141.0</v>
      </c>
    </row>
    <row r="905">
      <c r="A905" s="1" t="s">
        <v>1587</v>
      </c>
      <c r="B905" s="1" t="s">
        <v>1588</v>
      </c>
      <c r="C905" s="1" t="s">
        <v>30</v>
      </c>
      <c r="D905" s="1" t="s">
        <v>1592</v>
      </c>
      <c r="E905" s="1" t="s">
        <v>32</v>
      </c>
      <c r="F905" s="4">
        <v>46141.0</v>
      </c>
      <c r="H905" s="1" t="s">
        <v>33</v>
      </c>
      <c r="K905" s="1" t="s">
        <v>367</v>
      </c>
      <c r="L905" s="1" t="s">
        <v>35</v>
      </c>
      <c r="N905" s="4">
        <v>46141.0</v>
      </c>
      <c r="O905" s="4">
        <v>46141.0</v>
      </c>
    </row>
    <row r="906">
      <c r="A906" s="1" t="s">
        <v>1587</v>
      </c>
      <c r="B906" s="1" t="s">
        <v>1588</v>
      </c>
      <c r="C906" s="1" t="s">
        <v>30</v>
      </c>
      <c r="D906" s="1" t="s">
        <v>1593</v>
      </c>
      <c r="E906" s="1" t="s">
        <v>32</v>
      </c>
      <c r="F906" s="4">
        <v>46141.0</v>
      </c>
      <c r="H906" s="1" t="s">
        <v>33</v>
      </c>
      <c r="K906" s="1" t="s">
        <v>367</v>
      </c>
      <c r="L906" s="1" t="s">
        <v>35</v>
      </c>
      <c r="N906" s="4">
        <v>46141.0</v>
      </c>
      <c r="O906" s="4">
        <v>46141.0</v>
      </c>
    </row>
    <row r="907">
      <c r="A907" s="1" t="s">
        <v>1587</v>
      </c>
      <c r="B907" s="1" t="s">
        <v>1588</v>
      </c>
      <c r="C907" s="1" t="s">
        <v>30</v>
      </c>
      <c r="D907" s="1" t="s">
        <v>1594</v>
      </c>
      <c r="E907" s="1" t="s">
        <v>32</v>
      </c>
      <c r="F907" s="4">
        <v>46141.0</v>
      </c>
      <c r="H907" s="1" t="s">
        <v>33</v>
      </c>
      <c r="K907" s="1" t="s">
        <v>367</v>
      </c>
      <c r="L907" s="1" t="s">
        <v>35</v>
      </c>
      <c r="N907" s="4">
        <v>46141.0</v>
      </c>
      <c r="O907" s="4">
        <v>46141.0</v>
      </c>
    </row>
    <row r="908">
      <c r="A908" s="1" t="s">
        <v>1595</v>
      </c>
      <c r="B908" s="1" t="s">
        <v>1514</v>
      </c>
      <c r="C908" s="1" t="s">
        <v>1515</v>
      </c>
      <c r="D908" s="1" t="s">
        <v>1596</v>
      </c>
      <c r="E908" s="1" t="s">
        <v>32</v>
      </c>
      <c r="F908" s="4">
        <v>45964.0</v>
      </c>
      <c r="H908" s="1" t="s">
        <v>1597</v>
      </c>
      <c r="K908" s="1" t="s">
        <v>367</v>
      </c>
      <c r="L908" s="1" t="s">
        <v>35</v>
      </c>
      <c r="N908" s="4">
        <v>45964.0</v>
      </c>
      <c r="O908" s="4">
        <v>45964.0</v>
      </c>
    </row>
    <row r="909">
      <c r="A909" s="1" t="s">
        <v>1595</v>
      </c>
      <c r="B909" s="1" t="s">
        <v>1514</v>
      </c>
      <c r="C909" s="1" t="s">
        <v>1515</v>
      </c>
      <c r="D909" s="1" t="s">
        <v>1598</v>
      </c>
      <c r="E909" s="1" t="s">
        <v>32</v>
      </c>
      <c r="F909" s="4">
        <v>45964.0</v>
      </c>
      <c r="H909" s="1" t="s">
        <v>1597</v>
      </c>
      <c r="K909" s="1" t="s">
        <v>367</v>
      </c>
      <c r="L909" s="1" t="s">
        <v>35</v>
      </c>
      <c r="N909" s="4">
        <v>45964.0</v>
      </c>
      <c r="O909" s="4">
        <v>45964.0</v>
      </c>
    </row>
    <row r="910">
      <c r="A910" s="1" t="s">
        <v>1595</v>
      </c>
      <c r="B910" s="1" t="s">
        <v>1514</v>
      </c>
      <c r="C910" s="1" t="s">
        <v>1515</v>
      </c>
      <c r="D910" s="1" t="s">
        <v>1599</v>
      </c>
      <c r="E910" s="1" t="s">
        <v>32</v>
      </c>
      <c r="F910" s="4">
        <v>45964.0</v>
      </c>
      <c r="H910" s="1" t="s">
        <v>1597</v>
      </c>
      <c r="K910" s="1" t="s">
        <v>367</v>
      </c>
      <c r="L910" s="1" t="s">
        <v>35</v>
      </c>
      <c r="N910" s="4">
        <v>45964.0</v>
      </c>
      <c r="O910" s="4">
        <v>45964.0</v>
      </c>
    </row>
    <row r="911">
      <c r="A911" s="1" t="s">
        <v>1595</v>
      </c>
      <c r="B911" s="1" t="s">
        <v>1514</v>
      </c>
      <c r="C911" s="1" t="s">
        <v>1515</v>
      </c>
      <c r="D911" s="1" t="s">
        <v>1600</v>
      </c>
      <c r="E911" s="1" t="s">
        <v>32</v>
      </c>
      <c r="F911" s="4">
        <v>45964.0</v>
      </c>
      <c r="H911" s="1" t="s">
        <v>1597</v>
      </c>
      <c r="K911" s="1" t="s">
        <v>367</v>
      </c>
      <c r="L911" s="1" t="s">
        <v>35</v>
      </c>
      <c r="N911" s="4">
        <v>45964.0</v>
      </c>
      <c r="O911" s="4">
        <v>45964.0</v>
      </c>
    </row>
    <row r="912">
      <c r="A912" s="1" t="s">
        <v>1595</v>
      </c>
      <c r="B912" s="1" t="s">
        <v>1514</v>
      </c>
      <c r="C912" s="1" t="s">
        <v>1515</v>
      </c>
      <c r="D912" s="1" t="s">
        <v>1601</v>
      </c>
      <c r="E912" s="1" t="s">
        <v>32</v>
      </c>
      <c r="F912" s="4">
        <v>45964.0</v>
      </c>
      <c r="H912" s="1" t="s">
        <v>1597</v>
      </c>
      <c r="K912" s="1" t="s">
        <v>367</v>
      </c>
      <c r="L912" s="1" t="s">
        <v>35</v>
      </c>
      <c r="N912" s="4">
        <v>45964.0</v>
      </c>
      <c r="O912" s="4">
        <v>45964.0</v>
      </c>
    </row>
    <row r="913">
      <c r="A913" s="1" t="s">
        <v>1595</v>
      </c>
      <c r="B913" s="1" t="s">
        <v>1514</v>
      </c>
      <c r="C913" s="1" t="s">
        <v>1515</v>
      </c>
      <c r="D913" s="1" t="s">
        <v>1602</v>
      </c>
      <c r="E913" s="1" t="s">
        <v>32</v>
      </c>
      <c r="F913" s="4">
        <v>45964.0</v>
      </c>
      <c r="H913" s="1" t="s">
        <v>1597</v>
      </c>
      <c r="K913" s="1" t="s">
        <v>367</v>
      </c>
      <c r="L913" s="1" t="s">
        <v>35</v>
      </c>
      <c r="N913" s="4">
        <v>45964.0</v>
      </c>
      <c r="O913" s="4">
        <v>45964.0</v>
      </c>
    </row>
    <row r="914">
      <c r="A914" s="1" t="s">
        <v>1603</v>
      </c>
      <c r="B914" s="1" t="s">
        <v>1140</v>
      </c>
      <c r="C914" s="1" t="s">
        <v>1604</v>
      </c>
      <c r="D914" s="1" t="s">
        <v>1605</v>
      </c>
      <c r="E914" s="1" t="s">
        <v>32</v>
      </c>
      <c r="F914" s="4">
        <v>46181.0</v>
      </c>
      <c r="H914" s="1" t="s">
        <v>33</v>
      </c>
      <c r="K914" s="1" t="s">
        <v>57</v>
      </c>
      <c r="L914" s="1" t="s">
        <v>35</v>
      </c>
      <c r="N914" s="4">
        <v>46181.0</v>
      </c>
      <c r="O914" s="4">
        <v>46181.0</v>
      </c>
    </row>
    <row r="915">
      <c r="A915" s="1" t="s">
        <v>1603</v>
      </c>
      <c r="B915" s="1" t="s">
        <v>1140</v>
      </c>
      <c r="C915" s="1" t="s">
        <v>1604</v>
      </c>
      <c r="D915" s="1" t="s">
        <v>1606</v>
      </c>
      <c r="E915" s="1" t="s">
        <v>32</v>
      </c>
      <c r="F915" s="4">
        <v>46181.0</v>
      </c>
      <c r="H915" s="1" t="s">
        <v>33</v>
      </c>
      <c r="K915" s="1" t="s">
        <v>57</v>
      </c>
      <c r="L915" s="1" t="s">
        <v>35</v>
      </c>
      <c r="N915" s="4">
        <v>46181.0</v>
      </c>
      <c r="O915" s="4">
        <v>46181.0</v>
      </c>
    </row>
    <row r="916">
      <c r="A916" s="1" t="s">
        <v>1603</v>
      </c>
      <c r="B916" s="1" t="s">
        <v>1140</v>
      </c>
      <c r="C916" s="1" t="s">
        <v>1604</v>
      </c>
      <c r="D916" s="1" t="s">
        <v>1607</v>
      </c>
      <c r="E916" s="1" t="s">
        <v>32</v>
      </c>
      <c r="F916" s="4">
        <v>46181.0</v>
      </c>
      <c r="H916" s="1" t="s">
        <v>33</v>
      </c>
      <c r="K916" s="1" t="s">
        <v>57</v>
      </c>
      <c r="L916" s="1" t="s">
        <v>35</v>
      </c>
      <c r="N916" s="4">
        <v>46181.0</v>
      </c>
      <c r="O916" s="4">
        <v>46181.0</v>
      </c>
    </row>
    <row r="917">
      <c r="A917" s="1" t="s">
        <v>1603</v>
      </c>
      <c r="B917" s="1" t="s">
        <v>1140</v>
      </c>
      <c r="C917" s="1" t="s">
        <v>1604</v>
      </c>
      <c r="D917" s="1" t="s">
        <v>1608</v>
      </c>
      <c r="E917" s="1" t="s">
        <v>32</v>
      </c>
      <c r="F917" s="4">
        <v>46181.0</v>
      </c>
      <c r="H917" s="1" t="s">
        <v>33</v>
      </c>
      <c r="K917" s="1" t="s">
        <v>57</v>
      </c>
      <c r="L917" s="1" t="s">
        <v>35</v>
      </c>
      <c r="N917" s="4">
        <v>46181.0</v>
      </c>
      <c r="O917" s="4">
        <v>46181.0</v>
      </c>
    </row>
    <row r="918">
      <c r="A918" s="1" t="s">
        <v>1603</v>
      </c>
      <c r="B918" s="1" t="s">
        <v>1140</v>
      </c>
      <c r="C918" s="1" t="s">
        <v>1604</v>
      </c>
      <c r="D918" s="1" t="s">
        <v>1609</v>
      </c>
      <c r="E918" s="1" t="s">
        <v>32</v>
      </c>
      <c r="F918" s="4">
        <v>46181.0</v>
      </c>
      <c r="H918" s="1" t="s">
        <v>33</v>
      </c>
      <c r="K918" s="1" t="s">
        <v>57</v>
      </c>
      <c r="L918" s="1" t="s">
        <v>35</v>
      </c>
      <c r="N918" s="4">
        <v>46181.0</v>
      </c>
      <c r="O918" s="4">
        <v>46181.0</v>
      </c>
    </row>
    <row r="919">
      <c r="A919" s="1" t="s">
        <v>1610</v>
      </c>
      <c r="B919" s="1" t="s">
        <v>776</v>
      </c>
      <c r="C919" s="1" t="s">
        <v>1611</v>
      </c>
      <c r="D919" s="1" t="s">
        <v>1612</v>
      </c>
      <c r="E919" s="1" t="s">
        <v>32</v>
      </c>
      <c r="F919" s="8">
        <v>46315.0</v>
      </c>
      <c r="H919" s="1" t="s">
        <v>242</v>
      </c>
      <c r="K919" s="1" t="s">
        <v>254</v>
      </c>
      <c r="L919" s="1" t="s">
        <v>35</v>
      </c>
      <c r="N919" s="8">
        <v>46315.0</v>
      </c>
      <c r="O919" s="8">
        <v>46315.0</v>
      </c>
    </row>
    <row r="920">
      <c r="A920" s="1" t="s">
        <v>1613</v>
      </c>
      <c r="B920" s="1" t="s">
        <v>1614</v>
      </c>
      <c r="C920" s="1" t="s">
        <v>1615</v>
      </c>
      <c r="D920" s="1" t="s">
        <v>1616</v>
      </c>
      <c r="E920" s="1" t="s">
        <v>97</v>
      </c>
      <c r="F920" s="4">
        <v>46300.0</v>
      </c>
      <c r="G920" s="1" t="s">
        <v>71</v>
      </c>
      <c r="H920" s="1" t="s">
        <v>503</v>
      </c>
      <c r="K920" s="1" t="s">
        <v>1195</v>
      </c>
      <c r="L920" s="1" t="s">
        <v>99</v>
      </c>
      <c r="O920" s="4">
        <v>40961.0</v>
      </c>
    </row>
    <row r="921">
      <c r="A921" s="1" t="s">
        <v>1613</v>
      </c>
      <c r="B921" s="1" t="s">
        <v>1614</v>
      </c>
      <c r="C921" s="1" t="s">
        <v>1615</v>
      </c>
      <c r="D921" s="1" t="s">
        <v>1617</v>
      </c>
      <c r="E921" s="1" t="s">
        <v>97</v>
      </c>
      <c r="F921" s="4">
        <v>46300.0</v>
      </c>
      <c r="G921" s="1" t="s">
        <v>71</v>
      </c>
      <c r="H921" s="1" t="s">
        <v>503</v>
      </c>
      <c r="K921" s="1" t="s">
        <v>1195</v>
      </c>
      <c r="L921" s="1" t="s">
        <v>99</v>
      </c>
      <c r="O921" s="4">
        <v>40961.0</v>
      </c>
    </row>
    <row r="922">
      <c r="A922" s="1" t="s">
        <v>1613</v>
      </c>
      <c r="B922" s="1" t="s">
        <v>1614</v>
      </c>
      <c r="C922" s="1" t="s">
        <v>1615</v>
      </c>
      <c r="D922" s="1" t="s">
        <v>1618</v>
      </c>
      <c r="E922" s="1" t="s">
        <v>97</v>
      </c>
      <c r="F922" s="4">
        <v>46300.0</v>
      </c>
      <c r="G922" s="1" t="s">
        <v>71</v>
      </c>
      <c r="H922" s="1" t="s">
        <v>503</v>
      </c>
      <c r="K922" s="1" t="s">
        <v>1195</v>
      </c>
      <c r="L922" s="1" t="s">
        <v>99</v>
      </c>
      <c r="O922" s="4">
        <v>40961.0</v>
      </c>
    </row>
    <row r="923">
      <c r="A923" s="1" t="s">
        <v>1613</v>
      </c>
      <c r="B923" s="1" t="s">
        <v>1614</v>
      </c>
      <c r="C923" s="1" t="s">
        <v>1615</v>
      </c>
      <c r="D923" s="1" t="s">
        <v>1619</v>
      </c>
      <c r="E923" s="1" t="s">
        <v>97</v>
      </c>
      <c r="F923" s="4">
        <v>46300.0</v>
      </c>
      <c r="G923" s="1" t="s">
        <v>71</v>
      </c>
      <c r="H923" s="1" t="s">
        <v>503</v>
      </c>
      <c r="K923" s="1" t="s">
        <v>1195</v>
      </c>
      <c r="L923" s="1" t="s">
        <v>99</v>
      </c>
      <c r="O923" s="4">
        <v>40961.0</v>
      </c>
    </row>
    <row r="924">
      <c r="A924" s="1" t="s">
        <v>1613</v>
      </c>
      <c r="B924" s="1" t="s">
        <v>1614</v>
      </c>
      <c r="C924" s="1" t="s">
        <v>1615</v>
      </c>
      <c r="D924" s="1" t="s">
        <v>1620</v>
      </c>
      <c r="E924" s="1" t="s">
        <v>97</v>
      </c>
      <c r="F924" s="4">
        <v>46300.0</v>
      </c>
      <c r="G924" s="1" t="s">
        <v>71</v>
      </c>
      <c r="H924" s="1" t="s">
        <v>503</v>
      </c>
      <c r="K924" s="1" t="s">
        <v>1195</v>
      </c>
      <c r="L924" s="1" t="s">
        <v>99</v>
      </c>
      <c r="O924" s="4">
        <v>40961.0</v>
      </c>
    </row>
    <row r="925">
      <c r="A925" s="1" t="s">
        <v>1613</v>
      </c>
      <c r="B925" s="1" t="s">
        <v>1614</v>
      </c>
      <c r="C925" s="1" t="s">
        <v>1615</v>
      </c>
      <c r="D925" s="1" t="s">
        <v>1621</v>
      </c>
      <c r="E925" s="1" t="s">
        <v>97</v>
      </c>
      <c r="F925" s="4">
        <v>46300.0</v>
      </c>
      <c r="G925" s="1" t="s">
        <v>71</v>
      </c>
      <c r="H925" s="1" t="s">
        <v>503</v>
      </c>
      <c r="K925" s="1" t="s">
        <v>1195</v>
      </c>
      <c r="L925" s="1" t="s">
        <v>99</v>
      </c>
      <c r="O925" s="4">
        <v>40961.0</v>
      </c>
    </row>
    <row r="926">
      <c r="A926" s="1" t="s">
        <v>1613</v>
      </c>
      <c r="B926" s="1" t="s">
        <v>269</v>
      </c>
      <c r="C926" s="1" t="s">
        <v>270</v>
      </c>
      <c r="D926" s="1" t="s">
        <v>1622</v>
      </c>
      <c r="E926" s="1" t="s">
        <v>32</v>
      </c>
      <c r="F926" s="4">
        <v>45968.0</v>
      </c>
      <c r="H926" s="1" t="s">
        <v>33</v>
      </c>
      <c r="K926" s="1" t="s">
        <v>1286</v>
      </c>
      <c r="L926" s="1" t="s">
        <v>35</v>
      </c>
      <c r="N926" s="4">
        <v>45968.0</v>
      </c>
      <c r="O926" s="4">
        <v>45968.0</v>
      </c>
    </row>
    <row r="927">
      <c r="A927" s="1" t="s">
        <v>1613</v>
      </c>
      <c r="B927" s="1" t="s">
        <v>269</v>
      </c>
      <c r="C927" s="1" t="s">
        <v>270</v>
      </c>
      <c r="D927" s="1" t="s">
        <v>1623</v>
      </c>
      <c r="E927" s="1" t="s">
        <v>32</v>
      </c>
      <c r="F927" s="4">
        <v>45968.0</v>
      </c>
      <c r="H927" s="1" t="s">
        <v>33</v>
      </c>
      <c r="K927" s="1" t="s">
        <v>1195</v>
      </c>
      <c r="L927" s="1" t="s">
        <v>35</v>
      </c>
      <c r="N927" s="4">
        <v>45968.0</v>
      </c>
      <c r="O927" s="4">
        <v>45968.0</v>
      </c>
    </row>
    <row r="928">
      <c r="A928" s="1" t="s">
        <v>1613</v>
      </c>
      <c r="B928" s="1" t="s">
        <v>269</v>
      </c>
      <c r="C928" s="1" t="s">
        <v>270</v>
      </c>
      <c r="D928" s="1" t="s">
        <v>1624</v>
      </c>
      <c r="E928" s="1" t="s">
        <v>97</v>
      </c>
      <c r="F928" s="8">
        <v>46316.0</v>
      </c>
      <c r="G928" s="1" t="s">
        <v>71</v>
      </c>
      <c r="K928" s="1" t="s">
        <v>1195</v>
      </c>
      <c r="L928" s="1" t="s">
        <v>99</v>
      </c>
      <c r="O928" s="4">
        <v>40961.0</v>
      </c>
    </row>
    <row r="929">
      <c r="A929" s="1" t="s">
        <v>1613</v>
      </c>
      <c r="B929" s="1" t="s">
        <v>336</v>
      </c>
      <c r="C929" s="1" t="s">
        <v>338</v>
      </c>
      <c r="D929" s="1" t="s">
        <v>1625</v>
      </c>
      <c r="E929" s="1" t="s">
        <v>97</v>
      </c>
      <c r="F929" s="8">
        <v>46314.0</v>
      </c>
      <c r="G929" s="1" t="s">
        <v>107</v>
      </c>
      <c r="H929" s="1" t="s">
        <v>340</v>
      </c>
      <c r="J929" s="1" t="s">
        <v>134</v>
      </c>
      <c r="K929" s="1" t="s">
        <v>358</v>
      </c>
      <c r="L929" s="1" t="s">
        <v>99</v>
      </c>
      <c r="O929" s="4">
        <v>43151.0</v>
      </c>
    </row>
    <row r="930">
      <c r="A930" s="1" t="s">
        <v>1613</v>
      </c>
      <c r="B930" s="1" t="s">
        <v>336</v>
      </c>
      <c r="C930" s="1" t="s">
        <v>338</v>
      </c>
      <c r="D930" s="1" t="s">
        <v>1626</v>
      </c>
      <c r="E930" s="1" t="s">
        <v>70</v>
      </c>
      <c r="F930" s="8">
        <v>46314.0</v>
      </c>
      <c r="G930" s="1" t="s">
        <v>71</v>
      </c>
      <c r="H930" s="1" t="s">
        <v>396</v>
      </c>
      <c r="K930" s="1" t="s">
        <v>358</v>
      </c>
      <c r="L930" s="1" t="s">
        <v>99</v>
      </c>
      <c r="O930" s="4">
        <v>43151.0</v>
      </c>
    </row>
    <row r="931">
      <c r="A931" s="1" t="s">
        <v>1613</v>
      </c>
      <c r="B931" s="1" t="s">
        <v>336</v>
      </c>
      <c r="C931" s="1" t="s">
        <v>338</v>
      </c>
      <c r="D931" s="1" t="s">
        <v>1627</v>
      </c>
      <c r="E931" s="1" t="s">
        <v>97</v>
      </c>
      <c r="F931" s="8">
        <v>46314.0</v>
      </c>
      <c r="G931" s="1" t="s">
        <v>71</v>
      </c>
      <c r="H931" s="1" t="s">
        <v>396</v>
      </c>
      <c r="K931" s="1" t="s">
        <v>358</v>
      </c>
      <c r="L931" s="1" t="s">
        <v>99</v>
      </c>
      <c r="O931" s="4">
        <v>43151.0</v>
      </c>
    </row>
    <row r="932">
      <c r="A932" s="1" t="s">
        <v>1613</v>
      </c>
      <c r="B932" s="1" t="s">
        <v>336</v>
      </c>
      <c r="C932" s="1" t="s">
        <v>338</v>
      </c>
      <c r="D932" s="1" t="s">
        <v>1628</v>
      </c>
      <c r="E932" s="1" t="s">
        <v>97</v>
      </c>
      <c r="F932" s="8">
        <v>46314.0</v>
      </c>
      <c r="G932" s="1" t="s">
        <v>71</v>
      </c>
      <c r="H932" s="1" t="s">
        <v>396</v>
      </c>
      <c r="K932" s="1" t="s">
        <v>358</v>
      </c>
      <c r="L932" s="1" t="s">
        <v>99</v>
      </c>
      <c r="O932" s="4">
        <v>43151.0</v>
      </c>
    </row>
    <row r="933">
      <c r="A933" s="1" t="s">
        <v>1613</v>
      </c>
      <c r="B933" s="1" t="s">
        <v>336</v>
      </c>
      <c r="C933" s="1" t="s">
        <v>338</v>
      </c>
      <c r="D933" s="1" t="s">
        <v>1629</v>
      </c>
      <c r="E933" s="1" t="s">
        <v>97</v>
      </c>
      <c r="F933" s="8">
        <v>46314.0</v>
      </c>
      <c r="G933" s="1" t="s">
        <v>71</v>
      </c>
      <c r="H933" s="1" t="s">
        <v>396</v>
      </c>
      <c r="K933" s="1" t="s">
        <v>358</v>
      </c>
      <c r="L933" s="1" t="s">
        <v>99</v>
      </c>
      <c r="O933" s="4">
        <v>43151.0</v>
      </c>
    </row>
    <row r="934">
      <c r="A934" s="1" t="s">
        <v>1613</v>
      </c>
      <c r="B934" s="1" t="s">
        <v>336</v>
      </c>
      <c r="C934" s="1" t="s">
        <v>338</v>
      </c>
      <c r="D934" s="1" t="s">
        <v>1630</v>
      </c>
      <c r="E934" s="1" t="s">
        <v>70</v>
      </c>
      <c r="F934" s="8">
        <v>46314.0</v>
      </c>
      <c r="G934" s="1" t="s">
        <v>107</v>
      </c>
      <c r="H934" s="1" t="s">
        <v>415</v>
      </c>
      <c r="J934" s="1" t="s">
        <v>134</v>
      </c>
      <c r="K934" s="1" t="s">
        <v>358</v>
      </c>
      <c r="L934" s="1" t="s">
        <v>99</v>
      </c>
      <c r="O934" s="4">
        <v>43151.0</v>
      </c>
    </row>
    <row r="935">
      <c r="A935" s="1" t="s">
        <v>1613</v>
      </c>
      <c r="B935" s="1" t="s">
        <v>336</v>
      </c>
      <c r="C935" s="1" t="s">
        <v>338</v>
      </c>
      <c r="D935" s="1" t="s">
        <v>1631</v>
      </c>
      <c r="E935" s="1" t="s">
        <v>70</v>
      </c>
      <c r="F935" s="8">
        <v>46314.0</v>
      </c>
      <c r="G935" s="1" t="s">
        <v>71</v>
      </c>
      <c r="H935" s="1" t="s">
        <v>396</v>
      </c>
      <c r="K935" s="1" t="s">
        <v>358</v>
      </c>
      <c r="L935" s="1" t="s">
        <v>99</v>
      </c>
      <c r="O935" s="4">
        <v>43264.0</v>
      </c>
    </row>
    <row r="936">
      <c r="A936" s="1" t="s">
        <v>1613</v>
      </c>
      <c r="B936" s="1" t="s">
        <v>336</v>
      </c>
      <c r="C936" s="1" t="s">
        <v>338</v>
      </c>
      <c r="D936" s="1" t="s">
        <v>1632</v>
      </c>
      <c r="E936" s="1" t="s">
        <v>70</v>
      </c>
      <c r="F936" s="8">
        <v>46314.0</v>
      </c>
      <c r="G936" s="1" t="s">
        <v>107</v>
      </c>
      <c r="H936" s="1" t="s">
        <v>544</v>
      </c>
      <c r="J936" s="1" t="s">
        <v>134</v>
      </c>
      <c r="K936" s="1" t="s">
        <v>358</v>
      </c>
      <c r="L936" s="1" t="s">
        <v>99</v>
      </c>
      <c r="O936" s="4">
        <v>43264.0</v>
      </c>
    </row>
    <row r="937">
      <c r="A937" s="1" t="s">
        <v>1613</v>
      </c>
      <c r="B937" s="1" t="s">
        <v>336</v>
      </c>
      <c r="C937" s="1" t="s">
        <v>338</v>
      </c>
      <c r="D937" s="1" t="s">
        <v>1633</v>
      </c>
      <c r="E937" s="1" t="s">
        <v>70</v>
      </c>
      <c r="F937" s="8">
        <v>46314.0</v>
      </c>
      <c r="G937" s="1" t="s">
        <v>107</v>
      </c>
      <c r="H937" s="1" t="s">
        <v>1634</v>
      </c>
      <c r="J937" s="1" t="s">
        <v>134</v>
      </c>
      <c r="K937" s="1" t="s">
        <v>358</v>
      </c>
      <c r="L937" s="1" t="s">
        <v>99</v>
      </c>
      <c r="O937" s="4">
        <v>43264.0</v>
      </c>
    </row>
    <row r="938">
      <c r="A938" s="1" t="s">
        <v>1613</v>
      </c>
      <c r="B938" s="1" t="s">
        <v>336</v>
      </c>
      <c r="C938" s="1" t="s">
        <v>338</v>
      </c>
      <c r="D938" s="1" t="s">
        <v>1635</v>
      </c>
      <c r="E938" s="1" t="s">
        <v>97</v>
      </c>
      <c r="F938" s="8">
        <v>46314.0</v>
      </c>
      <c r="G938" s="1" t="s">
        <v>71</v>
      </c>
      <c r="H938" s="1" t="s">
        <v>396</v>
      </c>
      <c r="K938" s="1" t="s">
        <v>358</v>
      </c>
      <c r="L938" s="1" t="s">
        <v>99</v>
      </c>
      <c r="O938" s="4">
        <v>43264.0</v>
      </c>
    </row>
    <row r="939">
      <c r="A939" s="1" t="s">
        <v>1613</v>
      </c>
      <c r="B939" s="1" t="s">
        <v>288</v>
      </c>
      <c r="C939" s="1" t="s">
        <v>289</v>
      </c>
      <c r="D939" s="1" t="s">
        <v>1636</v>
      </c>
      <c r="E939" s="1" t="s">
        <v>70</v>
      </c>
      <c r="F939" s="8">
        <v>46309.0</v>
      </c>
      <c r="G939" s="1" t="s">
        <v>107</v>
      </c>
      <c r="H939" s="1" t="s">
        <v>937</v>
      </c>
      <c r="J939" s="1" t="s">
        <v>134</v>
      </c>
      <c r="K939" s="1" t="s">
        <v>358</v>
      </c>
      <c r="L939" s="1" t="s">
        <v>99</v>
      </c>
      <c r="O939" s="4">
        <v>43264.0</v>
      </c>
    </row>
    <row r="940">
      <c r="A940" s="1" t="s">
        <v>1613</v>
      </c>
      <c r="B940" s="1" t="s">
        <v>288</v>
      </c>
      <c r="C940" s="1" t="s">
        <v>289</v>
      </c>
      <c r="D940" s="1" t="s">
        <v>1637</v>
      </c>
      <c r="E940" s="1" t="s">
        <v>97</v>
      </c>
      <c r="F940" s="8">
        <v>46309.0</v>
      </c>
      <c r="G940" s="1" t="s">
        <v>71</v>
      </c>
      <c r="H940" s="1" t="s">
        <v>429</v>
      </c>
      <c r="K940" s="1" t="s">
        <v>358</v>
      </c>
      <c r="L940" s="1" t="s">
        <v>99</v>
      </c>
      <c r="O940" s="4">
        <v>43264.0</v>
      </c>
    </row>
    <row r="941">
      <c r="A941" s="1" t="s">
        <v>1613</v>
      </c>
      <c r="B941" s="1" t="s">
        <v>288</v>
      </c>
      <c r="C941" s="1" t="s">
        <v>289</v>
      </c>
      <c r="D941" s="1" t="s">
        <v>1638</v>
      </c>
      <c r="E941" s="1" t="s">
        <v>97</v>
      </c>
      <c r="F941" s="8">
        <v>46309.0</v>
      </c>
      <c r="G941" s="1" t="s">
        <v>71</v>
      </c>
      <c r="H941" s="1" t="s">
        <v>418</v>
      </c>
      <c r="K941" s="1" t="s">
        <v>358</v>
      </c>
      <c r="L941" s="1" t="s">
        <v>99</v>
      </c>
      <c r="O941" s="4">
        <v>43264.0</v>
      </c>
    </row>
    <row r="942">
      <c r="A942" s="1" t="s">
        <v>1613</v>
      </c>
      <c r="B942" s="1" t="s">
        <v>288</v>
      </c>
      <c r="C942" s="1" t="s">
        <v>289</v>
      </c>
      <c r="D942" s="1" t="s">
        <v>1639</v>
      </c>
      <c r="E942" s="1" t="s">
        <v>97</v>
      </c>
      <c r="F942" s="8">
        <v>46309.0</v>
      </c>
      <c r="G942" s="1" t="s">
        <v>71</v>
      </c>
      <c r="H942" s="1" t="s">
        <v>418</v>
      </c>
      <c r="K942" s="1" t="s">
        <v>358</v>
      </c>
      <c r="L942" s="1" t="s">
        <v>99</v>
      </c>
      <c r="O942" s="4">
        <v>43264.0</v>
      </c>
    </row>
    <row r="943">
      <c r="A943" s="1" t="s">
        <v>1613</v>
      </c>
      <c r="B943" s="1" t="s">
        <v>1640</v>
      </c>
      <c r="C943" s="1" t="s">
        <v>1641</v>
      </c>
      <c r="D943" s="1" t="s">
        <v>1642</v>
      </c>
      <c r="E943" s="1" t="s">
        <v>97</v>
      </c>
      <c r="F943" s="4">
        <v>46303.0</v>
      </c>
      <c r="G943" s="1" t="s">
        <v>107</v>
      </c>
      <c r="H943" s="1" t="s">
        <v>133</v>
      </c>
      <c r="J943" s="1" t="s">
        <v>47</v>
      </c>
      <c r="K943" s="1" t="s">
        <v>358</v>
      </c>
      <c r="L943" s="1" t="s">
        <v>99</v>
      </c>
      <c r="O943" s="4">
        <v>43265.0</v>
      </c>
    </row>
    <row r="944">
      <c r="A944" s="1" t="s">
        <v>1613</v>
      </c>
      <c r="B944" s="1" t="s">
        <v>255</v>
      </c>
      <c r="C944" s="1" t="s">
        <v>256</v>
      </c>
      <c r="D944" s="1" t="s">
        <v>1643</v>
      </c>
      <c r="E944" s="1" t="s">
        <v>97</v>
      </c>
      <c r="F944" s="8">
        <v>46310.0</v>
      </c>
      <c r="G944" s="1" t="s">
        <v>107</v>
      </c>
      <c r="H944" s="1" t="s">
        <v>133</v>
      </c>
      <c r="J944" s="1" t="s">
        <v>134</v>
      </c>
      <c r="K944" s="1" t="s">
        <v>1195</v>
      </c>
      <c r="L944" s="1" t="s">
        <v>99</v>
      </c>
      <c r="O944" s="4">
        <v>40961.0</v>
      </c>
    </row>
    <row r="945">
      <c r="A945" s="1" t="s">
        <v>1613</v>
      </c>
      <c r="B945" s="1" t="s">
        <v>94</v>
      </c>
      <c r="C945" s="1" t="s">
        <v>95</v>
      </c>
      <c r="D945" s="1" t="s">
        <v>1644</v>
      </c>
      <c r="E945" s="1" t="s">
        <v>97</v>
      </c>
      <c r="F945" s="8">
        <v>46311.0</v>
      </c>
      <c r="G945" s="1" t="s">
        <v>71</v>
      </c>
      <c r="K945" s="1" t="s">
        <v>366</v>
      </c>
      <c r="L945" s="1" t="s">
        <v>99</v>
      </c>
      <c r="O945" s="8">
        <v>43033.0</v>
      </c>
    </row>
    <row r="946">
      <c r="A946" s="1" t="s">
        <v>1613</v>
      </c>
      <c r="B946" s="1" t="s">
        <v>94</v>
      </c>
      <c r="C946" s="1" t="s">
        <v>95</v>
      </c>
      <c r="D946" s="1" t="s">
        <v>1645</v>
      </c>
      <c r="E946" s="1" t="s">
        <v>97</v>
      </c>
      <c r="F946" s="8">
        <v>46311.0</v>
      </c>
      <c r="G946" s="1" t="s">
        <v>71</v>
      </c>
      <c r="K946" s="1" t="s">
        <v>366</v>
      </c>
      <c r="L946" s="1" t="s">
        <v>99</v>
      </c>
      <c r="O946" s="8">
        <v>43033.0</v>
      </c>
    </row>
    <row r="947">
      <c r="A947" s="1" t="s">
        <v>1613</v>
      </c>
      <c r="B947" s="1" t="s">
        <v>102</v>
      </c>
      <c r="C947" s="1" t="s">
        <v>103</v>
      </c>
      <c r="D947" s="1" t="s">
        <v>1646</v>
      </c>
      <c r="E947" s="1" t="s">
        <v>97</v>
      </c>
      <c r="F947" s="8">
        <v>46314.0</v>
      </c>
      <c r="G947" s="1" t="s">
        <v>71</v>
      </c>
      <c r="K947" s="1" t="s">
        <v>366</v>
      </c>
      <c r="L947" s="1" t="s">
        <v>99</v>
      </c>
      <c r="O947" s="8">
        <v>43033.0</v>
      </c>
    </row>
    <row r="948">
      <c r="A948" s="1" t="s">
        <v>1613</v>
      </c>
      <c r="B948" s="1" t="s">
        <v>102</v>
      </c>
      <c r="C948" s="1" t="s">
        <v>103</v>
      </c>
      <c r="D948" s="1" t="s">
        <v>1647</v>
      </c>
      <c r="E948" s="1" t="s">
        <v>97</v>
      </c>
      <c r="F948" s="8">
        <v>46314.0</v>
      </c>
      <c r="G948" s="1" t="s">
        <v>71</v>
      </c>
      <c r="K948" s="1" t="s">
        <v>366</v>
      </c>
      <c r="L948" s="1" t="s">
        <v>99</v>
      </c>
      <c r="O948" s="8">
        <v>43033.0</v>
      </c>
    </row>
    <row r="949">
      <c r="A949" s="1" t="s">
        <v>1613</v>
      </c>
      <c r="B949" s="1" t="s">
        <v>102</v>
      </c>
      <c r="C949" s="1" t="s">
        <v>103</v>
      </c>
      <c r="D949" s="1" t="s">
        <v>1648</v>
      </c>
      <c r="E949" s="1" t="s">
        <v>97</v>
      </c>
      <c r="F949" s="8">
        <v>46314.0</v>
      </c>
      <c r="G949" s="1" t="s">
        <v>71</v>
      </c>
      <c r="K949" s="1" t="s">
        <v>366</v>
      </c>
      <c r="L949" s="1" t="s">
        <v>99</v>
      </c>
      <c r="O949" s="8">
        <v>43033.0</v>
      </c>
    </row>
    <row r="950">
      <c r="A950" s="1" t="s">
        <v>1613</v>
      </c>
      <c r="B950" s="1" t="s">
        <v>255</v>
      </c>
      <c r="C950" s="1" t="s">
        <v>256</v>
      </c>
      <c r="D950" s="1" t="s">
        <v>1649</v>
      </c>
      <c r="E950" s="1" t="s">
        <v>97</v>
      </c>
      <c r="F950" s="8">
        <v>46310.0</v>
      </c>
      <c r="G950" s="1" t="s">
        <v>107</v>
      </c>
      <c r="H950" s="1" t="s">
        <v>133</v>
      </c>
      <c r="J950" s="1" t="s">
        <v>134</v>
      </c>
      <c r="K950" s="1" t="s">
        <v>1195</v>
      </c>
      <c r="L950" s="1" t="s">
        <v>99</v>
      </c>
      <c r="O950" s="4">
        <v>40961.0</v>
      </c>
    </row>
    <row r="951">
      <c r="A951" s="1" t="s">
        <v>1613</v>
      </c>
      <c r="B951" s="1" t="s">
        <v>255</v>
      </c>
      <c r="C951" s="1" t="s">
        <v>256</v>
      </c>
      <c r="D951" s="1" t="s">
        <v>1650</v>
      </c>
      <c r="E951" s="1" t="s">
        <v>97</v>
      </c>
      <c r="F951" s="8">
        <v>46310.0</v>
      </c>
      <c r="G951" s="1" t="s">
        <v>71</v>
      </c>
      <c r="H951" s="1" t="s">
        <v>396</v>
      </c>
      <c r="K951" s="1" t="s">
        <v>1195</v>
      </c>
      <c r="L951" s="1" t="s">
        <v>99</v>
      </c>
      <c r="O951" s="4">
        <v>40961.0</v>
      </c>
    </row>
    <row r="952">
      <c r="A952" s="1" t="s">
        <v>1613</v>
      </c>
      <c r="B952" s="1" t="s">
        <v>255</v>
      </c>
      <c r="C952" s="1" t="s">
        <v>256</v>
      </c>
      <c r="D952" s="1" t="s">
        <v>1651</v>
      </c>
      <c r="E952" s="1" t="s">
        <v>97</v>
      </c>
      <c r="F952" s="8">
        <v>46310.0</v>
      </c>
      <c r="G952" s="1" t="s">
        <v>71</v>
      </c>
      <c r="H952" s="1" t="s">
        <v>396</v>
      </c>
      <c r="K952" s="1" t="s">
        <v>1195</v>
      </c>
      <c r="L952" s="1" t="s">
        <v>99</v>
      </c>
      <c r="O952" s="4">
        <v>40961.0</v>
      </c>
    </row>
    <row r="953">
      <c r="A953" s="1" t="s">
        <v>1613</v>
      </c>
      <c r="B953" s="1" t="s">
        <v>255</v>
      </c>
      <c r="C953" s="1" t="s">
        <v>256</v>
      </c>
      <c r="D953" s="1" t="s">
        <v>1652</v>
      </c>
      <c r="E953" s="1" t="s">
        <v>97</v>
      </c>
      <c r="F953" s="8">
        <v>46310.0</v>
      </c>
      <c r="G953" s="1" t="s">
        <v>107</v>
      </c>
      <c r="H953" s="1" t="s">
        <v>278</v>
      </c>
      <c r="J953" s="1" t="s">
        <v>134</v>
      </c>
      <c r="K953" s="1" t="s">
        <v>1195</v>
      </c>
      <c r="L953" s="1" t="s">
        <v>99</v>
      </c>
      <c r="O953" s="4">
        <v>40961.0</v>
      </c>
    </row>
    <row r="954">
      <c r="A954" s="1" t="s">
        <v>1613</v>
      </c>
      <c r="B954" s="1" t="s">
        <v>255</v>
      </c>
      <c r="C954" s="1" t="s">
        <v>256</v>
      </c>
      <c r="D954" s="1" t="s">
        <v>1653</v>
      </c>
      <c r="E954" s="1" t="s">
        <v>97</v>
      </c>
      <c r="F954" s="8">
        <v>46310.0</v>
      </c>
      <c r="G954" s="1" t="s">
        <v>71</v>
      </c>
      <c r="H954" s="1" t="s">
        <v>396</v>
      </c>
      <c r="K954" s="1" t="s">
        <v>1195</v>
      </c>
      <c r="L954" s="1" t="s">
        <v>99</v>
      </c>
      <c r="O954" s="4">
        <v>40961.0</v>
      </c>
    </row>
    <row r="955">
      <c r="A955" s="1" t="s">
        <v>1613</v>
      </c>
      <c r="B955" s="1" t="s">
        <v>255</v>
      </c>
      <c r="C955" s="1" t="s">
        <v>256</v>
      </c>
      <c r="D955" s="1" t="s">
        <v>1654</v>
      </c>
      <c r="E955" s="1" t="s">
        <v>97</v>
      </c>
      <c r="F955" s="8">
        <v>46310.0</v>
      </c>
      <c r="G955" s="1" t="s">
        <v>107</v>
      </c>
      <c r="H955" s="1" t="s">
        <v>278</v>
      </c>
      <c r="J955" s="1" t="s">
        <v>134</v>
      </c>
      <c r="K955" s="1" t="s">
        <v>1195</v>
      </c>
      <c r="L955" s="1" t="s">
        <v>99</v>
      </c>
      <c r="O955" s="4">
        <v>40961.0</v>
      </c>
    </row>
    <row r="956">
      <c r="A956" s="1" t="s">
        <v>1613</v>
      </c>
      <c r="B956" s="1" t="s">
        <v>255</v>
      </c>
      <c r="C956" s="1" t="s">
        <v>256</v>
      </c>
      <c r="D956" s="1" t="s">
        <v>1655</v>
      </c>
      <c r="E956" s="1" t="s">
        <v>97</v>
      </c>
      <c r="F956" s="8">
        <v>46310.0</v>
      </c>
      <c r="G956" s="1" t="s">
        <v>71</v>
      </c>
      <c r="H956" s="1" t="s">
        <v>396</v>
      </c>
      <c r="K956" s="1" t="s">
        <v>1195</v>
      </c>
      <c r="L956" s="1" t="s">
        <v>99</v>
      </c>
      <c r="O956" s="4">
        <v>40961.0</v>
      </c>
    </row>
    <row r="957">
      <c r="A957" s="1" t="s">
        <v>1613</v>
      </c>
      <c r="B957" s="1" t="s">
        <v>255</v>
      </c>
      <c r="C957" s="1" t="s">
        <v>256</v>
      </c>
      <c r="D957" s="1" t="s">
        <v>1656</v>
      </c>
      <c r="E957" s="1" t="s">
        <v>97</v>
      </c>
      <c r="F957" s="8">
        <v>46310.0</v>
      </c>
      <c r="G957" s="1" t="s">
        <v>71</v>
      </c>
      <c r="H957" s="1" t="s">
        <v>396</v>
      </c>
      <c r="K957" s="1" t="s">
        <v>1195</v>
      </c>
      <c r="L957" s="1" t="s">
        <v>99</v>
      </c>
      <c r="O957" s="4">
        <v>40961.0</v>
      </c>
    </row>
    <row r="958">
      <c r="A958" s="1" t="s">
        <v>1613</v>
      </c>
      <c r="B958" s="1" t="s">
        <v>255</v>
      </c>
      <c r="C958" s="1" t="s">
        <v>256</v>
      </c>
      <c r="D958" s="1" t="s">
        <v>1657</v>
      </c>
      <c r="E958" s="1" t="s">
        <v>97</v>
      </c>
      <c r="F958" s="8">
        <v>46310.0</v>
      </c>
      <c r="G958" s="1" t="s">
        <v>71</v>
      </c>
      <c r="H958" s="1" t="s">
        <v>396</v>
      </c>
      <c r="K958" s="1" t="s">
        <v>1195</v>
      </c>
      <c r="L958" s="1" t="s">
        <v>99</v>
      </c>
      <c r="O958" s="4">
        <v>40961.0</v>
      </c>
    </row>
    <row r="959">
      <c r="A959" s="1" t="s">
        <v>1613</v>
      </c>
      <c r="B959" s="1" t="s">
        <v>269</v>
      </c>
      <c r="C959" s="1" t="s">
        <v>270</v>
      </c>
      <c r="D959" s="1" t="s">
        <v>1658</v>
      </c>
      <c r="E959" s="1" t="s">
        <v>97</v>
      </c>
      <c r="F959" s="8">
        <v>46316.0</v>
      </c>
      <c r="G959" s="1" t="s">
        <v>71</v>
      </c>
      <c r="K959" s="1" t="s">
        <v>1195</v>
      </c>
      <c r="L959" s="1" t="s">
        <v>99</v>
      </c>
      <c r="O959" s="4">
        <v>40961.0</v>
      </c>
    </row>
    <row r="960">
      <c r="A960" s="1" t="s">
        <v>1613</v>
      </c>
      <c r="B960" s="1" t="s">
        <v>269</v>
      </c>
      <c r="C960" s="1" t="s">
        <v>270</v>
      </c>
      <c r="D960" s="1" t="s">
        <v>1659</v>
      </c>
      <c r="E960" s="1" t="s">
        <v>70</v>
      </c>
      <c r="F960" s="8">
        <v>46316.0</v>
      </c>
      <c r="G960" s="1" t="s">
        <v>107</v>
      </c>
      <c r="H960" s="1" t="s">
        <v>1660</v>
      </c>
      <c r="J960" s="1" t="s">
        <v>47</v>
      </c>
      <c r="K960" s="1" t="s">
        <v>1195</v>
      </c>
      <c r="L960" s="1" t="s">
        <v>99</v>
      </c>
      <c r="O960" s="4">
        <v>40961.0</v>
      </c>
    </row>
    <row r="961">
      <c r="A961" s="1" t="s">
        <v>1613</v>
      </c>
      <c r="B961" s="1" t="s">
        <v>269</v>
      </c>
      <c r="C961" s="1" t="s">
        <v>270</v>
      </c>
      <c r="D961" s="1" t="s">
        <v>1661</v>
      </c>
      <c r="E961" s="1" t="s">
        <v>97</v>
      </c>
      <c r="F961" s="8">
        <v>46316.0</v>
      </c>
      <c r="G961" s="1" t="s">
        <v>71</v>
      </c>
      <c r="K961" s="1" t="s">
        <v>1195</v>
      </c>
      <c r="L961" s="1" t="s">
        <v>99</v>
      </c>
      <c r="O961" s="4">
        <v>40961.0</v>
      </c>
    </row>
    <row r="962">
      <c r="A962" s="1" t="s">
        <v>1613</v>
      </c>
      <c r="B962" s="1" t="s">
        <v>269</v>
      </c>
      <c r="C962" s="1" t="s">
        <v>270</v>
      </c>
      <c r="D962" s="1" t="s">
        <v>1662</v>
      </c>
      <c r="E962" s="1" t="s">
        <v>97</v>
      </c>
      <c r="F962" s="8">
        <v>46316.0</v>
      </c>
      <c r="G962" s="1" t="s">
        <v>71</v>
      </c>
      <c r="K962" s="1" t="s">
        <v>1195</v>
      </c>
      <c r="L962" s="1" t="s">
        <v>99</v>
      </c>
      <c r="O962" s="4">
        <v>40961.0</v>
      </c>
    </row>
    <row r="963">
      <c r="A963" s="1" t="s">
        <v>1613</v>
      </c>
      <c r="B963" s="1" t="s">
        <v>269</v>
      </c>
      <c r="C963" s="1" t="s">
        <v>270</v>
      </c>
      <c r="D963" s="1" t="s">
        <v>1663</v>
      </c>
      <c r="E963" s="1" t="s">
        <v>97</v>
      </c>
      <c r="F963" s="8">
        <v>46316.0</v>
      </c>
      <c r="G963" s="1" t="s">
        <v>71</v>
      </c>
      <c r="K963" s="1" t="s">
        <v>1195</v>
      </c>
      <c r="L963" s="1" t="s">
        <v>99</v>
      </c>
      <c r="O963" s="4">
        <v>40961.0</v>
      </c>
    </row>
    <row r="964">
      <c r="A964" s="1" t="s">
        <v>1613</v>
      </c>
      <c r="B964" s="1" t="s">
        <v>269</v>
      </c>
      <c r="C964" s="1" t="s">
        <v>270</v>
      </c>
      <c r="D964" s="1" t="s">
        <v>1664</v>
      </c>
      <c r="E964" s="1" t="s">
        <v>97</v>
      </c>
      <c r="F964" s="8">
        <v>46316.0</v>
      </c>
      <c r="G964" s="1" t="s">
        <v>71</v>
      </c>
      <c r="K964" s="1" t="s">
        <v>1195</v>
      </c>
      <c r="L964" s="1" t="s">
        <v>99</v>
      </c>
      <c r="O964" s="4">
        <v>40961.0</v>
      </c>
    </row>
    <row r="965">
      <c r="A965" s="1" t="s">
        <v>1613</v>
      </c>
      <c r="B965" s="1" t="s">
        <v>269</v>
      </c>
      <c r="C965" s="1" t="s">
        <v>270</v>
      </c>
      <c r="D965" s="1" t="s">
        <v>1665</v>
      </c>
      <c r="E965" s="1" t="s">
        <v>97</v>
      </c>
      <c r="F965" s="8">
        <v>46316.0</v>
      </c>
      <c r="G965" s="1" t="s">
        <v>71</v>
      </c>
      <c r="K965" s="1" t="s">
        <v>1195</v>
      </c>
      <c r="L965" s="1" t="s">
        <v>99</v>
      </c>
      <c r="O965" s="4">
        <v>40961.0</v>
      </c>
    </row>
    <row r="966">
      <c r="A966" s="1" t="s">
        <v>1613</v>
      </c>
      <c r="B966" s="1" t="s">
        <v>269</v>
      </c>
      <c r="C966" s="1" t="s">
        <v>270</v>
      </c>
      <c r="D966" s="1" t="s">
        <v>1666</v>
      </c>
      <c r="E966" s="1" t="s">
        <v>97</v>
      </c>
      <c r="F966" s="8">
        <v>46316.0</v>
      </c>
      <c r="G966" s="1" t="s">
        <v>71</v>
      </c>
      <c r="K966" s="1" t="s">
        <v>1195</v>
      </c>
      <c r="L966" s="1" t="s">
        <v>99</v>
      </c>
      <c r="O966" s="4">
        <v>40961.0</v>
      </c>
    </row>
    <row r="967">
      <c r="A967" s="1" t="s">
        <v>1613</v>
      </c>
      <c r="B967" s="1" t="s">
        <v>269</v>
      </c>
      <c r="C967" s="1" t="s">
        <v>270</v>
      </c>
      <c r="D967" s="1" t="s">
        <v>1667</v>
      </c>
      <c r="E967" s="1" t="s">
        <v>97</v>
      </c>
      <c r="F967" s="8">
        <v>46316.0</v>
      </c>
      <c r="G967" s="1" t="s">
        <v>71</v>
      </c>
      <c r="K967" s="1" t="s">
        <v>1195</v>
      </c>
      <c r="L967" s="1" t="s">
        <v>99</v>
      </c>
      <c r="O967" s="4">
        <v>40961.0</v>
      </c>
    </row>
    <row r="968">
      <c r="A968" s="1" t="s">
        <v>1613</v>
      </c>
      <c r="B968" s="1" t="s">
        <v>269</v>
      </c>
      <c r="C968" s="1" t="s">
        <v>270</v>
      </c>
      <c r="D968" s="1" t="s">
        <v>1668</v>
      </c>
      <c r="E968" s="1" t="s">
        <v>97</v>
      </c>
      <c r="F968" s="8">
        <v>46316.0</v>
      </c>
      <c r="G968" s="1" t="s">
        <v>71</v>
      </c>
      <c r="K968" s="1" t="s">
        <v>1195</v>
      </c>
      <c r="L968" s="1" t="s">
        <v>99</v>
      </c>
      <c r="O968" s="4">
        <v>40961.0</v>
      </c>
    </row>
    <row r="969">
      <c r="A969" s="1" t="s">
        <v>1613</v>
      </c>
      <c r="B969" s="1" t="s">
        <v>269</v>
      </c>
      <c r="C969" s="1" t="s">
        <v>270</v>
      </c>
      <c r="D969" s="1" t="s">
        <v>1669</v>
      </c>
      <c r="E969" s="1" t="s">
        <v>97</v>
      </c>
      <c r="F969" s="8">
        <v>46316.0</v>
      </c>
      <c r="G969" s="1" t="s">
        <v>71</v>
      </c>
      <c r="K969" s="1" t="s">
        <v>1195</v>
      </c>
      <c r="L969" s="1" t="s">
        <v>99</v>
      </c>
      <c r="O969" s="4">
        <v>40961.0</v>
      </c>
    </row>
    <row r="970">
      <c r="A970" s="1" t="s">
        <v>1613</v>
      </c>
      <c r="B970" s="1" t="s">
        <v>269</v>
      </c>
      <c r="C970" s="1" t="s">
        <v>270</v>
      </c>
      <c r="D970" s="1" t="s">
        <v>1670</v>
      </c>
      <c r="E970" s="1" t="s">
        <v>70</v>
      </c>
      <c r="F970" s="8">
        <v>46316.0</v>
      </c>
      <c r="G970" s="1" t="s">
        <v>132</v>
      </c>
      <c r="H970" s="1" t="s">
        <v>1213</v>
      </c>
      <c r="J970" s="1" t="s">
        <v>47</v>
      </c>
      <c r="K970" s="1" t="s">
        <v>1195</v>
      </c>
      <c r="L970" s="1" t="s">
        <v>99</v>
      </c>
      <c r="O970" s="4">
        <v>40961.0</v>
      </c>
    </row>
    <row r="971">
      <c r="A971" s="1" t="s">
        <v>1613</v>
      </c>
      <c r="B971" s="1" t="s">
        <v>279</v>
      </c>
      <c r="C971" s="1" t="s">
        <v>280</v>
      </c>
      <c r="D971" s="1" t="s">
        <v>1671</v>
      </c>
      <c r="E971" s="1" t="s">
        <v>97</v>
      </c>
      <c r="F971" s="8">
        <v>46311.0</v>
      </c>
      <c r="G971" s="1" t="s">
        <v>71</v>
      </c>
      <c r="K971" s="1" t="s">
        <v>1195</v>
      </c>
      <c r="L971" s="1" t="s">
        <v>99</v>
      </c>
      <c r="O971" s="4">
        <v>40961.0</v>
      </c>
    </row>
    <row r="972">
      <c r="A972" s="1" t="s">
        <v>1613</v>
      </c>
      <c r="B972" s="1" t="s">
        <v>255</v>
      </c>
      <c r="C972" s="1" t="s">
        <v>256</v>
      </c>
      <c r="D972" s="1" t="s">
        <v>1672</v>
      </c>
      <c r="E972" s="1" t="s">
        <v>97</v>
      </c>
      <c r="F972" s="8">
        <v>46310.0</v>
      </c>
      <c r="G972" s="1" t="s">
        <v>107</v>
      </c>
      <c r="H972" s="1" t="s">
        <v>133</v>
      </c>
      <c r="J972" s="1" t="s">
        <v>134</v>
      </c>
      <c r="K972" s="1" t="s">
        <v>1195</v>
      </c>
      <c r="L972" s="1" t="s">
        <v>99</v>
      </c>
      <c r="O972" s="4">
        <v>40961.0</v>
      </c>
    </row>
    <row r="973">
      <c r="A973" s="1" t="s">
        <v>1613</v>
      </c>
      <c r="B973" s="1" t="s">
        <v>255</v>
      </c>
      <c r="C973" s="1" t="s">
        <v>256</v>
      </c>
      <c r="D973" s="1" t="s">
        <v>1673</v>
      </c>
      <c r="E973" s="1" t="s">
        <v>97</v>
      </c>
      <c r="F973" s="8">
        <v>46310.0</v>
      </c>
      <c r="G973" s="1" t="s">
        <v>107</v>
      </c>
      <c r="H973" s="1" t="s">
        <v>133</v>
      </c>
      <c r="J973" s="1" t="s">
        <v>134</v>
      </c>
      <c r="K973" s="1" t="s">
        <v>1195</v>
      </c>
      <c r="L973" s="1" t="s">
        <v>99</v>
      </c>
      <c r="O973" s="4">
        <v>40961.0</v>
      </c>
    </row>
    <row r="974">
      <c r="A974" s="1" t="s">
        <v>1613</v>
      </c>
      <c r="B974" s="1" t="s">
        <v>255</v>
      </c>
      <c r="C974" s="1" t="s">
        <v>256</v>
      </c>
      <c r="D974" s="1" t="s">
        <v>1674</v>
      </c>
      <c r="E974" s="1" t="s">
        <v>97</v>
      </c>
      <c r="F974" s="8">
        <v>46310.0</v>
      </c>
      <c r="G974" s="1" t="s">
        <v>71</v>
      </c>
      <c r="H974" s="1" t="s">
        <v>396</v>
      </c>
      <c r="K974" s="1" t="s">
        <v>1195</v>
      </c>
      <c r="L974" s="1" t="s">
        <v>99</v>
      </c>
      <c r="O974" s="4">
        <v>40961.0</v>
      </c>
    </row>
    <row r="975">
      <c r="A975" s="1" t="s">
        <v>1613</v>
      </c>
      <c r="B975" s="1" t="s">
        <v>255</v>
      </c>
      <c r="C975" s="1" t="s">
        <v>256</v>
      </c>
      <c r="D975" s="1" t="s">
        <v>1675</v>
      </c>
      <c r="E975" s="1" t="s">
        <v>97</v>
      </c>
      <c r="F975" s="8">
        <v>46310.0</v>
      </c>
      <c r="G975" s="1" t="s">
        <v>107</v>
      </c>
      <c r="H975" s="1" t="s">
        <v>638</v>
      </c>
      <c r="J975" s="1" t="s">
        <v>134</v>
      </c>
      <c r="K975" s="1" t="s">
        <v>1195</v>
      </c>
      <c r="L975" s="1" t="s">
        <v>99</v>
      </c>
      <c r="O975" s="4">
        <v>40961.0</v>
      </c>
    </row>
    <row r="976">
      <c r="A976" s="1" t="s">
        <v>1613</v>
      </c>
      <c r="B976" s="1" t="s">
        <v>255</v>
      </c>
      <c r="C976" s="1" t="s">
        <v>256</v>
      </c>
      <c r="D976" s="1" t="s">
        <v>1676</v>
      </c>
      <c r="E976" s="1" t="s">
        <v>97</v>
      </c>
      <c r="F976" s="8">
        <v>46310.0</v>
      </c>
      <c r="G976" s="1" t="s">
        <v>71</v>
      </c>
      <c r="H976" s="1" t="s">
        <v>396</v>
      </c>
      <c r="K976" s="1" t="s">
        <v>1195</v>
      </c>
      <c r="L976" s="1" t="s">
        <v>99</v>
      </c>
      <c r="O976" s="4">
        <v>40961.0</v>
      </c>
    </row>
    <row r="977">
      <c r="A977" s="1" t="s">
        <v>1613</v>
      </c>
      <c r="B977" s="1" t="s">
        <v>255</v>
      </c>
      <c r="C977" s="1" t="s">
        <v>256</v>
      </c>
      <c r="D977" s="1" t="s">
        <v>1677</v>
      </c>
      <c r="E977" s="1" t="s">
        <v>97</v>
      </c>
      <c r="F977" s="8">
        <v>46310.0</v>
      </c>
      <c r="G977" s="1" t="s">
        <v>71</v>
      </c>
      <c r="H977" s="1" t="s">
        <v>396</v>
      </c>
      <c r="K977" s="1" t="s">
        <v>1195</v>
      </c>
      <c r="L977" s="1" t="s">
        <v>99</v>
      </c>
      <c r="O977" s="4">
        <v>40961.0</v>
      </c>
    </row>
    <row r="978">
      <c r="A978" s="1" t="s">
        <v>1613</v>
      </c>
      <c r="B978" s="1" t="s">
        <v>255</v>
      </c>
      <c r="C978" s="1" t="s">
        <v>256</v>
      </c>
      <c r="D978" s="1" t="s">
        <v>1678</v>
      </c>
      <c r="E978" s="1" t="s">
        <v>70</v>
      </c>
      <c r="F978" s="8">
        <v>46310.0</v>
      </c>
      <c r="G978" s="1" t="s">
        <v>107</v>
      </c>
      <c r="H978" s="1" t="s">
        <v>638</v>
      </c>
      <c r="J978" s="1" t="s">
        <v>47</v>
      </c>
      <c r="K978" s="1" t="s">
        <v>1195</v>
      </c>
      <c r="L978" s="1" t="s">
        <v>99</v>
      </c>
      <c r="O978" s="4">
        <v>40961.0</v>
      </c>
    </row>
    <row r="979">
      <c r="A979" s="1" t="s">
        <v>1613</v>
      </c>
      <c r="B979" s="1" t="s">
        <v>255</v>
      </c>
      <c r="C979" s="1" t="s">
        <v>256</v>
      </c>
      <c r="D979" s="1" t="s">
        <v>1679</v>
      </c>
      <c r="E979" s="1" t="s">
        <v>97</v>
      </c>
      <c r="F979" s="8">
        <v>46310.0</v>
      </c>
      <c r="G979" s="1" t="s">
        <v>71</v>
      </c>
      <c r="H979" s="1" t="s">
        <v>396</v>
      </c>
      <c r="K979" s="1" t="s">
        <v>1195</v>
      </c>
      <c r="L979" s="1" t="s">
        <v>99</v>
      </c>
      <c r="O979" s="4">
        <v>40961.0</v>
      </c>
    </row>
    <row r="980">
      <c r="A980" s="1" t="s">
        <v>1613</v>
      </c>
      <c r="B980" s="1" t="s">
        <v>255</v>
      </c>
      <c r="C980" s="1" t="s">
        <v>256</v>
      </c>
      <c r="D980" s="1" t="s">
        <v>1680</v>
      </c>
      <c r="E980" s="1" t="s">
        <v>97</v>
      </c>
      <c r="F980" s="8">
        <v>46310.0</v>
      </c>
      <c r="G980" s="1" t="s">
        <v>71</v>
      </c>
      <c r="H980" s="1" t="s">
        <v>396</v>
      </c>
      <c r="K980" s="1" t="s">
        <v>1195</v>
      </c>
      <c r="L980" s="1" t="s">
        <v>99</v>
      </c>
      <c r="O980" s="4">
        <v>40961.0</v>
      </c>
    </row>
    <row r="981">
      <c r="A981" s="1" t="s">
        <v>1613</v>
      </c>
      <c r="B981" s="1" t="s">
        <v>255</v>
      </c>
      <c r="C981" s="1" t="s">
        <v>256</v>
      </c>
      <c r="D981" s="1" t="s">
        <v>1681</v>
      </c>
      <c r="E981" s="1" t="s">
        <v>97</v>
      </c>
      <c r="F981" s="8">
        <v>46310.0</v>
      </c>
      <c r="G981" s="1" t="s">
        <v>107</v>
      </c>
      <c r="H981" s="1" t="s">
        <v>133</v>
      </c>
      <c r="J981" s="1" t="s">
        <v>134</v>
      </c>
      <c r="K981" s="1" t="s">
        <v>1195</v>
      </c>
      <c r="L981" s="1" t="s">
        <v>99</v>
      </c>
      <c r="O981" s="4">
        <v>40961.0</v>
      </c>
    </row>
    <row r="982">
      <c r="A982" s="1" t="s">
        <v>1613</v>
      </c>
      <c r="B982" s="1" t="s">
        <v>269</v>
      </c>
      <c r="C982" s="1" t="s">
        <v>270</v>
      </c>
      <c r="D982" s="1" t="s">
        <v>1682</v>
      </c>
      <c r="E982" s="1" t="s">
        <v>70</v>
      </c>
      <c r="F982" s="8">
        <v>46316.0</v>
      </c>
      <c r="G982" s="1" t="s">
        <v>107</v>
      </c>
      <c r="H982" s="1" t="s">
        <v>781</v>
      </c>
      <c r="J982" s="1" t="s">
        <v>47</v>
      </c>
      <c r="K982" s="1" t="s">
        <v>1195</v>
      </c>
      <c r="L982" s="1" t="s">
        <v>99</v>
      </c>
      <c r="O982" s="4">
        <v>40961.0</v>
      </c>
    </row>
    <row r="983">
      <c r="A983" s="1" t="s">
        <v>1613</v>
      </c>
      <c r="B983" s="1" t="s">
        <v>269</v>
      </c>
      <c r="C983" s="1" t="s">
        <v>270</v>
      </c>
      <c r="D983" s="1" t="s">
        <v>1683</v>
      </c>
      <c r="E983" s="1" t="s">
        <v>97</v>
      </c>
      <c r="F983" s="8">
        <v>46316.0</v>
      </c>
      <c r="G983" s="1" t="s">
        <v>71</v>
      </c>
      <c r="K983" s="1" t="s">
        <v>1195</v>
      </c>
      <c r="L983" s="1" t="s">
        <v>99</v>
      </c>
      <c r="O983" s="4">
        <v>40961.0</v>
      </c>
    </row>
    <row r="984">
      <c r="A984" s="1" t="s">
        <v>1613</v>
      </c>
      <c r="B984" s="1" t="s">
        <v>269</v>
      </c>
      <c r="C984" s="1" t="s">
        <v>270</v>
      </c>
      <c r="D984" s="1" t="s">
        <v>1684</v>
      </c>
      <c r="E984" s="1" t="s">
        <v>97</v>
      </c>
      <c r="F984" s="8">
        <v>46316.0</v>
      </c>
      <c r="G984" s="1" t="s">
        <v>71</v>
      </c>
      <c r="K984" s="1" t="s">
        <v>1195</v>
      </c>
      <c r="L984" s="1" t="s">
        <v>99</v>
      </c>
      <c r="O984" s="4">
        <v>40961.0</v>
      </c>
    </row>
    <row r="985">
      <c r="A985" s="1" t="s">
        <v>1613</v>
      </c>
      <c r="B985" s="1" t="s">
        <v>336</v>
      </c>
      <c r="C985" s="1" t="s">
        <v>338</v>
      </c>
      <c r="D985" s="1" t="s">
        <v>1685</v>
      </c>
      <c r="E985" s="1" t="s">
        <v>97</v>
      </c>
      <c r="F985" s="8">
        <v>46314.0</v>
      </c>
      <c r="G985" s="1" t="s">
        <v>107</v>
      </c>
      <c r="H985" s="1" t="s">
        <v>340</v>
      </c>
      <c r="J985" s="1" t="s">
        <v>134</v>
      </c>
      <c r="K985" s="1" t="s">
        <v>358</v>
      </c>
      <c r="L985" s="1" t="s">
        <v>99</v>
      </c>
      <c r="O985" s="4">
        <v>43264.0</v>
      </c>
    </row>
    <row r="986">
      <c r="A986" s="1" t="s">
        <v>1613</v>
      </c>
      <c r="B986" s="1" t="s">
        <v>1686</v>
      </c>
      <c r="C986" s="1" t="s">
        <v>1687</v>
      </c>
      <c r="D986" s="1" t="s">
        <v>1688</v>
      </c>
      <c r="E986" s="1" t="s">
        <v>97</v>
      </c>
      <c r="F986" s="4">
        <v>46233.0</v>
      </c>
      <c r="G986" s="1" t="s">
        <v>107</v>
      </c>
      <c r="H986" s="1" t="s">
        <v>133</v>
      </c>
      <c r="J986" s="1" t="s">
        <v>134</v>
      </c>
      <c r="K986" s="1" t="s">
        <v>358</v>
      </c>
      <c r="L986" s="1" t="s">
        <v>99</v>
      </c>
      <c r="O986" s="4">
        <v>43295.0</v>
      </c>
    </row>
    <row r="987">
      <c r="A987" s="1" t="s">
        <v>1689</v>
      </c>
      <c r="B987" s="1" t="s">
        <v>1690</v>
      </c>
      <c r="C987" s="1" t="s">
        <v>1691</v>
      </c>
      <c r="D987" s="1" t="s">
        <v>1692</v>
      </c>
      <c r="E987" s="1" t="s">
        <v>32</v>
      </c>
      <c r="F987" s="4">
        <v>46107.0</v>
      </c>
      <c r="H987" s="1" t="s">
        <v>242</v>
      </c>
      <c r="K987" s="1" t="s">
        <v>235</v>
      </c>
      <c r="L987" s="1" t="s">
        <v>35</v>
      </c>
      <c r="N987" s="4">
        <v>46107.0</v>
      </c>
      <c r="O987" s="4">
        <v>46107.0</v>
      </c>
    </row>
    <row r="988">
      <c r="A988" s="1" t="s">
        <v>1689</v>
      </c>
      <c r="B988" s="1" t="s">
        <v>1690</v>
      </c>
      <c r="C988" s="1" t="s">
        <v>1691</v>
      </c>
      <c r="D988" s="1" t="s">
        <v>1693</v>
      </c>
      <c r="E988" s="1" t="s">
        <v>32</v>
      </c>
      <c r="F988" s="4">
        <v>46107.0</v>
      </c>
      <c r="H988" s="1" t="s">
        <v>242</v>
      </c>
      <c r="K988" s="1" t="s">
        <v>235</v>
      </c>
      <c r="L988" s="1" t="s">
        <v>35</v>
      </c>
      <c r="N988" s="4">
        <v>46107.0</v>
      </c>
      <c r="O988" s="4">
        <v>46107.0</v>
      </c>
    </row>
    <row r="989">
      <c r="A989" s="1" t="s">
        <v>1689</v>
      </c>
      <c r="B989" s="1" t="s">
        <v>342</v>
      </c>
      <c r="C989" s="1" t="s">
        <v>270</v>
      </c>
      <c r="D989" s="1" t="s">
        <v>1694</v>
      </c>
      <c r="E989" s="1" t="s">
        <v>32</v>
      </c>
      <c r="F989" s="4">
        <v>46078.0</v>
      </c>
      <c r="H989" s="1" t="s">
        <v>33</v>
      </c>
      <c r="K989" s="1" t="s">
        <v>235</v>
      </c>
      <c r="L989" s="1" t="s">
        <v>35</v>
      </c>
      <c r="N989" s="4">
        <v>46078.0</v>
      </c>
      <c r="O989" s="4">
        <v>46078.0</v>
      </c>
    </row>
    <row r="990">
      <c r="A990" s="1" t="s">
        <v>1695</v>
      </c>
      <c r="B990" s="1" t="s">
        <v>288</v>
      </c>
      <c r="C990" s="1" t="s">
        <v>289</v>
      </c>
      <c r="D990" s="1" t="s">
        <v>1696</v>
      </c>
      <c r="E990" s="1" t="s">
        <v>97</v>
      </c>
      <c r="F990" s="8">
        <v>46309.0</v>
      </c>
      <c r="G990" s="1" t="s">
        <v>71</v>
      </c>
      <c r="K990" s="1" t="s">
        <v>372</v>
      </c>
      <c r="L990" s="1" t="s">
        <v>99</v>
      </c>
      <c r="O990" s="4">
        <v>45125.0</v>
      </c>
    </row>
    <row r="991">
      <c r="A991" s="1" t="s">
        <v>1695</v>
      </c>
      <c r="B991" s="1" t="s">
        <v>288</v>
      </c>
      <c r="C991" s="1" t="s">
        <v>289</v>
      </c>
      <c r="D991" s="1" t="s">
        <v>1697</v>
      </c>
      <c r="E991" s="1" t="s">
        <v>97</v>
      </c>
      <c r="F991" s="8">
        <v>46309.0</v>
      </c>
      <c r="G991" s="1" t="s">
        <v>71</v>
      </c>
      <c r="K991" s="1" t="s">
        <v>372</v>
      </c>
      <c r="L991" s="1" t="s">
        <v>99</v>
      </c>
      <c r="O991" s="4">
        <v>45125.0</v>
      </c>
    </row>
    <row r="992">
      <c r="A992" s="1" t="s">
        <v>1695</v>
      </c>
      <c r="B992" s="1" t="s">
        <v>328</v>
      </c>
      <c r="C992" s="1" t="s">
        <v>329</v>
      </c>
      <c r="D992" s="1" t="s">
        <v>1698</v>
      </c>
      <c r="E992" s="1" t="s">
        <v>70</v>
      </c>
      <c r="F992" s="4">
        <v>46261.0</v>
      </c>
      <c r="G992" s="1" t="s">
        <v>71</v>
      </c>
      <c r="K992" s="1" t="s">
        <v>372</v>
      </c>
      <c r="L992" s="1" t="s">
        <v>99</v>
      </c>
      <c r="O992" s="4">
        <v>45125.0</v>
      </c>
    </row>
    <row r="993">
      <c r="A993" s="1" t="s">
        <v>1695</v>
      </c>
      <c r="B993" s="1" t="s">
        <v>328</v>
      </c>
      <c r="C993" s="1" t="s">
        <v>329</v>
      </c>
      <c r="D993" s="1" t="s">
        <v>1699</v>
      </c>
      <c r="E993" s="1" t="s">
        <v>70</v>
      </c>
      <c r="F993" s="4">
        <v>46261.0</v>
      </c>
      <c r="G993" s="1" t="s">
        <v>71</v>
      </c>
      <c r="K993" s="1" t="s">
        <v>372</v>
      </c>
      <c r="L993" s="1" t="s">
        <v>99</v>
      </c>
      <c r="O993" s="4">
        <v>45125.0</v>
      </c>
    </row>
    <row r="994">
      <c r="A994" s="1" t="s">
        <v>1695</v>
      </c>
      <c r="B994" s="1" t="s">
        <v>1700</v>
      </c>
      <c r="C994" s="1" t="s">
        <v>1701</v>
      </c>
      <c r="D994" s="1" t="s">
        <v>1702</v>
      </c>
      <c r="E994" s="1" t="s">
        <v>97</v>
      </c>
      <c r="F994" s="4">
        <v>46287.0</v>
      </c>
      <c r="G994" s="1" t="s">
        <v>132</v>
      </c>
      <c r="H994" s="1" t="s">
        <v>1703</v>
      </c>
      <c r="J994" s="1" t="s">
        <v>33</v>
      </c>
      <c r="K994" s="1" t="s">
        <v>372</v>
      </c>
      <c r="L994" s="1" t="s">
        <v>99</v>
      </c>
      <c r="O994" s="4">
        <v>45125.0</v>
      </c>
      <c r="T994" s="19" t="s">
        <v>1704</v>
      </c>
    </row>
    <row r="995">
      <c r="A995" s="1" t="s">
        <v>1695</v>
      </c>
      <c r="B995" s="1" t="s">
        <v>1700</v>
      </c>
      <c r="C995" s="1" t="s">
        <v>1701</v>
      </c>
      <c r="D995" s="1" t="s">
        <v>1705</v>
      </c>
      <c r="E995" s="1" t="s">
        <v>97</v>
      </c>
      <c r="F995" s="4">
        <v>46287.0</v>
      </c>
      <c r="G995" s="1" t="s">
        <v>71</v>
      </c>
      <c r="H995" s="1" t="s">
        <v>1706</v>
      </c>
      <c r="K995" s="1" t="s">
        <v>372</v>
      </c>
      <c r="L995" s="1" t="s">
        <v>99</v>
      </c>
      <c r="O995" s="4">
        <v>45125.0</v>
      </c>
    </row>
    <row r="996">
      <c r="A996" s="1" t="s">
        <v>1695</v>
      </c>
      <c r="B996" s="1" t="s">
        <v>1700</v>
      </c>
      <c r="C996" s="1" t="s">
        <v>1701</v>
      </c>
      <c r="D996" s="1" t="s">
        <v>1707</v>
      </c>
      <c r="E996" s="1" t="s">
        <v>97</v>
      </c>
      <c r="F996" s="4">
        <v>46287.0</v>
      </c>
      <c r="G996" s="1" t="s">
        <v>71</v>
      </c>
      <c r="H996" s="1" t="s">
        <v>1706</v>
      </c>
      <c r="K996" s="1" t="s">
        <v>372</v>
      </c>
      <c r="L996" s="1" t="s">
        <v>99</v>
      </c>
      <c r="O996" s="4">
        <v>45125.0</v>
      </c>
    </row>
    <row r="997">
      <c r="A997" s="1" t="s">
        <v>1695</v>
      </c>
      <c r="B997" s="1" t="s">
        <v>1700</v>
      </c>
      <c r="C997" s="1" t="s">
        <v>1701</v>
      </c>
      <c r="D997" s="1" t="s">
        <v>1708</v>
      </c>
      <c r="E997" s="1" t="s">
        <v>97</v>
      </c>
      <c r="F997" s="4">
        <v>46287.0</v>
      </c>
      <c r="G997" s="1" t="s">
        <v>132</v>
      </c>
      <c r="H997" s="1" t="s">
        <v>1709</v>
      </c>
      <c r="J997" s="1" t="s">
        <v>562</v>
      </c>
      <c r="K997" s="1" t="s">
        <v>372</v>
      </c>
      <c r="L997" s="1" t="s">
        <v>99</v>
      </c>
      <c r="O997" s="4">
        <v>45125.0</v>
      </c>
    </row>
    <row r="998">
      <c r="A998" s="1" t="s">
        <v>1695</v>
      </c>
      <c r="B998" s="1" t="s">
        <v>1700</v>
      </c>
      <c r="C998" s="1" t="s">
        <v>1701</v>
      </c>
      <c r="D998" s="1" t="s">
        <v>1710</v>
      </c>
      <c r="E998" s="1" t="s">
        <v>97</v>
      </c>
      <c r="F998" s="4">
        <v>46287.0</v>
      </c>
      <c r="G998" s="1" t="s">
        <v>132</v>
      </c>
      <c r="H998" s="1" t="s">
        <v>1709</v>
      </c>
      <c r="J998" s="1" t="s">
        <v>562</v>
      </c>
      <c r="K998" s="1" t="s">
        <v>372</v>
      </c>
      <c r="L998" s="1" t="s">
        <v>99</v>
      </c>
      <c r="O998" s="4">
        <v>45125.0</v>
      </c>
    </row>
    <row r="999">
      <c r="A999" s="1" t="s">
        <v>1695</v>
      </c>
      <c r="B999" s="1" t="s">
        <v>1700</v>
      </c>
      <c r="C999" s="1" t="s">
        <v>1701</v>
      </c>
      <c r="D999" s="1" t="s">
        <v>1702</v>
      </c>
      <c r="E999" s="1" t="s">
        <v>32</v>
      </c>
      <c r="F999" s="4">
        <v>46259.0</v>
      </c>
      <c r="H999" s="1" t="s">
        <v>1711</v>
      </c>
      <c r="K999" s="1" t="s">
        <v>372</v>
      </c>
      <c r="L999" s="1" t="s">
        <v>35</v>
      </c>
      <c r="N999" s="4">
        <v>46259.0</v>
      </c>
      <c r="O999" s="4">
        <v>46259.0</v>
      </c>
    </row>
    <row r="1000">
      <c r="A1000" s="1" t="s">
        <v>1695</v>
      </c>
      <c r="B1000" s="1" t="s">
        <v>63</v>
      </c>
      <c r="C1000" s="1" t="s">
        <v>1712</v>
      </c>
      <c r="D1000" s="1" t="s">
        <v>1713</v>
      </c>
      <c r="E1000" s="1" t="s">
        <v>32</v>
      </c>
      <c r="F1000" s="4">
        <v>46156.0</v>
      </c>
      <c r="H1000" s="1" t="s">
        <v>33</v>
      </c>
      <c r="K1000" s="1" t="s">
        <v>372</v>
      </c>
      <c r="L1000" s="1" t="s">
        <v>35</v>
      </c>
      <c r="N1000" s="4">
        <v>46156.0</v>
      </c>
      <c r="O1000" s="4">
        <v>46156.0</v>
      </c>
    </row>
    <row r="1001">
      <c r="A1001" s="1" t="s">
        <v>1714</v>
      </c>
      <c r="B1001" s="1" t="s">
        <v>1715</v>
      </c>
      <c r="C1001" s="1" t="s">
        <v>1716</v>
      </c>
      <c r="D1001" s="1" t="s">
        <v>1717</v>
      </c>
      <c r="E1001" s="1" t="s">
        <v>70</v>
      </c>
      <c r="F1001" s="4">
        <v>46197.0</v>
      </c>
      <c r="G1001" s="1" t="s">
        <v>71</v>
      </c>
      <c r="K1001" s="1" t="s">
        <v>129</v>
      </c>
      <c r="L1001" s="1" t="s">
        <v>99</v>
      </c>
      <c r="O1001" s="4">
        <v>45121.0</v>
      </c>
    </row>
    <row r="1002">
      <c r="A1002" s="1" t="s">
        <v>1714</v>
      </c>
      <c r="B1002" s="1" t="s">
        <v>1715</v>
      </c>
      <c r="C1002" s="1" t="s">
        <v>1716</v>
      </c>
      <c r="D1002" s="1" t="s">
        <v>1718</v>
      </c>
      <c r="E1002" s="1" t="s">
        <v>70</v>
      </c>
      <c r="F1002" s="4">
        <v>46197.0</v>
      </c>
      <c r="G1002" s="1" t="s">
        <v>132</v>
      </c>
      <c r="H1002" s="1" t="s">
        <v>133</v>
      </c>
      <c r="J1002" s="1" t="s">
        <v>122</v>
      </c>
      <c r="K1002" s="1" t="s">
        <v>129</v>
      </c>
      <c r="L1002" s="1" t="s">
        <v>99</v>
      </c>
      <c r="O1002" s="4">
        <v>45121.0</v>
      </c>
    </row>
    <row r="1003">
      <c r="A1003" s="1" t="s">
        <v>1714</v>
      </c>
      <c r="B1003" s="1" t="s">
        <v>1715</v>
      </c>
      <c r="C1003" s="1" t="s">
        <v>1716</v>
      </c>
      <c r="D1003" s="1" t="s">
        <v>1719</v>
      </c>
      <c r="E1003" s="1" t="s">
        <v>70</v>
      </c>
      <c r="F1003" s="4">
        <v>46197.0</v>
      </c>
      <c r="G1003" s="1" t="s">
        <v>132</v>
      </c>
      <c r="H1003" s="1" t="s">
        <v>133</v>
      </c>
      <c r="J1003" s="1" t="s">
        <v>122</v>
      </c>
      <c r="K1003" s="1" t="s">
        <v>129</v>
      </c>
      <c r="L1003" s="1" t="s">
        <v>99</v>
      </c>
      <c r="O1003" s="4">
        <v>45121.0</v>
      </c>
    </row>
    <row r="1004">
      <c r="A1004" s="1" t="s">
        <v>1714</v>
      </c>
      <c r="B1004" s="1" t="s">
        <v>1715</v>
      </c>
      <c r="C1004" s="1" t="s">
        <v>1716</v>
      </c>
      <c r="D1004" s="1" t="s">
        <v>1720</v>
      </c>
      <c r="E1004" s="1" t="s">
        <v>70</v>
      </c>
      <c r="F1004" s="4">
        <v>46197.0</v>
      </c>
      <c r="G1004" s="1" t="s">
        <v>132</v>
      </c>
      <c r="H1004" s="1" t="s">
        <v>133</v>
      </c>
      <c r="J1004" s="1" t="s">
        <v>122</v>
      </c>
      <c r="K1004" s="1" t="s">
        <v>129</v>
      </c>
      <c r="L1004" s="1" t="s">
        <v>99</v>
      </c>
      <c r="O1004" s="4">
        <v>45121.0</v>
      </c>
    </row>
    <row r="1005">
      <c r="A1005" s="1" t="s">
        <v>1714</v>
      </c>
      <c r="B1005" s="1" t="s">
        <v>1715</v>
      </c>
      <c r="C1005" s="1" t="s">
        <v>1716</v>
      </c>
      <c r="D1005" s="1" t="s">
        <v>1721</v>
      </c>
      <c r="E1005" s="1" t="s">
        <v>70</v>
      </c>
      <c r="F1005" s="4">
        <v>46197.0</v>
      </c>
      <c r="G1005" s="1" t="s">
        <v>71</v>
      </c>
      <c r="K1005" s="1" t="s">
        <v>129</v>
      </c>
      <c r="L1005" s="1" t="s">
        <v>99</v>
      </c>
      <c r="O1005" s="4">
        <v>45121.0</v>
      </c>
    </row>
    <row r="1006">
      <c r="A1006" s="1" t="s">
        <v>1714</v>
      </c>
      <c r="B1006" s="1" t="s">
        <v>1715</v>
      </c>
      <c r="C1006" s="1" t="s">
        <v>1716</v>
      </c>
      <c r="D1006" s="1" t="s">
        <v>1722</v>
      </c>
      <c r="E1006" s="1" t="s">
        <v>70</v>
      </c>
      <c r="F1006" s="4">
        <v>46197.0</v>
      </c>
      <c r="G1006" s="1" t="s">
        <v>132</v>
      </c>
      <c r="H1006" s="1" t="s">
        <v>133</v>
      </c>
      <c r="J1006" s="1" t="s">
        <v>122</v>
      </c>
      <c r="K1006" s="1" t="s">
        <v>129</v>
      </c>
      <c r="L1006" s="1" t="s">
        <v>99</v>
      </c>
      <c r="O1006" s="4">
        <v>45121.0</v>
      </c>
    </row>
    <row r="1007">
      <c r="A1007" s="1" t="s">
        <v>1714</v>
      </c>
      <c r="B1007" s="1" t="s">
        <v>1715</v>
      </c>
      <c r="C1007" s="1" t="s">
        <v>1716</v>
      </c>
      <c r="D1007" s="1" t="s">
        <v>1723</v>
      </c>
      <c r="E1007" s="1" t="s">
        <v>70</v>
      </c>
      <c r="F1007" s="4">
        <v>46197.0</v>
      </c>
      <c r="G1007" s="1" t="s">
        <v>132</v>
      </c>
      <c r="H1007" s="1" t="s">
        <v>133</v>
      </c>
      <c r="J1007" s="1" t="s">
        <v>122</v>
      </c>
      <c r="K1007" s="1" t="s">
        <v>129</v>
      </c>
      <c r="L1007" s="1" t="s">
        <v>99</v>
      </c>
      <c r="O1007" s="4">
        <v>45302.0</v>
      </c>
    </row>
    <row r="1008">
      <c r="A1008" s="1" t="s">
        <v>1714</v>
      </c>
      <c r="B1008" s="1" t="s">
        <v>147</v>
      </c>
      <c r="C1008" s="1" t="s">
        <v>148</v>
      </c>
      <c r="D1008" s="1" t="s">
        <v>1724</v>
      </c>
      <c r="E1008" s="1" t="s">
        <v>97</v>
      </c>
      <c r="F1008" s="8">
        <v>46311.0</v>
      </c>
      <c r="G1008" s="1" t="s">
        <v>71</v>
      </c>
      <c r="K1008" s="1" t="s">
        <v>129</v>
      </c>
      <c r="L1008" s="1" t="s">
        <v>99</v>
      </c>
      <c r="O1008" s="4">
        <v>45121.0</v>
      </c>
    </row>
    <row r="1009">
      <c r="A1009" s="1" t="s">
        <v>1714</v>
      </c>
      <c r="B1009" s="1" t="s">
        <v>147</v>
      </c>
      <c r="C1009" s="1" t="s">
        <v>148</v>
      </c>
      <c r="D1009" s="1" t="s">
        <v>1725</v>
      </c>
      <c r="E1009" s="1" t="s">
        <v>97</v>
      </c>
      <c r="F1009" s="8">
        <v>46311.0</v>
      </c>
      <c r="G1009" s="1" t="s">
        <v>71</v>
      </c>
      <c r="K1009" s="1" t="s">
        <v>129</v>
      </c>
      <c r="L1009" s="1" t="s">
        <v>99</v>
      </c>
      <c r="O1009" s="4">
        <v>45121.0</v>
      </c>
    </row>
    <row r="1010">
      <c r="A1010" s="1" t="s">
        <v>1714</v>
      </c>
      <c r="B1010" s="1" t="s">
        <v>147</v>
      </c>
      <c r="C1010" s="1" t="s">
        <v>148</v>
      </c>
      <c r="D1010" s="1" t="s">
        <v>1726</v>
      </c>
      <c r="E1010" s="1" t="s">
        <v>97</v>
      </c>
      <c r="F1010" s="8">
        <v>46311.0</v>
      </c>
      <c r="G1010" s="1" t="s">
        <v>71</v>
      </c>
      <c r="K1010" s="1" t="s">
        <v>129</v>
      </c>
      <c r="L1010" s="1" t="s">
        <v>99</v>
      </c>
      <c r="O1010" s="4">
        <v>45121.0</v>
      </c>
    </row>
    <row r="1011">
      <c r="A1011" s="1" t="s">
        <v>1714</v>
      </c>
      <c r="B1011" s="1" t="s">
        <v>147</v>
      </c>
      <c r="C1011" s="1" t="s">
        <v>148</v>
      </c>
      <c r="D1011" s="1" t="s">
        <v>1727</v>
      </c>
      <c r="E1011" s="1" t="s">
        <v>97</v>
      </c>
      <c r="F1011" s="8">
        <v>46311.0</v>
      </c>
      <c r="G1011" s="1" t="s">
        <v>71</v>
      </c>
      <c r="K1011" s="1" t="s">
        <v>129</v>
      </c>
      <c r="L1011" s="1" t="s">
        <v>99</v>
      </c>
      <c r="O1011" s="4">
        <v>45121.0</v>
      </c>
    </row>
    <row r="1012">
      <c r="A1012" s="1" t="s">
        <v>1714</v>
      </c>
      <c r="B1012" s="1" t="s">
        <v>147</v>
      </c>
      <c r="C1012" s="1" t="s">
        <v>148</v>
      </c>
      <c r="D1012" s="1" t="s">
        <v>1728</v>
      </c>
      <c r="E1012" s="1" t="s">
        <v>97</v>
      </c>
      <c r="F1012" s="8">
        <v>46311.0</v>
      </c>
      <c r="G1012" s="1" t="s">
        <v>71</v>
      </c>
      <c r="K1012" s="1" t="s">
        <v>129</v>
      </c>
      <c r="L1012" s="1" t="s">
        <v>99</v>
      </c>
      <c r="O1012" s="4">
        <v>45121.0</v>
      </c>
    </row>
    <row r="1013">
      <c r="A1013" s="1" t="s">
        <v>1714</v>
      </c>
      <c r="B1013" s="1" t="s">
        <v>147</v>
      </c>
      <c r="C1013" s="1" t="s">
        <v>148</v>
      </c>
      <c r="D1013" s="1" t="s">
        <v>1729</v>
      </c>
      <c r="E1013" s="1" t="s">
        <v>97</v>
      </c>
      <c r="F1013" s="8">
        <v>46311.0</v>
      </c>
      <c r="G1013" s="1" t="s">
        <v>71</v>
      </c>
      <c r="K1013" s="1" t="s">
        <v>129</v>
      </c>
      <c r="L1013" s="1" t="s">
        <v>99</v>
      </c>
      <c r="O1013" s="4">
        <v>45121.0</v>
      </c>
    </row>
    <row r="1014">
      <c r="A1014" s="1" t="s">
        <v>1714</v>
      </c>
      <c r="B1014" s="1" t="s">
        <v>147</v>
      </c>
      <c r="C1014" s="1" t="s">
        <v>148</v>
      </c>
      <c r="D1014" s="1" t="s">
        <v>1730</v>
      </c>
      <c r="E1014" s="1" t="s">
        <v>97</v>
      </c>
      <c r="F1014" s="8">
        <v>46311.0</v>
      </c>
      <c r="G1014" s="1" t="s">
        <v>71</v>
      </c>
      <c r="K1014" s="1" t="s">
        <v>129</v>
      </c>
      <c r="L1014" s="1" t="s">
        <v>99</v>
      </c>
      <c r="O1014" s="4">
        <v>45121.0</v>
      </c>
    </row>
    <row r="1015">
      <c r="A1015" s="1" t="s">
        <v>1714</v>
      </c>
      <c r="B1015" s="1" t="s">
        <v>914</v>
      </c>
      <c r="C1015" s="1" t="s">
        <v>861</v>
      </c>
      <c r="D1015" s="1" t="s">
        <v>1731</v>
      </c>
      <c r="E1015" s="1" t="s">
        <v>97</v>
      </c>
      <c r="F1015" s="8">
        <v>46310.0</v>
      </c>
      <c r="G1015" s="1" t="s">
        <v>71</v>
      </c>
      <c r="K1015" s="1" t="s">
        <v>129</v>
      </c>
      <c r="L1015" s="1" t="s">
        <v>99</v>
      </c>
      <c r="O1015" s="4">
        <v>45231.0</v>
      </c>
    </row>
    <row r="1016">
      <c r="A1016" s="1" t="s">
        <v>1714</v>
      </c>
      <c r="B1016" s="1" t="s">
        <v>914</v>
      </c>
      <c r="C1016" s="1" t="s">
        <v>861</v>
      </c>
      <c r="D1016" s="1" t="s">
        <v>1732</v>
      </c>
      <c r="E1016" s="1" t="s">
        <v>70</v>
      </c>
      <c r="F1016" s="8">
        <v>46310.0</v>
      </c>
      <c r="G1016" s="1" t="s">
        <v>71</v>
      </c>
      <c r="K1016" s="1" t="s">
        <v>129</v>
      </c>
      <c r="L1016" s="1" t="s">
        <v>99</v>
      </c>
      <c r="O1016" s="4">
        <v>45231.0</v>
      </c>
    </row>
    <row r="1017">
      <c r="A1017" s="1" t="s">
        <v>1714</v>
      </c>
      <c r="B1017" s="1" t="s">
        <v>914</v>
      </c>
      <c r="C1017" s="1" t="s">
        <v>861</v>
      </c>
      <c r="D1017" s="1" t="s">
        <v>1733</v>
      </c>
      <c r="E1017" s="1" t="s">
        <v>97</v>
      </c>
      <c r="F1017" s="8">
        <v>46310.0</v>
      </c>
      <c r="G1017" s="1" t="s">
        <v>71</v>
      </c>
      <c r="K1017" s="1" t="s">
        <v>129</v>
      </c>
      <c r="L1017" s="1" t="s">
        <v>99</v>
      </c>
      <c r="O1017" s="4">
        <v>45231.0</v>
      </c>
    </row>
    <row r="1018">
      <c r="A1018" s="1" t="s">
        <v>1714</v>
      </c>
      <c r="B1018" s="1" t="s">
        <v>914</v>
      </c>
      <c r="C1018" s="1" t="s">
        <v>861</v>
      </c>
      <c r="D1018" s="1" t="s">
        <v>1734</v>
      </c>
      <c r="E1018" s="1" t="s">
        <v>97</v>
      </c>
      <c r="F1018" s="8">
        <v>46310.0</v>
      </c>
      <c r="G1018" s="1" t="s">
        <v>71</v>
      </c>
      <c r="K1018" s="1" t="s">
        <v>129</v>
      </c>
      <c r="L1018" s="1" t="s">
        <v>99</v>
      </c>
      <c r="O1018" s="4">
        <v>45231.0</v>
      </c>
    </row>
    <row r="1019">
      <c r="A1019" s="1" t="s">
        <v>1714</v>
      </c>
      <c r="B1019" s="1" t="s">
        <v>914</v>
      </c>
      <c r="C1019" s="1" t="s">
        <v>861</v>
      </c>
      <c r="D1019" s="1" t="s">
        <v>1735</v>
      </c>
      <c r="E1019" s="1" t="s">
        <v>97</v>
      </c>
      <c r="F1019" s="8">
        <v>46310.0</v>
      </c>
      <c r="G1019" s="1" t="s">
        <v>71</v>
      </c>
      <c r="K1019" s="1" t="s">
        <v>129</v>
      </c>
      <c r="L1019" s="1" t="s">
        <v>99</v>
      </c>
      <c r="O1019" s="4">
        <v>45231.0</v>
      </c>
    </row>
    <row r="1020">
      <c r="A1020" s="1" t="s">
        <v>1714</v>
      </c>
      <c r="B1020" s="1" t="s">
        <v>914</v>
      </c>
      <c r="C1020" s="1" t="s">
        <v>861</v>
      </c>
      <c r="D1020" s="1" t="s">
        <v>1736</v>
      </c>
      <c r="E1020" s="1" t="s">
        <v>97</v>
      </c>
      <c r="F1020" s="8">
        <v>46310.0</v>
      </c>
      <c r="G1020" s="1" t="s">
        <v>71</v>
      </c>
      <c r="K1020" s="1" t="s">
        <v>129</v>
      </c>
      <c r="L1020" s="1" t="s">
        <v>99</v>
      </c>
      <c r="O1020" s="4">
        <v>45231.0</v>
      </c>
    </row>
    <row r="1021">
      <c r="A1021" s="1" t="s">
        <v>1714</v>
      </c>
      <c r="B1021" s="1" t="s">
        <v>914</v>
      </c>
      <c r="C1021" s="1" t="s">
        <v>861</v>
      </c>
      <c r="D1021" s="1" t="s">
        <v>1737</v>
      </c>
      <c r="E1021" s="1" t="s">
        <v>97</v>
      </c>
      <c r="F1021" s="8">
        <v>46310.0</v>
      </c>
      <c r="G1021" s="1" t="s">
        <v>71</v>
      </c>
      <c r="K1021" s="1" t="s">
        <v>129</v>
      </c>
      <c r="L1021" s="1" t="s">
        <v>99</v>
      </c>
      <c r="O1021" s="4">
        <v>45231.0</v>
      </c>
    </row>
    <row r="1022">
      <c r="A1022" s="1" t="s">
        <v>1714</v>
      </c>
      <c r="B1022" s="1" t="s">
        <v>1146</v>
      </c>
      <c r="C1022" s="1" t="s">
        <v>924</v>
      </c>
      <c r="D1022" s="1" t="s">
        <v>1738</v>
      </c>
      <c r="E1022" s="1" t="s">
        <v>97</v>
      </c>
      <c r="F1022" s="8">
        <v>46314.0</v>
      </c>
      <c r="G1022" s="1" t="s">
        <v>71</v>
      </c>
      <c r="K1022" s="1" t="s">
        <v>129</v>
      </c>
      <c r="L1022" s="1" t="s">
        <v>99</v>
      </c>
      <c r="O1022" s="4">
        <v>45121.0</v>
      </c>
    </row>
    <row r="1023">
      <c r="A1023" s="1" t="s">
        <v>1714</v>
      </c>
      <c r="B1023" s="1" t="s">
        <v>1146</v>
      </c>
      <c r="C1023" s="1" t="s">
        <v>924</v>
      </c>
      <c r="D1023" s="1" t="s">
        <v>1739</v>
      </c>
      <c r="E1023" s="1" t="s">
        <v>97</v>
      </c>
      <c r="F1023" s="8">
        <v>46314.0</v>
      </c>
      <c r="G1023" s="1" t="s">
        <v>71</v>
      </c>
      <c r="K1023" s="1" t="s">
        <v>129</v>
      </c>
      <c r="L1023" s="1" t="s">
        <v>99</v>
      </c>
      <c r="O1023" s="4">
        <v>45121.0</v>
      </c>
    </row>
    <row r="1024">
      <c r="A1024" s="1" t="s">
        <v>1714</v>
      </c>
      <c r="B1024" s="1" t="s">
        <v>1146</v>
      </c>
      <c r="C1024" s="1" t="s">
        <v>924</v>
      </c>
      <c r="D1024" s="1" t="s">
        <v>1740</v>
      </c>
      <c r="E1024" s="1" t="s">
        <v>97</v>
      </c>
      <c r="F1024" s="8">
        <v>46314.0</v>
      </c>
      <c r="G1024" s="1" t="s">
        <v>71</v>
      </c>
      <c r="K1024" s="1" t="s">
        <v>129</v>
      </c>
      <c r="L1024" s="1" t="s">
        <v>99</v>
      </c>
      <c r="O1024" s="4">
        <v>45121.0</v>
      </c>
    </row>
    <row r="1025">
      <c r="A1025" s="1" t="s">
        <v>1714</v>
      </c>
      <c r="B1025" s="1" t="s">
        <v>1146</v>
      </c>
      <c r="C1025" s="1" t="s">
        <v>924</v>
      </c>
      <c r="D1025" s="1" t="s">
        <v>1741</v>
      </c>
      <c r="E1025" s="1" t="s">
        <v>97</v>
      </c>
      <c r="F1025" s="8">
        <v>46314.0</v>
      </c>
      <c r="G1025" s="1" t="s">
        <v>71</v>
      </c>
      <c r="K1025" s="1" t="s">
        <v>129</v>
      </c>
      <c r="L1025" s="1" t="s">
        <v>99</v>
      </c>
      <c r="O1025" s="4">
        <v>45121.0</v>
      </c>
    </row>
    <row r="1026">
      <c r="A1026" s="1" t="s">
        <v>1714</v>
      </c>
      <c r="B1026" s="1" t="s">
        <v>1146</v>
      </c>
      <c r="C1026" s="1" t="s">
        <v>924</v>
      </c>
      <c r="D1026" s="1" t="s">
        <v>1742</v>
      </c>
      <c r="E1026" s="1" t="s">
        <v>97</v>
      </c>
      <c r="F1026" s="8">
        <v>46314.0</v>
      </c>
      <c r="G1026" s="1" t="s">
        <v>71</v>
      </c>
      <c r="K1026" s="1" t="s">
        <v>129</v>
      </c>
      <c r="L1026" s="1" t="s">
        <v>99</v>
      </c>
      <c r="O1026" s="4">
        <v>45121.0</v>
      </c>
    </row>
    <row r="1027">
      <c r="A1027" s="1" t="s">
        <v>1714</v>
      </c>
      <c r="B1027" s="1" t="s">
        <v>1146</v>
      </c>
      <c r="C1027" s="1" t="s">
        <v>924</v>
      </c>
      <c r="D1027" s="1" t="s">
        <v>1743</v>
      </c>
      <c r="E1027" s="1" t="s">
        <v>97</v>
      </c>
      <c r="F1027" s="8">
        <v>46314.0</v>
      </c>
      <c r="G1027" s="1" t="s">
        <v>71</v>
      </c>
      <c r="K1027" s="1" t="s">
        <v>129</v>
      </c>
      <c r="L1027" s="1" t="s">
        <v>99</v>
      </c>
      <c r="O1027" s="4">
        <v>45121.0</v>
      </c>
    </row>
    <row r="1028">
      <c r="A1028" s="1" t="s">
        <v>1714</v>
      </c>
      <c r="B1028" s="1" t="s">
        <v>1146</v>
      </c>
      <c r="C1028" s="1" t="s">
        <v>924</v>
      </c>
      <c r="D1028" s="1" t="s">
        <v>1744</v>
      </c>
      <c r="E1028" s="1" t="s">
        <v>97</v>
      </c>
      <c r="F1028" s="8">
        <v>46314.0</v>
      </c>
      <c r="G1028" s="1" t="s">
        <v>71</v>
      </c>
      <c r="K1028" s="1" t="s">
        <v>129</v>
      </c>
      <c r="L1028" s="1" t="s">
        <v>99</v>
      </c>
      <c r="O1028" s="4">
        <v>45121.0</v>
      </c>
    </row>
    <row r="1029">
      <c r="A1029" s="1" t="s">
        <v>1714</v>
      </c>
      <c r="B1029" s="1" t="s">
        <v>1745</v>
      </c>
      <c r="C1029" s="1" t="s">
        <v>1746</v>
      </c>
      <c r="D1029" s="1" t="s">
        <v>1747</v>
      </c>
      <c r="E1029" s="1" t="s">
        <v>97</v>
      </c>
      <c r="F1029" s="8">
        <v>46314.0</v>
      </c>
      <c r="G1029" s="1" t="s">
        <v>132</v>
      </c>
      <c r="H1029" s="1" t="s">
        <v>1748</v>
      </c>
      <c r="J1029" s="1" t="s">
        <v>47</v>
      </c>
      <c r="K1029" s="1" t="s">
        <v>129</v>
      </c>
      <c r="L1029" s="1" t="s">
        <v>99</v>
      </c>
      <c r="O1029" s="4">
        <v>45121.0</v>
      </c>
    </row>
    <row r="1030">
      <c r="A1030" s="1" t="s">
        <v>1714</v>
      </c>
      <c r="B1030" s="1" t="s">
        <v>1745</v>
      </c>
      <c r="C1030" s="1" t="s">
        <v>1746</v>
      </c>
      <c r="D1030" s="1" t="s">
        <v>1749</v>
      </c>
      <c r="E1030" s="1" t="s">
        <v>97</v>
      </c>
      <c r="F1030" s="8">
        <v>46314.0</v>
      </c>
      <c r="G1030" s="1" t="s">
        <v>132</v>
      </c>
      <c r="H1030" s="1" t="s">
        <v>1748</v>
      </c>
      <c r="J1030" s="1" t="s">
        <v>47</v>
      </c>
      <c r="K1030" s="1" t="s">
        <v>129</v>
      </c>
      <c r="L1030" s="1" t="s">
        <v>99</v>
      </c>
      <c r="O1030" s="4">
        <v>45121.0</v>
      </c>
    </row>
    <row r="1031">
      <c r="A1031" s="1" t="s">
        <v>1714</v>
      </c>
      <c r="B1031" s="1" t="s">
        <v>1745</v>
      </c>
      <c r="C1031" s="1" t="s">
        <v>1746</v>
      </c>
      <c r="D1031" s="1" t="s">
        <v>1750</v>
      </c>
      <c r="E1031" s="1" t="s">
        <v>97</v>
      </c>
      <c r="F1031" s="8">
        <v>46314.0</v>
      </c>
      <c r="G1031" s="1" t="s">
        <v>132</v>
      </c>
      <c r="H1031" s="1" t="s">
        <v>1748</v>
      </c>
      <c r="J1031" s="1" t="s">
        <v>47</v>
      </c>
      <c r="K1031" s="1" t="s">
        <v>129</v>
      </c>
      <c r="L1031" s="1" t="s">
        <v>99</v>
      </c>
      <c r="O1031" s="4">
        <v>45121.0</v>
      </c>
    </row>
    <row r="1032">
      <c r="A1032" s="1" t="s">
        <v>1714</v>
      </c>
      <c r="B1032" s="1" t="s">
        <v>1745</v>
      </c>
      <c r="C1032" s="1" t="s">
        <v>1746</v>
      </c>
      <c r="D1032" s="1" t="s">
        <v>1751</v>
      </c>
      <c r="E1032" s="1" t="s">
        <v>97</v>
      </c>
      <c r="F1032" s="8">
        <v>46314.0</v>
      </c>
      <c r="G1032" s="1" t="s">
        <v>132</v>
      </c>
      <c r="H1032" s="1" t="s">
        <v>1748</v>
      </c>
      <c r="J1032" s="1" t="s">
        <v>47</v>
      </c>
      <c r="K1032" s="1" t="s">
        <v>129</v>
      </c>
      <c r="L1032" s="1" t="s">
        <v>99</v>
      </c>
      <c r="O1032" s="4">
        <v>45121.0</v>
      </c>
    </row>
    <row r="1033">
      <c r="A1033" s="1" t="s">
        <v>1714</v>
      </c>
      <c r="B1033" s="1" t="s">
        <v>1745</v>
      </c>
      <c r="C1033" s="1" t="s">
        <v>1746</v>
      </c>
      <c r="D1033" s="1" t="s">
        <v>1752</v>
      </c>
      <c r="E1033" s="1" t="s">
        <v>97</v>
      </c>
      <c r="F1033" s="8">
        <v>46314.0</v>
      </c>
      <c r="G1033" s="1" t="s">
        <v>132</v>
      </c>
      <c r="H1033" s="1" t="s">
        <v>1748</v>
      </c>
      <c r="J1033" s="1" t="s">
        <v>47</v>
      </c>
      <c r="K1033" s="1" t="s">
        <v>129</v>
      </c>
      <c r="L1033" s="1" t="s">
        <v>99</v>
      </c>
      <c r="O1033" s="4">
        <v>45121.0</v>
      </c>
    </row>
    <row r="1034">
      <c r="A1034" s="1" t="s">
        <v>1714</v>
      </c>
      <c r="B1034" s="1" t="s">
        <v>1745</v>
      </c>
      <c r="C1034" s="1" t="s">
        <v>1746</v>
      </c>
      <c r="D1034" s="1" t="s">
        <v>1753</v>
      </c>
      <c r="E1034" s="1" t="s">
        <v>97</v>
      </c>
      <c r="F1034" s="8">
        <v>46314.0</v>
      </c>
      <c r="G1034" s="1" t="s">
        <v>132</v>
      </c>
      <c r="H1034" s="1" t="s">
        <v>1748</v>
      </c>
      <c r="J1034" s="1" t="s">
        <v>47</v>
      </c>
      <c r="K1034" s="1" t="s">
        <v>129</v>
      </c>
      <c r="L1034" s="1" t="s">
        <v>99</v>
      </c>
      <c r="O1034" s="4">
        <v>45121.0</v>
      </c>
    </row>
    <row r="1035">
      <c r="A1035" s="1" t="s">
        <v>1714</v>
      </c>
      <c r="B1035" s="1" t="s">
        <v>1745</v>
      </c>
      <c r="C1035" s="1" t="s">
        <v>1746</v>
      </c>
      <c r="D1035" s="1" t="s">
        <v>1754</v>
      </c>
      <c r="E1035" s="1" t="s">
        <v>97</v>
      </c>
      <c r="F1035" s="8">
        <v>46314.0</v>
      </c>
      <c r="G1035" s="1" t="s">
        <v>132</v>
      </c>
      <c r="H1035" s="1" t="s">
        <v>1748</v>
      </c>
      <c r="J1035" s="1" t="s">
        <v>47</v>
      </c>
      <c r="K1035" s="1" t="s">
        <v>129</v>
      </c>
      <c r="L1035" s="1" t="s">
        <v>99</v>
      </c>
      <c r="O1035" s="4">
        <v>45121.0</v>
      </c>
    </row>
    <row r="1036">
      <c r="A1036" s="1" t="s">
        <v>1714</v>
      </c>
      <c r="B1036" s="1" t="s">
        <v>126</v>
      </c>
      <c r="C1036" s="1" t="s">
        <v>127</v>
      </c>
      <c r="D1036" s="1" t="s">
        <v>1755</v>
      </c>
      <c r="E1036" s="1" t="s">
        <v>97</v>
      </c>
      <c r="F1036" s="4">
        <v>46254.0</v>
      </c>
      <c r="G1036" s="1" t="s">
        <v>71</v>
      </c>
      <c r="K1036" s="1" t="s">
        <v>129</v>
      </c>
      <c r="L1036" s="1" t="s">
        <v>99</v>
      </c>
      <c r="O1036" s="4">
        <v>45121.0</v>
      </c>
    </row>
    <row r="1037">
      <c r="A1037" s="1" t="s">
        <v>1714</v>
      </c>
      <c r="B1037" s="1" t="s">
        <v>126</v>
      </c>
      <c r="C1037" s="1" t="s">
        <v>127</v>
      </c>
      <c r="D1037" s="1" t="s">
        <v>1756</v>
      </c>
      <c r="E1037" s="1" t="s">
        <v>97</v>
      </c>
      <c r="F1037" s="4">
        <v>46254.0</v>
      </c>
      <c r="G1037" s="1" t="s">
        <v>71</v>
      </c>
      <c r="K1037" s="1" t="s">
        <v>129</v>
      </c>
      <c r="L1037" s="1" t="s">
        <v>99</v>
      </c>
      <c r="O1037" s="4">
        <v>45121.0</v>
      </c>
    </row>
    <row r="1038">
      <c r="A1038" s="1" t="s">
        <v>1714</v>
      </c>
      <c r="B1038" s="1" t="s">
        <v>126</v>
      </c>
      <c r="C1038" s="1" t="s">
        <v>127</v>
      </c>
      <c r="D1038" s="1" t="s">
        <v>1757</v>
      </c>
      <c r="E1038" s="1" t="s">
        <v>97</v>
      </c>
      <c r="F1038" s="4">
        <v>46254.0</v>
      </c>
      <c r="G1038" s="1" t="s">
        <v>71</v>
      </c>
      <c r="K1038" s="1" t="s">
        <v>129</v>
      </c>
      <c r="L1038" s="1" t="s">
        <v>99</v>
      </c>
      <c r="O1038" s="4">
        <v>45121.0</v>
      </c>
    </row>
    <row r="1039">
      <c r="A1039" s="1" t="s">
        <v>1714</v>
      </c>
      <c r="B1039" s="1" t="s">
        <v>126</v>
      </c>
      <c r="C1039" s="1" t="s">
        <v>127</v>
      </c>
      <c r="D1039" s="1" t="s">
        <v>1758</v>
      </c>
      <c r="E1039" s="1" t="s">
        <v>97</v>
      </c>
      <c r="F1039" s="4">
        <v>46254.0</v>
      </c>
      <c r="G1039" s="1" t="s">
        <v>71</v>
      </c>
      <c r="K1039" s="1" t="s">
        <v>129</v>
      </c>
      <c r="L1039" s="1" t="s">
        <v>99</v>
      </c>
      <c r="O1039" s="4">
        <v>45121.0</v>
      </c>
    </row>
    <row r="1040">
      <c r="A1040" s="1" t="s">
        <v>1714</v>
      </c>
      <c r="B1040" s="1" t="s">
        <v>126</v>
      </c>
      <c r="C1040" s="1" t="s">
        <v>127</v>
      </c>
      <c r="D1040" s="1" t="s">
        <v>1759</v>
      </c>
      <c r="E1040" s="1" t="s">
        <v>97</v>
      </c>
      <c r="F1040" s="4">
        <v>46254.0</v>
      </c>
      <c r="G1040" s="1" t="s">
        <v>71</v>
      </c>
      <c r="K1040" s="1" t="s">
        <v>129</v>
      </c>
      <c r="L1040" s="1" t="s">
        <v>99</v>
      </c>
      <c r="O1040" s="4">
        <v>45121.0</v>
      </c>
    </row>
    <row r="1041">
      <c r="A1041" s="1" t="s">
        <v>1714</v>
      </c>
      <c r="B1041" s="1" t="s">
        <v>126</v>
      </c>
      <c r="C1041" s="1" t="s">
        <v>127</v>
      </c>
      <c r="D1041" s="1" t="s">
        <v>1760</v>
      </c>
      <c r="E1041" s="1" t="s">
        <v>97</v>
      </c>
      <c r="F1041" s="4">
        <v>46254.0</v>
      </c>
      <c r="G1041" s="1" t="s">
        <v>71</v>
      </c>
      <c r="K1041" s="1" t="s">
        <v>129</v>
      </c>
      <c r="L1041" s="1" t="s">
        <v>99</v>
      </c>
      <c r="O1041" s="4">
        <v>45121.0</v>
      </c>
    </row>
    <row r="1042">
      <c r="A1042" s="1" t="s">
        <v>1714</v>
      </c>
      <c r="B1042" s="1" t="s">
        <v>126</v>
      </c>
      <c r="C1042" s="1" t="s">
        <v>127</v>
      </c>
      <c r="D1042" s="1" t="s">
        <v>1761</v>
      </c>
      <c r="E1042" s="1" t="s">
        <v>97</v>
      </c>
      <c r="F1042" s="4">
        <v>46254.0</v>
      </c>
      <c r="G1042" s="1" t="s">
        <v>71</v>
      </c>
      <c r="K1042" s="1" t="s">
        <v>129</v>
      </c>
      <c r="L1042" s="1" t="s">
        <v>99</v>
      </c>
      <c r="O1042" s="4">
        <v>45121.0</v>
      </c>
    </row>
    <row r="1043">
      <c r="A1043" s="1" t="s">
        <v>1714</v>
      </c>
      <c r="B1043" s="1" t="s">
        <v>288</v>
      </c>
      <c r="C1043" s="1" t="s">
        <v>289</v>
      </c>
      <c r="D1043" s="1" t="s">
        <v>1762</v>
      </c>
      <c r="E1043" s="1" t="s">
        <v>97</v>
      </c>
      <c r="F1043" s="8">
        <v>46309.0</v>
      </c>
      <c r="G1043" s="1" t="s">
        <v>132</v>
      </c>
      <c r="H1043" s="1" t="s">
        <v>417</v>
      </c>
      <c r="J1043" s="1" t="s">
        <v>122</v>
      </c>
      <c r="K1043" s="1" t="s">
        <v>129</v>
      </c>
      <c r="L1043" s="1" t="s">
        <v>99</v>
      </c>
      <c r="O1043" s="4">
        <v>45121.0</v>
      </c>
    </row>
    <row r="1044">
      <c r="A1044" s="1" t="s">
        <v>1714</v>
      </c>
      <c r="B1044" s="1" t="s">
        <v>288</v>
      </c>
      <c r="C1044" s="1" t="s">
        <v>289</v>
      </c>
      <c r="D1044" s="1" t="s">
        <v>1763</v>
      </c>
      <c r="E1044" s="1" t="s">
        <v>97</v>
      </c>
      <c r="F1044" s="8">
        <v>46309.0</v>
      </c>
      <c r="G1044" s="1" t="s">
        <v>132</v>
      </c>
      <c r="H1044" s="1" t="s">
        <v>417</v>
      </c>
      <c r="J1044" s="1" t="s">
        <v>122</v>
      </c>
      <c r="K1044" s="1" t="s">
        <v>129</v>
      </c>
      <c r="L1044" s="1" t="s">
        <v>99</v>
      </c>
      <c r="O1044" s="4">
        <v>45121.0</v>
      </c>
    </row>
    <row r="1045">
      <c r="A1045" s="1" t="s">
        <v>1714</v>
      </c>
      <c r="B1045" s="1" t="s">
        <v>288</v>
      </c>
      <c r="C1045" s="1" t="s">
        <v>289</v>
      </c>
      <c r="D1045" s="1" t="s">
        <v>1764</v>
      </c>
      <c r="E1045" s="1" t="s">
        <v>97</v>
      </c>
      <c r="F1045" s="8">
        <v>46309.0</v>
      </c>
      <c r="G1045" s="1" t="s">
        <v>132</v>
      </c>
      <c r="H1045" s="1" t="s">
        <v>417</v>
      </c>
      <c r="J1045" s="1" t="s">
        <v>122</v>
      </c>
      <c r="K1045" s="1" t="s">
        <v>129</v>
      </c>
      <c r="L1045" s="1" t="s">
        <v>99</v>
      </c>
      <c r="O1045" s="4">
        <v>45121.0</v>
      </c>
    </row>
    <row r="1046">
      <c r="A1046" s="1" t="s">
        <v>1714</v>
      </c>
      <c r="B1046" s="1" t="s">
        <v>288</v>
      </c>
      <c r="C1046" s="1" t="s">
        <v>289</v>
      </c>
      <c r="D1046" s="1" t="s">
        <v>1765</v>
      </c>
      <c r="E1046" s="1" t="s">
        <v>97</v>
      </c>
      <c r="F1046" s="8">
        <v>46309.0</v>
      </c>
      <c r="G1046" s="1" t="s">
        <v>132</v>
      </c>
      <c r="H1046" s="1" t="s">
        <v>417</v>
      </c>
      <c r="J1046" s="1" t="s">
        <v>122</v>
      </c>
      <c r="K1046" s="1" t="s">
        <v>129</v>
      </c>
      <c r="L1046" s="1" t="s">
        <v>99</v>
      </c>
      <c r="O1046" s="4">
        <v>45121.0</v>
      </c>
    </row>
    <row r="1047">
      <c r="A1047" s="1" t="s">
        <v>1714</v>
      </c>
      <c r="B1047" s="1" t="s">
        <v>288</v>
      </c>
      <c r="C1047" s="1" t="s">
        <v>289</v>
      </c>
      <c r="D1047" s="1" t="s">
        <v>1766</v>
      </c>
      <c r="E1047" s="1" t="s">
        <v>97</v>
      </c>
      <c r="F1047" s="8">
        <v>46309.0</v>
      </c>
      <c r="G1047" s="1" t="s">
        <v>132</v>
      </c>
      <c r="H1047" s="1" t="s">
        <v>417</v>
      </c>
      <c r="J1047" s="1" t="s">
        <v>122</v>
      </c>
      <c r="K1047" s="1" t="s">
        <v>129</v>
      </c>
      <c r="L1047" s="1" t="s">
        <v>99</v>
      </c>
      <c r="O1047" s="4">
        <v>45121.0</v>
      </c>
    </row>
    <row r="1048">
      <c r="A1048" s="1" t="s">
        <v>1714</v>
      </c>
      <c r="B1048" s="1" t="s">
        <v>288</v>
      </c>
      <c r="C1048" s="1" t="s">
        <v>289</v>
      </c>
      <c r="D1048" s="1" t="s">
        <v>1767</v>
      </c>
      <c r="E1048" s="1" t="s">
        <v>97</v>
      </c>
      <c r="F1048" s="8">
        <v>46309.0</v>
      </c>
      <c r="G1048" s="1" t="s">
        <v>132</v>
      </c>
      <c r="H1048" s="1" t="s">
        <v>417</v>
      </c>
      <c r="J1048" s="1" t="s">
        <v>122</v>
      </c>
      <c r="K1048" s="1" t="s">
        <v>129</v>
      </c>
      <c r="L1048" s="1" t="s">
        <v>99</v>
      </c>
      <c r="O1048" s="4">
        <v>45121.0</v>
      </c>
    </row>
    <row r="1049">
      <c r="A1049" s="1" t="s">
        <v>1714</v>
      </c>
      <c r="B1049" s="1" t="s">
        <v>165</v>
      </c>
      <c r="C1049" s="1" t="s">
        <v>166</v>
      </c>
      <c r="D1049" s="1" t="s">
        <v>1768</v>
      </c>
      <c r="E1049" s="1" t="s">
        <v>97</v>
      </c>
      <c r="F1049" s="8">
        <v>46310.0</v>
      </c>
      <c r="G1049" s="1" t="s">
        <v>71</v>
      </c>
      <c r="K1049" s="1" t="s">
        <v>129</v>
      </c>
      <c r="L1049" s="1" t="s">
        <v>99</v>
      </c>
      <c r="O1049" s="4">
        <v>45121.0</v>
      </c>
    </row>
    <row r="1050">
      <c r="A1050" s="1" t="s">
        <v>1714</v>
      </c>
      <c r="B1050" s="1" t="s">
        <v>165</v>
      </c>
      <c r="C1050" s="1" t="s">
        <v>166</v>
      </c>
      <c r="D1050" s="1" t="s">
        <v>1769</v>
      </c>
      <c r="E1050" s="1" t="s">
        <v>70</v>
      </c>
      <c r="F1050" s="8">
        <v>46310.0</v>
      </c>
      <c r="G1050" s="1" t="s">
        <v>132</v>
      </c>
      <c r="H1050" s="1" t="s">
        <v>225</v>
      </c>
      <c r="J1050" s="1" t="s">
        <v>47</v>
      </c>
      <c r="K1050" s="1" t="s">
        <v>129</v>
      </c>
      <c r="L1050" s="1" t="s">
        <v>99</v>
      </c>
      <c r="O1050" s="4">
        <v>45121.0</v>
      </c>
    </row>
    <row r="1051">
      <c r="A1051" s="1" t="s">
        <v>1714</v>
      </c>
      <c r="B1051" s="1" t="s">
        <v>165</v>
      </c>
      <c r="C1051" s="1" t="s">
        <v>166</v>
      </c>
      <c r="D1051" s="1" t="s">
        <v>1770</v>
      </c>
      <c r="E1051" s="1" t="s">
        <v>70</v>
      </c>
      <c r="F1051" s="8">
        <v>46310.0</v>
      </c>
      <c r="G1051" s="1" t="s">
        <v>132</v>
      </c>
      <c r="H1051" s="1" t="s">
        <v>225</v>
      </c>
      <c r="J1051" s="1" t="s">
        <v>47</v>
      </c>
      <c r="K1051" s="1" t="s">
        <v>129</v>
      </c>
      <c r="L1051" s="1" t="s">
        <v>99</v>
      </c>
      <c r="O1051" s="4">
        <v>45121.0</v>
      </c>
    </row>
    <row r="1052">
      <c r="A1052" s="1" t="s">
        <v>1714</v>
      </c>
      <c r="B1052" s="1" t="s">
        <v>165</v>
      </c>
      <c r="C1052" s="1" t="s">
        <v>166</v>
      </c>
      <c r="D1052" s="1" t="s">
        <v>1771</v>
      </c>
      <c r="E1052" s="1" t="s">
        <v>70</v>
      </c>
      <c r="F1052" s="8">
        <v>46310.0</v>
      </c>
      <c r="G1052" s="1" t="s">
        <v>132</v>
      </c>
      <c r="H1052" s="1" t="s">
        <v>225</v>
      </c>
      <c r="J1052" s="1" t="s">
        <v>47</v>
      </c>
      <c r="K1052" s="1" t="s">
        <v>129</v>
      </c>
      <c r="L1052" s="1" t="s">
        <v>99</v>
      </c>
      <c r="O1052" s="4">
        <v>45121.0</v>
      </c>
    </row>
    <row r="1053">
      <c r="A1053" s="1" t="s">
        <v>1714</v>
      </c>
      <c r="B1053" s="1" t="s">
        <v>165</v>
      </c>
      <c r="C1053" s="1" t="s">
        <v>166</v>
      </c>
      <c r="D1053" s="1" t="s">
        <v>1772</v>
      </c>
      <c r="E1053" s="1" t="s">
        <v>97</v>
      </c>
      <c r="F1053" s="8">
        <v>46310.0</v>
      </c>
      <c r="G1053" s="1" t="s">
        <v>71</v>
      </c>
      <c r="K1053" s="1" t="s">
        <v>129</v>
      </c>
      <c r="L1053" s="1" t="s">
        <v>99</v>
      </c>
      <c r="O1053" s="4">
        <v>45121.0</v>
      </c>
    </row>
    <row r="1054">
      <c r="A1054" s="1" t="s">
        <v>1714</v>
      </c>
      <c r="B1054" s="1" t="s">
        <v>165</v>
      </c>
      <c r="C1054" s="1" t="s">
        <v>166</v>
      </c>
      <c r="D1054" s="1" t="s">
        <v>1773</v>
      </c>
      <c r="E1054" s="1" t="s">
        <v>97</v>
      </c>
      <c r="F1054" s="8">
        <v>46310.0</v>
      </c>
      <c r="G1054" s="1" t="s">
        <v>71</v>
      </c>
      <c r="K1054" s="1" t="s">
        <v>129</v>
      </c>
      <c r="L1054" s="1" t="s">
        <v>99</v>
      </c>
      <c r="O1054" s="4">
        <v>45189.0</v>
      </c>
    </row>
    <row r="1055">
      <c r="A1055" s="1" t="s">
        <v>1714</v>
      </c>
      <c r="B1055" s="1" t="s">
        <v>165</v>
      </c>
      <c r="C1055" s="1" t="s">
        <v>166</v>
      </c>
      <c r="D1055" s="1" t="s">
        <v>1774</v>
      </c>
      <c r="E1055" s="1" t="s">
        <v>97</v>
      </c>
      <c r="F1055" s="8">
        <v>46310.0</v>
      </c>
      <c r="G1055" s="1" t="s">
        <v>71</v>
      </c>
      <c r="K1055" s="1" t="s">
        <v>129</v>
      </c>
      <c r="L1055" s="1" t="s">
        <v>99</v>
      </c>
      <c r="O1055" s="4">
        <v>45121.0</v>
      </c>
    </row>
    <row r="1056">
      <c r="A1056" s="1" t="s">
        <v>1714</v>
      </c>
      <c r="B1056" s="1" t="s">
        <v>776</v>
      </c>
      <c r="C1056" s="1" t="s">
        <v>777</v>
      </c>
      <c r="D1056" s="1" t="s">
        <v>1775</v>
      </c>
      <c r="E1056" s="1" t="s">
        <v>97</v>
      </c>
      <c r="F1056" s="4">
        <v>46301.0</v>
      </c>
      <c r="G1056" s="1" t="s">
        <v>71</v>
      </c>
      <c r="K1056" s="1" t="s">
        <v>129</v>
      </c>
      <c r="L1056" s="1" t="s">
        <v>99</v>
      </c>
      <c r="O1056" s="4">
        <v>45121.0</v>
      </c>
    </row>
    <row r="1057">
      <c r="A1057" s="1" t="s">
        <v>1714</v>
      </c>
      <c r="B1057" s="1" t="s">
        <v>776</v>
      </c>
      <c r="C1057" s="1" t="s">
        <v>777</v>
      </c>
      <c r="D1057" s="1" t="s">
        <v>1776</v>
      </c>
      <c r="E1057" s="1" t="s">
        <v>97</v>
      </c>
      <c r="F1057" s="4">
        <v>46301.0</v>
      </c>
      <c r="G1057" s="1" t="s">
        <v>71</v>
      </c>
      <c r="K1057" s="1" t="s">
        <v>129</v>
      </c>
      <c r="L1057" s="1" t="s">
        <v>99</v>
      </c>
      <c r="O1057" s="4">
        <v>45121.0</v>
      </c>
    </row>
    <row r="1058">
      <c r="A1058" s="1" t="s">
        <v>1714</v>
      </c>
      <c r="B1058" s="1" t="s">
        <v>776</v>
      </c>
      <c r="C1058" s="1" t="s">
        <v>777</v>
      </c>
      <c r="D1058" s="1" t="s">
        <v>1777</v>
      </c>
      <c r="E1058" s="1" t="s">
        <v>97</v>
      </c>
      <c r="F1058" s="4">
        <v>46301.0</v>
      </c>
      <c r="G1058" s="1" t="s">
        <v>71</v>
      </c>
      <c r="K1058" s="1" t="s">
        <v>129</v>
      </c>
      <c r="L1058" s="1" t="s">
        <v>99</v>
      </c>
      <c r="O1058" s="4">
        <v>45121.0</v>
      </c>
    </row>
    <row r="1059">
      <c r="A1059" s="1" t="s">
        <v>1714</v>
      </c>
      <c r="B1059" s="1" t="s">
        <v>776</v>
      </c>
      <c r="C1059" s="1" t="s">
        <v>777</v>
      </c>
      <c r="D1059" s="1" t="s">
        <v>1778</v>
      </c>
      <c r="E1059" s="1" t="s">
        <v>97</v>
      </c>
      <c r="F1059" s="4">
        <v>46301.0</v>
      </c>
      <c r="G1059" s="1" t="s">
        <v>71</v>
      </c>
      <c r="K1059" s="1" t="s">
        <v>129</v>
      </c>
      <c r="L1059" s="1" t="s">
        <v>99</v>
      </c>
      <c r="O1059" s="4">
        <v>45121.0</v>
      </c>
    </row>
    <row r="1060">
      <c r="A1060" s="1" t="s">
        <v>1714</v>
      </c>
      <c r="B1060" s="1" t="s">
        <v>776</v>
      </c>
      <c r="C1060" s="1" t="s">
        <v>777</v>
      </c>
      <c r="D1060" s="1" t="s">
        <v>1779</v>
      </c>
      <c r="E1060" s="1" t="s">
        <v>97</v>
      </c>
      <c r="F1060" s="4">
        <v>46301.0</v>
      </c>
      <c r="G1060" s="1" t="s">
        <v>71</v>
      </c>
      <c r="K1060" s="1" t="s">
        <v>129</v>
      </c>
      <c r="L1060" s="1" t="s">
        <v>99</v>
      </c>
      <c r="O1060" s="4">
        <v>45121.0</v>
      </c>
    </row>
    <row r="1061">
      <c r="A1061" s="1" t="s">
        <v>1714</v>
      </c>
      <c r="B1061" s="1" t="s">
        <v>776</v>
      </c>
      <c r="C1061" s="1" t="s">
        <v>777</v>
      </c>
      <c r="D1061" s="1" t="s">
        <v>1780</v>
      </c>
      <c r="E1061" s="1" t="s">
        <v>97</v>
      </c>
      <c r="F1061" s="4">
        <v>46301.0</v>
      </c>
      <c r="G1061" s="1" t="s">
        <v>71</v>
      </c>
      <c r="K1061" s="1" t="s">
        <v>129</v>
      </c>
      <c r="L1061" s="1" t="s">
        <v>99</v>
      </c>
      <c r="O1061" s="4">
        <v>45121.0</v>
      </c>
    </row>
    <row r="1062">
      <c r="A1062" s="1" t="s">
        <v>1714</v>
      </c>
      <c r="B1062" s="1" t="s">
        <v>1781</v>
      </c>
      <c r="C1062" s="1" t="s">
        <v>1782</v>
      </c>
      <c r="D1062" s="1" t="s">
        <v>1783</v>
      </c>
      <c r="E1062" s="1" t="s">
        <v>97</v>
      </c>
      <c r="F1062" s="4">
        <v>46202.0</v>
      </c>
      <c r="G1062" s="1" t="s">
        <v>132</v>
      </c>
      <c r="H1062" s="1" t="s">
        <v>410</v>
      </c>
      <c r="J1062" s="1" t="s">
        <v>122</v>
      </c>
      <c r="K1062" s="1" t="s">
        <v>129</v>
      </c>
      <c r="L1062" s="1" t="s">
        <v>99</v>
      </c>
      <c r="O1062" s="4">
        <v>45121.0</v>
      </c>
    </row>
    <row r="1063">
      <c r="A1063" s="1" t="s">
        <v>1714</v>
      </c>
      <c r="B1063" s="1" t="s">
        <v>1781</v>
      </c>
      <c r="C1063" s="1" t="s">
        <v>1782</v>
      </c>
      <c r="D1063" s="1" t="s">
        <v>1784</v>
      </c>
      <c r="E1063" s="1" t="s">
        <v>97</v>
      </c>
      <c r="F1063" s="4">
        <v>46202.0</v>
      </c>
      <c r="G1063" s="1" t="s">
        <v>132</v>
      </c>
      <c r="H1063" s="1" t="s">
        <v>410</v>
      </c>
      <c r="J1063" s="1" t="s">
        <v>122</v>
      </c>
      <c r="K1063" s="1" t="s">
        <v>129</v>
      </c>
      <c r="L1063" s="1" t="s">
        <v>99</v>
      </c>
      <c r="O1063" s="4">
        <v>45121.0</v>
      </c>
    </row>
    <row r="1064">
      <c r="A1064" s="1" t="s">
        <v>1714</v>
      </c>
      <c r="B1064" s="1" t="s">
        <v>1781</v>
      </c>
      <c r="C1064" s="1" t="s">
        <v>1782</v>
      </c>
      <c r="D1064" s="1" t="s">
        <v>1785</v>
      </c>
      <c r="E1064" s="1" t="s">
        <v>97</v>
      </c>
      <c r="F1064" s="4">
        <v>46202.0</v>
      </c>
      <c r="G1064" s="1" t="s">
        <v>132</v>
      </c>
      <c r="H1064" s="1" t="s">
        <v>410</v>
      </c>
      <c r="J1064" s="1" t="s">
        <v>122</v>
      </c>
      <c r="K1064" s="1" t="s">
        <v>129</v>
      </c>
      <c r="L1064" s="1" t="s">
        <v>99</v>
      </c>
      <c r="O1064" s="4">
        <v>45121.0</v>
      </c>
    </row>
    <row r="1065">
      <c r="A1065" s="1" t="s">
        <v>1714</v>
      </c>
      <c r="B1065" s="1" t="s">
        <v>1781</v>
      </c>
      <c r="C1065" s="1" t="s">
        <v>1782</v>
      </c>
      <c r="D1065" s="1" t="s">
        <v>1786</v>
      </c>
      <c r="E1065" s="1" t="s">
        <v>97</v>
      </c>
      <c r="F1065" s="4">
        <v>46202.0</v>
      </c>
      <c r="G1065" s="1" t="s">
        <v>132</v>
      </c>
      <c r="H1065" s="1" t="s">
        <v>410</v>
      </c>
      <c r="J1065" s="1" t="s">
        <v>122</v>
      </c>
      <c r="K1065" s="1" t="s">
        <v>129</v>
      </c>
      <c r="L1065" s="1" t="s">
        <v>99</v>
      </c>
      <c r="O1065" s="4">
        <v>45121.0</v>
      </c>
    </row>
    <row r="1066">
      <c r="A1066" s="1" t="s">
        <v>1714</v>
      </c>
      <c r="B1066" s="1" t="s">
        <v>1781</v>
      </c>
      <c r="C1066" s="1" t="s">
        <v>1782</v>
      </c>
      <c r="D1066" s="1" t="s">
        <v>1787</v>
      </c>
      <c r="E1066" s="1" t="s">
        <v>97</v>
      </c>
      <c r="F1066" s="4">
        <v>46202.0</v>
      </c>
      <c r="G1066" s="1" t="s">
        <v>132</v>
      </c>
      <c r="H1066" s="1" t="s">
        <v>410</v>
      </c>
      <c r="J1066" s="1" t="s">
        <v>122</v>
      </c>
      <c r="K1066" s="1" t="s">
        <v>129</v>
      </c>
      <c r="L1066" s="1" t="s">
        <v>99</v>
      </c>
      <c r="O1066" s="4">
        <v>45121.0</v>
      </c>
    </row>
    <row r="1067">
      <c r="A1067" s="1" t="s">
        <v>1714</v>
      </c>
      <c r="B1067" s="1" t="s">
        <v>1781</v>
      </c>
      <c r="C1067" s="1" t="s">
        <v>1782</v>
      </c>
      <c r="D1067" s="1" t="s">
        <v>1788</v>
      </c>
      <c r="E1067" s="1" t="s">
        <v>97</v>
      </c>
      <c r="F1067" s="4">
        <v>46202.0</v>
      </c>
      <c r="G1067" s="1" t="s">
        <v>132</v>
      </c>
      <c r="H1067" s="1" t="s">
        <v>410</v>
      </c>
      <c r="J1067" s="1" t="s">
        <v>122</v>
      </c>
      <c r="K1067" s="1" t="s">
        <v>129</v>
      </c>
      <c r="L1067" s="1" t="s">
        <v>99</v>
      </c>
      <c r="O1067" s="4">
        <v>45121.0</v>
      </c>
    </row>
    <row r="1068">
      <c r="A1068" s="1" t="s">
        <v>1714</v>
      </c>
      <c r="B1068" s="1" t="s">
        <v>1781</v>
      </c>
      <c r="C1068" s="1" t="s">
        <v>1782</v>
      </c>
      <c r="D1068" s="1" t="s">
        <v>1789</v>
      </c>
      <c r="E1068" s="1" t="s">
        <v>97</v>
      </c>
      <c r="F1068" s="4">
        <v>46202.0</v>
      </c>
      <c r="G1068" s="1" t="s">
        <v>132</v>
      </c>
      <c r="H1068" s="1" t="s">
        <v>410</v>
      </c>
      <c r="J1068" s="1" t="s">
        <v>122</v>
      </c>
      <c r="K1068" s="1" t="s">
        <v>129</v>
      </c>
      <c r="L1068" s="1" t="s">
        <v>99</v>
      </c>
      <c r="O1068" s="4">
        <v>45121.0</v>
      </c>
    </row>
    <row r="1069">
      <c r="A1069" s="1" t="s">
        <v>1714</v>
      </c>
      <c r="B1069" s="1" t="s">
        <v>677</v>
      </c>
      <c r="C1069" s="1" t="s">
        <v>1790</v>
      </c>
      <c r="D1069" s="1" t="s">
        <v>1791</v>
      </c>
      <c r="E1069" s="1" t="s">
        <v>97</v>
      </c>
      <c r="F1069" s="8">
        <v>46310.0</v>
      </c>
      <c r="G1069" s="1" t="s">
        <v>71</v>
      </c>
      <c r="K1069" s="1" t="s">
        <v>129</v>
      </c>
      <c r="L1069" s="1" t="s">
        <v>99</v>
      </c>
      <c r="O1069" s="4">
        <v>45121.0</v>
      </c>
    </row>
    <row r="1070">
      <c r="A1070" s="1" t="s">
        <v>1714</v>
      </c>
      <c r="B1070" s="1" t="s">
        <v>677</v>
      </c>
      <c r="C1070" s="1" t="s">
        <v>1790</v>
      </c>
      <c r="D1070" s="1" t="s">
        <v>1792</v>
      </c>
      <c r="E1070" s="1" t="s">
        <v>97</v>
      </c>
      <c r="F1070" s="8">
        <v>46310.0</v>
      </c>
      <c r="G1070" s="1" t="s">
        <v>71</v>
      </c>
      <c r="K1070" s="1" t="s">
        <v>129</v>
      </c>
      <c r="L1070" s="1" t="s">
        <v>99</v>
      </c>
      <c r="O1070" s="4">
        <v>45121.0</v>
      </c>
    </row>
    <row r="1071">
      <c r="A1071" s="1" t="s">
        <v>1714</v>
      </c>
      <c r="B1071" s="1" t="s">
        <v>677</v>
      </c>
      <c r="C1071" s="1" t="s">
        <v>1790</v>
      </c>
      <c r="D1071" s="1" t="s">
        <v>1793</v>
      </c>
      <c r="E1071" s="1" t="s">
        <v>97</v>
      </c>
      <c r="F1071" s="8">
        <v>46310.0</v>
      </c>
      <c r="G1071" s="1" t="s">
        <v>71</v>
      </c>
      <c r="K1071" s="1" t="s">
        <v>129</v>
      </c>
      <c r="L1071" s="1" t="s">
        <v>99</v>
      </c>
      <c r="O1071" s="4">
        <v>45121.0</v>
      </c>
    </row>
    <row r="1072">
      <c r="A1072" s="1" t="s">
        <v>1714</v>
      </c>
      <c r="B1072" s="1" t="s">
        <v>677</v>
      </c>
      <c r="C1072" s="1" t="s">
        <v>1790</v>
      </c>
      <c r="D1072" s="1" t="s">
        <v>1794</v>
      </c>
      <c r="E1072" s="1" t="s">
        <v>97</v>
      </c>
      <c r="F1072" s="8">
        <v>46310.0</v>
      </c>
      <c r="G1072" s="1" t="s">
        <v>71</v>
      </c>
      <c r="K1072" s="1" t="s">
        <v>129</v>
      </c>
      <c r="L1072" s="1" t="s">
        <v>99</v>
      </c>
      <c r="O1072" s="4">
        <v>45121.0</v>
      </c>
    </row>
    <row r="1073">
      <c r="A1073" s="1" t="s">
        <v>1714</v>
      </c>
      <c r="B1073" s="1" t="s">
        <v>677</v>
      </c>
      <c r="C1073" s="1" t="s">
        <v>1790</v>
      </c>
      <c r="D1073" s="1" t="s">
        <v>1795</v>
      </c>
      <c r="E1073" s="1" t="s">
        <v>97</v>
      </c>
      <c r="F1073" s="8">
        <v>46310.0</v>
      </c>
      <c r="G1073" s="1" t="s">
        <v>71</v>
      </c>
      <c r="K1073" s="1" t="s">
        <v>129</v>
      </c>
      <c r="L1073" s="1" t="s">
        <v>99</v>
      </c>
      <c r="O1073" s="4">
        <v>45121.0</v>
      </c>
    </row>
    <row r="1074">
      <c r="A1074" s="1" t="s">
        <v>1714</v>
      </c>
      <c r="B1074" s="1" t="s">
        <v>677</v>
      </c>
      <c r="C1074" s="1" t="s">
        <v>1790</v>
      </c>
      <c r="D1074" s="1" t="s">
        <v>1796</v>
      </c>
      <c r="E1074" s="1" t="s">
        <v>97</v>
      </c>
      <c r="F1074" s="8">
        <v>46310.0</v>
      </c>
      <c r="G1074" s="1" t="s">
        <v>71</v>
      </c>
      <c r="K1074" s="1" t="s">
        <v>129</v>
      </c>
      <c r="L1074" s="1" t="s">
        <v>99</v>
      </c>
      <c r="O1074" s="4">
        <v>45121.0</v>
      </c>
    </row>
    <row r="1075">
      <c r="A1075" s="1" t="s">
        <v>1714</v>
      </c>
      <c r="B1075" s="1" t="s">
        <v>677</v>
      </c>
      <c r="C1075" s="1" t="s">
        <v>1790</v>
      </c>
      <c r="D1075" s="1" t="s">
        <v>1797</v>
      </c>
      <c r="E1075" s="1" t="s">
        <v>97</v>
      </c>
      <c r="F1075" s="8">
        <v>46310.0</v>
      </c>
      <c r="G1075" s="1" t="s">
        <v>71</v>
      </c>
      <c r="K1075" s="1" t="s">
        <v>129</v>
      </c>
      <c r="L1075" s="1" t="s">
        <v>99</v>
      </c>
      <c r="O1075" s="4">
        <v>45121.0</v>
      </c>
    </row>
    <row r="1076">
      <c r="A1076" s="1" t="s">
        <v>1714</v>
      </c>
      <c r="B1076" s="1" t="s">
        <v>203</v>
      </c>
      <c r="C1076" s="1" t="s">
        <v>204</v>
      </c>
      <c r="D1076" s="1" t="s">
        <v>1798</v>
      </c>
      <c r="E1076" s="1" t="s">
        <v>97</v>
      </c>
      <c r="F1076" s="8">
        <v>46310.0</v>
      </c>
      <c r="G1076" s="1" t="s">
        <v>132</v>
      </c>
      <c r="H1076" s="1" t="s">
        <v>133</v>
      </c>
      <c r="J1076" s="1" t="s">
        <v>122</v>
      </c>
      <c r="K1076" s="1" t="s">
        <v>129</v>
      </c>
      <c r="L1076" s="1" t="s">
        <v>99</v>
      </c>
      <c r="O1076" s="4">
        <v>45121.0</v>
      </c>
    </row>
    <row r="1077">
      <c r="A1077" s="1" t="s">
        <v>1714</v>
      </c>
      <c r="B1077" s="1" t="s">
        <v>203</v>
      </c>
      <c r="C1077" s="1" t="s">
        <v>204</v>
      </c>
      <c r="D1077" s="1" t="s">
        <v>1799</v>
      </c>
      <c r="E1077" s="1" t="s">
        <v>97</v>
      </c>
      <c r="F1077" s="8">
        <v>46310.0</v>
      </c>
      <c r="G1077" s="1" t="s">
        <v>132</v>
      </c>
      <c r="H1077" s="1" t="s">
        <v>133</v>
      </c>
      <c r="J1077" s="1" t="s">
        <v>122</v>
      </c>
      <c r="K1077" s="1" t="s">
        <v>129</v>
      </c>
      <c r="L1077" s="1" t="s">
        <v>99</v>
      </c>
      <c r="O1077" s="4">
        <v>45121.0</v>
      </c>
    </row>
    <row r="1078">
      <c r="A1078" s="1" t="s">
        <v>1714</v>
      </c>
      <c r="B1078" s="1" t="s">
        <v>203</v>
      </c>
      <c r="C1078" s="1" t="s">
        <v>204</v>
      </c>
      <c r="D1078" s="1" t="s">
        <v>1800</v>
      </c>
      <c r="E1078" s="1" t="s">
        <v>97</v>
      </c>
      <c r="F1078" s="8">
        <v>46310.0</v>
      </c>
      <c r="G1078" s="1" t="s">
        <v>132</v>
      </c>
      <c r="H1078" s="1" t="s">
        <v>133</v>
      </c>
      <c r="J1078" s="1" t="s">
        <v>122</v>
      </c>
      <c r="K1078" s="1" t="s">
        <v>129</v>
      </c>
      <c r="L1078" s="1" t="s">
        <v>99</v>
      </c>
      <c r="O1078" s="4">
        <v>45121.0</v>
      </c>
    </row>
    <row r="1079">
      <c r="A1079" s="1" t="s">
        <v>1714</v>
      </c>
      <c r="B1079" s="1" t="s">
        <v>203</v>
      </c>
      <c r="C1079" s="1" t="s">
        <v>204</v>
      </c>
      <c r="D1079" s="1" t="s">
        <v>1801</v>
      </c>
      <c r="E1079" s="1" t="s">
        <v>97</v>
      </c>
      <c r="F1079" s="8">
        <v>46310.0</v>
      </c>
      <c r="G1079" s="1" t="s">
        <v>132</v>
      </c>
      <c r="H1079" s="1" t="s">
        <v>133</v>
      </c>
      <c r="J1079" s="1" t="s">
        <v>122</v>
      </c>
      <c r="K1079" s="1" t="s">
        <v>129</v>
      </c>
      <c r="L1079" s="1" t="s">
        <v>99</v>
      </c>
      <c r="O1079" s="4">
        <v>45121.0</v>
      </c>
    </row>
    <row r="1080">
      <c r="A1080" s="1" t="s">
        <v>1714</v>
      </c>
      <c r="B1080" s="1" t="s">
        <v>203</v>
      </c>
      <c r="C1080" s="1" t="s">
        <v>204</v>
      </c>
      <c r="D1080" s="1" t="s">
        <v>1802</v>
      </c>
      <c r="E1080" s="1" t="s">
        <v>97</v>
      </c>
      <c r="F1080" s="8">
        <v>46310.0</v>
      </c>
      <c r="G1080" s="1" t="s">
        <v>132</v>
      </c>
      <c r="H1080" s="1" t="s">
        <v>133</v>
      </c>
      <c r="J1080" s="1" t="s">
        <v>122</v>
      </c>
      <c r="K1080" s="1" t="s">
        <v>129</v>
      </c>
      <c r="L1080" s="1" t="s">
        <v>99</v>
      </c>
      <c r="O1080" s="4">
        <v>45121.0</v>
      </c>
    </row>
    <row r="1081">
      <c r="A1081" s="1" t="s">
        <v>1714</v>
      </c>
      <c r="B1081" s="1" t="s">
        <v>203</v>
      </c>
      <c r="C1081" s="1" t="s">
        <v>204</v>
      </c>
      <c r="D1081" s="1" t="s">
        <v>1803</v>
      </c>
      <c r="E1081" s="1" t="s">
        <v>97</v>
      </c>
      <c r="F1081" s="8">
        <v>46310.0</v>
      </c>
      <c r="G1081" s="1" t="s">
        <v>132</v>
      </c>
      <c r="H1081" s="1" t="s">
        <v>133</v>
      </c>
      <c r="J1081" s="1" t="s">
        <v>122</v>
      </c>
      <c r="K1081" s="1" t="s">
        <v>129</v>
      </c>
      <c r="L1081" s="1" t="s">
        <v>99</v>
      </c>
      <c r="O1081" s="4">
        <v>45121.0</v>
      </c>
    </row>
    <row r="1082">
      <c r="A1082" s="1" t="s">
        <v>1714</v>
      </c>
      <c r="B1082" s="1" t="s">
        <v>203</v>
      </c>
      <c r="C1082" s="1" t="s">
        <v>204</v>
      </c>
      <c r="D1082" s="1" t="s">
        <v>1804</v>
      </c>
      <c r="E1082" s="1" t="s">
        <v>97</v>
      </c>
      <c r="F1082" s="8">
        <v>46310.0</v>
      </c>
      <c r="G1082" s="1" t="s">
        <v>132</v>
      </c>
      <c r="H1082" s="1" t="s">
        <v>133</v>
      </c>
      <c r="J1082" s="1" t="s">
        <v>122</v>
      </c>
      <c r="K1082" s="1" t="s">
        <v>129</v>
      </c>
      <c r="L1082" s="1" t="s">
        <v>99</v>
      </c>
      <c r="O1082" s="4">
        <v>45121.0</v>
      </c>
    </row>
    <row r="1083">
      <c r="A1083" s="1" t="s">
        <v>1714</v>
      </c>
      <c r="B1083" s="1" t="s">
        <v>63</v>
      </c>
      <c r="C1083" s="1" t="s">
        <v>64</v>
      </c>
      <c r="D1083" s="1" t="s">
        <v>1805</v>
      </c>
      <c r="E1083" s="1" t="s">
        <v>97</v>
      </c>
      <c r="F1083" s="8">
        <v>46310.0</v>
      </c>
      <c r="G1083" s="1" t="s">
        <v>71</v>
      </c>
      <c r="K1083" s="1" t="s">
        <v>129</v>
      </c>
      <c r="L1083" s="1" t="s">
        <v>99</v>
      </c>
      <c r="O1083" s="4">
        <v>45121.0</v>
      </c>
    </row>
    <row r="1084">
      <c r="A1084" s="1" t="s">
        <v>1714</v>
      </c>
      <c r="B1084" s="1" t="s">
        <v>63</v>
      </c>
      <c r="C1084" s="1" t="s">
        <v>64</v>
      </c>
      <c r="D1084" s="1" t="s">
        <v>1806</v>
      </c>
      <c r="E1084" s="1" t="s">
        <v>97</v>
      </c>
      <c r="F1084" s="8">
        <v>46310.0</v>
      </c>
      <c r="G1084" s="1" t="s">
        <v>71</v>
      </c>
      <c r="K1084" s="1" t="s">
        <v>129</v>
      </c>
      <c r="L1084" s="1" t="s">
        <v>99</v>
      </c>
      <c r="O1084" s="4">
        <v>45121.0</v>
      </c>
    </row>
    <row r="1085">
      <c r="A1085" s="1" t="s">
        <v>1714</v>
      </c>
      <c r="B1085" s="1" t="s">
        <v>63</v>
      </c>
      <c r="C1085" s="1" t="s">
        <v>64</v>
      </c>
      <c r="D1085" s="1" t="s">
        <v>1807</v>
      </c>
      <c r="E1085" s="1" t="s">
        <v>97</v>
      </c>
      <c r="F1085" s="8">
        <v>46310.0</v>
      </c>
      <c r="G1085" s="1" t="s">
        <v>71</v>
      </c>
      <c r="K1085" s="1" t="s">
        <v>129</v>
      </c>
      <c r="L1085" s="1" t="s">
        <v>99</v>
      </c>
      <c r="O1085" s="4">
        <v>45121.0</v>
      </c>
    </row>
    <row r="1086">
      <c r="A1086" s="1" t="s">
        <v>1714</v>
      </c>
      <c r="B1086" s="1" t="s">
        <v>63</v>
      </c>
      <c r="C1086" s="1" t="s">
        <v>64</v>
      </c>
      <c r="D1086" s="1" t="s">
        <v>1808</v>
      </c>
      <c r="E1086" s="1" t="s">
        <v>97</v>
      </c>
      <c r="F1086" s="8">
        <v>46310.0</v>
      </c>
      <c r="G1086" s="1" t="s">
        <v>71</v>
      </c>
      <c r="K1086" s="1" t="s">
        <v>129</v>
      </c>
      <c r="L1086" s="1" t="s">
        <v>99</v>
      </c>
      <c r="O1086" s="4">
        <v>45121.0</v>
      </c>
    </row>
    <row r="1087">
      <c r="A1087" s="1" t="s">
        <v>1714</v>
      </c>
      <c r="B1087" s="1" t="s">
        <v>63</v>
      </c>
      <c r="C1087" s="1" t="s">
        <v>64</v>
      </c>
      <c r="D1087" s="1" t="s">
        <v>1809</v>
      </c>
      <c r="E1087" s="1" t="s">
        <v>97</v>
      </c>
      <c r="F1087" s="8">
        <v>46310.0</v>
      </c>
      <c r="G1087" s="1" t="s">
        <v>71</v>
      </c>
      <c r="K1087" s="1" t="s">
        <v>129</v>
      </c>
      <c r="L1087" s="1" t="s">
        <v>99</v>
      </c>
      <c r="O1087" s="4">
        <v>45121.0</v>
      </c>
    </row>
    <row r="1088">
      <c r="A1088" s="1" t="s">
        <v>1714</v>
      </c>
      <c r="B1088" s="1" t="s">
        <v>63</v>
      </c>
      <c r="C1088" s="1" t="s">
        <v>64</v>
      </c>
      <c r="D1088" s="1" t="s">
        <v>1810</v>
      </c>
      <c r="E1088" s="1" t="s">
        <v>97</v>
      </c>
      <c r="F1088" s="8">
        <v>46310.0</v>
      </c>
      <c r="G1088" s="1" t="s">
        <v>71</v>
      </c>
      <c r="K1088" s="1" t="s">
        <v>129</v>
      </c>
      <c r="L1088" s="1" t="s">
        <v>99</v>
      </c>
      <c r="O1088" s="4">
        <v>45121.0</v>
      </c>
    </row>
    <row r="1089">
      <c r="A1089" s="1" t="s">
        <v>1714</v>
      </c>
      <c r="B1089" s="1" t="s">
        <v>63</v>
      </c>
      <c r="C1089" s="1" t="s">
        <v>64</v>
      </c>
      <c r="D1089" s="1" t="s">
        <v>1811</v>
      </c>
      <c r="E1089" s="1" t="s">
        <v>97</v>
      </c>
      <c r="F1089" s="8">
        <v>46310.0</v>
      </c>
      <c r="G1089" s="1" t="s">
        <v>71</v>
      </c>
      <c r="K1089" s="1" t="s">
        <v>129</v>
      </c>
      <c r="L1089" s="1" t="s">
        <v>99</v>
      </c>
      <c r="O1089" s="4">
        <v>45121.0</v>
      </c>
    </row>
    <row r="1090">
      <c r="A1090" s="1" t="s">
        <v>1714</v>
      </c>
      <c r="B1090" s="1" t="s">
        <v>288</v>
      </c>
      <c r="C1090" s="1" t="s">
        <v>289</v>
      </c>
      <c r="D1090" s="1" t="s">
        <v>1812</v>
      </c>
      <c r="E1090" s="1" t="s">
        <v>70</v>
      </c>
      <c r="F1090" s="4">
        <v>46154.0</v>
      </c>
      <c r="G1090" s="1" t="s">
        <v>132</v>
      </c>
      <c r="H1090" s="1" t="s">
        <v>417</v>
      </c>
      <c r="J1090" s="1" t="s">
        <v>122</v>
      </c>
      <c r="K1090" s="1" t="s">
        <v>129</v>
      </c>
      <c r="L1090" s="1" t="s">
        <v>99</v>
      </c>
      <c r="O1090" s="4">
        <v>45121.0</v>
      </c>
    </row>
    <row r="1091">
      <c r="A1091" s="1" t="s">
        <v>1813</v>
      </c>
      <c r="B1091" s="1" t="s">
        <v>677</v>
      </c>
      <c r="C1091" s="1" t="s">
        <v>1790</v>
      </c>
      <c r="D1091" s="1" t="s">
        <v>1814</v>
      </c>
      <c r="E1091" s="1" t="s">
        <v>97</v>
      </c>
      <c r="F1091" s="8">
        <v>46310.0</v>
      </c>
      <c r="G1091" s="1" t="s">
        <v>71</v>
      </c>
      <c r="K1091" s="1" t="s">
        <v>129</v>
      </c>
      <c r="L1091" s="1" t="s">
        <v>99</v>
      </c>
      <c r="O1091" s="4">
        <v>45121.0</v>
      </c>
    </row>
    <row r="1092">
      <c r="A1092" s="1" t="s">
        <v>1813</v>
      </c>
      <c r="B1092" s="1" t="s">
        <v>677</v>
      </c>
      <c r="C1092" s="1" t="s">
        <v>1790</v>
      </c>
      <c r="D1092" s="1" t="s">
        <v>1815</v>
      </c>
      <c r="E1092" s="1" t="s">
        <v>97</v>
      </c>
      <c r="F1092" s="8">
        <v>46310.0</v>
      </c>
      <c r="G1092" s="1" t="s">
        <v>71</v>
      </c>
      <c r="K1092" s="1" t="s">
        <v>129</v>
      </c>
      <c r="L1092" s="1" t="s">
        <v>99</v>
      </c>
      <c r="O1092" s="4">
        <v>45121.0</v>
      </c>
    </row>
    <row r="1093">
      <c r="A1093" s="1" t="s">
        <v>1813</v>
      </c>
      <c r="B1093" s="1" t="s">
        <v>677</v>
      </c>
      <c r="C1093" s="1" t="s">
        <v>1790</v>
      </c>
      <c r="D1093" s="1" t="s">
        <v>1816</v>
      </c>
      <c r="E1093" s="1" t="s">
        <v>97</v>
      </c>
      <c r="F1093" s="8">
        <v>46310.0</v>
      </c>
      <c r="G1093" s="1" t="s">
        <v>71</v>
      </c>
      <c r="K1093" s="1" t="s">
        <v>129</v>
      </c>
      <c r="L1093" s="1" t="s">
        <v>99</v>
      </c>
      <c r="O1093" s="4">
        <v>45121.0</v>
      </c>
    </row>
    <row r="1094">
      <c r="A1094" s="1" t="s">
        <v>1813</v>
      </c>
      <c r="B1094" s="1" t="s">
        <v>677</v>
      </c>
      <c r="C1094" s="1" t="s">
        <v>1790</v>
      </c>
      <c r="D1094" s="1" t="s">
        <v>1817</v>
      </c>
      <c r="E1094" s="1" t="s">
        <v>97</v>
      </c>
      <c r="F1094" s="8">
        <v>46310.0</v>
      </c>
      <c r="G1094" s="1" t="s">
        <v>71</v>
      </c>
      <c r="K1094" s="1" t="s">
        <v>129</v>
      </c>
      <c r="L1094" s="1" t="s">
        <v>99</v>
      </c>
      <c r="O1094" s="4">
        <v>45121.0</v>
      </c>
    </row>
    <row r="1095">
      <c r="A1095" s="1" t="s">
        <v>1813</v>
      </c>
      <c r="B1095" s="1" t="s">
        <v>677</v>
      </c>
      <c r="C1095" s="1" t="s">
        <v>1790</v>
      </c>
      <c r="D1095" s="1" t="s">
        <v>1818</v>
      </c>
      <c r="E1095" s="1" t="s">
        <v>97</v>
      </c>
      <c r="F1095" s="8">
        <v>46310.0</v>
      </c>
      <c r="G1095" s="1" t="s">
        <v>71</v>
      </c>
      <c r="K1095" s="1" t="s">
        <v>129</v>
      </c>
      <c r="L1095" s="1" t="s">
        <v>99</v>
      </c>
      <c r="O1095" s="4">
        <v>45121.0</v>
      </c>
    </row>
    <row r="1096">
      <c r="A1096" s="1" t="s">
        <v>1813</v>
      </c>
      <c r="B1096" s="1" t="s">
        <v>677</v>
      </c>
      <c r="C1096" s="1" t="s">
        <v>1790</v>
      </c>
      <c r="D1096" s="1" t="s">
        <v>1819</v>
      </c>
      <c r="E1096" s="1" t="s">
        <v>97</v>
      </c>
      <c r="F1096" s="8">
        <v>46310.0</v>
      </c>
      <c r="G1096" s="1" t="s">
        <v>71</v>
      </c>
      <c r="K1096" s="1" t="s">
        <v>129</v>
      </c>
      <c r="L1096" s="1" t="s">
        <v>99</v>
      </c>
      <c r="O1096" s="4">
        <v>45121.0</v>
      </c>
    </row>
    <row r="1097">
      <c r="A1097" s="1" t="s">
        <v>1813</v>
      </c>
      <c r="B1097" s="1" t="s">
        <v>1745</v>
      </c>
      <c r="C1097" s="1" t="s">
        <v>1746</v>
      </c>
      <c r="D1097" s="1" t="s">
        <v>1820</v>
      </c>
      <c r="E1097" s="1" t="s">
        <v>97</v>
      </c>
      <c r="F1097" s="8">
        <v>46314.0</v>
      </c>
      <c r="G1097" s="1" t="s">
        <v>71</v>
      </c>
      <c r="K1097" s="1" t="s">
        <v>129</v>
      </c>
      <c r="L1097" s="1" t="s">
        <v>99</v>
      </c>
      <c r="O1097" s="4">
        <v>45121.0</v>
      </c>
    </row>
    <row r="1098">
      <c r="A1098" s="1" t="s">
        <v>1813</v>
      </c>
      <c r="B1098" s="1" t="s">
        <v>1745</v>
      </c>
      <c r="C1098" s="1" t="s">
        <v>1746</v>
      </c>
      <c r="D1098" s="1" t="s">
        <v>1821</v>
      </c>
      <c r="E1098" s="1" t="s">
        <v>97</v>
      </c>
      <c r="F1098" s="8">
        <v>46314.0</v>
      </c>
      <c r="G1098" s="1" t="s">
        <v>71</v>
      </c>
      <c r="K1098" s="1" t="s">
        <v>129</v>
      </c>
      <c r="L1098" s="1" t="s">
        <v>99</v>
      </c>
      <c r="O1098" s="4">
        <v>45121.0</v>
      </c>
    </row>
    <row r="1099">
      <c r="A1099" s="1" t="s">
        <v>1813</v>
      </c>
      <c r="B1099" s="1" t="s">
        <v>1745</v>
      </c>
      <c r="C1099" s="1" t="s">
        <v>1746</v>
      </c>
      <c r="D1099" s="1" t="s">
        <v>1822</v>
      </c>
      <c r="E1099" s="1" t="s">
        <v>70</v>
      </c>
      <c r="F1099" s="8">
        <v>46314.0</v>
      </c>
      <c r="G1099" s="1" t="s">
        <v>71</v>
      </c>
      <c r="K1099" s="1" t="s">
        <v>129</v>
      </c>
      <c r="L1099" s="1" t="s">
        <v>99</v>
      </c>
      <c r="O1099" s="4">
        <v>45121.0</v>
      </c>
    </row>
    <row r="1100">
      <c r="A1100" s="1" t="s">
        <v>1813</v>
      </c>
      <c r="B1100" s="1" t="s">
        <v>1745</v>
      </c>
      <c r="C1100" s="1" t="s">
        <v>1746</v>
      </c>
      <c r="D1100" s="1" t="s">
        <v>1823</v>
      </c>
      <c r="E1100" s="1" t="s">
        <v>97</v>
      </c>
      <c r="F1100" s="8">
        <v>46314.0</v>
      </c>
      <c r="G1100" s="1" t="s">
        <v>71</v>
      </c>
      <c r="K1100" s="1" t="s">
        <v>129</v>
      </c>
      <c r="L1100" s="1" t="s">
        <v>99</v>
      </c>
      <c r="O1100" s="4">
        <v>45121.0</v>
      </c>
    </row>
    <row r="1101">
      <c r="A1101" s="1" t="s">
        <v>1813</v>
      </c>
      <c r="B1101" s="1" t="s">
        <v>1745</v>
      </c>
      <c r="C1101" s="1" t="s">
        <v>1746</v>
      </c>
      <c r="D1101" s="1" t="s">
        <v>1824</v>
      </c>
      <c r="E1101" s="1" t="s">
        <v>97</v>
      </c>
      <c r="F1101" s="8">
        <v>46314.0</v>
      </c>
      <c r="G1101" s="1" t="s">
        <v>71</v>
      </c>
      <c r="K1101" s="1" t="s">
        <v>129</v>
      </c>
      <c r="L1101" s="1" t="s">
        <v>99</v>
      </c>
      <c r="O1101" s="4">
        <v>45121.0</v>
      </c>
    </row>
    <row r="1102">
      <c r="A1102" s="1" t="s">
        <v>1813</v>
      </c>
      <c r="B1102" s="1" t="s">
        <v>1745</v>
      </c>
      <c r="C1102" s="1" t="s">
        <v>1746</v>
      </c>
      <c r="D1102" s="1" t="s">
        <v>1825</v>
      </c>
      <c r="E1102" s="1" t="s">
        <v>97</v>
      </c>
      <c r="F1102" s="8">
        <v>46314.0</v>
      </c>
      <c r="G1102" s="1" t="s">
        <v>71</v>
      </c>
      <c r="K1102" s="1" t="s">
        <v>129</v>
      </c>
      <c r="L1102" s="1" t="s">
        <v>99</v>
      </c>
      <c r="O1102" s="4">
        <v>45121.0</v>
      </c>
    </row>
    <row r="1103">
      <c r="A1103" s="1" t="s">
        <v>1813</v>
      </c>
      <c r="B1103" s="1" t="s">
        <v>1826</v>
      </c>
      <c r="C1103" s="1" t="s">
        <v>1827</v>
      </c>
      <c r="D1103" s="1" t="s">
        <v>1828</v>
      </c>
      <c r="E1103" s="1" t="s">
        <v>97</v>
      </c>
      <c r="F1103" s="4">
        <v>46281.0</v>
      </c>
      <c r="G1103" s="1" t="s">
        <v>71</v>
      </c>
      <c r="K1103" s="1" t="s">
        <v>129</v>
      </c>
      <c r="L1103" s="1" t="s">
        <v>99</v>
      </c>
      <c r="O1103" s="4">
        <v>45121.0</v>
      </c>
    </row>
    <row r="1104">
      <c r="A1104" s="1" t="s">
        <v>1813</v>
      </c>
      <c r="B1104" s="1" t="s">
        <v>1826</v>
      </c>
      <c r="C1104" s="1" t="s">
        <v>1827</v>
      </c>
      <c r="D1104" s="1" t="s">
        <v>1829</v>
      </c>
      <c r="E1104" s="1" t="s">
        <v>97</v>
      </c>
      <c r="F1104" s="4">
        <v>46281.0</v>
      </c>
      <c r="G1104" s="1" t="s">
        <v>71</v>
      </c>
      <c r="K1104" s="1" t="s">
        <v>129</v>
      </c>
      <c r="L1104" s="1" t="s">
        <v>99</v>
      </c>
      <c r="O1104" s="4">
        <v>45121.0</v>
      </c>
    </row>
    <row r="1105">
      <c r="A1105" s="1" t="s">
        <v>1813</v>
      </c>
      <c r="B1105" s="1" t="s">
        <v>1826</v>
      </c>
      <c r="C1105" s="1" t="s">
        <v>1827</v>
      </c>
      <c r="D1105" s="1" t="s">
        <v>1830</v>
      </c>
      <c r="E1105" s="1" t="s">
        <v>97</v>
      </c>
      <c r="F1105" s="4">
        <v>46281.0</v>
      </c>
      <c r="G1105" s="1" t="s">
        <v>71</v>
      </c>
      <c r="K1105" s="1" t="s">
        <v>129</v>
      </c>
      <c r="L1105" s="1" t="s">
        <v>99</v>
      </c>
      <c r="O1105" s="4">
        <v>45121.0</v>
      </c>
    </row>
    <row r="1106">
      <c r="A1106" s="1" t="s">
        <v>1813</v>
      </c>
      <c r="B1106" s="1" t="s">
        <v>1826</v>
      </c>
      <c r="C1106" s="1" t="s">
        <v>1827</v>
      </c>
      <c r="D1106" s="1" t="s">
        <v>1831</v>
      </c>
      <c r="E1106" s="1" t="s">
        <v>97</v>
      </c>
      <c r="F1106" s="4">
        <v>46281.0</v>
      </c>
      <c r="G1106" s="1" t="s">
        <v>71</v>
      </c>
      <c r="K1106" s="1" t="s">
        <v>129</v>
      </c>
      <c r="L1106" s="1" t="s">
        <v>99</v>
      </c>
      <c r="O1106" s="4">
        <v>45121.0</v>
      </c>
    </row>
    <row r="1107">
      <c r="A1107" s="1" t="s">
        <v>1813</v>
      </c>
      <c r="B1107" s="1" t="s">
        <v>1826</v>
      </c>
      <c r="C1107" s="1" t="s">
        <v>1827</v>
      </c>
      <c r="D1107" s="1" t="s">
        <v>1832</v>
      </c>
      <c r="E1107" s="1" t="s">
        <v>97</v>
      </c>
      <c r="F1107" s="4">
        <v>46281.0</v>
      </c>
      <c r="G1107" s="1" t="s">
        <v>71</v>
      </c>
      <c r="K1107" s="1" t="s">
        <v>129</v>
      </c>
      <c r="L1107" s="1" t="s">
        <v>99</v>
      </c>
      <c r="O1107" s="4">
        <v>45121.0</v>
      </c>
    </row>
    <row r="1108">
      <c r="A1108" s="1" t="s">
        <v>1813</v>
      </c>
      <c r="B1108" s="1" t="s">
        <v>1826</v>
      </c>
      <c r="C1108" s="1" t="s">
        <v>1827</v>
      </c>
      <c r="D1108" s="1" t="s">
        <v>1833</v>
      </c>
      <c r="E1108" s="1" t="s">
        <v>97</v>
      </c>
      <c r="F1108" s="4">
        <v>46281.0</v>
      </c>
      <c r="G1108" s="1" t="s">
        <v>71</v>
      </c>
      <c r="K1108" s="1" t="s">
        <v>129</v>
      </c>
      <c r="L1108" s="1" t="s">
        <v>99</v>
      </c>
      <c r="O1108" s="4">
        <v>45121.0</v>
      </c>
    </row>
    <row r="1109">
      <c r="A1109" s="1" t="s">
        <v>1834</v>
      </c>
      <c r="B1109" s="1" t="s">
        <v>1835</v>
      </c>
      <c r="C1109" s="1" t="s">
        <v>1836</v>
      </c>
      <c r="D1109" s="1" t="s">
        <v>1837</v>
      </c>
      <c r="E1109" s="1" t="s">
        <v>32</v>
      </c>
      <c r="F1109" s="4">
        <v>46227.0</v>
      </c>
      <c r="H1109" s="1" t="s">
        <v>33</v>
      </c>
      <c r="K1109" s="1" t="s">
        <v>267</v>
      </c>
      <c r="L1109" s="1" t="s">
        <v>35</v>
      </c>
      <c r="N1109" s="4">
        <v>46227.0</v>
      </c>
      <c r="O1109" s="4">
        <v>46227.0</v>
      </c>
    </row>
    <row r="1110">
      <c r="A1110" s="1" t="s">
        <v>1838</v>
      </c>
      <c r="B1110" s="1" t="s">
        <v>1835</v>
      </c>
      <c r="C1110" s="1" t="s">
        <v>1836</v>
      </c>
      <c r="D1110" s="1" t="s">
        <v>1839</v>
      </c>
      <c r="E1110" s="1" t="s">
        <v>32</v>
      </c>
      <c r="F1110" s="4">
        <v>46227.0</v>
      </c>
      <c r="H1110" s="1" t="s">
        <v>33</v>
      </c>
      <c r="K1110" s="1" t="s">
        <v>267</v>
      </c>
      <c r="L1110" s="1" t="s">
        <v>35</v>
      </c>
      <c r="N1110" s="4">
        <v>46227.0</v>
      </c>
      <c r="O1110" s="4">
        <v>46227.0</v>
      </c>
    </row>
    <row r="1111">
      <c r="A1111" s="1" t="s">
        <v>1838</v>
      </c>
      <c r="B1111" s="1" t="s">
        <v>1835</v>
      </c>
      <c r="C1111" s="1" t="s">
        <v>1836</v>
      </c>
      <c r="D1111" s="1" t="s">
        <v>1840</v>
      </c>
      <c r="E1111" s="1" t="s">
        <v>32</v>
      </c>
      <c r="F1111" s="4">
        <v>46227.0</v>
      </c>
      <c r="H1111" s="1" t="s">
        <v>33</v>
      </c>
      <c r="K1111" s="1" t="s">
        <v>267</v>
      </c>
      <c r="L1111" s="1" t="s">
        <v>35</v>
      </c>
      <c r="N1111" s="4">
        <v>46227.0</v>
      </c>
      <c r="O1111" s="4">
        <v>46227.0</v>
      </c>
    </row>
    <row r="1112">
      <c r="A1112" s="1" t="s">
        <v>1838</v>
      </c>
      <c r="B1112" s="1" t="s">
        <v>1835</v>
      </c>
      <c r="C1112" s="1" t="s">
        <v>1836</v>
      </c>
      <c r="D1112" s="1" t="s">
        <v>1841</v>
      </c>
      <c r="E1112" s="1" t="s">
        <v>32</v>
      </c>
      <c r="F1112" s="4">
        <v>46227.0</v>
      </c>
      <c r="H1112" s="1" t="s">
        <v>33</v>
      </c>
      <c r="K1112" s="1" t="s">
        <v>267</v>
      </c>
      <c r="L1112" s="1" t="s">
        <v>35</v>
      </c>
      <c r="N1112" s="4">
        <v>46227.0</v>
      </c>
      <c r="O1112" s="4">
        <v>46227.0</v>
      </c>
    </row>
    <row r="1113">
      <c r="A1113" s="1" t="s">
        <v>1838</v>
      </c>
      <c r="B1113" s="1" t="s">
        <v>1835</v>
      </c>
      <c r="C1113" s="1" t="s">
        <v>1836</v>
      </c>
      <c r="D1113" s="1" t="s">
        <v>1842</v>
      </c>
      <c r="E1113" s="1" t="s">
        <v>32</v>
      </c>
      <c r="F1113" s="4">
        <v>46227.0</v>
      </c>
      <c r="H1113" s="1" t="s">
        <v>33</v>
      </c>
      <c r="K1113" s="1" t="s">
        <v>267</v>
      </c>
      <c r="L1113" s="1" t="s">
        <v>35</v>
      </c>
      <c r="N1113" s="4">
        <v>46227.0</v>
      </c>
      <c r="O1113" s="4">
        <v>46227.0</v>
      </c>
    </row>
    <row r="1114">
      <c r="A1114" s="1" t="s">
        <v>1843</v>
      </c>
      <c r="B1114" s="1" t="s">
        <v>288</v>
      </c>
      <c r="C1114" s="1" t="s">
        <v>289</v>
      </c>
      <c r="D1114" s="1" t="s">
        <v>1844</v>
      </c>
      <c r="E1114" s="1" t="s">
        <v>97</v>
      </c>
      <c r="F1114" s="8">
        <v>46309.0</v>
      </c>
      <c r="G1114" s="1" t="s">
        <v>107</v>
      </c>
      <c r="H1114" s="1" t="s">
        <v>133</v>
      </c>
      <c r="J1114" s="1" t="s">
        <v>47</v>
      </c>
      <c r="K1114" s="1" t="s">
        <v>367</v>
      </c>
      <c r="L1114" s="1" t="s">
        <v>99</v>
      </c>
      <c r="O1114" s="4">
        <v>43223.0</v>
      </c>
    </row>
    <row r="1115">
      <c r="A1115" s="1" t="s">
        <v>1843</v>
      </c>
      <c r="B1115" s="1" t="s">
        <v>255</v>
      </c>
      <c r="C1115" s="1" t="s">
        <v>256</v>
      </c>
      <c r="D1115" s="1" t="s">
        <v>1845</v>
      </c>
      <c r="E1115" s="1" t="s">
        <v>97</v>
      </c>
      <c r="F1115" s="8">
        <v>46310.0</v>
      </c>
      <c r="G1115" s="1" t="s">
        <v>71</v>
      </c>
      <c r="H1115" s="1" t="s">
        <v>396</v>
      </c>
      <c r="K1115" s="1" t="s">
        <v>367</v>
      </c>
      <c r="L1115" s="1" t="s">
        <v>99</v>
      </c>
      <c r="O1115" s="4">
        <v>43223.0</v>
      </c>
    </row>
    <row r="1116">
      <c r="A1116" s="1" t="s">
        <v>1843</v>
      </c>
      <c r="B1116" s="1" t="s">
        <v>288</v>
      </c>
      <c r="C1116" s="1" t="s">
        <v>289</v>
      </c>
      <c r="D1116" s="1" t="s">
        <v>1846</v>
      </c>
      <c r="E1116" s="1" t="s">
        <v>70</v>
      </c>
      <c r="F1116" s="8">
        <v>46309.0</v>
      </c>
      <c r="G1116" s="1" t="s">
        <v>132</v>
      </c>
      <c r="H1116" s="1" t="s">
        <v>429</v>
      </c>
      <c r="J1116" s="1" t="s">
        <v>134</v>
      </c>
      <c r="K1116" s="1" t="s">
        <v>367</v>
      </c>
      <c r="L1116" s="1" t="s">
        <v>99</v>
      </c>
      <c r="O1116" s="4">
        <v>43348.0</v>
      </c>
    </row>
    <row r="1117">
      <c r="A1117" s="1" t="s">
        <v>1843</v>
      </c>
      <c r="B1117" s="1" t="s">
        <v>288</v>
      </c>
      <c r="C1117" s="1" t="s">
        <v>289</v>
      </c>
      <c r="D1117" s="1" t="s">
        <v>1847</v>
      </c>
      <c r="E1117" s="1" t="s">
        <v>97</v>
      </c>
      <c r="F1117" s="8">
        <v>46309.0</v>
      </c>
      <c r="G1117" s="1" t="s">
        <v>107</v>
      </c>
      <c r="H1117" s="1" t="s">
        <v>133</v>
      </c>
      <c r="J1117" s="1" t="s">
        <v>47</v>
      </c>
      <c r="K1117" s="1" t="s">
        <v>367</v>
      </c>
      <c r="L1117" s="1" t="s">
        <v>99</v>
      </c>
      <c r="O1117" s="4">
        <v>43348.0</v>
      </c>
    </row>
    <row r="1118">
      <c r="A1118" s="1" t="s">
        <v>1843</v>
      </c>
      <c r="B1118" s="1" t="s">
        <v>288</v>
      </c>
      <c r="C1118" s="1" t="s">
        <v>289</v>
      </c>
      <c r="D1118" s="1" t="s">
        <v>1848</v>
      </c>
      <c r="E1118" s="1" t="s">
        <v>70</v>
      </c>
      <c r="F1118" s="8">
        <v>46309.0</v>
      </c>
      <c r="G1118" s="1" t="s">
        <v>132</v>
      </c>
      <c r="H1118" s="1" t="s">
        <v>429</v>
      </c>
      <c r="J1118" s="1" t="s">
        <v>134</v>
      </c>
      <c r="K1118" s="1" t="s">
        <v>367</v>
      </c>
      <c r="L1118" s="1" t="s">
        <v>99</v>
      </c>
      <c r="O1118" s="4">
        <v>43348.0</v>
      </c>
    </row>
    <row r="1119">
      <c r="A1119" s="1" t="s">
        <v>1843</v>
      </c>
      <c r="B1119" s="1" t="s">
        <v>288</v>
      </c>
      <c r="C1119" s="1" t="s">
        <v>289</v>
      </c>
      <c r="D1119" s="1" t="s">
        <v>1849</v>
      </c>
      <c r="E1119" s="1" t="s">
        <v>97</v>
      </c>
      <c r="F1119" s="8">
        <v>46309.0</v>
      </c>
      <c r="G1119" s="1" t="s">
        <v>107</v>
      </c>
      <c r="H1119" s="1" t="s">
        <v>133</v>
      </c>
      <c r="J1119" s="1" t="s">
        <v>47</v>
      </c>
      <c r="K1119" s="1" t="s">
        <v>367</v>
      </c>
      <c r="L1119" s="1" t="s">
        <v>99</v>
      </c>
      <c r="O1119" s="4">
        <v>43348.0</v>
      </c>
    </row>
    <row r="1120">
      <c r="A1120" s="1" t="s">
        <v>1843</v>
      </c>
      <c r="B1120" s="1" t="s">
        <v>288</v>
      </c>
      <c r="C1120" s="1" t="s">
        <v>289</v>
      </c>
      <c r="D1120" s="1" t="s">
        <v>1850</v>
      </c>
      <c r="E1120" s="1" t="s">
        <v>70</v>
      </c>
      <c r="F1120" s="8">
        <v>46309.0</v>
      </c>
      <c r="G1120" s="1" t="s">
        <v>132</v>
      </c>
      <c r="H1120" s="1" t="s">
        <v>429</v>
      </c>
      <c r="J1120" s="1" t="s">
        <v>134</v>
      </c>
      <c r="K1120" s="1" t="s">
        <v>367</v>
      </c>
      <c r="L1120" s="1" t="s">
        <v>99</v>
      </c>
      <c r="O1120" s="4">
        <v>43348.0</v>
      </c>
    </row>
    <row r="1121">
      <c r="A1121" s="1" t="s">
        <v>1843</v>
      </c>
      <c r="B1121" s="1" t="s">
        <v>288</v>
      </c>
      <c r="C1121" s="1" t="s">
        <v>289</v>
      </c>
      <c r="D1121" s="1" t="s">
        <v>1851</v>
      </c>
      <c r="E1121" s="1" t="s">
        <v>97</v>
      </c>
      <c r="F1121" s="8">
        <v>46309.0</v>
      </c>
      <c r="G1121" s="1" t="s">
        <v>107</v>
      </c>
      <c r="H1121" s="1" t="s">
        <v>133</v>
      </c>
      <c r="J1121" s="1" t="s">
        <v>47</v>
      </c>
      <c r="K1121" s="1" t="s">
        <v>367</v>
      </c>
      <c r="L1121" s="1" t="s">
        <v>99</v>
      </c>
      <c r="O1121" s="4">
        <v>43348.0</v>
      </c>
    </row>
    <row r="1122">
      <c r="A1122" s="1" t="s">
        <v>1843</v>
      </c>
      <c r="B1122" s="1" t="s">
        <v>288</v>
      </c>
      <c r="C1122" s="1" t="s">
        <v>289</v>
      </c>
      <c r="D1122" s="1" t="s">
        <v>1852</v>
      </c>
      <c r="E1122" s="1" t="s">
        <v>70</v>
      </c>
      <c r="F1122" s="8">
        <v>46309.0</v>
      </c>
      <c r="G1122" s="1" t="s">
        <v>132</v>
      </c>
      <c r="H1122" s="1" t="s">
        <v>429</v>
      </c>
      <c r="J1122" s="1" t="s">
        <v>134</v>
      </c>
      <c r="K1122" s="1" t="s">
        <v>367</v>
      </c>
      <c r="L1122" s="1" t="s">
        <v>99</v>
      </c>
      <c r="O1122" s="4">
        <v>43348.0</v>
      </c>
    </row>
    <row r="1123">
      <c r="A1123" s="1" t="s">
        <v>1843</v>
      </c>
      <c r="B1123" s="1" t="s">
        <v>269</v>
      </c>
      <c r="C1123" s="1" t="s">
        <v>270</v>
      </c>
      <c r="D1123" s="1" t="s">
        <v>1853</v>
      </c>
      <c r="E1123" s="1" t="s">
        <v>70</v>
      </c>
      <c r="F1123" s="8">
        <v>46316.0</v>
      </c>
      <c r="G1123" s="1" t="s">
        <v>132</v>
      </c>
      <c r="H1123" s="1" t="s">
        <v>422</v>
      </c>
      <c r="J1123" s="1" t="s">
        <v>134</v>
      </c>
      <c r="K1123" s="1" t="s">
        <v>367</v>
      </c>
      <c r="L1123" s="1" t="s">
        <v>99</v>
      </c>
      <c r="O1123" s="4">
        <v>43223.0</v>
      </c>
    </row>
    <row r="1124">
      <c r="A1124" s="1" t="s">
        <v>1843</v>
      </c>
      <c r="B1124" s="1" t="s">
        <v>279</v>
      </c>
      <c r="C1124" s="1" t="s">
        <v>280</v>
      </c>
      <c r="D1124" s="1" t="s">
        <v>1854</v>
      </c>
      <c r="E1124" s="1" t="s">
        <v>97</v>
      </c>
      <c r="F1124" s="8">
        <v>46311.0</v>
      </c>
      <c r="G1124" s="1" t="s">
        <v>71</v>
      </c>
      <c r="K1124" s="1" t="s">
        <v>367</v>
      </c>
      <c r="L1124" s="1" t="s">
        <v>99</v>
      </c>
      <c r="O1124" s="4">
        <v>43223.0</v>
      </c>
    </row>
    <row r="1125">
      <c r="A1125" s="1" t="s">
        <v>1855</v>
      </c>
      <c r="B1125" s="1" t="s">
        <v>342</v>
      </c>
      <c r="C1125" s="1" t="s">
        <v>346</v>
      </c>
      <c r="D1125" s="1" t="s">
        <v>1856</v>
      </c>
      <c r="E1125" s="1" t="s">
        <v>32</v>
      </c>
      <c r="F1125" s="4">
        <v>46188.0</v>
      </c>
      <c r="H1125" s="1" t="s">
        <v>1857</v>
      </c>
      <c r="K1125" s="1" t="s">
        <v>254</v>
      </c>
      <c r="L1125" s="1" t="s">
        <v>35</v>
      </c>
      <c r="N1125" s="4">
        <v>46188.0</v>
      </c>
      <c r="O1125" s="4">
        <v>46188.0</v>
      </c>
    </row>
    <row r="1126">
      <c r="A1126" s="1" t="s">
        <v>1858</v>
      </c>
      <c r="B1126" s="1" t="s">
        <v>1582</v>
      </c>
      <c r="C1126" s="1" t="s">
        <v>1859</v>
      </c>
      <c r="D1126" s="1" t="s">
        <v>1860</v>
      </c>
      <c r="E1126" s="1" t="s">
        <v>32</v>
      </c>
      <c r="F1126" s="4">
        <v>46042.0</v>
      </c>
      <c r="H1126" s="1" t="s">
        <v>1861</v>
      </c>
      <c r="K1126" s="1" t="s">
        <v>267</v>
      </c>
      <c r="L1126" s="1" t="s">
        <v>35</v>
      </c>
      <c r="N1126" s="4">
        <v>46042.0</v>
      </c>
      <c r="O1126" s="4">
        <v>46042.0</v>
      </c>
    </row>
    <row r="1127">
      <c r="A1127" s="1" t="s">
        <v>1862</v>
      </c>
      <c r="B1127" s="1" t="s">
        <v>342</v>
      </c>
      <c r="C1127" s="1" t="s">
        <v>346</v>
      </c>
      <c r="D1127" s="1" t="s">
        <v>1863</v>
      </c>
      <c r="E1127" s="1" t="s">
        <v>32</v>
      </c>
      <c r="F1127" s="4">
        <v>46265.0</v>
      </c>
      <c r="H1127" s="1" t="s">
        <v>1864</v>
      </c>
      <c r="K1127" s="1" t="s">
        <v>1865</v>
      </c>
      <c r="L1127" s="1" t="s">
        <v>35</v>
      </c>
      <c r="N1127" s="4">
        <v>46265.0</v>
      </c>
      <c r="O1127" s="4">
        <v>46265.0</v>
      </c>
    </row>
    <row r="1128">
      <c r="A1128" s="1" t="s">
        <v>1862</v>
      </c>
      <c r="B1128" s="1" t="s">
        <v>342</v>
      </c>
      <c r="C1128" s="1" t="s">
        <v>346</v>
      </c>
      <c r="D1128" s="1" t="s">
        <v>1866</v>
      </c>
      <c r="E1128" s="1" t="s">
        <v>32</v>
      </c>
      <c r="F1128" s="4">
        <v>46265.0</v>
      </c>
      <c r="H1128" s="1" t="s">
        <v>1867</v>
      </c>
      <c r="K1128" s="1" t="s">
        <v>1865</v>
      </c>
      <c r="L1128" s="1" t="s">
        <v>35</v>
      </c>
      <c r="N1128" s="4">
        <v>46265.0</v>
      </c>
      <c r="O1128" s="4">
        <v>46265.0</v>
      </c>
    </row>
    <row r="1129">
      <c r="A1129" s="1" t="s">
        <v>1868</v>
      </c>
      <c r="B1129" s="1" t="s">
        <v>255</v>
      </c>
      <c r="C1129" s="1" t="s">
        <v>256</v>
      </c>
      <c r="D1129" s="1" t="s">
        <v>1869</v>
      </c>
      <c r="E1129" s="1" t="s">
        <v>32</v>
      </c>
      <c r="F1129" s="4">
        <v>46281.0</v>
      </c>
      <c r="H1129" s="1" t="s">
        <v>33</v>
      </c>
      <c r="K1129" s="1" t="s">
        <v>254</v>
      </c>
      <c r="L1129" s="1" t="s">
        <v>35</v>
      </c>
      <c r="N1129" s="4">
        <v>46281.0</v>
      </c>
      <c r="O1129" s="4">
        <v>46281.0</v>
      </c>
    </row>
    <row r="1130">
      <c r="A1130" s="1" t="s">
        <v>1870</v>
      </c>
      <c r="B1130" s="1" t="s">
        <v>288</v>
      </c>
      <c r="C1130" s="1" t="s">
        <v>289</v>
      </c>
      <c r="D1130" s="1" t="s">
        <v>1871</v>
      </c>
      <c r="E1130" s="1" t="s">
        <v>97</v>
      </c>
      <c r="F1130" s="8">
        <v>46309.0</v>
      </c>
      <c r="G1130" s="1" t="s">
        <v>71</v>
      </c>
      <c r="H1130" s="1" t="s">
        <v>429</v>
      </c>
      <c r="K1130" s="1" t="s">
        <v>34</v>
      </c>
      <c r="L1130" s="1" t="s">
        <v>99</v>
      </c>
      <c r="O1130" s="4">
        <v>45807.0</v>
      </c>
    </row>
    <row r="1131">
      <c r="A1131" s="1" t="s">
        <v>1870</v>
      </c>
      <c r="B1131" s="1" t="s">
        <v>288</v>
      </c>
      <c r="C1131" s="1" t="s">
        <v>289</v>
      </c>
      <c r="D1131" s="1" t="s">
        <v>1872</v>
      </c>
      <c r="E1131" s="1" t="s">
        <v>97</v>
      </c>
      <c r="F1131" s="8">
        <v>46309.0</v>
      </c>
      <c r="G1131" s="1" t="s">
        <v>71</v>
      </c>
      <c r="H1131" s="1" t="s">
        <v>429</v>
      </c>
      <c r="K1131" s="1" t="s">
        <v>34</v>
      </c>
      <c r="L1131" s="1" t="s">
        <v>99</v>
      </c>
      <c r="O1131" s="4">
        <v>45807.0</v>
      </c>
    </row>
    <row r="1132">
      <c r="A1132" s="1" t="s">
        <v>1870</v>
      </c>
      <c r="B1132" s="1" t="s">
        <v>288</v>
      </c>
      <c r="C1132" s="1" t="s">
        <v>289</v>
      </c>
      <c r="D1132" s="1" t="s">
        <v>1873</v>
      </c>
      <c r="E1132" s="1" t="s">
        <v>97</v>
      </c>
      <c r="F1132" s="8">
        <v>46309.0</v>
      </c>
      <c r="G1132" s="1" t="s">
        <v>71</v>
      </c>
      <c r="H1132" s="1" t="s">
        <v>429</v>
      </c>
      <c r="K1132" s="1" t="s">
        <v>34</v>
      </c>
      <c r="L1132" s="1" t="s">
        <v>99</v>
      </c>
      <c r="O1132" s="4">
        <v>45807.0</v>
      </c>
    </row>
    <row r="1133">
      <c r="A1133" s="1" t="s">
        <v>1870</v>
      </c>
      <c r="B1133" s="1" t="s">
        <v>269</v>
      </c>
      <c r="C1133" s="1" t="s">
        <v>270</v>
      </c>
      <c r="D1133" s="1" t="s">
        <v>1874</v>
      </c>
      <c r="E1133" s="1" t="s">
        <v>97</v>
      </c>
      <c r="F1133" s="8">
        <v>46316.0</v>
      </c>
      <c r="G1133" s="1" t="s">
        <v>71</v>
      </c>
      <c r="K1133" s="1" t="s">
        <v>34</v>
      </c>
      <c r="L1133" s="1" t="s">
        <v>99</v>
      </c>
      <c r="O1133" s="4">
        <v>45807.0</v>
      </c>
    </row>
    <row r="1134">
      <c r="A1134" s="1" t="s">
        <v>1870</v>
      </c>
      <c r="B1134" s="1" t="s">
        <v>269</v>
      </c>
      <c r="C1134" s="1" t="s">
        <v>270</v>
      </c>
      <c r="D1134" s="1" t="s">
        <v>1875</v>
      </c>
      <c r="E1134" s="1" t="s">
        <v>97</v>
      </c>
      <c r="F1134" s="8">
        <v>46316.0</v>
      </c>
      <c r="G1134" s="1" t="s">
        <v>71</v>
      </c>
      <c r="K1134" s="1" t="s">
        <v>34</v>
      </c>
      <c r="L1134" s="1" t="s">
        <v>99</v>
      </c>
      <c r="O1134" s="4">
        <v>45807.0</v>
      </c>
    </row>
    <row r="1135">
      <c r="A1135" s="1" t="s">
        <v>1870</v>
      </c>
      <c r="B1135" s="1" t="s">
        <v>269</v>
      </c>
      <c r="C1135" s="1" t="s">
        <v>270</v>
      </c>
      <c r="D1135" s="1" t="s">
        <v>1876</v>
      </c>
      <c r="E1135" s="1" t="s">
        <v>97</v>
      </c>
      <c r="F1135" s="8">
        <v>46316.0</v>
      </c>
      <c r="G1135" s="1" t="s">
        <v>71</v>
      </c>
      <c r="K1135" s="1" t="s">
        <v>34</v>
      </c>
      <c r="L1135" s="1" t="s">
        <v>99</v>
      </c>
      <c r="O1135" s="4">
        <v>45807.0</v>
      </c>
    </row>
    <row r="1136">
      <c r="A1136" s="1" t="s">
        <v>1877</v>
      </c>
      <c r="B1136" s="1" t="s">
        <v>677</v>
      </c>
      <c r="C1136" s="1" t="s">
        <v>1878</v>
      </c>
      <c r="D1136" s="1" t="s">
        <v>1879</v>
      </c>
      <c r="E1136" s="1" t="s">
        <v>32</v>
      </c>
      <c r="F1136" s="4">
        <v>46281.0</v>
      </c>
      <c r="H1136" s="1" t="s">
        <v>1880</v>
      </c>
      <c r="K1136" s="1" t="s">
        <v>98</v>
      </c>
      <c r="L1136" s="1" t="s">
        <v>35</v>
      </c>
      <c r="N1136" s="4">
        <v>46281.0</v>
      </c>
      <c r="O1136" s="4">
        <v>46281.0</v>
      </c>
    </row>
    <row r="1137">
      <c r="A1137" s="1" t="s">
        <v>1877</v>
      </c>
      <c r="B1137" s="1" t="s">
        <v>677</v>
      </c>
      <c r="C1137" s="1" t="s">
        <v>1878</v>
      </c>
      <c r="D1137" s="1" t="s">
        <v>1881</v>
      </c>
      <c r="E1137" s="1" t="s">
        <v>32</v>
      </c>
      <c r="F1137" s="4">
        <v>46281.0</v>
      </c>
      <c r="H1137" s="1" t="s">
        <v>1880</v>
      </c>
      <c r="K1137" s="1" t="s">
        <v>98</v>
      </c>
      <c r="L1137" s="1" t="s">
        <v>35</v>
      </c>
      <c r="N1137" s="4">
        <v>46281.0</v>
      </c>
      <c r="O1137" s="4">
        <v>46281.0</v>
      </c>
    </row>
    <row r="1138">
      <c r="A1138" s="1" t="s">
        <v>1877</v>
      </c>
      <c r="B1138" s="1" t="s">
        <v>1146</v>
      </c>
      <c r="C1138" s="1" t="s">
        <v>924</v>
      </c>
      <c r="D1138" s="1" t="s">
        <v>1882</v>
      </c>
      <c r="E1138" s="1" t="s">
        <v>32</v>
      </c>
      <c r="F1138" s="4">
        <v>46259.0</v>
      </c>
      <c r="H1138" s="1" t="s">
        <v>33</v>
      </c>
      <c r="K1138" s="1" t="s">
        <v>98</v>
      </c>
      <c r="L1138" s="1" t="s">
        <v>35</v>
      </c>
      <c r="N1138" s="4">
        <v>46259.0</v>
      </c>
      <c r="O1138" s="4">
        <v>46259.0</v>
      </c>
    </row>
    <row r="1139">
      <c r="A1139" s="1" t="s">
        <v>1883</v>
      </c>
      <c r="B1139" s="1" t="s">
        <v>1146</v>
      </c>
      <c r="C1139" s="1" t="s">
        <v>924</v>
      </c>
      <c r="D1139" s="1" t="s">
        <v>1884</v>
      </c>
      <c r="E1139" s="1" t="s">
        <v>32</v>
      </c>
      <c r="F1139" s="8">
        <v>46317.0</v>
      </c>
      <c r="H1139" s="1" t="s">
        <v>1885</v>
      </c>
      <c r="K1139" s="1" t="s">
        <v>372</v>
      </c>
      <c r="L1139" s="1" t="s">
        <v>35</v>
      </c>
      <c r="N1139" s="8">
        <v>46317.0</v>
      </c>
      <c r="O1139" s="8">
        <v>46317.0</v>
      </c>
    </row>
    <row r="1140">
      <c r="A1140" s="1" t="s">
        <v>1883</v>
      </c>
      <c r="B1140" s="1" t="s">
        <v>1146</v>
      </c>
      <c r="C1140" s="1" t="s">
        <v>924</v>
      </c>
      <c r="D1140" s="1" t="s">
        <v>1886</v>
      </c>
      <c r="E1140" s="1" t="s">
        <v>32</v>
      </c>
      <c r="F1140" s="8">
        <v>46317.0</v>
      </c>
      <c r="H1140" s="1" t="s">
        <v>1885</v>
      </c>
      <c r="K1140" s="1" t="s">
        <v>372</v>
      </c>
      <c r="L1140" s="1" t="s">
        <v>35</v>
      </c>
      <c r="N1140" s="8">
        <v>46317.0</v>
      </c>
      <c r="O1140" s="8">
        <v>46317.0</v>
      </c>
    </row>
    <row r="1141">
      <c r="A1141" s="1" t="s">
        <v>1887</v>
      </c>
      <c r="B1141" s="1" t="s">
        <v>288</v>
      </c>
      <c r="C1141" s="1" t="s">
        <v>289</v>
      </c>
      <c r="D1141" s="1" t="s">
        <v>1888</v>
      </c>
      <c r="E1141" s="1" t="s">
        <v>70</v>
      </c>
      <c r="F1141" s="8">
        <v>46309.0</v>
      </c>
      <c r="G1141" s="1" t="s">
        <v>107</v>
      </c>
      <c r="H1141" s="1" t="s">
        <v>1889</v>
      </c>
      <c r="J1141" s="1" t="s">
        <v>134</v>
      </c>
      <c r="K1141" s="1" t="s">
        <v>1890</v>
      </c>
      <c r="L1141" s="1" t="s">
        <v>99</v>
      </c>
      <c r="O1141" s="4">
        <v>44998.0</v>
      </c>
    </row>
    <row r="1142">
      <c r="A1142" s="1" t="s">
        <v>1887</v>
      </c>
      <c r="B1142" s="1" t="s">
        <v>288</v>
      </c>
      <c r="C1142" s="1" t="s">
        <v>289</v>
      </c>
      <c r="D1142" s="1" t="s">
        <v>1891</v>
      </c>
      <c r="E1142" s="1" t="s">
        <v>97</v>
      </c>
      <c r="F1142" s="8">
        <v>46309.0</v>
      </c>
      <c r="G1142" s="1" t="s">
        <v>107</v>
      </c>
      <c r="H1142" s="1" t="s">
        <v>546</v>
      </c>
      <c r="J1142" s="1" t="s">
        <v>134</v>
      </c>
      <c r="K1142" s="1" t="s">
        <v>1890</v>
      </c>
      <c r="L1142" s="1" t="s">
        <v>99</v>
      </c>
      <c r="O1142" s="4">
        <v>44998.0</v>
      </c>
    </row>
    <row r="1143">
      <c r="A1143" s="1" t="s">
        <v>1887</v>
      </c>
      <c r="B1143" s="1" t="s">
        <v>63</v>
      </c>
      <c r="C1143" s="1" t="s">
        <v>64</v>
      </c>
      <c r="D1143" s="1" t="s">
        <v>1892</v>
      </c>
      <c r="E1143" s="1" t="s">
        <v>97</v>
      </c>
      <c r="F1143" s="8">
        <v>46310.0</v>
      </c>
      <c r="G1143" s="1" t="s">
        <v>132</v>
      </c>
      <c r="H1143" s="1" t="s">
        <v>225</v>
      </c>
      <c r="J1143" s="1" t="s">
        <v>47</v>
      </c>
      <c r="K1143" s="1" t="s">
        <v>1890</v>
      </c>
      <c r="L1143" s="1" t="s">
        <v>99</v>
      </c>
      <c r="O1143" s="4">
        <v>44998.0</v>
      </c>
    </row>
    <row r="1144">
      <c r="A1144" s="1" t="s">
        <v>1887</v>
      </c>
      <c r="B1144" s="1" t="s">
        <v>63</v>
      </c>
      <c r="C1144" s="1" t="s">
        <v>64</v>
      </c>
      <c r="D1144" s="1" t="s">
        <v>1893</v>
      </c>
      <c r="E1144" s="1" t="s">
        <v>70</v>
      </c>
      <c r="F1144" s="8">
        <v>46310.0</v>
      </c>
      <c r="G1144" s="1" t="s">
        <v>107</v>
      </c>
      <c r="H1144" s="1" t="s">
        <v>1894</v>
      </c>
      <c r="J1144" s="1" t="s">
        <v>47</v>
      </c>
      <c r="K1144" s="1" t="s">
        <v>1890</v>
      </c>
      <c r="L1144" s="1" t="s">
        <v>99</v>
      </c>
      <c r="O1144" s="4">
        <v>44998.0</v>
      </c>
    </row>
    <row r="1145">
      <c r="A1145" s="1" t="s">
        <v>1887</v>
      </c>
      <c r="B1145" s="1" t="s">
        <v>63</v>
      </c>
      <c r="C1145" s="1" t="s">
        <v>64</v>
      </c>
      <c r="D1145" s="1" t="s">
        <v>1895</v>
      </c>
      <c r="E1145" s="1" t="s">
        <v>97</v>
      </c>
      <c r="F1145" s="8">
        <v>46310.0</v>
      </c>
      <c r="G1145" s="1" t="s">
        <v>132</v>
      </c>
      <c r="H1145" s="1" t="s">
        <v>225</v>
      </c>
      <c r="J1145" s="1" t="s">
        <v>47</v>
      </c>
      <c r="K1145" s="1" t="s">
        <v>1890</v>
      </c>
      <c r="L1145" s="1" t="s">
        <v>99</v>
      </c>
      <c r="O1145" s="4">
        <v>44998.0</v>
      </c>
    </row>
    <row r="1146">
      <c r="A1146" s="1" t="s">
        <v>1887</v>
      </c>
      <c r="B1146" s="1" t="s">
        <v>269</v>
      </c>
      <c r="C1146" s="1" t="s">
        <v>270</v>
      </c>
      <c r="D1146" s="1" t="s">
        <v>1896</v>
      </c>
      <c r="E1146" s="1" t="s">
        <v>97</v>
      </c>
      <c r="F1146" s="8">
        <v>46316.0</v>
      </c>
      <c r="G1146" s="1" t="s">
        <v>71</v>
      </c>
      <c r="K1146" s="1" t="s">
        <v>1890</v>
      </c>
      <c r="L1146" s="1" t="s">
        <v>99</v>
      </c>
      <c r="O1146" s="4">
        <v>44998.0</v>
      </c>
    </row>
    <row r="1147">
      <c r="A1147" s="1" t="s">
        <v>1887</v>
      </c>
      <c r="B1147" s="1" t="s">
        <v>269</v>
      </c>
      <c r="C1147" s="1" t="s">
        <v>270</v>
      </c>
      <c r="D1147" s="1" t="s">
        <v>1897</v>
      </c>
      <c r="E1147" s="1" t="s">
        <v>97</v>
      </c>
      <c r="F1147" s="8">
        <v>46316.0</v>
      </c>
      <c r="G1147" s="1" t="s">
        <v>71</v>
      </c>
      <c r="K1147" s="1" t="s">
        <v>1890</v>
      </c>
      <c r="L1147" s="1" t="s">
        <v>99</v>
      </c>
      <c r="O1147" s="4">
        <v>44998.0</v>
      </c>
    </row>
    <row r="1148">
      <c r="A1148" s="1" t="s">
        <v>1887</v>
      </c>
      <c r="B1148" s="1" t="s">
        <v>269</v>
      </c>
      <c r="C1148" s="1" t="s">
        <v>270</v>
      </c>
      <c r="D1148" s="1" t="s">
        <v>1898</v>
      </c>
      <c r="E1148" s="1" t="s">
        <v>97</v>
      </c>
      <c r="F1148" s="8">
        <v>46316.0</v>
      </c>
      <c r="G1148" s="1" t="s">
        <v>71</v>
      </c>
      <c r="K1148" s="1" t="s">
        <v>1890</v>
      </c>
      <c r="L1148" s="1" t="s">
        <v>99</v>
      </c>
      <c r="O1148" s="4">
        <v>44998.0</v>
      </c>
    </row>
    <row r="1149">
      <c r="A1149" s="1" t="s">
        <v>1887</v>
      </c>
      <c r="B1149" s="1" t="s">
        <v>269</v>
      </c>
      <c r="C1149" s="1" t="s">
        <v>270</v>
      </c>
      <c r="D1149" s="1" t="s">
        <v>1899</v>
      </c>
      <c r="E1149" s="1" t="s">
        <v>97</v>
      </c>
      <c r="F1149" s="8">
        <v>46316.0</v>
      </c>
      <c r="G1149" s="1" t="s">
        <v>71</v>
      </c>
      <c r="K1149" s="1" t="s">
        <v>1890</v>
      </c>
      <c r="L1149" s="1" t="s">
        <v>99</v>
      </c>
      <c r="O1149" s="4">
        <v>44998.0</v>
      </c>
    </row>
    <row r="1150">
      <c r="A1150" s="1" t="s">
        <v>1887</v>
      </c>
      <c r="B1150" s="1" t="s">
        <v>269</v>
      </c>
      <c r="C1150" s="1" t="s">
        <v>270</v>
      </c>
      <c r="D1150" s="1" t="s">
        <v>1900</v>
      </c>
      <c r="E1150" s="1" t="s">
        <v>97</v>
      </c>
      <c r="F1150" s="8">
        <v>46316.0</v>
      </c>
      <c r="G1150" s="1" t="s">
        <v>71</v>
      </c>
      <c r="K1150" s="1" t="s">
        <v>1890</v>
      </c>
      <c r="L1150" s="1" t="s">
        <v>99</v>
      </c>
      <c r="O1150" s="4">
        <v>44998.0</v>
      </c>
    </row>
    <row r="1151">
      <c r="A1151" s="1" t="s">
        <v>1887</v>
      </c>
      <c r="B1151" s="1" t="s">
        <v>255</v>
      </c>
      <c r="C1151" s="1" t="s">
        <v>256</v>
      </c>
      <c r="D1151" s="1" t="s">
        <v>1901</v>
      </c>
      <c r="E1151" s="1" t="s">
        <v>97</v>
      </c>
      <c r="F1151" s="8">
        <v>46310.0</v>
      </c>
      <c r="G1151" s="1" t="s">
        <v>71</v>
      </c>
      <c r="H1151" s="1" t="s">
        <v>642</v>
      </c>
      <c r="K1151" s="1" t="s">
        <v>1890</v>
      </c>
      <c r="L1151" s="1" t="s">
        <v>99</v>
      </c>
      <c r="O1151" s="4">
        <v>44998.0</v>
      </c>
    </row>
    <row r="1152">
      <c r="A1152" s="1" t="s">
        <v>1887</v>
      </c>
      <c r="B1152" s="1" t="s">
        <v>255</v>
      </c>
      <c r="C1152" s="1" t="s">
        <v>256</v>
      </c>
      <c r="D1152" s="1" t="s">
        <v>1902</v>
      </c>
      <c r="E1152" s="1" t="s">
        <v>97</v>
      </c>
      <c r="F1152" s="8">
        <v>46310.0</v>
      </c>
      <c r="G1152" s="1" t="s">
        <v>71</v>
      </c>
      <c r="H1152" s="1" t="s">
        <v>642</v>
      </c>
      <c r="K1152" s="1" t="s">
        <v>1890</v>
      </c>
      <c r="L1152" s="1" t="s">
        <v>99</v>
      </c>
      <c r="O1152" s="4">
        <v>44998.0</v>
      </c>
    </row>
    <row r="1153">
      <c r="A1153" s="1" t="s">
        <v>1887</v>
      </c>
      <c r="B1153" s="1" t="s">
        <v>291</v>
      </c>
      <c r="C1153" s="1" t="s">
        <v>292</v>
      </c>
      <c r="D1153" s="1" t="s">
        <v>1903</v>
      </c>
      <c r="E1153" s="1" t="s">
        <v>70</v>
      </c>
      <c r="F1153" s="8">
        <v>46312.0</v>
      </c>
      <c r="G1153" s="1" t="s">
        <v>71</v>
      </c>
      <c r="K1153" s="1" t="s">
        <v>1890</v>
      </c>
      <c r="L1153" s="1" t="s">
        <v>99</v>
      </c>
      <c r="O1153" s="4">
        <v>44998.0</v>
      </c>
    </row>
    <row r="1154">
      <c r="A1154" s="1" t="s">
        <v>1887</v>
      </c>
      <c r="B1154" s="1" t="s">
        <v>291</v>
      </c>
      <c r="C1154" s="1" t="s">
        <v>292</v>
      </c>
      <c r="D1154" s="1" t="s">
        <v>1904</v>
      </c>
      <c r="E1154" s="1" t="s">
        <v>97</v>
      </c>
      <c r="F1154" s="8">
        <v>46312.0</v>
      </c>
      <c r="G1154" s="1" t="s">
        <v>107</v>
      </c>
      <c r="H1154" s="1" t="s">
        <v>1905</v>
      </c>
      <c r="J1154" s="1" t="s">
        <v>47</v>
      </c>
      <c r="K1154" s="1" t="s">
        <v>1890</v>
      </c>
      <c r="L1154" s="1" t="s">
        <v>99</v>
      </c>
      <c r="O1154" s="4">
        <v>44998.0</v>
      </c>
    </row>
    <row r="1155">
      <c r="A1155" s="1" t="s">
        <v>1906</v>
      </c>
      <c r="B1155" s="1" t="s">
        <v>1907</v>
      </c>
      <c r="C1155" s="1" t="s">
        <v>1908</v>
      </c>
      <c r="D1155" s="1" t="s">
        <v>1909</v>
      </c>
      <c r="E1155" s="1" t="s">
        <v>97</v>
      </c>
      <c r="F1155" s="8">
        <v>46311.0</v>
      </c>
      <c r="G1155" s="1" t="s">
        <v>71</v>
      </c>
      <c r="H1155" s="1" t="s">
        <v>1910</v>
      </c>
      <c r="K1155" s="1" t="s">
        <v>129</v>
      </c>
      <c r="L1155" s="1" t="s">
        <v>99</v>
      </c>
      <c r="O1155" s="4">
        <v>45716.0</v>
      </c>
    </row>
    <row r="1156">
      <c r="A1156" s="1" t="s">
        <v>1906</v>
      </c>
      <c r="B1156" s="1" t="s">
        <v>1907</v>
      </c>
      <c r="C1156" s="1" t="s">
        <v>1908</v>
      </c>
      <c r="D1156" s="1" t="s">
        <v>1911</v>
      </c>
      <c r="E1156" s="1" t="s">
        <v>97</v>
      </c>
      <c r="F1156" s="8">
        <v>46311.0</v>
      </c>
      <c r="G1156" s="1" t="s">
        <v>71</v>
      </c>
      <c r="H1156" s="1" t="s">
        <v>1910</v>
      </c>
      <c r="K1156" s="1" t="s">
        <v>129</v>
      </c>
      <c r="L1156" s="1" t="s">
        <v>99</v>
      </c>
      <c r="O1156" s="4">
        <v>45716.0</v>
      </c>
    </row>
    <row r="1157">
      <c r="A1157" s="1" t="s">
        <v>1906</v>
      </c>
      <c r="B1157" s="1" t="s">
        <v>1907</v>
      </c>
      <c r="C1157" s="1" t="s">
        <v>1908</v>
      </c>
      <c r="D1157" s="1" t="s">
        <v>1912</v>
      </c>
      <c r="E1157" s="1" t="s">
        <v>97</v>
      </c>
      <c r="F1157" s="8">
        <v>46311.0</v>
      </c>
      <c r="G1157" s="1" t="s">
        <v>71</v>
      </c>
      <c r="H1157" s="1" t="s">
        <v>1910</v>
      </c>
      <c r="K1157" s="1" t="s">
        <v>129</v>
      </c>
      <c r="L1157" s="1" t="s">
        <v>99</v>
      </c>
      <c r="O1157" s="4">
        <v>45716.0</v>
      </c>
    </row>
    <row r="1158">
      <c r="A1158" s="1" t="s">
        <v>1906</v>
      </c>
      <c r="B1158" s="1" t="s">
        <v>1907</v>
      </c>
      <c r="C1158" s="1" t="s">
        <v>1908</v>
      </c>
      <c r="D1158" s="1" t="s">
        <v>1913</v>
      </c>
      <c r="E1158" s="1" t="s">
        <v>97</v>
      </c>
      <c r="F1158" s="8">
        <v>46311.0</v>
      </c>
      <c r="G1158" s="1" t="s">
        <v>71</v>
      </c>
      <c r="H1158" s="1" t="s">
        <v>1910</v>
      </c>
      <c r="K1158" s="1" t="s">
        <v>129</v>
      </c>
      <c r="L1158" s="1" t="s">
        <v>99</v>
      </c>
      <c r="O1158" s="4">
        <v>45716.0</v>
      </c>
    </row>
    <row r="1159">
      <c r="A1159" s="1" t="s">
        <v>1914</v>
      </c>
      <c r="B1159" s="1" t="s">
        <v>165</v>
      </c>
      <c r="C1159" s="1" t="s">
        <v>166</v>
      </c>
      <c r="D1159" s="1" t="s">
        <v>1915</v>
      </c>
      <c r="E1159" s="1" t="s">
        <v>97</v>
      </c>
      <c r="F1159" s="8">
        <v>46310.0</v>
      </c>
      <c r="G1159" s="1" t="s">
        <v>71</v>
      </c>
      <c r="K1159" s="1" t="s">
        <v>129</v>
      </c>
      <c r="L1159" s="1" t="s">
        <v>99</v>
      </c>
      <c r="O1159" s="4">
        <v>45133.0</v>
      </c>
    </row>
    <row r="1160">
      <c r="A1160" s="1" t="s">
        <v>1914</v>
      </c>
      <c r="B1160" s="1" t="s">
        <v>165</v>
      </c>
      <c r="C1160" s="1" t="s">
        <v>166</v>
      </c>
      <c r="D1160" s="1" t="s">
        <v>1916</v>
      </c>
      <c r="E1160" s="1" t="s">
        <v>97</v>
      </c>
      <c r="F1160" s="8">
        <v>46310.0</v>
      </c>
      <c r="G1160" s="1" t="s">
        <v>107</v>
      </c>
      <c r="H1160" s="1" t="s">
        <v>189</v>
      </c>
      <c r="J1160" s="1" t="s">
        <v>47</v>
      </c>
      <c r="K1160" s="1" t="s">
        <v>129</v>
      </c>
      <c r="L1160" s="1" t="s">
        <v>99</v>
      </c>
      <c r="O1160" s="4">
        <v>45133.0</v>
      </c>
    </row>
    <row r="1161">
      <c r="A1161" s="1" t="s">
        <v>1914</v>
      </c>
      <c r="B1161" s="1" t="s">
        <v>165</v>
      </c>
      <c r="C1161" s="1" t="s">
        <v>166</v>
      </c>
      <c r="D1161" s="1" t="s">
        <v>1917</v>
      </c>
      <c r="E1161" s="1" t="s">
        <v>97</v>
      </c>
      <c r="F1161" s="8">
        <v>46310.0</v>
      </c>
      <c r="G1161" s="1" t="s">
        <v>107</v>
      </c>
      <c r="H1161" s="1" t="s">
        <v>189</v>
      </c>
      <c r="J1161" s="1" t="s">
        <v>47</v>
      </c>
      <c r="K1161" s="1" t="s">
        <v>129</v>
      </c>
      <c r="L1161" s="1" t="s">
        <v>99</v>
      </c>
      <c r="O1161" s="4">
        <v>45133.0</v>
      </c>
    </row>
    <row r="1162">
      <c r="A1162" s="1" t="s">
        <v>1914</v>
      </c>
      <c r="B1162" s="1" t="s">
        <v>165</v>
      </c>
      <c r="C1162" s="1" t="s">
        <v>166</v>
      </c>
      <c r="D1162" s="1" t="s">
        <v>1918</v>
      </c>
      <c r="E1162" s="1" t="s">
        <v>97</v>
      </c>
      <c r="F1162" s="8">
        <v>46310.0</v>
      </c>
      <c r="G1162" s="1" t="s">
        <v>71</v>
      </c>
      <c r="K1162" s="1" t="s">
        <v>129</v>
      </c>
      <c r="L1162" s="1" t="s">
        <v>99</v>
      </c>
      <c r="O1162" s="4">
        <v>45133.0</v>
      </c>
    </row>
    <row r="1163">
      <c r="A1163" s="1" t="s">
        <v>1914</v>
      </c>
      <c r="B1163" s="1" t="s">
        <v>63</v>
      </c>
      <c r="C1163" s="1" t="s">
        <v>64</v>
      </c>
      <c r="D1163" s="1" t="s">
        <v>1919</v>
      </c>
      <c r="E1163" s="1" t="s">
        <v>70</v>
      </c>
      <c r="F1163" s="8">
        <v>46310.0</v>
      </c>
      <c r="G1163" s="1" t="s">
        <v>71</v>
      </c>
      <c r="K1163" s="1" t="s">
        <v>129</v>
      </c>
      <c r="L1163" s="1" t="s">
        <v>99</v>
      </c>
      <c r="O1163" s="4">
        <v>45133.0</v>
      </c>
    </row>
    <row r="1164">
      <c r="A1164" s="1" t="s">
        <v>1914</v>
      </c>
      <c r="B1164" s="1" t="s">
        <v>63</v>
      </c>
      <c r="C1164" s="1" t="s">
        <v>64</v>
      </c>
      <c r="D1164" s="1" t="s">
        <v>1920</v>
      </c>
      <c r="E1164" s="1" t="s">
        <v>70</v>
      </c>
      <c r="F1164" s="8">
        <v>46310.0</v>
      </c>
      <c r="G1164" s="1" t="s">
        <v>132</v>
      </c>
      <c r="H1164" s="1" t="s">
        <v>225</v>
      </c>
      <c r="J1164" s="1" t="s">
        <v>47</v>
      </c>
      <c r="K1164" s="1" t="s">
        <v>129</v>
      </c>
      <c r="L1164" s="1" t="s">
        <v>99</v>
      </c>
      <c r="O1164" s="4">
        <v>45133.0</v>
      </c>
    </row>
    <row r="1165">
      <c r="A1165" s="1" t="s">
        <v>1914</v>
      </c>
      <c r="B1165" s="1" t="s">
        <v>63</v>
      </c>
      <c r="C1165" s="1" t="s">
        <v>64</v>
      </c>
      <c r="D1165" s="1" t="s">
        <v>1921</v>
      </c>
      <c r="E1165" s="1" t="s">
        <v>97</v>
      </c>
      <c r="F1165" s="8">
        <v>46310.0</v>
      </c>
      <c r="G1165" s="1" t="s">
        <v>132</v>
      </c>
      <c r="H1165" s="1" t="s">
        <v>225</v>
      </c>
      <c r="J1165" s="1" t="s">
        <v>47</v>
      </c>
      <c r="K1165" s="1" t="s">
        <v>129</v>
      </c>
      <c r="L1165" s="1" t="s">
        <v>99</v>
      </c>
      <c r="O1165" s="4">
        <v>45133.0</v>
      </c>
    </row>
    <row r="1166">
      <c r="A1166" s="1" t="s">
        <v>1914</v>
      </c>
      <c r="B1166" s="1" t="s">
        <v>63</v>
      </c>
      <c r="C1166" s="1" t="s">
        <v>64</v>
      </c>
      <c r="D1166" s="1" t="s">
        <v>1922</v>
      </c>
      <c r="E1166" s="1" t="s">
        <v>97</v>
      </c>
      <c r="F1166" s="8">
        <v>46310.0</v>
      </c>
      <c r="G1166" s="1" t="s">
        <v>71</v>
      </c>
      <c r="K1166" s="1" t="s">
        <v>129</v>
      </c>
      <c r="L1166" s="1" t="s">
        <v>99</v>
      </c>
      <c r="O1166" s="4">
        <v>45133.0</v>
      </c>
    </row>
    <row r="1167">
      <c r="A1167" s="1" t="s">
        <v>1914</v>
      </c>
      <c r="B1167" s="1" t="s">
        <v>1923</v>
      </c>
      <c r="C1167" s="1" t="s">
        <v>1924</v>
      </c>
      <c r="D1167" s="1" t="s">
        <v>1925</v>
      </c>
      <c r="E1167" s="1" t="s">
        <v>97</v>
      </c>
      <c r="F1167" s="8">
        <v>46311.0</v>
      </c>
      <c r="G1167" s="1" t="s">
        <v>132</v>
      </c>
      <c r="H1167" s="1" t="s">
        <v>495</v>
      </c>
      <c r="J1167" s="1" t="s">
        <v>134</v>
      </c>
      <c r="K1167" s="1" t="s">
        <v>129</v>
      </c>
      <c r="L1167" s="1" t="s">
        <v>99</v>
      </c>
      <c r="O1167" s="4">
        <v>45133.0</v>
      </c>
    </row>
    <row r="1168">
      <c r="A1168" s="1" t="s">
        <v>1914</v>
      </c>
      <c r="B1168" s="1" t="s">
        <v>1923</v>
      </c>
      <c r="C1168" s="1" t="s">
        <v>1924</v>
      </c>
      <c r="D1168" s="1" t="s">
        <v>1926</v>
      </c>
      <c r="E1168" s="1" t="s">
        <v>97</v>
      </c>
      <c r="F1168" s="8">
        <v>46311.0</v>
      </c>
      <c r="G1168" s="1" t="s">
        <v>132</v>
      </c>
      <c r="H1168" s="1" t="s">
        <v>495</v>
      </c>
      <c r="J1168" s="1" t="s">
        <v>134</v>
      </c>
      <c r="K1168" s="1" t="s">
        <v>129</v>
      </c>
      <c r="L1168" s="1" t="s">
        <v>99</v>
      </c>
      <c r="O1168" s="4">
        <v>45133.0</v>
      </c>
    </row>
    <row r="1169">
      <c r="A1169" s="1" t="s">
        <v>1914</v>
      </c>
      <c r="B1169" s="1" t="s">
        <v>1923</v>
      </c>
      <c r="C1169" s="1" t="s">
        <v>1924</v>
      </c>
      <c r="D1169" s="1" t="s">
        <v>1927</v>
      </c>
      <c r="E1169" s="1" t="s">
        <v>97</v>
      </c>
      <c r="F1169" s="8">
        <v>46311.0</v>
      </c>
      <c r="G1169" s="1" t="s">
        <v>132</v>
      </c>
      <c r="H1169" s="1" t="s">
        <v>495</v>
      </c>
      <c r="J1169" s="1" t="s">
        <v>134</v>
      </c>
      <c r="K1169" s="1" t="s">
        <v>129</v>
      </c>
      <c r="L1169" s="1" t="s">
        <v>99</v>
      </c>
      <c r="O1169" s="4">
        <v>45133.0</v>
      </c>
    </row>
    <row r="1170">
      <c r="A1170" s="1" t="s">
        <v>1914</v>
      </c>
      <c r="B1170" s="1" t="s">
        <v>1923</v>
      </c>
      <c r="C1170" s="1" t="s">
        <v>1924</v>
      </c>
      <c r="D1170" s="1" t="s">
        <v>1928</v>
      </c>
      <c r="E1170" s="1" t="s">
        <v>97</v>
      </c>
      <c r="F1170" s="8">
        <v>46311.0</v>
      </c>
      <c r="G1170" s="1" t="s">
        <v>132</v>
      </c>
      <c r="H1170" s="1" t="s">
        <v>495</v>
      </c>
      <c r="J1170" s="1" t="s">
        <v>134</v>
      </c>
      <c r="K1170" s="1" t="s">
        <v>129</v>
      </c>
      <c r="L1170" s="1" t="s">
        <v>99</v>
      </c>
      <c r="O1170" s="4">
        <v>45133.0</v>
      </c>
    </row>
    <row r="1171">
      <c r="A1171" s="1" t="s">
        <v>1914</v>
      </c>
      <c r="B1171" s="1" t="s">
        <v>1923</v>
      </c>
      <c r="C1171" s="1" t="s">
        <v>1924</v>
      </c>
      <c r="D1171" s="1" t="s">
        <v>1929</v>
      </c>
      <c r="E1171" s="1" t="s">
        <v>97</v>
      </c>
      <c r="F1171" s="8">
        <v>46311.0</v>
      </c>
      <c r="G1171" s="1" t="s">
        <v>132</v>
      </c>
      <c r="H1171" s="1" t="s">
        <v>495</v>
      </c>
      <c r="J1171" s="1" t="s">
        <v>134</v>
      </c>
      <c r="K1171" s="1" t="s">
        <v>129</v>
      </c>
      <c r="L1171" s="1" t="s">
        <v>99</v>
      </c>
      <c r="O1171" s="4">
        <v>45133.0</v>
      </c>
    </row>
    <row r="1172">
      <c r="A1172" s="1" t="s">
        <v>1914</v>
      </c>
      <c r="B1172" s="1" t="s">
        <v>1923</v>
      </c>
      <c r="C1172" s="1" t="s">
        <v>1924</v>
      </c>
      <c r="D1172" s="1" t="s">
        <v>1930</v>
      </c>
      <c r="E1172" s="1" t="s">
        <v>97</v>
      </c>
      <c r="F1172" s="8">
        <v>46311.0</v>
      </c>
      <c r="G1172" s="1" t="s">
        <v>132</v>
      </c>
      <c r="H1172" s="1" t="s">
        <v>495</v>
      </c>
      <c r="J1172" s="1" t="s">
        <v>134</v>
      </c>
      <c r="K1172" s="1" t="s">
        <v>129</v>
      </c>
      <c r="L1172" s="1" t="s">
        <v>99</v>
      </c>
      <c r="O1172" s="4">
        <v>45133.0</v>
      </c>
    </row>
    <row r="1173">
      <c r="A1173" s="1" t="s">
        <v>1914</v>
      </c>
      <c r="B1173" s="1" t="s">
        <v>1923</v>
      </c>
      <c r="C1173" s="1" t="s">
        <v>1924</v>
      </c>
      <c r="D1173" s="1" t="s">
        <v>1931</v>
      </c>
      <c r="E1173" s="1" t="s">
        <v>97</v>
      </c>
      <c r="F1173" s="8">
        <v>46311.0</v>
      </c>
      <c r="G1173" s="1" t="s">
        <v>132</v>
      </c>
      <c r="H1173" s="1" t="s">
        <v>495</v>
      </c>
      <c r="J1173" s="1" t="s">
        <v>134</v>
      </c>
      <c r="K1173" s="1" t="s">
        <v>129</v>
      </c>
      <c r="L1173" s="1" t="s">
        <v>99</v>
      </c>
      <c r="O1173" s="4">
        <v>45133.0</v>
      </c>
    </row>
    <row r="1174">
      <c r="A1174" s="1" t="s">
        <v>1914</v>
      </c>
      <c r="B1174" s="1" t="s">
        <v>1533</v>
      </c>
      <c r="C1174" s="1" t="s">
        <v>1932</v>
      </c>
      <c r="D1174" s="1" t="s">
        <v>1933</v>
      </c>
      <c r="E1174" s="1" t="s">
        <v>97</v>
      </c>
      <c r="F1174" s="8">
        <v>46315.0</v>
      </c>
      <c r="G1174" s="1" t="s">
        <v>71</v>
      </c>
      <c r="K1174" s="1" t="s">
        <v>129</v>
      </c>
      <c r="L1174" s="1" t="s">
        <v>99</v>
      </c>
      <c r="O1174" s="4">
        <v>45133.0</v>
      </c>
    </row>
    <row r="1175">
      <c r="A1175" s="1" t="s">
        <v>1914</v>
      </c>
      <c r="B1175" s="1" t="s">
        <v>1533</v>
      </c>
      <c r="C1175" s="1" t="s">
        <v>1932</v>
      </c>
      <c r="D1175" s="1" t="s">
        <v>1934</v>
      </c>
      <c r="E1175" s="1" t="s">
        <v>97</v>
      </c>
      <c r="F1175" s="8">
        <v>46315.0</v>
      </c>
      <c r="G1175" s="1" t="s">
        <v>71</v>
      </c>
      <c r="K1175" s="1" t="s">
        <v>129</v>
      </c>
      <c r="L1175" s="1" t="s">
        <v>99</v>
      </c>
      <c r="O1175" s="4">
        <v>45133.0</v>
      </c>
    </row>
    <row r="1176">
      <c r="A1176" s="1" t="s">
        <v>1914</v>
      </c>
      <c r="B1176" s="1" t="s">
        <v>1533</v>
      </c>
      <c r="C1176" s="1" t="s">
        <v>1932</v>
      </c>
      <c r="D1176" s="1" t="s">
        <v>1935</v>
      </c>
      <c r="E1176" s="1" t="s">
        <v>97</v>
      </c>
      <c r="F1176" s="8">
        <v>46315.0</v>
      </c>
      <c r="G1176" s="1" t="s">
        <v>71</v>
      </c>
      <c r="K1176" s="1" t="s">
        <v>129</v>
      </c>
      <c r="L1176" s="1" t="s">
        <v>99</v>
      </c>
      <c r="O1176" s="4">
        <v>45133.0</v>
      </c>
    </row>
    <row r="1177">
      <c r="A1177" s="1" t="s">
        <v>1914</v>
      </c>
      <c r="B1177" s="1" t="s">
        <v>1533</v>
      </c>
      <c r="C1177" s="1" t="s">
        <v>1932</v>
      </c>
      <c r="D1177" s="1" t="s">
        <v>1936</v>
      </c>
      <c r="E1177" s="1" t="s">
        <v>97</v>
      </c>
      <c r="F1177" s="8">
        <v>46315.0</v>
      </c>
      <c r="G1177" s="1" t="s">
        <v>71</v>
      </c>
      <c r="K1177" s="1" t="s">
        <v>129</v>
      </c>
      <c r="L1177" s="1" t="s">
        <v>99</v>
      </c>
      <c r="O1177" s="4">
        <v>45133.0</v>
      </c>
    </row>
    <row r="1178">
      <c r="A1178" s="1" t="s">
        <v>1914</v>
      </c>
      <c r="B1178" s="1" t="s">
        <v>1745</v>
      </c>
      <c r="C1178" s="1" t="s">
        <v>1746</v>
      </c>
      <c r="D1178" s="1" t="s">
        <v>1937</v>
      </c>
      <c r="E1178" s="1" t="s">
        <v>97</v>
      </c>
      <c r="F1178" s="8">
        <v>46314.0</v>
      </c>
      <c r="G1178" s="1" t="s">
        <v>107</v>
      </c>
      <c r="H1178" s="1" t="s">
        <v>1938</v>
      </c>
      <c r="J1178" s="1" t="s">
        <v>33</v>
      </c>
      <c r="K1178" s="1" t="s">
        <v>129</v>
      </c>
      <c r="L1178" s="1" t="s">
        <v>99</v>
      </c>
      <c r="O1178" s="4">
        <v>45133.0</v>
      </c>
    </row>
    <row r="1179">
      <c r="A1179" s="1" t="s">
        <v>1914</v>
      </c>
      <c r="B1179" s="1" t="s">
        <v>1745</v>
      </c>
      <c r="C1179" s="1" t="s">
        <v>1746</v>
      </c>
      <c r="D1179" s="1" t="s">
        <v>1939</v>
      </c>
      <c r="E1179" s="1" t="s">
        <v>97</v>
      </c>
      <c r="F1179" s="8">
        <v>46314.0</v>
      </c>
      <c r="G1179" s="1" t="s">
        <v>107</v>
      </c>
      <c r="H1179" s="1" t="s">
        <v>1938</v>
      </c>
      <c r="J1179" s="1" t="s">
        <v>33</v>
      </c>
      <c r="K1179" s="1" t="s">
        <v>129</v>
      </c>
      <c r="L1179" s="1" t="s">
        <v>99</v>
      </c>
      <c r="O1179" s="4">
        <v>45133.0</v>
      </c>
    </row>
    <row r="1180">
      <c r="A1180" s="1" t="s">
        <v>1914</v>
      </c>
      <c r="B1180" s="1" t="s">
        <v>1745</v>
      </c>
      <c r="C1180" s="1" t="s">
        <v>1746</v>
      </c>
      <c r="D1180" s="1" t="s">
        <v>1940</v>
      </c>
      <c r="E1180" s="1" t="s">
        <v>97</v>
      </c>
      <c r="F1180" s="8">
        <v>46314.0</v>
      </c>
      <c r="G1180" s="1" t="s">
        <v>107</v>
      </c>
      <c r="H1180" s="1" t="s">
        <v>1938</v>
      </c>
      <c r="J1180" s="1" t="s">
        <v>33</v>
      </c>
      <c r="K1180" s="1" t="s">
        <v>129</v>
      </c>
      <c r="L1180" s="1" t="s">
        <v>99</v>
      </c>
      <c r="O1180" s="4">
        <v>45133.0</v>
      </c>
    </row>
    <row r="1181">
      <c r="A1181" s="1" t="s">
        <v>1914</v>
      </c>
      <c r="B1181" s="1" t="s">
        <v>1745</v>
      </c>
      <c r="C1181" s="1" t="s">
        <v>1746</v>
      </c>
      <c r="D1181" s="1" t="s">
        <v>1941</v>
      </c>
      <c r="E1181" s="1" t="s">
        <v>97</v>
      </c>
      <c r="F1181" s="8">
        <v>46314.0</v>
      </c>
      <c r="G1181" s="1" t="s">
        <v>107</v>
      </c>
      <c r="H1181" s="1" t="s">
        <v>1938</v>
      </c>
      <c r="J1181" s="1" t="s">
        <v>33</v>
      </c>
      <c r="K1181" s="1" t="s">
        <v>129</v>
      </c>
      <c r="L1181" s="1" t="s">
        <v>99</v>
      </c>
      <c r="O1181" s="4">
        <v>45133.0</v>
      </c>
    </row>
    <row r="1182">
      <c r="A1182" s="1" t="s">
        <v>1914</v>
      </c>
      <c r="B1182" s="1" t="s">
        <v>1942</v>
      </c>
      <c r="C1182" s="1" t="s">
        <v>1924</v>
      </c>
      <c r="D1182" s="1" t="s">
        <v>1943</v>
      </c>
      <c r="E1182" s="1" t="s">
        <v>97</v>
      </c>
      <c r="F1182" s="8">
        <v>46311.0</v>
      </c>
      <c r="G1182" s="1" t="s">
        <v>71</v>
      </c>
      <c r="K1182" s="1" t="s">
        <v>129</v>
      </c>
      <c r="L1182" s="1" t="s">
        <v>99</v>
      </c>
      <c r="O1182" s="4">
        <v>45133.0</v>
      </c>
    </row>
    <row r="1183">
      <c r="A1183" s="1" t="s">
        <v>1914</v>
      </c>
      <c r="B1183" s="1" t="s">
        <v>1942</v>
      </c>
      <c r="C1183" s="1" t="s">
        <v>1924</v>
      </c>
      <c r="D1183" s="1" t="s">
        <v>1944</v>
      </c>
      <c r="E1183" s="1" t="s">
        <v>97</v>
      </c>
      <c r="F1183" s="8">
        <v>46311.0</v>
      </c>
      <c r="G1183" s="1" t="s">
        <v>71</v>
      </c>
      <c r="K1183" s="1" t="s">
        <v>129</v>
      </c>
      <c r="L1183" s="1" t="s">
        <v>99</v>
      </c>
      <c r="O1183" s="4">
        <v>45133.0</v>
      </c>
    </row>
    <row r="1184">
      <c r="A1184" s="1" t="s">
        <v>1914</v>
      </c>
      <c r="B1184" s="1" t="s">
        <v>1942</v>
      </c>
      <c r="C1184" s="1" t="s">
        <v>1924</v>
      </c>
      <c r="D1184" s="1" t="s">
        <v>1945</v>
      </c>
      <c r="E1184" s="1" t="s">
        <v>97</v>
      </c>
      <c r="F1184" s="8">
        <v>46311.0</v>
      </c>
      <c r="G1184" s="1" t="s">
        <v>71</v>
      </c>
      <c r="K1184" s="1" t="s">
        <v>129</v>
      </c>
      <c r="L1184" s="1" t="s">
        <v>99</v>
      </c>
      <c r="O1184" s="4">
        <v>45133.0</v>
      </c>
    </row>
    <row r="1185">
      <c r="A1185" s="1" t="s">
        <v>1914</v>
      </c>
      <c r="B1185" s="1" t="s">
        <v>1942</v>
      </c>
      <c r="C1185" s="1" t="s">
        <v>1924</v>
      </c>
      <c r="D1185" s="1" t="s">
        <v>1946</v>
      </c>
      <c r="E1185" s="1" t="s">
        <v>97</v>
      </c>
      <c r="F1185" s="8">
        <v>46311.0</v>
      </c>
      <c r="G1185" s="1" t="s">
        <v>71</v>
      </c>
      <c r="K1185" s="1" t="s">
        <v>129</v>
      </c>
      <c r="L1185" s="1" t="s">
        <v>99</v>
      </c>
      <c r="O1185" s="4">
        <v>45133.0</v>
      </c>
    </row>
    <row r="1186">
      <c r="A1186" s="1" t="s">
        <v>1914</v>
      </c>
      <c r="B1186" s="1" t="s">
        <v>1942</v>
      </c>
      <c r="C1186" s="1" t="s">
        <v>1924</v>
      </c>
      <c r="D1186" s="1" t="s">
        <v>1947</v>
      </c>
      <c r="E1186" s="1" t="s">
        <v>97</v>
      </c>
      <c r="F1186" s="8">
        <v>46311.0</v>
      </c>
      <c r="G1186" s="1" t="s">
        <v>71</v>
      </c>
      <c r="K1186" s="1" t="s">
        <v>129</v>
      </c>
      <c r="L1186" s="1" t="s">
        <v>99</v>
      </c>
      <c r="O1186" s="4">
        <v>45133.0</v>
      </c>
    </row>
    <row r="1187">
      <c r="A1187" s="1" t="s">
        <v>1914</v>
      </c>
      <c r="B1187" s="1" t="s">
        <v>1942</v>
      </c>
      <c r="C1187" s="1" t="s">
        <v>1924</v>
      </c>
      <c r="D1187" s="1" t="s">
        <v>1948</v>
      </c>
      <c r="E1187" s="1" t="s">
        <v>97</v>
      </c>
      <c r="F1187" s="8">
        <v>46311.0</v>
      </c>
      <c r="G1187" s="1" t="s">
        <v>71</v>
      </c>
      <c r="K1187" s="1" t="s">
        <v>129</v>
      </c>
      <c r="L1187" s="1" t="s">
        <v>99</v>
      </c>
      <c r="O1187" s="4">
        <v>45133.0</v>
      </c>
    </row>
    <row r="1188">
      <c r="A1188" s="1" t="s">
        <v>1914</v>
      </c>
      <c r="B1188" s="1" t="s">
        <v>1942</v>
      </c>
      <c r="C1188" s="1" t="s">
        <v>1924</v>
      </c>
      <c r="D1188" s="1" t="s">
        <v>1949</v>
      </c>
      <c r="E1188" s="1" t="s">
        <v>97</v>
      </c>
      <c r="F1188" s="8">
        <v>46311.0</v>
      </c>
      <c r="G1188" s="1" t="s">
        <v>71</v>
      </c>
      <c r="K1188" s="1" t="s">
        <v>129</v>
      </c>
      <c r="L1188" s="1" t="s">
        <v>99</v>
      </c>
      <c r="O1188" s="4">
        <v>45133.0</v>
      </c>
    </row>
    <row r="1189">
      <c r="A1189" s="1" t="s">
        <v>1914</v>
      </c>
      <c r="B1189" s="1" t="s">
        <v>1942</v>
      </c>
      <c r="C1189" s="1" t="s">
        <v>1924</v>
      </c>
      <c r="D1189" s="1" t="s">
        <v>1950</v>
      </c>
      <c r="E1189" s="1" t="s">
        <v>97</v>
      </c>
      <c r="F1189" s="8">
        <v>46311.0</v>
      </c>
      <c r="G1189" s="1" t="s">
        <v>71</v>
      </c>
      <c r="K1189" s="1" t="s">
        <v>129</v>
      </c>
      <c r="L1189" s="1" t="s">
        <v>99</v>
      </c>
      <c r="O1189" s="4">
        <v>45133.0</v>
      </c>
    </row>
    <row r="1190">
      <c r="A1190" s="1" t="s">
        <v>1914</v>
      </c>
      <c r="B1190" s="1" t="s">
        <v>1942</v>
      </c>
      <c r="C1190" s="1" t="s">
        <v>1924</v>
      </c>
      <c r="D1190" s="1" t="s">
        <v>1951</v>
      </c>
      <c r="E1190" s="1" t="s">
        <v>97</v>
      </c>
      <c r="F1190" s="8">
        <v>46311.0</v>
      </c>
      <c r="G1190" s="1" t="s">
        <v>71</v>
      </c>
      <c r="K1190" s="1" t="s">
        <v>129</v>
      </c>
      <c r="L1190" s="1" t="s">
        <v>99</v>
      </c>
      <c r="O1190" s="4">
        <v>45133.0</v>
      </c>
    </row>
    <row r="1191">
      <c r="A1191" s="1" t="s">
        <v>1914</v>
      </c>
      <c r="B1191" s="1" t="s">
        <v>1942</v>
      </c>
      <c r="C1191" s="1" t="s">
        <v>1924</v>
      </c>
      <c r="D1191" s="1" t="s">
        <v>1952</v>
      </c>
      <c r="E1191" s="1" t="s">
        <v>97</v>
      </c>
      <c r="F1191" s="8">
        <v>46311.0</v>
      </c>
      <c r="G1191" s="1" t="s">
        <v>71</v>
      </c>
      <c r="K1191" s="1" t="s">
        <v>129</v>
      </c>
      <c r="L1191" s="1" t="s">
        <v>99</v>
      </c>
      <c r="O1191" s="4">
        <v>45133.0</v>
      </c>
    </row>
    <row r="1192">
      <c r="A1192" s="1" t="s">
        <v>1914</v>
      </c>
      <c r="B1192" s="1" t="s">
        <v>1942</v>
      </c>
      <c r="C1192" s="1" t="s">
        <v>1924</v>
      </c>
      <c r="D1192" s="1" t="s">
        <v>1953</v>
      </c>
      <c r="E1192" s="1" t="s">
        <v>97</v>
      </c>
      <c r="F1192" s="8">
        <v>46311.0</v>
      </c>
      <c r="G1192" s="1" t="s">
        <v>71</v>
      </c>
      <c r="K1192" s="1" t="s">
        <v>129</v>
      </c>
      <c r="L1192" s="1" t="s">
        <v>99</v>
      </c>
      <c r="O1192" s="4">
        <v>45133.0</v>
      </c>
    </row>
    <row r="1193">
      <c r="A1193" s="1" t="s">
        <v>1954</v>
      </c>
      <c r="B1193" s="1" t="s">
        <v>336</v>
      </c>
      <c r="C1193" s="1" t="s">
        <v>338</v>
      </c>
      <c r="D1193" s="1" t="s">
        <v>1955</v>
      </c>
      <c r="E1193" s="1" t="s">
        <v>97</v>
      </c>
      <c r="F1193" s="8">
        <v>46314.0</v>
      </c>
      <c r="G1193" s="1" t="s">
        <v>107</v>
      </c>
      <c r="H1193" s="1" t="s">
        <v>340</v>
      </c>
      <c r="J1193" s="1" t="s">
        <v>134</v>
      </c>
      <c r="K1193" s="1" t="s">
        <v>57</v>
      </c>
      <c r="L1193" s="1" t="s">
        <v>99</v>
      </c>
      <c r="O1193" s="8">
        <v>44545.0</v>
      </c>
    </row>
    <row r="1194">
      <c r="A1194" s="1" t="s">
        <v>1954</v>
      </c>
      <c r="B1194" s="1" t="s">
        <v>336</v>
      </c>
      <c r="C1194" s="1" t="s">
        <v>338</v>
      </c>
      <c r="D1194" s="1" t="s">
        <v>1956</v>
      </c>
      <c r="E1194" s="1" t="s">
        <v>97</v>
      </c>
      <c r="F1194" s="8">
        <v>46314.0</v>
      </c>
      <c r="G1194" s="1" t="s">
        <v>107</v>
      </c>
      <c r="H1194" s="1" t="s">
        <v>340</v>
      </c>
      <c r="J1194" s="1" t="s">
        <v>134</v>
      </c>
      <c r="K1194" s="1" t="s">
        <v>57</v>
      </c>
      <c r="L1194" s="1" t="s">
        <v>99</v>
      </c>
      <c r="O1194" s="8">
        <v>44545.0</v>
      </c>
    </row>
    <row r="1195">
      <c r="A1195" s="1" t="s">
        <v>1954</v>
      </c>
      <c r="B1195" s="1" t="s">
        <v>374</v>
      </c>
      <c r="C1195" s="1" t="s">
        <v>375</v>
      </c>
      <c r="D1195" s="1" t="s">
        <v>1957</v>
      </c>
      <c r="E1195" s="1" t="s">
        <v>70</v>
      </c>
      <c r="F1195" s="4">
        <v>46303.0</v>
      </c>
      <c r="G1195" s="1" t="s">
        <v>132</v>
      </c>
      <c r="H1195" s="1" t="s">
        <v>421</v>
      </c>
      <c r="J1195" s="1" t="s">
        <v>122</v>
      </c>
      <c r="K1195" s="1" t="s">
        <v>57</v>
      </c>
      <c r="L1195" s="1" t="s">
        <v>99</v>
      </c>
      <c r="O1195" s="8">
        <v>44545.0</v>
      </c>
    </row>
    <row r="1196">
      <c r="A1196" s="1" t="s">
        <v>1954</v>
      </c>
      <c r="B1196" s="1" t="s">
        <v>374</v>
      </c>
      <c r="C1196" s="1" t="s">
        <v>375</v>
      </c>
      <c r="D1196" s="1" t="s">
        <v>1958</v>
      </c>
      <c r="E1196" s="1" t="s">
        <v>70</v>
      </c>
      <c r="F1196" s="4">
        <v>46303.0</v>
      </c>
      <c r="G1196" s="1" t="s">
        <v>71</v>
      </c>
      <c r="J1196" s="1" t="s">
        <v>122</v>
      </c>
      <c r="K1196" s="1" t="s">
        <v>57</v>
      </c>
      <c r="L1196" s="1" t="s">
        <v>99</v>
      </c>
      <c r="O1196" s="8">
        <v>44545.0</v>
      </c>
    </row>
    <row r="1197">
      <c r="A1197" s="1" t="s">
        <v>1954</v>
      </c>
      <c r="B1197" s="1" t="s">
        <v>374</v>
      </c>
      <c r="C1197" s="1" t="s">
        <v>375</v>
      </c>
      <c r="D1197" s="1" t="s">
        <v>1959</v>
      </c>
      <c r="E1197" s="1" t="s">
        <v>97</v>
      </c>
      <c r="F1197" s="4">
        <v>46303.0</v>
      </c>
      <c r="G1197" s="1" t="s">
        <v>132</v>
      </c>
      <c r="H1197" s="1" t="s">
        <v>521</v>
      </c>
      <c r="J1197" s="1" t="s">
        <v>122</v>
      </c>
      <c r="K1197" s="1" t="s">
        <v>57</v>
      </c>
      <c r="L1197" s="1" t="s">
        <v>99</v>
      </c>
      <c r="O1197" s="8">
        <v>44545.0</v>
      </c>
    </row>
    <row r="1198">
      <c r="A1198" s="1" t="s">
        <v>1954</v>
      </c>
      <c r="B1198" s="1" t="s">
        <v>980</v>
      </c>
      <c r="C1198" s="1" t="s">
        <v>30</v>
      </c>
      <c r="D1198" s="1" t="s">
        <v>1960</v>
      </c>
      <c r="E1198" s="1" t="s">
        <v>97</v>
      </c>
      <c r="F1198" s="8">
        <v>46310.0</v>
      </c>
      <c r="G1198" s="1" t="s">
        <v>107</v>
      </c>
      <c r="H1198" s="1" t="s">
        <v>133</v>
      </c>
      <c r="J1198" s="1" t="s">
        <v>47</v>
      </c>
      <c r="K1198" s="1" t="s">
        <v>57</v>
      </c>
      <c r="L1198" s="1" t="s">
        <v>99</v>
      </c>
      <c r="O1198" s="4">
        <v>44728.0</v>
      </c>
    </row>
    <row r="1199">
      <c r="A1199" s="1" t="s">
        <v>1954</v>
      </c>
      <c r="B1199" s="1" t="s">
        <v>776</v>
      </c>
      <c r="C1199" s="1" t="s">
        <v>777</v>
      </c>
      <c r="D1199" s="1" t="s">
        <v>1961</v>
      </c>
      <c r="E1199" s="1" t="s">
        <v>70</v>
      </c>
      <c r="F1199" s="4">
        <v>46301.0</v>
      </c>
      <c r="G1199" s="1" t="s">
        <v>132</v>
      </c>
      <c r="H1199" s="1" t="s">
        <v>515</v>
      </c>
      <c r="J1199" s="1" t="s">
        <v>47</v>
      </c>
      <c r="K1199" s="1" t="s">
        <v>57</v>
      </c>
      <c r="L1199" s="1" t="s">
        <v>99</v>
      </c>
      <c r="O1199" s="8">
        <v>44545.0</v>
      </c>
    </row>
    <row r="1200">
      <c r="A1200" s="1" t="s">
        <v>1954</v>
      </c>
      <c r="B1200" s="1" t="s">
        <v>776</v>
      </c>
      <c r="C1200" s="1" t="s">
        <v>777</v>
      </c>
      <c r="D1200" s="1" t="s">
        <v>1962</v>
      </c>
      <c r="E1200" s="1" t="s">
        <v>70</v>
      </c>
      <c r="F1200" s="4">
        <v>46301.0</v>
      </c>
      <c r="G1200" s="1" t="s">
        <v>71</v>
      </c>
      <c r="K1200" s="1" t="s">
        <v>57</v>
      </c>
      <c r="L1200" s="1" t="s">
        <v>99</v>
      </c>
      <c r="O1200" s="8">
        <v>44545.0</v>
      </c>
    </row>
    <row r="1201">
      <c r="A1201" s="1" t="s">
        <v>1954</v>
      </c>
      <c r="B1201" s="1" t="s">
        <v>776</v>
      </c>
      <c r="C1201" s="1" t="s">
        <v>777</v>
      </c>
      <c r="D1201" s="1" t="s">
        <v>1963</v>
      </c>
      <c r="E1201" s="1" t="s">
        <v>70</v>
      </c>
      <c r="F1201" s="4">
        <v>46301.0</v>
      </c>
      <c r="G1201" s="1" t="s">
        <v>71</v>
      </c>
      <c r="K1201" s="1" t="s">
        <v>57</v>
      </c>
      <c r="L1201" s="1" t="s">
        <v>99</v>
      </c>
      <c r="O1201" s="8">
        <v>44545.0</v>
      </c>
    </row>
    <row r="1202">
      <c r="A1202" s="1" t="s">
        <v>1954</v>
      </c>
      <c r="B1202" s="1" t="s">
        <v>776</v>
      </c>
      <c r="C1202" s="1" t="s">
        <v>777</v>
      </c>
      <c r="D1202" s="1" t="s">
        <v>1964</v>
      </c>
      <c r="E1202" s="1" t="s">
        <v>70</v>
      </c>
      <c r="F1202" s="4">
        <v>46301.0</v>
      </c>
      <c r="G1202" s="1" t="s">
        <v>71</v>
      </c>
      <c r="K1202" s="1" t="s">
        <v>57</v>
      </c>
      <c r="L1202" s="1" t="s">
        <v>99</v>
      </c>
      <c r="O1202" s="8">
        <v>44545.0</v>
      </c>
    </row>
    <row r="1203">
      <c r="A1203" s="1" t="s">
        <v>1954</v>
      </c>
      <c r="B1203" s="1" t="s">
        <v>342</v>
      </c>
      <c r="C1203" s="1" t="s">
        <v>270</v>
      </c>
      <c r="D1203" s="1" t="s">
        <v>1965</v>
      </c>
      <c r="E1203" s="1" t="s">
        <v>97</v>
      </c>
      <c r="F1203" s="8">
        <v>46316.0</v>
      </c>
      <c r="G1203" s="1" t="s">
        <v>71</v>
      </c>
      <c r="K1203" s="1" t="s">
        <v>57</v>
      </c>
      <c r="L1203" s="1" t="s">
        <v>99</v>
      </c>
      <c r="O1203" s="8">
        <v>44545.0</v>
      </c>
    </row>
    <row r="1204">
      <c r="A1204" s="1" t="s">
        <v>1954</v>
      </c>
      <c r="B1204" s="1" t="s">
        <v>342</v>
      </c>
      <c r="C1204" s="1" t="s">
        <v>270</v>
      </c>
      <c r="D1204" s="1" t="s">
        <v>1966</v>
      </c>
      <c r="E1204" s="1" t="s">
        <v>70</v>
      </c>
      <c r="F1204" s="8">
        <v>46316.0</v>
      </c>
      <c r="G1204" s="1" t="s">
        <v>107</v>
      </c>
      <c r="H1204" s="1" t="s">
        <v>497</v>
      </c>
      <c r="J1204" s="1" t="s">
        <v>134</v>
      </c>
      <c r="K1204" s="1" t="s">
        <v>57</v>
      </c>
      <c r="L1204" s="1" t="s">
        <v>99</v>
      </c>
      <c r="O1204" s="8">
        <v>44545.0</v>
      </c>
    </row>
    <row r="1205">
      <c r="A1205" s="1" t="s">
        <v>1954</v>
      </c>
      <c r="B1205" s="1" t="s">
        <v>342</v>
      </c>
      <c r="C1205" s="1" t="s">
        <v>270</v>
      </c>
      <c r="D1205" s="1" t="s">
        <v>1967</v>
      </c>
      <c r="E1205" s="1" t="s">
        <v>70</v>
      </c>
      <c r="F1205" s="8">
        <v>46316.0</v>
      </c>
      <c r="G1205" s="1" t="s">
        <v>132</v>
      </c>
      <c r="H1205" s="1" t="s">
        <v>533</v>
      </c>
      <c r="J1205" s="1" t="s">
        <v>47</v>
      </c>
      <c r="K1205" s="1" t="s">
        <v>57</v>
      </c>
      <c r="L1205" s="1" t="s">
        <v>99</v>
      </c>
      <c r="O1205" s="8">
        <v>44545.0</v>
      </c>
    </row>
    <row r="1206">
      <c r="A1206" s="1" t="s">
        <v>1954</v>
      </c>
      <c r="B1206" s="1" t="s">
        <v>342</v>
      </c>
      <c r="C1206" s="1" t="s">
        <v>270</v>
      </c>
      <c r="D1206" s="1" t="s">
        <v>1968</v>
      </c>
      <c r="E1206" s="1" t="s">
        <v>70</v>
      </c>
      <c r="F1206" s="8">
        <v>46316.0</v>
      </c>
      <c r="G1206" s="1" t="s">
        <v>132</v>
      </c>
      <c r="H1206" s="1" t="s">
        <v>1294</v>
      </c>
      <c r="J1206" s="1" t="s">
        <v>134</v>
      </c>
      <c r="K1206" s="1" t="s">
        <v>57</v>
      </c>
      <c r="L1206" s="1" t="s">
        <v>99</v>
      </c>
      <c r="O1206" s="8">
        <v>44545.0</v>
      </c>
    </row>
    <row r="1207">
      <c r="A1207" s="1" t="s">
        <v>1954</v>
      </c>
      <c r="B1207" s="1" t="s">
        <v>342</v>
      </c>
      <c r="C1207" s="1" t="s">
        <v>270</v>
      </c>
      <c r="D1207" s="1" t="s">
        <v>1969</v>
      </c>
      <c r="E1207" s="1" t="s">
        <v>97</v>
      </c>
      <c r="F1207" s="8">
        <v>46316.0</v>
      </c>
      <c r="G1207" s="1" t="s">
        <v>71</v>
      </c>
      <c r="K1207" s="1" t="s">
        <v>57</v>
      </c>
      <c r="L1207" s="1" t="s">
        <v>99</v>
      </c>
      <c r="O1207" s="8">
        <v>44545.0</v>
      </c>
    </row>
    <row r="1208">
      <c r="A1208" s="1" t="s">
        <v>1954</v>
      </c>
      <c r="B1208" s="1" t="s">
        <v>342</v>
      </c>
      <c r="C1208" s="1" t="s">
        <v>270</v>
      </c>
      <c r="D1208" s="1" t="s">
        <v>1970</v>
      </c>
      <c r="E1208" s="1" t="s">
        <v>97</v>
      </c>
      <c r="F1208" s="8">
        <v>46316.0</v>
      </c>
      <c r="G1208" s="1" t="s">
        <v>71</v>
      </c>
      <c r="K1208" s="1" t="s">
        <v>57</v>
      </c>
      <c r="L1208" s="1" t="s">
        <v>99</v>
      </c>
      <c r="O1208" s="8">
        <v>44545.0</v>
      </c>
    </row>
    <row r="1209">
      <c r="A1209" s="1" t="s">
        <v>1954</v>
      </c>
      <c r="B1209" s="1" t="s">
        <v>342</v>
      </c>
      <c r="C1209" s="1" t="s">
        <v>270</v>
      </c>
      <c r="D1209" s="1" t="s">
        <v>1971</v>
      </c>
      <c r="E1209" s="1" t="s">
        <v>97</v>
      </c>
      <c r="F1209" s="8">
        <v>46316.0</v>
      </c>
      <c r="G1209" s="1" t="s">
        <v>71</v>
      </c>
      <c r="K1209" s="1" t="s">
        <v>57</v>
      </c>
      <c r="L1209" s="1" t="s">
        <v>99</v>
      </c>
      <c r="O1209" s="8">
        <v>44545.0</v>
      </c>
    </row>
    <row r="1210">
      <c r="A1210" s="1" t="s">
        <v>1954</v>
      </c>
      <c r="B1210" s="1" t="s">
        <v>342</v>
      </c>
      <c r="C1210" s="1" t="s">
        <v>270</v>
      </c>
      <c r="D1210" s="1" t="s">
        <v>1972</v>
      </c>
      <c r="E1210" s="1" t="s">
        <v>70</v>
      </c>
      <c r="F1210" s="8">
        <v>46316.0</v>
      </c>
      <c r="G1210" s="1" t="s">
        <v>132</v>
      </c>
      <c r="H1210" s="1" t="s">
        <v>527</v>
      </c>
      <c r="J1210" s="1" t="s">
        <v>134</v>
      </c>
      <c r="K1210" s="1" t="s">
        <v>57</v>
      </c>
      <c r="L1210" s="1" t="s">
        <v>99</v>
      </c>
      <c r="O1210" s="8">
        <v>44545.0</v>
      </c>
    </row>
    <row r="1211">
      <c r="A1211" s="1" t="s">
        <v>1954</v>
      </c>
      <c r="B1211" s="1" t="s">
        <v>342</v>
      </c>
      <c r="C1211" s="1" t="s">
        <v>270</v>
      </c>
      <c r="D1211" s="1" t="s">
        <v>1973</v>
      </c>
      <c r="E1211" s="1" t="s">
        <v>70</v>
      </c>
      <c r="F1211" s="8">
        <v>46316.0</v>
      </c>
      <c r="G1211" s="1" t="s">
        <v>132</v>
      </c>
      <c r="H1211" s="1" t="s">
        <v>533</v>
      </c>
      <c r="J1211" s="1" t="s">
        <v>47</v>
      </c>
      <c r="K1211" s="1" t="s">
        <v>57</v>
      </c>
      <c r="L1211" s="1" t="s">
        <v>99</v>
      </c>
      <c r="O1211" s="8">
        <v>44545.0</v>
      </c>
    </row>
    <row r="1212">
      <c r="A1212" s="1" t="s">
        <v>1954</v>
      </c>
      <c r="B1212" s="1" t="s">
        <v>342</v>
      </c>
      <c r="C1212" s="1" t="s">
        <v>270</v>
      </c>
      <c r="D1212" s="1" t="s">
        <v>1974</v>
      </c>
      <c r="E1212" s="1" t="s">
        <v>70</v>
      </c>
      <c r="F1212" s="8">
        <v>46316.0</v>
      </c>
      <c r="G1212" s="1" t="s">
        <v>71</v>
      </c>
      <c r="K1212" s="1" t="s">
        <v>57</v>
      </c>
      <c r="L1212" s="1" t="s">
        <v>99</v>
      </c>
      <c r="O1212" s="8">
        <v>44545.0</v>
      </c>
    </row>
    <row r="1213">
      <c r="A1213" s="1" t="s">
        <v>1954</v>
      </c>
      <c r="B1213" s="1" t="s">
        <v>342</v>
      </c>
      <c r="C1213" s="1" t="s">
        <v>270</v>
      </c>
      <c r="D1213" s="1" t="s">
        <v>1975</v>
      </c>
      <c r="E1213" s="1" t="s">
        <v>70</v>
      </c>
      <c r="F1213" s="8">
        <v>46316.0</v>
      </c>
      <c r="G1213" s="1" t="s">
        <v>71</v>
      </c>
      <c r="K1213" s="1" t="s">
        <v>57</v>
      </c>
      <c r="L1213" s="1" t="s">
        <v>99</v>
      </c>
      <c r="O1213" s="8">
        <v>44545.0</v>
      </c>
    </row>
    <row r="1214">
      <c r="A1214" s="1" t="s">
        <v>1954</v>
      </c>
      <c r="B1214" s="1" t="s">
        <v>342</v>
      </c>
      <c r="C1214" s="1" t="s">
        <v>270</v>
      </c>
      <c r="D1214" s="1" t="s">
        <v>1976</v>
      </c>
      <c r="E1214" s="1" t="s">
        <v>70</v>
      </c>
      <c r="F1214" s="8">
        <v>46316.0</v>
      </c>
      <c r="G1214" s="1" t="s">
        <v>132</v>
      </c>
      <c r="H1214" s="1" t="s">
        <v>714</v>
      </c>
      <c r="J1214" s="1" t="s">
        <v>134</v>
      </c>
      <c r="K1214" s="1" t="s">
        <v>57</v>
      </c>
      <c r="L1214" s="1" t="s">
        <v>99</v>
      </c>
      <c r="O1214" s="8">
        <v>44545.0</v>
      </c>
    </row>
    <row r="1215">
      <c r="A1215" s="1" t="s">
        <v>1954</v>
      </c>
      <c r="B1215" s="1" t="s">
        <v>342</v>
      </c>
      <c r="C1215" s="1" t="s">
        <v>270</v>
      </c>
      <c r="D1215" s="1" t="s">
        <v>1977</v>
      </c>
      <c r="E1215" s="1" t="s">
        <v>70</v>
      </c>
      <c r="F1215" s="8">
        <v>46316.0</v>
      </c>
      <c r="G1215" s="1" t="s">
        <v>132</v>
      </c>
      <c r="H1215" s="1" t="s">
        <v>428</v>
      </c>
      <c r="J1215" s="1" t="s">
        <v>47</v>
      </c>
      <c r="K1215" s="1" t="s">
        <v>57</v>
      </c>
      <c r="L1215" s="1" t="s">
        <v>99</v>
      </c>
      <c r="O1215" s="8">
        <v>44545.0</v>
      </c>
    </row>
    <row r="1216">
      <c r="A1216" s="1" t="s">
        <v>1978</v>
      </c>
      <c r="B1216" s="1" t="s">
        <v>63</v>
      </c>
      <c r="C1216" s="1" t="s">
        <v>64</v>
      </c>
      <c r="D1216" s="1" t="s">
        <v>1979</v>
      </c>
      <c r="E1216" s="1" t="s">
        <v>32</v>
      </c>
      <c r="F1216" s="4">
        <v>46265.0</v>
      </c>
      <c r="H1216" s="1" t="s">
        <v>242</v>
      </c>
      <c r="K1216" s="1" t="s">
        <v>366</v>
      </c>
      <c r="L1216" s="1" t="s">
        <v>35</v>
      </c>
      <c r="N1216" s="4">
        <v>46265.0</v>
      </c>
      <c r="O1216" s="4">
        <v>46265.0</v>
      </c>
    </row>
    <row r="1217">
      <c r="A1217" s="1" t="s">
        <v>1978</v>
      </c>
      <c r="B1217" s="1" t="s">
        <v>63</v>
      </c>
      <c r="C1217" s="1" t="s">
        <v>64</v>
      </c>
      <c r="D1217" s="1" t="s">
        <v>1980</v>
      </c>
      <c r="E1217" s="1" t="s">
        <v>32</v>
      </c>
      <c r="F1217" s="4">
        <v>46265.0</v>
      </c>
      <c r="H1217" s="1" t="s">
        <v>242</v>
      </c>
      <c r="K1217" s="1" t="s">
        <v>366</v>
      </c>
      <c r="L1217" s="1" t="s">
        <v>35</v>
      </c>
      <c r="N1217" s="4">
        <v>46265.0</v>
      </c>
      <c r="O1217" s="4">
        <v>46265.0</v>
      </c>
    </row>
    <row r="1218">
      <c r="A1218" s="1" t="s">
        <v>1978</v>
      </c>
      <c r="B1218" s="1" t="s">
        <v>63</v>
      </c>
      <c r="C1218" s="1" t="s">
        <v>64</v>
      </c>
      <c r="D1218" s="1" t="s">
        <v>1981</v>
      </c>
      <c r="E1218" s="1" t="s">
        <v>32</v>
      </c>
      <c r="F1218" s="4">
        <v>46265.0</v>
      </c>
      <c r="H1218" s="1" t="s">
        <v>242</v>
      </c>
      <c r="K1218" s="1" t="s">
        <v>366</v>
      </c>
      <c r="L1218" s="1" t="s">
        <v>35</v>
      </c>
      <c r="N1218" s="4">
        <v>46265.0</v>
      </c>
      <c r="O1218" s="4">
        <v>46265.0</v>
      </c>
    </row>
    <row r="1219">
      <c r="A1219" s="1" t="s">
        <v>1978</v>
      </c>
      <c r="B1219" s="1" t="s">
        <v>63</v>
      </c>
      <c r="C1219" s="1" t="s">
        <v>64</v>
      </c>
      <c r="D1219" s="1" t="s">
        <v>1982</v>
      </c>
      <c r="E1219" s="1" t="s">
        <v>32</v>
      </c>
      <c r="F1219" s="4">
        <v>46265.0</v>
      </c>
      <c r="H1219" s="1" t="s">
        <v>242</v>
      </c>
      <c r="K1219" s="1" t="s">
        <v>366</v>
      </c>
      <c r="L1219" s="1" t="s">
        <v>35</v>
      </c>
      <c r="N1219" s="4">
        <v>46265.0</v>
      </c>
      <c r="O1219" s="4">
        <v>46265.0</v>
      </c>
    </row>
    <row r="1220">
      <c r="A1220" s="1" t="s">
        <v>1978</v>
      </c>
      <c r="B1220" s="1" t="s">
        <v>63</v>
      </c>
      <c r="C1220" s="1" t="s">
        <v>64</v>
      </c>
      <c r="D1220" s="1" t="s">
        <v>1983</v>
      </c>
      <c r="E1220" s="1" t="s">
        <v>32</v>
      </c>
      <c r="F1220" s="4">
        <v>46265.0</v>
      </c>
      <c r="H1220" s="1" t="s">
        <v>242</v>
      </c>
      <c r="K1220" s="1" t="s">
        <v>366</v>
      </c>
      <c r="L1220" s="1" t="s">
        <v>35</v>
      </c>
      <c r="N1220" s="4">
        <v>46265.0</v>
      </c>
      <c r="O1220" s="4">
        <v>46265.0</v>
      </c>
    </row>
    <row r="1221">
      <c r="A1221" s="1" t="s">
        <v>1978</v>
      </c>
      <c r="B1221" s="1" t="s">
        <v>63</v>
      </c>
      <c r="C1221" s="1" t="s">
        <v>64</v>
      </c>
      <c r="D1221" s="1" t="s">
        <v>1984</v>
      </c>
      <c r="E1221" s="1" t="s">
        <v>32</v>
      </c>
      <c r="F1221" s="4">
        <v>46265.0</v>
      </c>
      <c r="H1221" s="1" t="s">
        <v>242</v>
      </c>
      <c r="K1221" s="1" t="s">
        <v>366</v>
      </c>
      <c r="L1221" s="1" t="s">
        <v>35</v>
      </c>
      <c r="N1221" s="4">
        <v>46265.0</v>
      </c>
      <c r="O1221" s="4">
        <v>46265.0</v>
      </c>
    </row>
    <row r="1222">
      <c r="A1222" s="1" t="s">
        <v>1978</v>
      </c>
      <c r="B1222" s="1" t="s">
        <v>63</v>
      </c>
      <c r="C1222" s="1" t="s">
        <v>64</v>
      </c>
      <c r="D1222" s="1" t="s">
        <v>1985</v>
      </c>
      <c r="E1222" s="1" t="s">
        <v>32</v>
      </c>
      <c r="F1222" s="4">
        <v>46265.0</v>
      </c>
      <c r="H1222" s="1" t="s">
        <v>242</v>
      </c>
      <c r="K1222" s="1" t="s">
        <v>366</v>
      </c>
      <c r="L1222" s="1" t="s">
        <v>35</v>
      </c>
      <c r="N1222" s="4">
        <v>46265.0</v>
      </c>
      <c r="O1222" s="4">
        <v>46265.0</v>
      </c>
    </row>
    <row r="1223">
      <c r="A1223" s="1" t="s">
        <v>1986</v>
      </c>
      <c r="B1223" s="1" t="s">
        <v>94</v>
      </c>
      <c r="C1223" s="1" t="s">
        <v>95</v>
      </c>
      <c r="D1223" s="1" t="s">
        <v>1987</v>
      </c>
      <c r="E1223" s="1" t="s">
        <v>97</v>
      </c>
      <c r="F1223" s="8">
        <v>46311.0</v>
      </c>
      <c r="G1223" s="1" t="s">
        <v>71</v>
      </c>
      <c r="K1223" s="1" t="s">
        <v>235</v>
      </c>
      <c r="L1223" s="1" t="s">
        <v>99</v>
      </c>
      <c r="O1223" s="4">
        <v>44574.0</v>
      </c>
    </row>
    <row r="1224">
      <c r="A1224" s="1" t="s">
        <v>1986</v>
      </c>
      <c r="B1224" s="1" t="s">
        <v>692</v>
      </c>
      <c r="C1224" s="1" t="s">
        <v>1988</v>
      </c>
      <c r="D1224" s="1" t="s">
        <v>1989</v>
      </c>
      <c r="E1224" s="1" t="s">
        <v>97</v>
      </c>
      <c r="F1224" s="8">
        <v>46316.0</v>
      </c>
      <c r="G1224" s="1" t="s">
        <v>107</v>
      </c>
      <c r="H1224" s="1" t="s">
        <v>33</v>
      </c>
      <c r="J1224" s="1" t="s">
        <v>33</v>
      </c>
      <c r="K1224" s="1" t="s">
        <v>235</v>
      </c>
      <c r="L1224" s="1" t="s">
        <v>99</v>
      </c>
      <c r="O1224" s="4">
        <v>44574.0</v>
      </c>
    </row>
    <row r="1225">
      <c r="A1225" s="1" t="s">
        <v>1986</v>
      </c>
      <c r="B1225" s="1" t="s">
        <v>1990</v>
      </c>
      <c r="C1225" s="1" t="s">
        <v>1991</v>
      </c>
      <c r="D1225" s="1" t="s">
        <v>1992</v>
      </c>
      <c r="E1225" s="1" t="s">
        <v>97</v>
      </c>
      <c r="F1225" s="4">
        <v>46301.0</v>
      </c>
      <c r="G1225" s="1" t="s">
        <v>132</v>
      </c>
      <c r="H1225" s="1" t="s">
        <v>1993</v>
      </c>
      <c r="J1225" s="1" t="s">
        <v>47</v>
      </c>
      <c r="K1225" s="1" t="s">
        <v>235</v>
      </c>
      <c r="L1225" s="1" t="s">
        <v>99</v>
      </c>
      <c r="O1225" s="4">
        <v>44574.0</v>
      </c>
    </row>
    <row r="1226">
      <c r="A1226" s="1" t="s">
        <v>1986</v>
      </c>
      <c r="B1226" s="1" t="s">
        <v>1990</v>
      </c>
      <c r="C1226" s="1" t="s">
        <v>1991</v>
      </c>
      <c r="D1226" s="1" t="s">
        <v>1994</v>
      </c>
      <c r="E1226" s="1" t="s">
        <v>70</v>
      </c>
      <c r="F1226" s="4">
        <v>46301.0</v>
      </c>
      <c r="G1226" s="1" t="s">
        <v>132</v>
      </c>
      <c r="H1226" s="1" t="s">
        <v>439</v>
      </c>
      <c r="J1226" s="1" t="s">
        <v>47</v>
      </c>
      <c r="K1226" s="1" t="s">
        <v>235</v>
      </c>
      <c r="L1226" s="1" t="s">
        <v>99</v>
      </c>
      <c r="O1226" s="4">
        <v>44574.0</v>
      </c>
    </row>
    <row r="1227">
      <c r="A1227" s="1" t="s">
        <v>1995</v>
      </c>
      <c r="B1227" s="1" t="s">
        <v>980</v>
      </c>
      <c r="C1227" s="1" t="s">
        <v>1996</v>
      </c>
      <c r="D1227" s="1" t="s">
        <v>1997</v>
      </c>
      <c r="E1227" s="1" t="s">
        <v>32</v>
      </c>
      <c r="F1227" s="4">
        <v>46276.0</v>
      </c>
      <c r="H1227" s="1" t="s">
        <v>242</v>
      </c>
      <c r="K1227" s="1" t="s">
        <v>235</v>
      </c>
      <c r="L1227" s="1" t="s">
        <v>35</v>
      </c>
      <c r="N1227" s="4">
        <v>46276.0</v>
      </c>
      <c r="O1227" s="4">
        <v>46276.0</v>
      </c>
    </row>
    <row r="1228">
      <c r="A1228" s="1" t="s">
        <v>1995</v>
      </c>
      <c r="B1228" s="1" t="s">
        <v>980</v>
      </c>
      <c r="C1228" s="1" t="s">
        <v>30</v>
      </c>
      <c r="D1228" s="1" t="s">
        <v>1998</v>
      </c>
      <c r="E1228" s="1" t="s">
        <v>32</v>
      </c>
      <c r="F1228" s="4">
        <v>46276.0</v>
      </c>
      <c r="H1228" s="1" t="s">
        <v>242</v>
      </c>
      <c r="K1228" s="1" t="s">
        <v>235</v>
      </c>
      <c r="L1228" s="1" t="s">
        <v>35</v>
      </c>
      <c r="N1228" s="4">
        <v>46276.0</v>
      </c>
      <c r="O1228" s="4">
        <v>46276.0</v>
      </c>
    </row>
    <row r="1229">
      <c r="A1229" s="1" t="s">
        <v>1999</v>
      </c>
      <c r="B1229" s="1" t="s">
        <v>269</v>
      </c>
      <c r="C1229" s="1" t="s">
        <v>270</v>
      </c>
      <c r="D1229" s="1" t="s">
        <v>2000</v>
      </c>
      <c r="E1229" s="1" t="s">
        <v>70</v>
      </c>
      <c r="F1229" s="8">
        <v>46316.0</v>
      </c>
      <c r="G1229" s="1" t="s">
        <v>132</v>
      </c>
      <c r="H1229" s="1" t="s">
        <v>2001</v>
      </c>
      <c r="J1229" s="1" t="s">
        <v>134</v>
      </c>
      <c r="K1229" s="1" t="s">
        <v>2002</v>
      </c>
      <c r="L1229" s="1" t="s">
        <v>99</v>
      </c>
      <c r="O1229" s="4">
        <v>43923.0</v>
      </c>
    </row>
    <row r="1230">
      <c r="A1230" s="1" t="s">
        <v>1999</v>
      </c>
      <c r="B1230" s="1" t="s">
        <v>692</v>
      </c>
      <c r="C1230" s="1" t="s">
        <v>2003</v>
      </c>
      <c r="D1230" s="1" t="s">
        <v>2004</v>
      </c>
      <c r="E1230" s="1" t="s">
        <v>97</v>
      </c>
      <c r="F1230" s="8">
        <v>46316.0</v>
      </c>
      <c r="G1230" s="1" t="s">
        <v>107</v>
      </c>
      <c r="H1230" s="1" t="s">
        <v>2005</v>
      </c>
      <c r="J1230" s="1" t="s">
        <v>47</v>
      </c>
      <c r="K1230" s="1" t="s">
        <v>2002</v>
      </c>
      <c r="L1230" s="1" t="s">
        <v>99</v>
      </c>
      <c r="O1230" s="4">
        <v>43923.0</v>
      </c>
    </row>
    <row r="1231">
      <c r="A1231" s="1" t="s">
        <v>1999</v>
      </c>
      <c r="B1231" s="1" t="s">
        <v>692</v>
      </c>
      <c r="C1231" s="1" t="s">
        <v>2003</v>
      </c>
      <c r="D1231" s="1" t="s">
        <v>2006</v>
      </c>
      <c r="E1231" s="1" t="s">
        <v>97</v>
      </c>
      <c r="F1231" s="8">
        <v>46316.0</v>
      </c>
      <c r="G1231" s="1" t="s">
        <v>107</v>
      </c>
      <c r="H1231" s="1" t="s">
        <v>2005</v>
      </c>
      <c r="J1231" s="1" t="s">
        <v>47</v>
      </c>
      <c r="K1231" s="1" t="s">
        <v>2002</v>
      </c>
      <c r="L1231" s="1" t="s">
        <v>99</v>
      </c>
      <c r="O1231" s="4">
        <v>43923.0</v>
      </c>
    </row>
    <row r="1232">
      <c r="A1232" s="1" t="s">
        <v>1999</v>
      </c>
      <c r="B1232" s="1" t="s">
        <v>2007</v>
      </c>
      <c r="C1232" s="1" t="s">
        <v>2008</v>
      </c>
      <c r="D1232" s="1" t="s">
        <v>2009</v>
      </c>
      <c r="E1232" s="1" t="s">
        <v>97</v>
      </c>
      <c r="F1232" s="4">
        <v>46296.0</v>
      </c>
      <c r="G1232" s="1" t="s">
        <v>71</v>
      </c>
      <c r="H1232" s="1" t="s">
        <v>483</v>
      </c>
      <c r="K1232" s="1" t="s">
        <v>2002</v>
      </c>
      <c r="L1232" s="1" t="s">
        <v>99</v>
      </c>
      <c r="O1232" s="4">
        <v>43923.0</v>
      </c>
    </row>
    <row r="1233">
      <c r="A1233" s="1" t="s">
        <v>1999</v>
      </c>
      <c r="B1233" s="1" t="s">
        <v>2007</v>
      </c>
      <c r="C1233" s="1" t="s">
        <v>2008</v>
      </c>
      <c r="D1233" s="1" t="s">
        <v>2010</v>
      </c>
      <c r="E1233" s="1" t="s">
        <v>97</v>
      </c>
      <c r="F1233" s="4">
        <v>46296.0</v>
      </c>
      <c r="G1233" s="1" t="s">
        <v>71</v>
      </c>
      <c r="H1233" s="1" t="s">
        <v>483</v>
      </c>
      <c r="K1233" s="1" t="s">
        <v>2002</v>
      </c>
      <c r="L1233" s="1" t="s">
        <v>99</v>
      </c>
      <c r="O1233" s="4">
        <v>43923.0</v>
      </c>
    </row>
    <row r="1234">
      <c r="A1234" s="1" t="s">
        <v>1999</v>
      </c>
      <c r="B1234" s="1" t="s">
        <v>1370</v>
      </c>
      <c r="C1234" s="1" t="s">
        <v>1371</v>
      </c>
      <c r="D1234" s="1" t="s">
        <v>2011</v>
      </c>
      <c r="E1234" s="1" t="s">
        <v>97</v>
      </c>
      <c r="F1234" s="8">
        <v>46310.0</v>
      </c>
      <c r="G1234" s="1" t="s">
        <v>71</v>
      </c>
      <c r="K1234" s="1" t="s">
        <v>2002</v>
      </c>
      <c r="L1234" s="1" t="s">
        <v>99</v>
      </c>
      <c r="O1234" s="4">
        <v>43923.0</v>
      </c>
    </row>
    <row r="1235">
      <c r="A1235" s="1" t="s">
        <v>1999</v>
      </c>
      <c r="B1235" s="1" t="s">
        <v>1370</v>
      </c>
      <c r="C1235" s="1" t="s">
        <v>1371</v>
      </c>
      <c r="D1235" s="1" t="s">
        <v>2012</v>
      </c>
      <c r="E1235" s="1" t="s">
        <v>97</v>
      </c>
      <c r="F1235" s="8">
        <v>46310.0</v>
      </c>
      <c r="G1235" s="1" t="s">
        <v>71</v>
      </c>
      <c r="K1235" s="1" t="s">
        <v>2002</v>
      </c>
      <c r="L1235" s="1" t="s">
        <v>99</v>
      </c>
      <c r="O1235" s="4">
        <v>43923.0</v>
      </c>
    </row>
    <row r="1236">
      <c r="A1236" s="1" t="s">
        <v>1999</v>
      </c>
      <c r="B1236" s="1" t="s">
        <v>1370</v>
      </c>
      <c r="C1236" s="1" t="s">
        <v>1371</v>
      </c>
      <c r="D1236" s="1" t="s">
        <v>2013</v>
      </c>
      <c r="E1236" s="1" t="s">
        <v>97</v>
      </c>
      <c r="F1236" s="8">
        <v>46310.0</v>
      </c>
      <c r="G1236" s="1" t="s">
        <v>71</v>
      </c>
      <c r="K1236" s="1" t="s">
        <v>2002</v>
      </c>
      <c r="L1236" s="1" t="s">
        <v>99</v>
      </c>
      <c r="O1236" s="4">
        <v>43923.0</v>
      </c>
    </row>
    <row r="1237">
      <c r="A1237" s="1" t="s">
        <v>1999</v>
      </c>
      <c r="B1237" s="1" t="s">
        <v>255</v>
      </c>
      <c r="C1237" s="1" t="s">
        <v>256</v>
      </c>
      <c r="D1237" s="1" t="s">
        <v>2014</v>
      </c>
      <c r="E1237" s="1" t="s">
        <v>97</v>
      </c>
      <c r="F1237" s="8">
        <v>46310.0</v>
      </c>
      <c r="G1237" s="1" t="s">
        <v>107</v>
      </c>
      <c r="H1237" s="1" t="s">
        <v>133</v>
      </c>
      <c r="J1237" s="1" t="s">
        <v>562</v>
      </c>
      <c r="K1237" s="1" t="s">
        <v>2002</v>
      </c>
      <c r="L1237" s="1" t="s">
        <v>99</v>
      </c>
      <c r="O1237" s="4">
        <v>43923.0</v>
      </c>
    </row>
    <row r="1238">
      <c r="A1238" s="1" t="s">
        <v>1999</v>
      </c>
      <c r="B1238" s="1" t="s">
        <v>255</v>
      </c>
      <c r="C1238" s="1" t="s">
        <v>256</v>
      </c>
      <c r="D1238" s="1" t="s">
        <v>2015</v>
      </c>
      <c r="E1238" s="1" t="s">
        <v>97</v>
      </c>
      <c r="F1238" s="8">
        <v>46310.0</v>
      </c>
      <c r="G1238" s="1" t="s">
        <v>107</v>
      </c>
      <c r="H1238" s="1" t="s">
        <v>638</v>
      </c>
      <c r="J1238" s="1" t="s">
        <v>134</v>
      </c>
      <c r="K1238" s="1" t="s">
        <v>2002</v>
      </c>
      <c r="L1238" s="1" t="s">
        <v>99</v>
      </c>
      <c r="O1238" s="4">
        <v>43923.0</v>
      </c>
    </row>
    <row r="1239">
      <c r="A1239" s="1" t="s">
        <v>1999</v>
      </c>
      <c r="B1239" s="1" t="s">
        <v>255</v>
      </c>
      <c r="C1239" s="1" t="s">
        <v>256</v>
      </c>
      <c r="D1239" s="1" t="s">
        <v>2016</v>
      </c>
      <c r="E1239" s="1" t="s">
        <v>97</v>
      </c>
      <c r="F1239" s="8">
        <v>46310.0</v>
      </c>
      <c r="G1239" s="1" t="s">
        <v>71</v>
      </c>
      <c r="H1239" s="1" t="s">
        <v>396</v>
      </c>
      <c r="K1239" s="1" t="s">
        <v>2002</v>
      </c>
      <c r="L1239" s="1" t="s">
        <v>99</v>
      </c>
      <c r="O1239" s="4">
        <v>43923.0</v>
      </c>
    </row>
    <row r="1240">
      <c r="A1240" s="1" t="s">
        <v>1999</v>
      </c>
      <c r="B1240" s="1" t="s">
        <v>255</v>
      </c>
      <c r="C1240" s="1" t="s">
        <v>256</v>
      </c>
      <c r="D1240" s="1" t="s">
        <v>2017</v>
      </c>
      <c r="E1240" s="1" t="s">
        <v>97</v>
      </c>
      <c r="F1240" s="8">
        <v>46310.0</v>
      </c>
      <c r="G1240" s="1" t="s">
        <v>71</v>
      </c>
      <c r="H1240" s="1" t="s">
        <v>396</v>
      </c>
      <c r="K1240" s="1" t="s">
        <v>2002</v>
      </c>
      <c r="L1240" s="1" t="s">
        <v>99</v>
      </c>
      <c r="O1240" s="4">
        <v>43923.0</v>
      </c>
    </row>
    <row r="1241">
      <c r="A1241" s="1" t="s">
        <v>1999</v>
      </c>
      <c r="B1241" s="1" t="s">
        <v>255</v>
      </c>
      <c r="C1241" s="1" t="s">
        <v>256</v>
      </c>
      <c r="D1241" s="1" t="s">
        <v>2018</v>
      </c>
      <c r="E1241" s="1" t="s">
        <v>70</v>
      </c>
      <c r="F1241" s="8">
        <v>46310.0</v>
      </c>
      <c r="G1241" s="1" t="s">
        <v>71</v>
      </c>
      <c r="H1241" s="1" t="s">
        <v>396</v>
      </c>
      <c r="K1241" s="1" t="s">
        <v>2002</v>
      </c>
      <c r="L1241" s="1" t="s">
        <v>99</v>
      </c>
      <c r="O1241" s="4">
        <v>43923.0</v>
      </c>
    </row>
    <row r="1242">
      <c r="A1242" s="1" t="s">
        <v>1999</v>
      </c>
      <c r="B1242" s="1" t="s">
        <v>255</v>
      </c>
      <c r="C1242" s="1" t="s">
        <v>256</v>
      </c>
      <c r="D1242" s="1" t="s">
        <v>2019</v>
      </c>
      <c r="E1242" s="1" t="s">
        <v>97</v>
      </c>
      <c r="F1242" s="8">
        <v>46310.0</v>
      </c>
      <c r="G1242" s="1" t="s">
        <v>107</v>
      </c>
      <c r="H1242" s="1" t="s">
        <v>133</v>
      </c>
      <c r="J1242" s="1" t="s">
        <v>134</v>
      </c>
      <c r="K1242" s="1" t="s">
        <v>2002</v>
      </c>
      <c r="L1242" s="1" t="s">
        <v>99</v>
      </c>
      <c r="O1242" s="4">
        <v>43923.0</v>
      </c>
    </row>
    <row r="1243">
      <c r="A1243" s="1" t="s">
        <v>1999</v>
      </c>
      <c r="B1243" s="1" t="s">
        <v>255</v>
      </c>
      <c r="C1243" s="1" t="s">
        <v>256</v>
      </c>
      <c r="D1243" s="1" t="s">
        <v>2020</v>
      </c>
      <c r="E1243" s="1" t="s">
        <v>97</v>
      </c>
      <c r="F1243" s="8">
        <v>46310.0</v>
      </c>
      <c r="G1243" s="1" t="s">
        <v>71</v>
      </c>
      <c r="H1243" s="1" t="s">
        <v>396</v>
      </c>
      <c r="K1243" s="1" t="s">
        <v>2002</v>
      </c>
      <c r="L1243" s="1" t="s">
        <v>99</v>
      </c>
      <c r="O1243" s="4">
        <v>43923.0</v>
      </c>
    </row>
    <row r="1244">
      <c r="A1244" s="1" t="s">
        <v>1999</v>
      </c>
      <c r="B1244" s="1" t="s">
        <v>288</v>
      </c>
      <c r="C1244" s="1" t="s">
        <v>289</v>
      </c>
      <c r="D1244" s="1" t="s">
        <v>2021</v>
      </c>
      <c r="E1244" s="1" t="s">
        <v>97</v>
      </c>
      <c r="F1244" s="8">
        <v>46309.0</v>
      </c>
      <c r="G1244" s="1" t="s">
        <v>71</v>
      </c>
      <c r="H1244" s="1" t="s">
        <v>2022</v>
      </c>
      <c r="K1244" s="1" t="s">
        <v>2002</v>
      </c>
      <c r="L1244" s="1" t="s">
        <v>99</v>
      </c>
      <c r="O1244" s="4">
        <v>43923.0</v>
      </c>
    </row>
    <row r="1245">
      <c r="A1245" s="1" t="s">
        <v>1999</v>
      </c>
      <c r="B1245" s="1" t="s">
        <v>288</v>
      </c>
      <c r="C1245" s="1" t="s">
        <v>289</v>
      </c>
      <c r="D1245" s="1" t="s">
        <v>2023</v>
      </c>
      <c r="E1245" s="1" t="s">
        <v>97</v>
      </c>
      <c r="F1245" s="8">
        <v>46309.0</v>
      </c>
      <c r="G1245" s="1" t="s">
        <v>71</v>
      </c>
      <c r="H1245" s="1" t="s">
        <v>2022</v>
      </c>
      <c r="K1245" s="1" t="s">
        <v>2002</v>
      </c>
      <c r="L1245" s="1" t="s">
        <v>99</v>
      </c>
      <c r="O1245" s="4">
        <v>43923.0</v>
      </c>
    </row>
    <row r="1246">
      <c r="A1246" s="1" t="s">
        <v>1999</v>
      </c>
      <c r="B1246" s="1" t="s">
        <v>288</v>
      </c>
      <c r="C1246" s="1" t="s">
        <v>289</v>
      </c>
      <c r="D1246" s="1" t="s">
        <v>2024</v>
      </c>
      <c r="E1246" s="1" t="s">
        <v>97</v>
      </c>
      <c r="F1246" s="8">
        <v>46309.0</v>
      </c>
      <c r="G1246" s="1" t="s">
        <v>71</v>
      </c>
      <c r="H1246" s="1" t="s">
        <v>2022</v>
      </c>
      <c r="K1246" s="1" t="s">
        <v>2002</v>
      </c>
      <c r="L1246" s="1" t="s">
        <v>99</v>
      </c>
      <c r="O1246" s="4">
        <v>43923.0</v>
      </c>
    </row>
    <row r="1247">
      <c r="A1247" s="1" t="s">
        <v>1999</v>
      </c>
      <c r="B1247" s="1" t="s">
        <v>288</v>
      </c>
      <c r="C1247" s="1" t="s">
        <v>289</v>
      </c>
      <c r="D1247" s="1" t="s">
        <v>2025</v>
      </c>
      <c r="E1247" s="1" t="s">
        <v>97</v>
      </c>
      <c r="F1247" s="8">
        <v>46309.0</v>
      </c>
      <c r="G1247" s="1" t="s">
        <v>71</v>
      </c>
      <c r="H1247" s="1" t="s">
        <v>429</v>
      </c>
      <c r="K1247" s="1" t="s">
        <v>2002</v>
      </c>
      <c r="L1247" s="1" t="s">
        <v>99</v>
      </c>
      <c r="O1247" s="4">
        <v>43923.0</v>
      </c>
    </row>
    <row r="1248">
      <c r="A1248" s="1" t="s">
        <v>1999</v>
      </c>
      <c r="B1248" s="1" t="s">
        <v>288</v>
      </c>
      <c r="C1248" s="1" t="s">
        <v>289</v>
      </c>
      <c r="D1248" s="1" t="s">
        <v>2026</v>
      </c>
      <c r="E1248" s="1" t="s">
        <v>97</v>
      </c>
      <c r="F1248" s="8">
        <v>46309.0</v>
      </c>
      <c r="G1248" s="1" t="s">
        <v>71</v>
      </c>
      <c r="H1248" s="1" t="s">
        <v>429</v>
      </c>
      <c r="K1248" s="1" t="s">
        <v>2002</v>
      </c>
      <c r="L1248" s="1" t="s">
        <v>99</v>
      </c>
      <c r="O1248" s="4">
        <v>43923.0</v>
      </c>
    </row>
    <row r="1249">
      <c r="A1249" s="1" t="s">
        <v>1999</v>
      </c>
      <c r="B1249" s="1" t="s">
        <v>269</v>
      </c>
      <c r="C1249" s="1" t="s">
        <v>270</v>
      </c>
      <c r="D1249" s="1" t="s">
        <v>2027</v>
      </c>
      <c r="E1249" s="1" t="s">
        <v>97</v>
      </c>
      <c r="F1249" s="8">
        <v>46316.0</v>
      </c>
      <c r="G1249" s="1" t="s">
        <v>132</v>
      </c>
      <c r="H1249" s="1" t="s">
        <v>2028</v>
      </c>
      <c r="J1249" s="1" t="s">
        <v>134</v>
      </c>
      <c r="K1249" s="1" t="s">
        <v>2002</v>
      </c>
      <c r="L1249" s="1" t="s">
        <v>99</v>
      </c>
      <c r="O1249" s="4">
        <v>43923.0</v>
      </c>
    </row>
    <row r="1250">
      <c r="A1250" s="1" t="s">
        <v>1999</v>
      </c>
      <c r="B1250" s="1" t="s">
        <v>269</v>
      </c>
      <c r="C1250" s="1" t="s">
        <v>270</v>
      </c>
      <c r="D1250" s="1" t="s">
        <v>2029</v>
      </c>
      <c r="E1250" s="1" t="s">
        <v>70</v>
      </c>
      <c r="F1250" s="8">
        <v>46316.0</v>
      </c>
      <c r="G1250" s="1" t="s">
        <v>132</v>
      </c>
      <c r="H1250" s="1" t="s">
        <v>2030</v>
      </c>
      <c r="J1250" s="1" t="s">
        <v>134</v>
      </c>
      <c r="K1250" s="1" t="s">
        <v>2002</v>
      </c>
      <c r="L1250" s="1" t="s">
        <v>99</v>
      </c>
      <c r="O1250" s="4">
        <v>43923.0</v>
      </c>
    </row>
    <row r="1251">
      <c r="A1251" s="1" t="s">
        <v>1999</v>
      </c>
      <c r="B1251" s="1" t="s">
        <v>269</v>
      </c>
      <c r="C1251" s="1" t="s">
        <v>270</v>
      </c>
      <c r="D1251" s="1" t="s">
        <v>2031</v>
      </c>
      <c r="E1251" s="1" t="s">
        <v>70</v>
      </c>
      <c r="F1251" s="8">
        <v>46316.0</v>
      </c>
      <c r="G1251" s="1" t="s">
        <v>107</v>
      </c>
      <c r="H1251" s="1" t="s">
        <v>497</v>
      </c>
      <c r="J1251" s="1" t="s">
        <v>134</v>
      </c>
      <c r="K1251" s="1" t="s">
        <v>2002</v>
      </c>
      <c r="L1251" s="1" t="s">
        <v>99</v>
      </c>
      <c r="O1251" s="4">
        <v>43923.0</v>
      </c>
    </row>
    <row r="1252">
      <c r="A1252" s="1" t="s">
        <v>1999</v>
      </c>
      <c r="B1252" s="1" t="s">
        <v>269</v>
      </c>
      <c r="C1252" s="1" t="s">
        <v>270</v>
      </c>
      <c r="D1252" s="1" t="s">
        <v>2032</v>
      </c>
      <c r="E1252" s="1" t="s">
        <v>97</v>
      </c>
      <c r="F1252" s="8">
        <v>46316.0</v>
      </c>
      <c r="G1252" s="1" t="s">
        <v>71</v>
      </c>
      <c r="K1252" s="1" t="s">
        <v>2002</v>
      </c>
      <c r="L1252" s="1" t="s">
        <v>99</v>
      </c>
      <c r="O1252" s="4">
        <v>43923.0</v>
      </c>
    </row>
    <row r="1253">
      <c r="A1253" s="1" t="s">
        <v>1999</v>
      </c>
      <c r="B1253" s="1" t="s">
        <v>269</v>
      </c>
      <c r="C1253" s="1" t="s">
        <v>270</v>
      </c>
      <c r="D1253" s="1" t="s">
        <v>2033</v>
      </c>
      <c r="E1253" s="1" t="s">
        <v>70</v>
      </c>
      <c r="F1253" s="8">
        <v>46316.0</v>
      </c>
      <c r="G1253" s="1" t="s">
        <v>107</v>
      </c>
      <c r="H1253" s="1" t="s">
        <v>497</v>
      </c>
      <c r="J1253" s="1" t="s">
        <v>134</v>
      </c>
      <c r="K1253" s="1" t="s">
        <v>2002</v>
      </c>
      <c r="L1253" s="1" t="s">
        <v>99</v>
      </c>
      <c r="O1253" s="4">
        <v>43923.0</v>
      </c>
    </row>
    <row r="1254">
      <c r="A1254" s="1" t="s">
        <v>1999</v>
      </c>
      <c r="B1254" s="1" t="s">
        <v>269</v>
      </c>
      <c r="C1254" s="1" t="s">
        <v>270</v>
      </c>
      <c r="D1254" s="1" t="s">
        <v>2034</v>
      </c>
      <c r="E1254" s="1" t="s">
        <v>97</v>
      </c>
      <c r="F1254" s="8">
        <v>46316.0</v>
      </c>
      <c r="G1254" s="1" t="s">
        <v>71</v>
      </c>
      <c r="K1254" s="1" t="s">
        <v>2002</v>
      </c>
      <c r="L1254" s="1" t="s">
        <v>99</v>
      </c>
      <c r="O1254" s="4">
        <v>43923.0</v>
      </c>
    </row>
    <row r="1255">
      <c r="A1255" s="1" t="s">
        <v>1999</v>
      </c>
      <c r="B1255" s="1" t="s">
        <v>269</v>
      </c>
      <c r="C1255" s="1" t="s">
        <v>270</v>
      </c>
      <c r="D1255" s="1" t="s">
        <v>2035</v>
      </c>
      <c r="E1255" s="1" t="s">
        <v>70</v>
      </c>
      <c r="F1255" s="8">
        <v>46316.0</v>
      </c>
      <c r="G1255" s="1" t="s">
        <v>107</v>
      </c>
      <c r="H1255" s="1" t="s">
        <v>424</v>
      </c>
      <c r="J1255" s="1" t="s">
        <v>134</v>
      </c>
      <c r="K1255" s="1" t="s">
        <v>2002</v>
      </c>
      <c r="L1255" s="1" t="s">
        <v>99</v>
      </c>
      <c r="O1255" s="4">
        <v>43923.0</v>
      </c>
    </row>
    <row r="1256">
      <c r="A1256" s="1" t="s">
        <v>2036</v>
      </c>
      <c r="B1256" s="1" t="s">
        <v>1514</v>
      </c>
      <c r="C1256" s="1" t="s">
        <v>1515</v>
      </c>
      <c r="D1256" s="1" t="s">
        <v>2037</v>
      </c>
      <c r="E1256" s="1" t="s">
        <v>32</v>
      </c>
      <c r="F1256" s="8">
        <v>46013.0</v>
      </c>
      <c r="H1256" s="1" t="s">
        <v>2038</v>
      </c>
      <c r="K1256" s="1" t="s">
        <v>2039</v>
      </c>
      <c r="L1256" s="1" t="s">
        <v>35</v>
      </c>
      <c r="N1256" s="8">
        <v>46013.0</v>
      </c>
      <c r="O1256" s="8">
        <v>46013.0</v>
      </c>
    </row>
    <row r="1257">
      <c r="A1257" s="1" t="s">
        <v>2036</v>
      </c>
      <c r="B1257" s="1" t="s">
        <v>1514</v>
      </c>
      <c r="C1257" s="1" t="s">
        <v>1515</v>
      </c>
      <c r="D1257" s="1" t="s">
        <v>2040</v>
      </c>
      <c r="E1257" s="1" t="s">
        <v>32</v>
      </c>
      <c r="F1257" s="8">
        <v>46013.0</v>
      </c>
      <c r="H1257" s="1" t="s">
        <v>2041</v>
      </c>
      <c r="K1257" s="1" t="s">
        <v>2039</v>
      </c>
      <c r="L1257" s="1" t="s">
        <v>35</v>
      </c>
      <c r="N1257" s="8">
        <v>46013.0</v>
      </c>
      <c r="O1257" s="8">
        <v>46013.0</v>
      </c>
    </row>
    <row r="1258">
      <c r="A1258" s="1" t="s">
        <v>2042</v>
      </c>
      <c r="B1258" s="1" t="s">
        <v>246</v>
      </c>
      <c r="C1258" s="1" t="s">
        <v>247</v>
      </c>
      <c r="D1258" s="1" t="s">
        <v>2043</v>
      </c>
      <c r="E1258" s="1" t="s">
        <v>32</v>
      </c>
      <c r="F1258" s="8">
        <v>46315.0</v>
      </c>
      <c r="H1258" s="1" t="s">
        <v>33</v>
      </c>
      <c r="K1258" s="1" t="s">
        <v>235</v>
      </c>
      <c r="L1258" s="1" t="s">
        <v>35</v>
      </c>
      <c r="N1258" s="8">
        <v>46315.0</v>
      </c>
      <c r="O1258" s="8">
        <v>46315.0</v>
      </c>
    </row>
    <row r="1259">
      <c r="A1259" s="1" t="s">
        <v>2042</v>
      </c>
      <c r="B1259" s="1" t="s">
        <v>246</v>
      </c>
      <c r="C1259" s="1" t="s">
        <v>247</v>
      </c>
      <c r="D1259" s="1" t="s">
        <v>2044</v>
      </c>
      <c r="E1259" s="1" t="s">
        <v>32</v>
      </c>
      <c r="F1259" s="8">
        <v>46315.0</v>
      </c>
      <c r="H1259" s="1" t="s">
        <v>33</v>
      </c>
      <c r="K1259" s="1" t="s">
        <v>267</v>
      </c>
      <c r="L1259" s="1" t="s">
        <v>35</v>
      </c>
      <c r="N1259" s="8">
        <v>46315.0</v>
      </c>
      <c r="O1259" s="8">
        <v>46315.0</v>
      </c>
    </row>
    <row r="1260">
      <c r="A1260" s="1" t="s">
        <v>2042</v>
      </c>
      <c r="B1260" s="1" t="s">
        <v>246</v>
      </c>
      <c r="C1260" s="1" t="s">
        <v>247</v>
      </c>
      <c r="D1260" s="1" t="s">
        <v>2045</v>
      </c>
      <c r="E1260" s="1" t="s">
        <v>32</v>
      </c>
      <c r="F1260" s="8">
        <v>46315.0</v>
      </c>
      <c r="H1260" s="1" t="s">
        <v>33</v>
      </c>
      <c r="K1260" s="1" t="s">
        <v>267</v>
      </c>
      <c r="L1260" s="1" t="s">
        <v>35</v>
      </c>
      <c r="N1260" s="8">
        <v>46315.0</v>
      </c>
      <c r="O1260" s="8">
        <v>46315.0</v>
      </c>
    </row>
    <row r="1261">
      <c r="A1261" s="1" t="s">
        <v>2046</v>
      </c>
      <c r="B1261" s="1" t="s">
        <v>2047</v>
      </c>
      <c r="C1261" s="1" t="s">
        <v>2048</v>
      </c>
      <c r="D1261" s="1" t="s">
        <v>2049</v>
      </c>
      <c r="E1261" s="1" t="s">
        <v>32</v>
      </c>
      <c r="F1261" s="8">
        <v>45978.0</v>
      </c>
      <c r="H1261" s="1" t="s">
        <v>33</v>
      </c>
      <c r="K1261" s="1" t="s">
        <v>377</v>
      </c>
      <c r="L1261" s="1" t="s">
        <v>35</v>
      </c>
      <c r="N1261" s="8">
        <v>45978.0</v>
      </c>
      <c r="O1261" s="8">
        <v>45978.0</v>
      </c>
    </row>
    <row r="1262">
      <c r="A1262" s="1" t="s">
        <v>2050</v>
      </c>
      <c r="B1262" s="1" t="s">
        <v>2051</v>
      </c>
      <c r="C1262" s="1" t="s">
        <v>2052</v>
      </c>
      <c r="D1262" s="1" t="s">
        <v>2053</v>
      </c>
      <c r="E1262" s="1" t="s">
        <v>70</v>
      </c>
      <c r="F1262" s="4">
        <v>46280.0</v>
      </c>
      <c r="G1262" s="1" t="s">
        <v>71</v>
      </c>
      <c r="K1262" s="1" t="s">
        <v>34</v>
      </c>
      <c r="L1262" s="1" t="s">
        <v>99</v>
      </c>
      <c r="O1262" s="8">
        <v>43039.0</v>
      </c>
    </row>
    <row r="1263">
      <c r="A1263" s="1" t="s">
        <v>2050</v>
      </c>
      <c r="B1263" s="1" t="s">
        <v>2051</v>
      </c>
      <c r="C1263" s="1" t="s">
        <v>2052</v>
      </c>
      <c r="D1263" s="1" t="s">
        <v>2054</v>
      </c>
      <c r="E1263" s="1" t="s">
        <v>97</v>
      </c>
      <c r="F1263" s="4">
        <v>46280.0</v>
      </c>
      <c r="G1263" s="1" t="s">
        <v>71</v>
      </c>
      <c r="K1263" s="1" t="s">
        <v>34</v>
      </c>
      <c r="L1263" s="1" t="s">
        <v>99</v>
      </c>
      <c r="O1263" s="8">
        <v>43039.0</v>
      </c>
    </row>
    <row r="1264">
      <c r="A1264" s="1" t="s">
        <v>2050</v>
      </c>
      <c r="B1264" s="1" t="s">
        <v>288</v>
      </c>
      <c r="C1264" s="1" t="s">
        <v>289</v>
      </c>
      <c r="D1264" s="1" t="s">
        <v>2055</v>
      </c>
      <c r="E1264" s="1" t="s">
        <v>97</v>
      </c>
      <c r="F1264" s="8">
        <v>46309.0</v>
      </c>
      <c r="G1264" s="1" t="s">
        <v>71</v>
      </c>
      <c r="H1264" s="1" t="s">
        <v>2022</v>
      </c>
      <c r="K1264" s="1" t="s">
        <v>34</v>
      </c>
      <c r="L1264" s="1" t="s">
        <v>99</v>
      </c>
      <c r="O1264" s="4">
        <v>43042.0</v>
      </c>
    </row>
    <row r="1265">
      <c r="A1265" s="1" t="s">
        <v>2050</v>
      </c>
      <c r="B1265" s="1" t="s">
        <v>288</v>
      </c>
      <c r="C1265" s="1" t="s">
        <v>289</v>
      </c>
      <c r="D1265" s="1" t="s">
        <v>2056</v>
      </c>
      <c r="E1265" s="1" t="s">
        <v>97</v>
      </c>
      <c r="F1265" s="8">
        <v>46309.0</v>
      </c>
      <c r="G1265" s="1" t="s">
        <v>71</v>
      </c>
      <c r="H1265" s="1" t="s">
        <v>2022</v>
      </c>
      <c r="K1265" s="1" t="s">
        <v>34</v>
      </c>
      <c r="L1265" s="1" t="s">
        <v>99</v>
      </c>
      <c r="O1265" s="4">
        <v>43042.0</v>
      </c>
    </row>
    <row r="1266">
      <c r="A1266" s="1" t="s">
        <v>2050</v>
      </c>
      <c r="B1266" s="1" t="s">
        <v>288</v>
      </c>
      <c r="C1266" s="1" t="s">
        <v>289</v>
      </c>
      <c r="D1266" s="1" t="s">
        <v>2057</v>
      </c>
      <c r="E1266" s="1" t="s">
        <v>70</v>
      </c>
      <c r="F1266" s="8">
        <v>46309.0</v>
      </c>
      <c r="G1266" s="1" t="s">
        <v>107</v>
      </c>
      <c r="H1266" s="1" t="s">
        <v>469</v>
      </c>
      <c r="J1266" s="1" t="s">
        <v>134</v>
      </c>
      <c r="K1266" s="1" t="s">
        <v>34</v>
      </c>
      <c r="L1266" s="1" t="s">
        <v>99</v>
      </c>
      <c r="O1266" s="4">
        <v>43042.0</v>
      </c>
    </row>
    <row r="1267">
      <c r="A1267" s="1" t="s">
        <v>2050</v>
      </c>
      <c r="B1267" s="1" t="s">
        <v>288</v>
      </c>
      <c r="C1267" s="1" t="s">
        <v>289</v>
      </c>
      <c r="D1267" s="1" t="s">
        <v>2058</v>
      </c>
      <c r="E1267" s="1" t="s">
        <v>97</v>
      </c>
      <c r="F1267" s="8">
        <v>46309.0</v>
      </c>
      <c r="G1267" s="1" t="s">
        <v>71</v>
      </c>
      <c r="H1267" s="1" t="s">
        <v>2022</v>
      </c>
      <c r="K1267" s="1" t="s">
        <v>34</v>
      </c>
      <c r="L1267" s="1" t="s">
        <v>99</v>
      </c>
      <c r="O1267" s="4">
        <v>43042.0</v>
      </c>
    </row>
    <row r="1268">
      <c r="A1268" s="1" t="s">
        <v>2050</v>
      </c>
      <c r="B1268" s="1" t="s">
        <v>279</v>
      </c>
      <c r="C1268" s="1" t="s">
        <v>280</v>
      </c>
      <c r="D1268" s="1" t="s">
        <v>2059</v>
      </c>
      <c r="E1268" s="1" t="s">
        <v>97</v>
      </c>
      <c r="F1268" s="8">
        <v>46311.0</v>
      </c>
      <c r="G1268" s="1" t="s">
        <v>71</v>
      </c>
      <c r="K1268" s="1" t="s">
        <v>34</v>
      </c>
      <c r="L1268" s="1" t="s">
        <v>99</v>
      </c>
      <c r="O1268" s="4">
        <v>43440.0</v>
      </c>
    </row>
    <row r="1269">
      <c r="A1269" s="1" t="s">
        <v>2050</v>
      </c>
      <c r="B1269" s="1" t="s">
        <v>255</v>
      </c>
      <c r="C1269" s="1" t="s">
        <v>256</v>
      </c>
      <c r="D1269" s="1" t="s">
        <v>2060</v>
      </c>
      <c r="E1269" s="1" t="s">
        <v>97</v>
      </c>
      <c r="F1269" s="8">
        <v>46310.0</v>
      </c>
      <c r="G1269" s="1" t="s">
        <v>71</v>
      </c>
      <c r="H1269" s="1" t="s">
        <v>396</v>
      </c>
      <c r="K1269" s="1" t="s">
        <v>34</v>
      </c>
      <c r="L1269" s="1" t="s">
        <v>99</v>
      </c>
      <c r="O1269" s="8">
        <v>43039.0</v>
      </c>
    </row>
    <row r="1270">
      <c r="A1270" s="1" t="s">
        <v>2050</v>
      </c>
      <c r="B1270" s="1" t="s">
        <v>255</v>
      </c>
      <c r="C1270" s="1" t="s">
        <v>256</v>
      </c>
      <c r="D1270" s="1" t="s">
        <v>2061</v>
      </c>
      <c r="E1270" s="1" t="s">
        <v>97</v>
      </c>
      <c r="F1270" s="8">
        <v>46310.0</v>
      </c>
      <c r="G1270" s="1" t="s">
        <v>107</v>
      </c>
      <c r="H1270" s="1" t="s">
        <v>638</v>
      </c>
      <c r="J1270" s="1" t="s">
        <v>47</v>
      </c>
      <c r="K1270" s="1" t="s">
        <v>34</v>
      </c>
      <c r="L1270" s="1" t="s">
        <v>99</v>
      </c>
      <c r="O1270" s="8">
        <v>43039.0</v>
      </c>
    </row>
    <row r="1271">
      <c r="A1271" s="1" t="s">
        <v>2050</v>
      </c>
      <c r="B1271" s="1" t="s">
        <v>255</v>
      </c>
      <c r="C1271" s="1" t="s">
        <v>256</v>
      </c>
      <c r="D1271" s="1" t="s">
        <v>2062</v>
      </c>
      <c r="E1271" s="1" t="s">
        <v>97</v>
      </c>
      <c r="F1271" s="8">
        <v>46310.0</v>
      </c>
      <c r="G1271" s="1" t="s">
        <v>107</v>
      </c>
      <c r="H1271" s="1" t="s">
        <v>133</v>
      </c>
      <c r="J1271" s="1" t="s">
        <v>134</v>
      </c>
      <c r="K1271" s="1" t="s">
        <v>34</v>
      </c>
      <c r="L1271" s="1" t="s">
        <v>99</v>
      </c>
      <c r="O1271" s="8">
        <v>43039.0</v>
      </c>
    </row>
    <row r="1272">
      <c r="A1272" s="1" t="s">
        <v>2050</v>
      </c>
      <c r="B1272" s="1" t="s">
        <v>255</v>
      </c>
      <c r="C1272" s="1" t="s">
        <v>256</v>
      </c>
      <c r="D1272" s="1" t="s">
        <v>2063</v>
      </c>
      <c r="E1272" s="1" t="s">
        <v>97</v>
      </c>
      <c r="F1272" s="8">
        <v>46310.0</v>
      </c>
      <c r="G1272" s="1" t="s">
        <v>71</v>
      </c>
      <c r="H1272" s="1" t="s">
        <v>396</v>
      </c>
      <c r="K1272" s="1" t="s">
        <v>34</v>
      </c>
      <c r="L1272" s="1" t="s">
        <v>99</v>
      </c>
      <c r="O1272" s="8">
        <v>43039.0</v>
      </c>
    </row>
    <row r="1273">
      <c r="A1273" s="1" t="s">
        <v>2050</v>
      </c>
      <c r="B1273" s="1" t="s">
        <v>288</v>
      </c>
      <c r="C1273" s="1" t="s">
        <v>289</v>
      </c>
      <c r="D1273" s="1" t="s">
        <v>2064</v>
      </c>
      <c r="E1273" s="1" t="s">
        <v>97</v>
      </c>
      <c r="F1273" s="8">
        <v>46309.0</v>
      </c>
      <c r="G1273" s="1" t="s">
        <v>71</v>
      </c>
      <c r="H1273" s="1" t="s">
        <v>2022</v>
      </c>
      <c r="K1273" s="1" t="s">
        <v>34</v>
      </c>
      <c r="L1273" s="1" t="s">
        <v>99</v>
      </c>
      <c r="O1273" s="4">
        <v>43042.0</v>
      </c>
    </row>
    <row r="1274">
      <c r="A1274" s="1" t="s">
        <v>2050</v>
      </c>
      <c r="B1274" s="1" t="s">
        <v>288</v>
      </c>
      <c r="C1274" s="1" t="s">
        <v>289</v>
      </c>
      <c r="D1274" s="1" t="s">
        <v>2065</v>
      </c>
      <c r="E1274" s="1" t="s">
        <v>70</v>
      </c>
      <c r="F1274" s="8">
        <v>46309.0</v>
      </c>
      <c r="G1274" s="1" t="s">
        <v>71</v>
      </c>
      <c r="H1274" s="1" t="s">
        <v>2022</v>
      </c>
      <c r="K1274" s="1" t="s">
        <v>34</v>
      </c>
      <c r="L1274" s="1" t="s">
        <v>99</v>
      </c>
      <c r="O1274" s="4">
        <v>43042.0</v>
      </c>
    </row>
    <row r="1275">
      <c r="A1275" s="1" t="s">
        <v>2050</v>
      </c>
      <c r="B1275" s="1" t="s">
        <v>288</v>
      </c>
      <c r="C1275" s="1" t="s">
        <v>289</v>
      </c>
      <c r="D1275" s="1" t="s">
        <v>2066</v>
      </c>
      <c r="E1275" s="1" t="s">
        <v>70</v>
      </c>
      <c r="F1275" s="8">
        <v>46309.0</v>
      </c>
      <c r="G1275" s="1" t="s">
        <v>71</v>
      </c>
      <c r="H1275" s="1" t="s">
        <v>2022</v>
      </c>
      <c r="K1275" s="1" t="s">
        <v>34</v>
      </c>
      <c r="L1275" s="1" t="s">
        <v>99</v>
      </c>
      <c r="O1275" s="4">
        <v>43042.0</v>
      </c>
    </row>
    <row r="1276">
      <c r="A1276" s="1" t="s">
        <v>2050</v>
      </c>
      <c r="B1276" s="1" t="s">
        <v>269</v>
      </c>
      <c r="C1276" s="1" t="s">
        <v>270</v>
      </c>
      <c r="D1276" s="1" t="s">
        <v>2067</v>
      </c>
      <c r="E1276" s="1" t="s">
        <v>97</v>
      </c>
      <c r="F1276" s="8">
        <v>46316.0</v>
      </c>
      <c r="G1276" s="1" t="s">
        <v>71</v>
      </c>
      <c r="K1276" s="1" t="s">
        <v>34</v>
      </c>
      <c r="L1276" s="1" t="s">
        <v>99</v>
      </c>
      <c r="O1276" s="8">
        <v>43039.0</v>
      </c>
    </row>
    <row r="1277">
      <c r="A1277" s="1" t="s">
        <v>2050</v>
      </c>
      <c r="B1277" s="1" t="s">
        <v>269</v>
      </c>
      <c r="C1277" s="1" t="s">
        <v>270</v>
      </c>
      <c r="D1277" s="1" t="s">
        <v>2068</v>
      </c>
      <c r="E1277" s="1" t="s">
        <v>97</v>
      </c>
      <c r="F1277" s="8">
        <v>46316.0</v>
      </c>
      <c r="G1277" s="1" t="s">
        <v>71</v>
      </c>
      <c r="K1277" s="1" t="s">
        <v>34</v>
      </c>
      <c r="L1277" s="1" t="s">
        <v>99</v>
      </c>
      <c r="O1277" s="8">
        <v>43039.0</v>
      </c>
    </row>
    <row r="1278">
      <c r="A1278" s="1" t="s">
        <v>2050</v>
      </c>
      <c r="B1278" s="1" t="s">
        <v>269</v>
      </c>
      <c r="C1278" s="1" t="s">
        <v>270</v>
      </c>
      <c r="D1278" s="1" t="s">
        <v>2069</v>
      </c>
      <c r="E1278" s="1" t="s">
        <v>97</v>
      </c>
      <c r="F1278" s="8">
        <v>46316.0</v>
      </c>
      <c r="G1278" s="1" t="s">
        <v>107</v>
      </c>
      <c r="H1278" s="1" t="s">
        <v>33</v>
      </c>
      <c r="J1278" s="1" t="s">
        <v>33</v>
      </c>
      <c r="K1278" s="1" t="s">
        <v>34</v>
      </c>
      <c r="L1278" s="1" t="s">
        <v>99</v>
      </c>
      <c r="O1278" s="8">
        <v>43039.0</v>
      </c>
    </row>
    <row r="1279">
      <c r="A1279" s="1" t="s">
        <v>2050</v>
      </c>
      <c r="B1279" s="1" t="s">
        <v>269</v>
      </c>
      <c r="C1279" s="1" t="s">
        <v>270</v>
      </c>
      <c r="D1279" s="1" t="s">
        <v>2070</v>
      </c>
      <c r="E1279" s="1" t="s">
        <v>97</v>
      </c>
      <c r="F1279" s="8">
        <v>46316.0</v>
      </c>
      <c r="G1279" s="1" t="s">
        <v>71</v>
      </c>
      <c r="K1279" s="1" t="s">
        <v>34</v>
      </c>
      <c r="L1279" s="1" t="s">
        <v>99</v>
      </c>
      <c r="O1279" s="8">
        <v>43039.0</v>
      </c>
    </row>
    <row r="1280">
      <c r="A1280" s="1" t="s">
        <v>2050</v>
      </c>
      <c r="B1280" s="1" t="s">
        <v>269</v>
      </c>
      <c r="C1280" s="1" t="s">
        <v>270</v>
      </c>
      <c r="D1280" s="1" t="s">
        <v>2071</v>
      </c>
      <c r="E1280" s="1" t="s">
        <v>70</v>
      </c>
      <c r="F1280" s="8">
        <v>46316.0</v>
      </c>
      <c r="G1280" s="1" t="s">
        <v>132</v>
      </c>
      <c r="H1280" s="1" t="s">
        <v>635</v>
      </c>
      <c r="J1280" s="1" t="s">
        <v>47</v>
      </c>
      <c r="K1280" s="1" t="s">
        <v>34</v>
      </c>
      <c r="L1280" s="1" t="s">
        <v>99</v>
      </c>
      <c r="O1280" s="8">
        <v>43039.0</v>
      </c>
    </row>
    <row r="1281">
      <c r="A1281" s="1" t="s">
        <v>2050</v>
      </c>
      <c r="B1281" s="1" t="s">
        <v>269</v>
      </c>
      <c r="C1281" s="1" t="s">
        <v>270</v>
      </c>
      <c r="D1281" s="1" t="s">
        <v>2072</v>
      </c>
      <c r="E1281" s="1" t="s">
        <v>70</v>
      </c>
      <c r="F1281" s="8">
        <v>46316.0</v>
      </c>
      <c r="G1281" s="1" t="s">
        <v>107</v>
      </c>
      <c r="H1281" s="1" t="s">
        <v>2073</v>
      </c>
      <c r="J1281" s="1" t="s">
        <v>47</v>
      </c>
      <c r="K1281" s="1" t="s">
        <v>34</v>
      </c>
      <c r="L1281" s="1" t="s">
        <v>99</v>
      </c>
      <c r="O1281" s="8">
        <v>43039.0</v>
      </c>
    </row>
    <row r="1282">
      <c r="A1282" s="1" t="s">
        <v>2050</v>
      </c>
      <c r="B1282" s="1" t="s">
        <v>255</v>
      </c>
      <c r="C1282" s="1" t="s">
        <v>256</v>
      </c>
      <c r="D1282" s="1" t="s">
        <v>2074</v>
      </c>
      <c r="E1282" s="1" t="s">
        <v>97</v>
      </c>
      <c r="F1282" s="8">
        <v>46310.0</v>
      </c>
      <c r="G1282" s="1" t="s">
        <v>71</v>
      </c>
      <c r="H1282" s="1" t="s">
        <v>396</v>
      </c>
      <c r="K1282" s="1" t="s">
        <v>34</v>
      </c>
      <c r="L1282" s="1" t="s">
        <v>99</v>
      </c>
      <c r="O1282" s="8">
        <v>43039.0</v>
      </c>
    </row>
    <row r="1283">
      <c r="A1283" s="1" t="s">
        <v>2050</v>
      </c>
      <c r="B1283" s="1" t="s">
        <v>255</v>
      </c>
      <c r="C1283" s="1" t="s">
        <v>256</v>
      </c>
      <c r="D1283" s="1" t="s">
        <v>2075</v>
      </c>
      <c r="E1283" s="1" t="s">
        <v>97</v>
      </c>
      <c r="F1283" s="8">
        <v>46310.0</v>
      </c>
      <c r="G1283" s="1" t="s">
        <v>71</v>
      </c>
      <c r="H1283" s="1" t="s">
        <v>396</v>
      </c>
      <c r="K1283" s="1" t="s">
        <v>34</v>
      </c>
      <c r="L1283" s="1" t="s">
        <v>99</v>
      </c>
      <c r="O1283" s="8">
        <v>43039.0</v>
      </c>
    </row>
    <row r="1284">
      <c r="A1284" s="1" t="s">
        <v>2050</v>
      </c>
      <c r="B1284" s="1" t="s">
        <v>269</v>
      </c>
      <c r="C1284" s="1" t="s">
        <v>270</v>
      </c>
      <c r="D1284" s="1" t="s">
        <v>2076</v>
      </c>
      <c r="E1284" s="1" t="s">
        <v>70</v>
      </c>
      <c r="F1284" s="8">
        <v>46316.0</v>
      </c>
      <c r="G1284" s="1" t="s">
        <v>107</v>
      </c>
      <c r="H1284" s="1" t="s">
        <v>2073</v>
      </c>
      <c r="J1284" s="1" t="s">
        <v>47</v>
      </c>
      <c r="K1284" s="1" t="s">
        <v>34</v>
      </c>
      <c r="L1284" s="1" t="s">
        <v>99</v>
      </c>
      <c r="O1284" s="8">
        <v>43039.0</v>
      </c>
    </row>
    <row r="1285">
      <c r="A1285" s="1" t="s">
        <v>2050</v>
      </c>
      <c r="B1285" s="1" t="s">
        <v>269</v>
      </c>
      <c r="C1285" s="1" t="s">
        <v>270</v>
      </c>
      <c r="D1285" s="1" t="s">
        <v>2077</v>
      </c>
      <c r="E1285" s="1" t="s">
        <v>70</v>
      </c>
      <c r="F1285" s="8">
        <v>46316.0</v>
      </c>
      <c r="G1285" s="1" t="s">
        <v>132</v>
      </c>
      <c r="H1285" s="1" t="s">
        <v>533</v>
      </c>
      <c r="J1285" s="1" t="s">
        <v>47</v>
      </c>
      <c r="K1285" s="1" t="s">
        <v>34</v>
      </c>
      <c r="L1285" s="1" t="s">
        <v>99</v>
      </c>
      <c r="O1285" s="8">
        <v>43039.0</v>
      </c>
    </row>
    <row r="1286">
      <c r="A1286" s="1" t="s">
        <v>2078</v>
      </c>
      <c r="B1286" s="1" t="s">
        <v>43</v>
      </c>
      <c r="C1286" s="1" t="s">
        <v>259</v>
      </c>
      <c r="D1286" s="1" t="s">
        <v>2079</v>
      </c>
      <c r="E1286" s="1" t="s">
        <v>32</v>
      </c>
      <c r="F1286" s="4">
        <v>46226.0</v>
      </c>
      <c r="H1286" s="1" t="s">
        <v>33</v>
      </c>
      <c r="K1286" s="1" t="s">
        <v>34</v>
      </c>
      <c r="L1286" s="1" t="s">
        <v>35</v>
      </c>
      <c r="N1286" s="4">
        <v>46226.0</v>
      </c>
      <c r="O1286" s="4">
        <v>46226.0</v>
      </c>
    </row>
    <row r="1287">
      <c r="A1287" s="1" t="s">
        <v>2078</v>
      </c>
      <c r="B1287" s="1" t="s">
        <v>43</v>
      </c>
      <c r="C1287" s="1" t="s">
        <v>259</v>
      </c>
      <c r="D1287" s="1" t="s">
        <v>2080</v>
      </c>
      <c r="E1287" s="1" t="s">
        <v>32</v>
      </c>
      <c r="F1287" s="4">
        <v>46226.0</v>
      </c>
      <c r="H1287" s="1" t="s">
        <v>33</v>
      </c>
      <c r="K1287" s="1" t="s">
        <v>34</v>
      </c>
      <c r="L1287" s="1" t="s">
        <v>35</v>
      </c>
      <c r="N1287" s="4">
        <v>46226.0</v>
      </c>
      <c r="O1287" s="4">
        <v>46226.0</v>
      </c>
    </row>
    <row r="1288">
      <c r="A1288" s="1" t="s">
        <v>2078</v>
      </c>
      <c r="B1288" s="1" t="s">
        <v>43</v>
      </c>
      <c r="C1288" s="1" t="s">
        <v>259</v>
      </c>
      <c r="D1288" s="1" t="s">
        <v>2081</v>
      </c>
      <c r="E1288" s="1" t="s">
        <v>32</v>
      </c>
      <c r="F1288" s="4">
        <v>46226.0</v>
      </c>
      <c r="H1288" s="1" t="s">
        <v>33</v>
      </c>
      <c r="K1288" s="1" t="s">
        <v>34</v>
      </c>
      <c r="L1288" s="1" t="s">
        <v>35</v>
      </c>
      <c r="N1288" s="4">
        <v>46226.0</v>
      </c>
      <c r="O1288" s="4">
        <v>46226.0</v>
      </c>
    </row>
    <row r="1289">
      <c r="A1289" s="1" t="s">
        <v>2078</v>
      </c>
      <c r="B1289" s="1" t="s">
        <v>43</v>
      </c>
      <c r="C1289" s="1" t="s">
        <v>259</v>
      </c>
      <c r="D1289" s="1" t="s">
        <v>2082</v>
      </c>
      <c r="E1289" s="1" t="s">
        <v>32</v>
      </c>
      <c r="F1289" s="4">
        <v>46226.0</v>
      </c>
      <c r="H1289" s="1" t="s">
        <v>33</v>
      </c>
      <c r="K1289" s="1" t="s">
        <v>34</v>
      </c>
      <c r="L1289" s="1" t="s">
        <v>35</v>
      </c>
      <c r="N1289" s="4">
        <v>46226.0</v>
      </c>
      <c r="O1289" s="4">
        <v>46226.0</v>
      </c>
    </row>
    <row r="1290">
      <c r="A1290" s="1" t="s">
        <v>2083</v>
      </c>
      <c r="B1290" s="1" t="s">
        <v>2084</v>
      </c>
      <c r="C1290" s="1" t="s">
        <v>2085</v>
      </c>
      <c r="D1290" s="1" t="s">
        <v>2086</v>
      </c>
      <c r="E1290" s="1" t="s">
        <v>32</v>
      </c>
      <c r="F1290" s="8">
        <v>46013.0</v>
      </c>
      <c r="H1290" s="1" t="s">
        <v>33</v>
      </c>
      <c r="K1290" s="1" t="s">
        <v>34</v>
      </c>
      <c r="L1290" s="1" t="s">
        <v>35</v>
      </c>
      <c r="N1290" s="8">
        <v>46013.0</v>
      </c>
      <c r="O1290" s="8">
        <v>46013.0</v>
      </c>
    </row>
    <row r="1291">
      <c r="A1291" s="1" t="s">
        <v>2083</v>
      </c>
      <c r="B1291" s="1" t="s">
        <v>2084</v>
      </c>
      <c r="C1291" s="1" t="s">
        <v>2085</v>
      </c>
      <c r="D1291" s="1" t="s">
        <v>2087</v>
      </c>
      <c r="E1291" s="1" t="s">
        <v>32</v>
      </c>
      <c r="F1291" s="8">
        <v>46013.0</v>
      </c>
      <c r="H1291" s="1" t="s">
        <v>33</v>
      </c>
      <c r="K1291" s="1" t="s">
        <v>34</v>
      </c>
      <c r="L1291" s="1" t="s">
        <v>35</v>
      </c>
      <c r="N1291" s="8">
        <v>46013.0</v>
      </c>
      <c r="O1291" s="8">
        <v>46013.0</v>
      </c>
    </row>
    <row r="1292">
      <c r="A1292" s="1" t="s">
        <v>2088</v>
      </c>
      <c r="B1292" s="1" t="s">
        <v>255</v>
      </c>
      <c r="C1292" s="1" t="s">
        <v>256</v>
      </c>
      <c r="D1292" s="1" t="s">
        <v>2089</v>
      </c>
      <c r="E1292" s="1" t="s">
        <v>32</v>
      </c>
      <c r="F1292" s="8">
        <v>45959.0</v>
      </c>
      <c r="H1292" s="1" t="s">
        <v>33</v>
      </c>
      <c r="K1292" s="1" t="s">
        <v>235</v>
      </c>
      <c r="L1292" s="1" t="s">
        <v>35</v>
      </c>
      <c r="N1292" s="8">
        <v>45959.0</v>
      </c>
      <c r="O1292" s="8">
        <v>45959.0</v>
      </c>
    </row>
    <row r="1293">
      <c r="A1293" s="1" t="s">
        <v>2090</v>
      </c>
      <c r="B1293" s="1" t="s">
        <v>2091</v>
      </c>
      <c r="C1293" s="1" t="s">
        <v>2092</v>
      </c>
      <c r="D1293" s="1" t="s">
        <v>2093</v>
      </c>
      <c r="E1293" s="1" t="s">
        <v>32</v>
      </c>
      <c r="F1293" s="4">
        <v>46106.0</v>
      </c>
      <c r="H1293" s="1" t="s">
        <v>33</v>
      </c>
      <c r="K1293" s="1" t="s">
        <v>366</v>
      </c>
      <c r="L1293" s="1" t="s">
        <v>35</v>
      </c>
      <c r="N1293" s="4">
        <v>46106.0</v>
      </c>
      <c r="O1293" s="4">
        <v>46106.0</v>
      </c>
    </row>
    <row r="1294">
      <c r="A1294" s="1" t="s">
        <v>2090</v>
      </c>
      <c r="B1294" s="1" t="s">
        <v>2091</v>
      </c>
      <c r="C1294" s="1" t="s">
        <v>2092</v>
      </c>
      <c r="D1294" s="1" t="s">
        <v>2094</v>
      </c>
      <c r="E1294" s="1" t="s">
        <v>32</v>
      </c>
      <c r="F1294" s="4">
        <v>46106.0</v>
      </c>
      <c r="H1294" s="1" t="s">
        <v>33</v>
      </c>
      <c r="K1294" s="1" t="s">
        <v>366</v>
      </c>
      <c r="L1294" s="1" t="s">
        <v>35</v>
      </c>
      <c r="N1294" s="4">
        <v>46106.0</v>
      </c>
      <c r="O1294" s="4">
        <v>46106.0</v>
      </c>
    </row>
    <row r="1295">
      <c r="A1295" s="1" t="s">
        <v>2090</v>
      </c>
      <c r="B1295" s="1" t="s">
        <v>2091</v>
      </c>
      <c r="C1295" s="1" t="s">
        <v>2092</v>
      </c>
      <c r="D1295" s="1" t="s">
        <v>2095</v>
      </c>
      <c r="E1295" s="1" t="s">
        <v>32</v>
      </c>
      <c r="F1295" s="4">
        <v>46106.0</v>
      </c>
      <c r="H1295" s="1" t="s">
        <v>33</v>
      </c>
      <c r="K1295" s="1" t="s">
        <v>366</v>
      </c>
      <c r="L1295" s="1" t="s">
        <v>35</v>
      </c>
      <c r="N1295" s="4">
        <v>46106.0</v>
      </c>
      <c r="O1295" s="4">
        <v>46106.0</v>
      </c>
    </row>
    <row r="1296">
      <c r="A1296" s="1" t="s">
        <v>2090</v>
      </c>
      <c r="B1296" s="1" t="s">
        <v>2091</v>
      </c>
      <c r="C1296" s="1" t="s">
        <v>2092</v>
      </c>
      <c r="D1296" s="1" t="s">
        <v>2096</v>
      </c>
      <c r="E1296" s="1" t="s">
        <v>32</v>
      </c>
      <c r="F1296" s="4">
        <v>46106.0</v>
      </c>
      <c r="H1296" s="1" t="s">
        <v>33</v>
      </c>
      <c r="K1296" s="1" t="s">
        <v>366</v>
      </c>
      <c r="L1296" s="1" t="s">
        <v>35</v>
      </c>
      <c r="N1296" s="4">
        <v>46106.0</v>
      </c>
      <c r="O1296" s="4">
        <v>46106.0</v>
      </c>
    </row>
    <row r="1297">
      <c r="A1297" s="1" t="s">
        <v>2090</v>
      </c>
      <c r="B1297" s="1" t="s">
        <v>2091</v>
      </c>
      <c r="C1297" s="1" t="s">
        <v>2092</v>
      </c>
      <c r="D1297" s="1" t="s">
        <v>2097</v>
      </c>
      <c r="E1297" s="1" t="s">
        <v>32</v>
      </c>
      <c r="F1297" s="4">
        <v>46106.0</v>
      </c>
      <c r="H1297" s="1" t="s">
        <v>33</v>
      </c>
      <c r="K1297" s="1" t="s">
        <v>366</v>
      </c>
      <c r="L1297" s="1" t="s">
        <v>35</v>
      </c>
      <c r="N1297" s="4">
        <v>46106.0</v>
      </c>
      <c r="O1297" s="4">
        <v>46106.0</v>
      </c>
    </row>
    <row r="1298">
      <c r="A1298" s="1" t="s">
        <v>2090</v>
      </c>
      <c r="B1298" s="1" t="s">
        <v>2091</v>
      </c>
      <c r="C1298" s="1" t="s">
        <v>2092</v>
      </c>
      <c r="D1298" s="1" t="s">
        <v>2098</v>
      </c>
      <c r="E1298" s="1" t="s">
        <v>32</v>
      </c>
      <c r="F1298" s="4">
        <v>46106.0</v>
      </c>
      <c r="H1298" s="1" t="s">
        <v>33</v>
      </c>
      <c r="K1298" s="1" t="s">
        <v>366</v>
      </c>
      <c r="L1298" s="1" t="s">
        <v>35</v>
      </c>
      <c r="N1298" s="4">
        <v>46106.0</v>
      </c>
      <c r="O1298" s="4">
        <v>46106.0</v>
      </c>
    </row>
    <row r="1299">
      <c r="A1299" s="1" t="s">
        <v>2090</v>
      </c>
      <c r="B1299" s="1" t="s">
        <v>2091</v>
      </c>
      <c r="C1299" s="1" t="s">
        <v>2092</v>
      </c>
      <c r="D1299" s="1" t="s">
        <v>2099</v>
      </c>
      <c r="E1299" s="1" t="s">
        <v>32</v>
      </c>
      <c r="F1299" s="4">
        <v>46106.0</v>
      </c>
      <c r="H1299" s="1" t="s">
        <v>33</v>
      </c>
      <c r="K1299" s="1" t="s">
        <v>366</v>
      </c>
      <c r="L1299" s="1" t="s">
        <v>35</v>
      </c>
      <c r="N1299" s="4">
        <v>46106.0</v>
      </c>
      <c r="O1299" s="4">
        <v>46106.0</v>
      </c>
    </row>
    <row r="1300">
      <c r="A1300" s="1" t="s">
        <v>2090</v>
      </c>
      <c r="B1300" s="1" t="s">
        <v>2091</v>
      </c>
      <c r="C1300" s="1" t="s">
        <v>2092</v>
      </c>
      <c r="D1300" s="1" t="s">
        <v>2100</v>
      </c>
      <c r="E1300" s="1" t="s">
        <v>32</v>
      </c>
      <c r="F1300" s="4">
        <v>46106.0</v>
      </c>
      <c r="H1300" s="1" t="s">
        <v>33</v>
      </c>
      <c r="K1300" s="1" t="s">
        <v>366</v>
      </c>
      <c r="L1300" s="1" t="s">
        <v>35</v>
      </c>
      <c r="N1300" s="4">
        <v>46106.0</v>
      </c>
      <c r="O1300" s="4">
        <v>46106.0</v>
      </c>
    </row>
    <row r="1301">
      <c r="A1301" s="1" t="s">
        <v>2090</v>
      </c>
      <c r="B1301" s="1" t="s">
        <v>2091</v>
      </c>
      <c r="C1301" s="1" t="s">
        <v>2092</v>
      </c>
      <c r="D1301" s="1" t="s">
        <v>2101</v>
      </c>
      <c r="E1301" s="1" t="s">
        <v>32</v>
      </c>
      <c r="F1301" s="4">
        <v>46106.0</v>
      </c>
      <c r="H1301" s="1" t="s">
        <v>33</v>
      </c>
      <c r="K1301" s="1" t="s">
        <v>366</v>
      </c>
      <c r="L1301" s="1" t="s">
        <v>35</v>
      </c>
      <c r="N1301" s="4">
        <v>46106.0</v>
      </c>
      <c r="O1301" s="4">
        <v>46106.0</v>
      </c>
    </row>
    <row r="1302">
      <c r="A1302" s="1" t="s">
        <v>2090</v>
      </c>
      <c r="B1302" s="1" t="s">
        <v>2091</v>
      </c>
      <c r="C1302" s="1" t="s">
        <v>2092</v>
      </c>
      <c r="D1302" s="1" t="s">
        <v>2102</v>
      </c>
      <c r="E1302" s="1" t="s">
        <v>32</v>
      </c>
      <c r="F1302" s="4">
        <v>46106.0</v>
      </c>
      <c r="H1302" s="1" t="s">
        <v>33</v>
      </c>
      <c r="K1302" s="1" t="s">
        <v>366</v>
      </c>
      <c r="L1302" s="1" t="s">
        <v>35</v>
      </c>
      <c r="N1302" s="4">
        <v>46106.0</v>
      </c>
      <c r="O1302" s="4">
        <v>46106.0</v>
      </c>
    </row>
    <row r="1303">
      <c r="A1303" s="1" t="s">
        <v>2090</v>
      </c>
      <c r="B1303" s="1" t="s">
        <v>2091</v>
      </c>
      <c r="C1303" s="1" t="s">
        <v>2092</v>
      </c>
      <c r="D1303" s="1" t="s">
        <v>2103</v>
      </c>
      <c r="E1303" s="1" t="s">
        <v>32</v>
      </c>
      <c r="F1303" s="4">
        <v>46106.0</v>
      </c>
      <c r="H1303" s="1" t="s">
        <v>33</v>
      </c>
      <c r="K1303" s="1" t="s">
        <v>366</v>
      </c>
      <c r="L1303" s="1" t="s">
        <v>35</v>
      </c>
      <c r="N1303" s="4">
        <v>46106.0</v>
      </c>
      <c r="O1303" s="4">
        <v>46106.0</v>
      </c>
    </row>
    <row r="1304">
      <c r="A1304" s="1" t="s">
        <v>2090</v>
      </c>
      <c r="B1304" s="1" t="s">
        <v>2091</v>
      </c>
      <c r="C1304" s="1" t="s">
        <v>2092</v>
      </c>
      <c r="D1304" s="1" t="s">
        <v>2104</v>
      </c>
      <c r="E1304" s="1" t="s">
        <v>32</v>
      </c>
      <c r="F1304" s="4">
        <v>46106.0</v>
      </c>
      <c r="H1304" s="1" t="s">
        <v>33</v>
      </c>
      <c r="K1304" s="1" t="s">
        <v>366</v>
      </c>
      <c r="L1304" s="1" t="s">
        <v>35</v>
      </c>
      <c r="N1304" s="4">
        <v>46106.0</v>
      </c>
      <c r="O1304" s="4">
        <v>46106.0</v>
      </c>
    </row>
    <row r="1305">
      <c r="A1305" s="1" t="s">
        <v>2090</v>
      </c>
      <c r="B1305" s="1" t="s">
        <v>2091</v>
      </c>
      <c r="C1305" s="1" t="s">
        <v>2092</v>
      </c>
      <c r="D1305" s="1" t="s">
        <v>2105</v>
      </c>
      <c r="E1305" s="1" t="s">
        <v>32</v>
      </c>
      <c r="F1305" s="4">
        <v>46106.0</v>
      </c>
      <c r="H1305" s="1" t="s">
        <v>33</v>
      </c>
      <c r="K1305" s="1" t="s">
        <v>366</v>
      </c>
      <c r="L1305" s="1" t="s">
        <v>35</v>
      </c>
      <c r="N1305" s="4">
        <v>46106.0</v>
      </c>
      <c r="O1305" s="4">
        <v>46106.0</v>
      </c>
    </row>
    <row r="1306">
      <c r="A1306" s="1" t="s">
        <v>2090</v>
      </c>
      <c r="B1306" s="1" t="s">
        <v>2091</v>
      </c>
      <c r="C1306" s="1" t="s">
        <v>2092</v>
      </c>
      <c r="D1306" s="1" t="s">
        <v>2106</v>
      </c>
      <c r="E1306" s="1" t="s">
        <v>32</v>
      </c>
      <c r="F1306" s="4">
        <v>46106.0</v>
      </c>
      <c r="H1306" s="1" t="s">
        <v>33</v>
      </c>
      <c r="K1306" s="1" t="s">
        <v>366</v>
      </c>
      <c r="L1306" s="1" t="s">
        <v>35</v>
      </c>
      <c r="N1306" s="4">
        <v>46106.0</v>
      </c>
      <c r="O1306" s="4">
        <v>46106.0</v>
      </c>
    </row>
    <row r="1307">
      <c r="A1307" s="1" t="s">
        <v>2090</v>
      </c>
      <c r="B1307" s="1" t="s">
        <v>2091</v>
      </c>
      <c r="C1307" s="1" t="s">
        <v>2092</v>
      </c>
      <c r="D1307" s="1" t="s">
        <v>2107</v>
      </c>
      <c r="E1307" s="1" t="s">
        <v>32</v>
      </c>
      <c r="F1307" s="4">
        <v>46106.0</v>
      </c>
      <c r="H1307" s="1" t="s">
        <v>33</v>
      </c>
      <c r="K1307" s="1" t="s">
        <v>366</v>
      </c>
      <c r="L1307" s="1" t="s">
        <v>35</v>
      </c>
      <c r="N1307" s="4">
        <v>46106.0</v>
      </c>
      <c r="O1307" s="4">
        <v>46106.0</v>
      </c>
    </row>
    <row r="1308">
      <c r="A1308" s="1" t="s">
        <v>2090</v>
      </c>
      <c r="B1308" s="1" t="s">
        <v>2091</v>
      </c>
      <c r="C1308" s="1" t="s">
        <v>2092</v>
      </c>
      <c r="D1308" s="1" t="s">
        <v>2108</v>
      </c>
      <c r="E1308" s="1" t="s">
        <v>32</v>
      </c>
      <c r="F1308" s="4">
        <v>46106.0</v>
      </c>
      <c r="H1308" s="1" t="s">
        <v>33</v>
      </c>
      <c r="K1308" s="1" t="s">
        <v>366</v>
      </c>
      <c r="L1308" s="1" t="s">
        <v>35</v>
      </c>
      <c r="N1308" s="4">
        <v>46106.0</v>
      </c>
      <c r="O1308" s="4">
        <v>46106.0</v>
      </c>
    </row>
    <row r="1309">
      <c r="A1309" s="1" t="s">
        <v>2109</v>
      </c>
      <c r="B1309" s="1" t="s">
        <v>255</v>
      </c>
      <c r="C1309" s="1" t="s">
        <v>256</v>
      </c>
      <c r="D1309" s="1" t="s">
        <v>2110</v>
      </c>
      <c r="E1309" s="1" t="s">
        <v>32</v>
      </c>
      <c r="F1309" s="4">
        <v>46034.0</v>
      </c>
      <c r="H1309" s="1" t="s">
        <v>33</v>
      </c>
      <c r="K1309" s="1" t="s">
        <v>34</v>
      </c>
      <c r="L1309" s="1" t="s">
        <v>35</v>
      </c>
      <c r="N1309" s="4">
        <v>46034.0</v>
      </c>
      <c r="O1309" s="4">
        <v>46034.0</v>
      </c>
    </row>
    <row r="1310">
      <c r="A1310" s="1" t="s">
        <v>2111</v>
      </c>
      <c r="B1310" s="1" t="s">
        <v>2112</v>
      </c>
      <c r="C1310" s="1" t="s">
        <v>2113</v>
      </c>
      <c r="D1310" s="1" t="s">
        <v>2114</v>
      </c>
      <c r="E1310" s="1" t="s">
        <v>32</v>
      </c>
      <c r="F1310" s="4">
        <v>45992.0</v>
      </c>
      <c r="H1310" s="1" t="s">
        <v>2115</v>
      </c>
      <c r="K1310" s="1" t="s">
        <v>254</v>
      </c>
      <c r="L1310" s="1" t="s">
        <v>35</v>
      </c>
      <c r="N1310" s="4">
        <v>45992.0</v>
      </c>
      <c r="O1310" s="4">
        <v>45992.0</v>
      </c>
    </row>
    <row r="1311">
      <c r="A1311" s="1" t="s">
        <v>2111</v>
      </c>
      <c r="B1311" s="1" t="s">
        <v>2112</v>
      </c>
      <c r="C1311" s="1" t="s">
        <v>2113</v>
      </c>
      <c r="D1311" s="1" t="s">
        <v>2116</v>
      </c>
      <c r="E1311" s="1" t="s">
        <v>32</v>
      </c>
      <c r="F1311" s="4">
        <v>45992.0</v>
      </c>
      <c r="H1311" s="1" t="s">
        <v>2115</v>
      </c>
      <c r="K1311" s="1" t="s">
        <v>254</v>
      </c>
      <c r="L1311" s="1" t="s">
        <v>35</v>
      </c>
      <c r="N1311" s="4">
        <v>45992.0</v>
      </c>
      <c r="O1311" s="4">
        <v>45992.0</v>
      </c>
    </row>
    <row r="1312">
      <c r="A1312" s="1" t="s">
        <v>2117</v>
      </c>
      <c r="B1312" s="1" t="s">
        <v>776</v>
      </c>
      <c r="C1312" s="1" t="s">
        <v>777</v>
      </c>
      <c r="D1312" s="1" t="s">
        <v>2118</v>
      </c>
      <c r="E1312" s="1" t="s">
        <v>32</v>
      </c>
      <c r="F1312" s="4">
        <v>46122.0</v>
      </c>
      <c r="H1312" s="1" t="s">
        <v>33</v>
      </c>
      <c r="K1312" s="1" t="s">
        <v>1536</v>
      </c>
      <c r="L1312" s="1" t="s">
        <v>35</v>
      </c>
      <c r="N1312" s="4">
        <v>46122.0</v>
      </c>
      <c r="O1312" s="4">
        <v>46122.0</v>
      </c>
    </row>
    <row r="1313">
      <c r="A1313" s="1" t="s">
        <v>2119</v>
      </c>
      <c r="B1313" s="1" t="s">
        <v>1835</v>
      </c>
      <c r="C1313" s="1" t="s">
        <v>2120</v>
      </c>
      <c r="D1313" s="1" t="s">
        <v>2121</v>
      </c>
      <c r="E1313" s="1" t="s">
        <v>32</v>
      </c>
      <c r="F1313" s="4">
        <v>46126.0</v>
      </c>
      <c r="H1313" s="1" t="s">
        <v>33</v>
      </c>
      <c r="K1313" s="1" t="s">
        <v>34</v>
      </c>
      <c r="L1313" s="1" t="s">
        <v>35</v>
      </c>
      <c r="N1313" s="4">
        <v>46126.0</v>
      </c>
      <c r="O1313" s="4">
        <v>46126.0</v>
      </c>
    </row>
    <row r="1314">
      <c r="A1314" s="1" t="s">
        <v>2122</v>
      </c>
      <c r="B1314" s="1" t="s">
        <v>255</v>
      </c>
      <c r="C1314" s="1" t="s">
        <v>1483</v>
      </c>
      <c r="D1314" s="1" t="s">
        <v>2123</v>
      </c>
      <c r="E1314" s="1" t="s">
        <v>32</v>
      </c>
      <c r="F1314" s="4">
        <v>46078.0</v>
      </c>
      <c r="H1314" s="1" t="s">
        <v>242</v>
      </c>
      <c r="K1314" s="1" t="s">
        <v>254</v>
      </c>
      <c r="L1314" s="1" t="s">
        <v>35</v>
      </c>
      <c r="N1314" s="4">
        <v>46078.0</v>
      </c>
      <c r="O1314" s="4">
        <v>46078.0</v>
      </c>
    </row>
    <row r="1315">
      <c r="A1315" s="1" t="s">
        <v>2122</v>
      </c>
      <c r="B1315" s="1" t="s">
        <v>255</v>
      </c>
      <c r="C1315" s="1" t="s">
        <v>1483</v>
      </c>
      <c r="D1315" s="1" t="s">
        <v>2124</v>
      </c>
      <c r="E1315" s="1" t="s">
        <v>32</v>
      </c>
      <c r="F1315" s="4">
        <v>46078.0</v>
      </c>
      <c r="H1315" s="1" t="s">
        <v>242</v>
      </c>
      <c r="K1315" s="1" t="s">
        <v>254</v>
      </c>
      <c r="L1315" s="1" t="s">
        <v>35</v>
      </c>
      <c r="N1315" s="4">
        <v>46078.0</v>
      </c>
      <c r="O1315" s="4">
        <v>46078.0</v>
      </c>
    </row>
    <row r="1316">
      <c r="A1316" s="1" t="s">
        <v>2122</v>
      </c>
      <c r="B1316" s="1" t="s">
        <v>1013</v>
      </c>
      <c r="C1316" s="1" t="s">
        <v>1346</v>
      </c>
      <c r="D1316" s="1" t="s">
        <v>2125</v>
      </c>
      <c r="E1316" s="1" t="s">
        <v>32</v>
      </c>
      <c r="F1316" s="4">
        <v>46202.0</v>
      </c>
      <c r="H1316" s="1" t="s">
        <v>2126</v>
      </c>
      <c r="K1316" s="1" t="s">
        <v>254</v>
      </c>
      <c r="L1316" s="1" t="s">
        <v>35</v>
      </c>
      <c r="N1316" s="4">
        <v>46202.0</v>
      </c>
      <c r="O1316" s="4">
        <v>46202.0</v>
      </c>
    </row>
    <row r="1317">
      <c r="A1317" s="1" t="s">
        <v>2122</v>
      </c>
      <c r="B1317" s="1" t="s">
        <v>1013</v>
      </c>
      <c r="C1317" s="1" t="s">
        <v>1346</v>
      </c>
      <c r="D1317" s="1" t="s">
        <v>2127</v>
      </c>
      <c r="E1317" s="1" t="s">
        <v>32</v>
      </c>
      <c r="F1317" s="4">
        <v>46202.0</v>
      </c>
      <c r="H1317" s="1" t="s">
        <v>2126</v>
      </c>
      <c r="K1317" s="1" t="s">
        <v>254</v>
      </c>
      <c r="L1317" s="1" t="s">
        <v>35</v>
      </c>
      <c r="N1317" s="4">
        <v>46202.0</v>
      </c>
      <c r="O1317" s="4">
        <v>46202.0</v>
      </c>
    </row>
    <row r="1318">
      <c r="A1318" s="1" t="s">
        <v>2128</v>
      </c>
      <c r="B1318" s="1" t="s">
        <v>342</v>
      </c>
      <c r="C1318" s="1" t="s">
        <v>346</v>
      </c>
      <c r="D1318" s="1" t="s">
        <v>2129</v>
      </c>
      <c r="E1318" s="1" t="s">
        <v>32</v>
      </c>
      <c r="F1318" s="4">
        <v>46134.0</v>
      </c>
      <c r="H1318" s="1" t="s">
        <v>2130</v>
      </c>
      <c r="K1318" s="1" t="s">
        <v>254</v>
      </c>
      <c r="L1318" s="1" t="s">
        <v>35</v>
      </c>
      <c r="N1318" s="4">
        <v>46134.0</v>
      </c>
      <c r="O1318" s="4">
        <v>46134.0</v>
      </c>
    </row>
    <row r="1319">
      <c r="A1319" s="1" t="s">
        <v>2128</v>
      </c>
      <c r="B1319" s="1" t="s">
        <v>342</v>
      </c>
      <c r="C1319" s="1" t="s">
        <v>346</v>
      </c>
      <c r="D1319" s="1" t="s">
        <v>2131</v>
      </c>
      <c r="E1319" s="1" t="s">
        <v>32</v>
      </c>
      <c r="F1319" s="4">
        <v>46134.0</v>
      </c>
      <c r="H1319" s="1" t="s">
        <v>2132</v>
      </c>
      <c r="K1319" s="1" t="s">
        <v>254</v>
      </c>
      <c r="L1319" s="1" t="s">
        <v>35</v>
      </c>
      <c r="N1319" s="4">
        <v>46134.0</v>
      </c>
      <c r="O1319" s="4">
        <v>46134.0</v>
      </c>
    </row>
    <row r="1320">
      <c r="A1320" s="1" t="s">
        <v>2133</v>
      </c>
      <c r="B1320" s="1" t="s">
        <v>63</v>
      </c>
      <c r="C1320" s="1" t="s">
        <v>64</v>
      </c>
      <c r="D1320" s="1" t="s">
        <v>2134</v>
      </c>
      <c r="E1320" s="1" t="s">
        <v>32</v>
      </c>
      <c r="F1320" s="8">
        <v>45975.0</v>
      </c>
      <c r="H1320" s="1" t="s">
        <v>33</v>
      </c>
      <c r="K1320" s="1" t="s">
        <v>98</v>
      </c>
      <c r="L1320" s="1" t="s">
        <v>35</v>
      </c>
      <c r="N1320" s="8">
        <v>45975.0</v>
      </c>
      <c r="O1320" s="8">
        <v>45975.0</v>
      </c>
    </row>
    <row r="1321">
      <c r="A1321" s="1" t="s">
        <v>2135</v>
      </c>
      <c r="B1321" s="1" t="s">
        <v>2136</v>
      </c>
      <c r="C1321" s="1" t="s">
        <v>2137</v>
      </c>
      <c r="D1321" s="1" t="s">
        <v>2138</v>
      </c>
      <c r="E1321" s="1" t="s">
        <v>32</v>
      </c>
      <c r="F1321" s="4">
        <v>46265.0</v>
      </c>
      <c r="H1321" s="1" t="s">
        <v>33</v>
      </c>
      <c r="K1321" s="1" t="s">
        <v>2139</v>
      </c>
      <c r="L1321" s="1" t="s">
        <v>35</v>
      </c>
      <c r="N1321" s="4">
        <v>46265.0</v>
      </c>
      <c r="O1321" s="4">
        <v>46265.0</v>
      </c>
    </row>
    <row r="1322">
      <c r="A1322" s="1" t="s">
        <v>2140</v>
      </c>
      <c r="B1322" s="1" t="s">
        <v>2141</v>
      </c>
      <c r="C1322" s="1" t="s">
        <v>2142</v>
      </c>
      <c r="D1322" s="1" t="s">
        <v>2143</v>
      </c>
      <c r="E1322" s="1" t="s">
        <v>70</v>
      </c>
      <c r="F1322" s="4">
        <v>46261.0</v>
      </c>
      <c r="I1322" s="1" t="s">
        <v>2144</v>
      </c>
      <c r="K1322" s="1" t="s">
        <v>267</v>
      </c>
      <c r="L1322" s="1" t="s">
        <v>73</v>
      </c>
      <c r="M1322" s="4">
        <v>46261.0</v>
      </c>
      <c r="O1322" s="4">
        <v>45681.0</v>
      </c>
    </row>
    <row r="1323">
      <c r="A1323" s="1" t="s">
        <v>2140</v>
      </c>
      <c r="B1323" s="1" t="s">
        <v>2141</v>
      </c>
      <c r="C1323" s="1" t="s">
        <v>2142</v>
      </c>
      <c r="D1323" s="1" t="s">
        <v>2145</v>
      </c>
      <c r="E1323" s="1" t="s">
        <v>70</v>
      </c>
      <c r="F1323" s="4">
        <v>46261.0</v>
      </c>
      <c r="I1323" s="1" t="s">
        <v>2144</v>
      </c>
      <c r="K1323" s="1" t="s">
        <v>267</v>
      </c>
      <c r="L1323" s="1" t="s">
        <v>73</v>
      </c>
      <c r="M1323" s="4">
        <v>46261.0</v>
      </c>
      <c r="O1323" s="4">
        <v>45681.0</v>
      </c>
    </row>
    <row r="1324">
      <c r="A1324" s="1" t="s">
        <v>2146</v>
      </c>
      <c r="B1324" s="1" t="s">
        <v>2147</v>
      </c>
      <c r="C1324" s="1" t="s">
        <v>2148</v>
      </c>
      <c r="D1324" s="1" t="s">
        <v>2149</v>
      </c>
      <c r="E1324" s="1" t="s">
        <v>97</v>
      </c>
      <c r="F1324" s="4">
        <v>46280.0</v>
      </c>
      <c r="G1324" s="1" t="s">
        <v>71</v>
      </c>
      <c r="K1324" s="1" t="s">
        <v>235</v>
      </c>
      <c r="L1324" s="1" t="s">
        <v>99</v>
      </c>
      <c r="O1324" s="4">
        <v>45042.0</v>
      </c>
      <c r="T1324" s="19" t="s">
        <v>2150</v>
      </c>
    </row>
    <row r="1325">
      <c r="A1325" s="1" t="s">
        <v>2146</v>
      </c>
      <c r="B1325" s="1" t="s">
        <v>342</v>
      </c>
      <c r="C1325" s="1" t="s">
        <v>346</v>
      </c>
      <c r="D1325" s="1" t="s">
        <v>2151</v>
      </c>
      <c r="E1325" s="1" t="s">
        <v>70</v>
      </c>
      <c r="F1325" s="8">
        <v>46316.0</v>
      </c>
      <c r="G1325" s="1" t="s">
        <v>107</v>
      </c>
      <c r="H1325" s="1" t="s">
        <v>2152</v>
      </c>
      <c r="J1325" s="1" t="s">
        <v>47</v>
      </c>
      <c r="K1325" s="1" t="s">
        <v>235</v>
      </c>
      <c r="L1325" s="1" t="s">
        <v>99</v>
      </c>
      <c r="O1325" s="4">
        <v>45042.0</v>
      </c>
      <c r="T1325" s="19" t="s">
        <v>2153</v>
      </c>
    </row>
    <row r="1326">
      <c r="A1326" s="1" t="s">
        <v>2146</v>
      </c>
      <c r="B1326" s="1" t="s">
        <v>342</v>
      </c>
      <c r="C1326" s="1" t="s">
        <v>346</v>
      </c>
      <c r="D1326" s="1" t="s">
        <v>2154</v>
      </c>
      <c r="E1326" s="1" t="s">
        <v>70</v>
      </c>
      <c r="F1326" s="8">
        <v>46316.0</v>
      </c>
      <c r="G1326" s="1" t="s">
        <v>132</v>
      </c>
      <c r="H1326" s="1" t="s">
        <v>2155</v>
      </c>
      <c r="J1326" s="1" t="s">
        <v>47</v>
      </c>
      <c r="K1326" s="1" t="s">
        <v>235</v>
      </c>
      <c r="L1326" s="1" t="s">
        <v>99</v>
      </c>
      <c r="O1326" s="4">
        <v>45042.0</v>
      </c>
      <c r="T1326" s="19" t="s">
        <v>2153</v>
      </c>
    </row>
    <row r="1327">
      <c r="A1327" s="1" t="s">
        <v>2146</v>
      </c>
      <c r="B1327" s="1" t="s">
        <v>342</v>
      </c>
      <c r="C1327" s="1" t="s">
        <v>346</v>
      </c>
      <c r="D1327" s="1" t="s">
        <v>2156</v>
      </c>
      <c r="E1327" s="1" t="s">
        <v>70</v>
      </c>
      <c r="F1327" s="8">
        <v>46316.0</v>
      </c>
      <c r="G1327" s="1" t="s">
        <v>132</v>
      </c>
      <c r="H1327" s="1" t="s">
        <v>2155</v>
      </c>
      <c r="J1327" s="1" t="s">
        <v>47</v>
      </c>
      <c r="K1327" s="1" t="s">
        <v>235</v>
      </c>
      <c r="L1327" s="1" t="s">
        <v>99</v>
      </c>
      <c r="O1327" s="4">
        <v>45042.0</v>
      </c>
      <c r="T1327" s="19" t="s">
        <v>2153</v>
      </c>
    </row>
    <row r="1328">
      <c r="A1328" s="1" t="s">
        <v>2157</v>
      </c>
      <c r="B1328" s="1" t="s">
        <v>1690</v>
      </c>
      <c r="C1328" s="1" t="s">
        <v>1691</v>
      </c>
      <c r="D1328" s="1" t="s">
        <v>2158</v>
      </c>
      <c r="E1328" s="1" t="s">
        <v>32</v>
      </c>
      <c r="F1328" s="4">
        <v>46104.0</v>
      </c>
      <c r="H1328" s="1" t="s">
        <v>242</v>
      </c>
      <c r="K1328" s="1" t="s">
        <v>235</v>
      </c>
      <c r="L1328" s="1" t="s">
        <v>35</v>
      </c>
      <c r="N1328" s="4">
        <v>46104.0</v>
      </c>
      <c r="O1328" s="4">
        <v>46104.0</v>
      </c>
    </row>
    <row r="1329">
      <c r="A1329" s="1" t="s">
        <v>2159</v>
      </c>
      <c r="B1329" s="1" t="s">
        <v>269</v>
      </c>
      <c r="C1329" s="1" t="s">
        <v>270</v>
      </c>
      <c r="D1329" s="1" t="s">
        <v>2160</v>
      </c>
      <c r="E1329" s="1" t="s">
        <v>70</v>
      </c>
      <c r="F1329" s="8">
        <v>46316.0</v>
      </c>
      <c r="G1329" s="1" t="s">
        <v>107</v>
      </c>
      <c r="H1329" s="1" t="s">
        <v>781</v>
      </c>
      <c r="J1329" s="1" t="s">
        <v>47</v>
      </c>
      <c r="K1329" s="1" t="s">
        <v>254</v>
      </c>
      <c r="L1329" s="1" t="s">
        <v>99</v>
      </c>
      <c r="O1329" s="4">
        <v>46261.0</v>
      </c>
    </row>
    <row r="1330">
      <c r="A1330" s="1" t="s">
        <v>2161</v>
      </c>
      <c r="B1330" s="1" t="s">
        <v>1089</v>
      </c>
      <c r="C1330" s="1" t="s">
        <v>1090</v>
      </c>
      <c r="D1330" s="1" t="s">
        <v>2162</v>
      </c>
      <c r="E1330" s="1" t="s">
        <v>32</v>
      </c>
      <c r="F1330" s="4">
        <v>46091.0</v>
      </c>
      <c r="H1330" s="1" t="s">
        <v>2163</v>
      </c>
      <c r="K1330" s="1" t="s">
        <v>383</v>
      </c>
      <c r="L1330" s="1" t="s">
        <v>35</v>
      </c>
      <c r="N1330" s="4">
        <v>46091.0</v>
      </c>
      <c r="O1330" s="4">
        <v>46091.0</v>
      </c>
    </row>
    <row r="1331">
      <c r="A1331" s="1" t="s">
        <v>2161</v>
      </c>
      <c r="B1331" s="1" t="s">
        <v>1089</v>
      </c>
      <c r="C1331" s="1" t="s">
        <v>1090</v>
      </c>
      <c r="D1331" s="1" t="s">
        <v>2164</v>
      </c>
      <c r="E1331" s="1" t="s">
        <v>32</v>
      </c>
      <c r="F1331" s="4">
        <v>46091.0</v>
      </c>
      <c r="H1331" s="1" t="s">
        <v>2163</v>
      </c>
      <c r="K1331" s="1" t="s">
        <v>383</v>
      </c>
      <c r="L1331" s="1" t="s">
        <v>35</v>
      </c>
      <c r="N1331" s="4">
        <v>46091.0</v>
      </c>
      <c r="O1331" s="4">
        <v>46091.0</v>
      </c>
    </row>
    <row r="1332">
      <c r="A1332" s="1" t="s">
        <v>2161</v>
      </c>
      <c r="B1332" s="1" t="s">
        <v>1089</v>
      </c>
      <c r="C1332" s="1" t="s">
        <v>1090</v>
      </c>
      <c r="D1332" s="1" t="s">
        <v>2165</v>
      </c>
      <c r="E1332" s="1" t="s">
        <v>32</v>
      </c>
      <c r="F1332" s="4">
        <v>46091.0</v>
      </c>
      <c r="H1332" s="1" t="s">
        <v>2163</v>
      </c>
      <c r="K1332" s="1" t="s">
        <v>383</v>
      </c>
      <c r="L1332" s="1" t="s">
        <v>35</v>
      </c>
      <c r="N1332" s="4">
        <v>46091.0</v>
      </c>
      <c r="O1332" s="4">
        <v>46091.0</v>
      </c>
    </row>
    <row r="1333">
      <c r="A1333" s="1" t="s">
        <v>2161</v>
      </c>
      <c r="B1333" s="1" t="s">
        <v>1089</v>
      </c>
      <c r="C1333" s="1" t="s">
        <v>1090</v>
      </c>
      <c r="D1333" s="1" t="s">
        <v>2166</v>
      </c>
      <c r="E1333" s="1" t="s">
        <v>32</v>
      </c>
      <c r="F1333" s="4">
        <v>46091.0</v>
      </c>
      <c r="H1333" s="1" t="s">
        <v>2163</v>
      </c>
      <c r="K1333" s="1" t="s">
        <v>383</v>
      </c>
      <c r="L1333" s="1" t="s">
        <v>35</v>
      </c>
      <c r="N1333" s="4">
        <v>46091.0</v>
      </c>
      <c r="O1333" s="4">
        <v>46091.0</v>
      </c>
    </row>
    <row r="1334">
      <c r="A1334" s="1" t="s">
        <v>2161</v>
      </c>
      <c r="B1334" s="1" t="s">
        <v>1089</v>
      </c>
      <c r="C1334" s="1" t="s">
        <v>1090</v>
      </c>
      <c r="D1334" s="1" t="s">
        <v>2167</v>
      </c>
      <c r="E1334" s="1" t="s">
        <v>32</v>
      </c>
      <c r="F1334" s="4">
        <v>46091.0</v>
      </c>
      <c r="H1334" s="1" t="s">
        <v>2163</v>
      </c>
      <c r="K1334" s="1" t="s">
        <v>383</v>
      </c>
      <c r="L1334" s="1" t="s">
        <v>35</v>
      </c>
      <c r="N1334" s="4">
        <v>46091.0</v>
      </c>
      <c r="O1334" s="4">
        <v>46091.0</v>
      </c>
    </row>
    <row r="1335">
      <c r="A1335" s="1" t="s">
        <v>2161</v>
      </c>
      <c r="B1335" s="1" t="s">
        <v>1089</v>
      </c>
      <c r="C1335" s="1" t="s">
        <v>1090</v>
      </c>
      <c r="D1335" s="1" t="s">
        <v>2168</v>
      </c>
      <c r="E1335" s="1" t="s">
        <v>32</v>
      </c>
      <c r="F1335" s="4">
        <v>46091.0</v>
      </c>
      <c r="H1335" s="1" t="s">
        <v>2163</v>
      </c>
      <c r="K1335" s="1" t="s">
        <v>383</v>
      </c>
      <c r="L1335" s="1" t="s">
        <v>35</v>
      </c>
      <c r="N1335" s="4">
        <v>46091.0</v>
      </c>
      <c r="O1335" s="4">
        <v>46091.0</v>
      </c>
    </row>
    <row r="1336">
      <c r="A1336" s="1" t="s">
        <v>2169</v>
      </c>
      <c r="B1336" s="1" t="s">
        <v>29</v>
      </c>
      <c r="C1336" s="1" t="s">
        <v>30</v>
      </c>
      <c r="D1336" s="1" t="s">
        <v>2170</v>
      </c>
      <c r="E1336" s="1" t="s">
        <v>32</v>
      </c>
      <c r="F1336" s="8">
        <v>45961.0</v>
      </c>
      <c r="H1336" s="1" t="s">
        <v>33</v>
      </c>
      <c r="K1336" s="1" t="s">
        <v>2171</v>
      </c>
      <c r="L1336" s="1" t="s">
        <v>35</v>
      </c>
      <c r="N1336" s="8">
        <v>45961.0</v>
      </c>
      <c r="O1336" s="8">
        <v>45961.0</v>
      </c>
    </row>
    <row r="1337">
      <c r="A1337" s="1" t="s">
        <v>2169</v>
      </c>
      <c r="B1337" s="1" t="s">
        <v>29</v>
      </c>
      <c r="C1337" s="1" t="s">
        <v>30</v>
      </c>
      <c r="D1337" s="1" t="s">
        <v>2172</v>
      </c>
      <c r="E1337" s="1" t="s">
        <v>32</v>
      </c>
      <c r="F1337" s="8">
        <v>45961.0</v>
      </c>
      <c r="H1337" s="1" t="s">
        <v>33</v>
      </c>
      <c r="K1337" s="1" t="s">
        <v>2171</v>
      </c>
      <c r="L1337" s="1" t="s">
        <v>35</v>
      </c>
      <c r="N1337" s="8">
        <v>45961.0</v>
      </c>
      <c r="O1337" s="8">
        <v>45961.0</v>
      </c>
    </row>
    <row r="1338">
      <c r="A1338" s="1" t="s">
        <v>2169</v>
      </c>
      <c r="B1338" s="1" t="s">
        <v>29</v>
      </c>
      <c r="C1338" s="1" t="s">
        <v>30</v>
      </c>
      <c r="D1338" s="1" t="s">
        <v>2173</v>
      </c>
      <c r="E1338" s="1" t="s">
        <v>32</v>
      </c>
      <c r="F1338" s="8">
        <v>45961.0</v>
      </c>
      <c r="H1338" s="1" t="s">
        <v>33</v>
      </c>
      <c r="K1338" s="1" t="s">
        <v>2171</v>
      </c>
      <c r="L1338" s="1" t="s">
        <v>35</v>
      </c>
      <c r="N1338" s="8">
        <v>45961.0</v>
      </c>
      <c r="O1338" s="8">
        <v>45961.0</v>
      </c>
    </row>
    <row r="1339">
      <c r="A1339" s="1" t="s">
        <v>2169</v>
      </c>
      <c r="B1339" s="1" t="s">
        <v>29</v>
      </c>
      <c r="C1339" s="1" t="s">
        <v>30</v>
      </c>
      <c r="D1339" s="1" t="s">
        <v>2174</v>
      </c>
      <c r="E1339" s="1" t="s">
        <v>32</v>
      </c>
      <c r="F1339" s="8">
        <v>45961.0</v>
      </c>
      <c r="H1339" s="1" t="s">
        <v>33</v>
      </c>
      <c r="K1339" s="1" t="s">
        <v>2171</v>
      </c>
      <c r="L1339" s="1" t="s">
        <v>35</v>
      </c>
      <c r="N1339" s="8">
        <v>45961.0</v>
      </c>
      <c r="O1339" s="8">
        <v>45961.0</v>
      </c>
    </row>
    <row r="1340">
      <c r="A1340" s="1" t="s">
        <v>2169</v>
      </c>
      <c r="B1340" s="1" t="s">
        <v>29</v>
      </c>
      <c r="C1340" s="1" t="s">
        <v>30</v>
      </c>
      <c r="D1340" s="1" t="s">
        <v>2175</v>
      </c>
      <c r="E1340" s="1" t="s">
        <v>32</v>
      </c>
      <c r="F1340" s="8">
        <v>45961.0</v>
      </c>
      <c r="H1340" s="1" t="s">
        <v>33</v>
      </c>
      <c r="K1340" s="1" t="s">
        <v>2171</v>
      </c>
      <c r="L1340" s="1" t="s">
        <v>35</v>
      </c>
      <c r="N1340" s="8">
        <v>45961.0</v>
      </c>
      <c r="O1340" s="8">
        <v>45961.0</v>
      </c>
    </row>
    <row r="1341">
      <c r="A1341" s="1" t="s">
        <v>2169</v>
      </c>
      <c r="B1341" s="1" t="s">
        <v>29</v>
      </c>
      <c r="C1341" s="1" t="s">
        <v>30</v>
      </c>
      <c r="D1341" s="1" t="s">
        <v>2176</v>
      </c>
      <c r="E1341" s="1" t="s">
        <v>32</v>
      </c>
      <c r="F1341" s="8">
        <v>45961.0</v>
      </c>
      <c r="H1341" s="1" t="s">
        <v>33</v>
      </c>
      <c r="K1341" s="1" t="s">
        <v>2171</v>
      </c>
      <c r="L1341" s="1" t="s">
        <v>35</v>
      </c>
      <c r="N1341" s="8">
        <v>45961.0</v>
      </c>
      <c r="O1341" s="8">
        <v>45961.0</v>
      </c>
    </row>
    <row r="1342">
      <c r="A1342" s="1" t="s">
        <v>2169</v>
      </c>
      <c r="B1342" s="1" t="s">
        <v>29</v>
      </c>
      <c r="C1342" s="1" t="s">
        <v>30</v>
      </c>
      <c r="D1342" s="1" t="s">
        <v>2177</v>
      </c>
      <c r="E1342" s="1" t="s">
        <v>32</v>
      </c>
      <c r="F1342" s="8">
        <v>45961.0</v>
      </c>
      <c r="H1342" s="1" t="s">
        <v>33</v>
      </c>
      <c r="K1342" s="1" t="s">
        <v>2171</v>
      </c>
      <c r="L1342" s="1" t="s">
        <v>35</v>
      </c>
      <c r="N1342" s="8">
        <v>45961.0</v>
      </c>
      <c r="O1342" s="8">
        <v>45961.0</v>
      </c>
    </row>
    <row r="1343">
      <c r="A1343" s="1" t="s">
        <v>2169</v>
      </c>
      <c r="B1343" s="1" t="s">
        <v>29</v>
      </c>
      <c r="C1343" s="1" t="s">
        <v>30</v>
      </c>
      <c r="D1343" s="1" t="s">
        <v>2178</v>
      </c>
      <c r="E1343" s="1" t="s">
        <v>32</v>
      </c>
      <c r="F1343" s="8">
        <v>45961.0</v>
      </c>
      <c r="H1343" s="1" t="s">
        <v>33</v>
      </c>
      <c r="K1343" s="1" t="s">
        <v>2171</v>
      </c>
      <c r="L1343" s="1" t="s">
        <v>35</v>
      </c>
      <c r="N1343" s="8">
        <v>45961.0</v>
      </c>
      <c r="O1343" s="8">
        <v>45961.0</v>
      </c>
    </row>
    <row r="1344">
      <c r="A1344" s="1" t="s">
        <v>2179</v>
      </c>
      <c r="B1344" s="1" t="s">
        <v>2112</v>
      </c>
      <c r="C1344" s="1" t="s">
        <v>2113</v>
      </c>
      <c r="D1344" s="1" t="s">
        <v>2180</v>
      </c>
      <c r="E1344" s="1" t="s">
        <v>32</v>
      </c>
      <c r="F1344" s="4">
        <v>45992.0</v>
      </c>
      <c r="H1344" s="1" t="s">
        <v>33</v>
      </c>
      <c r="K1344" s="1" t="s">
        <v>366</v>
      </c>
      <c r="L1344" s="1" t="s">
        <v>35</v>
      </c>
      <c r="N1344" s="4">
        <v>45992.0</v>
      </c>
      <c r="O1344" s="4">
        <v>45992.0</v>
      </c>
    </row>
    <row r="1345">
      <c r="A1345" s="1" t="s">
        <v>2179</v>
      </c>
      <c r="B1345" s="1" t="s">
        <v>2112</v>
      </c>
      <c r="C1345" s="1" t="s">
        <v>2113</v>
      </c>
      <c r="D1345" s="1" t="s">
        <v>2181</v>
      </c>
      <c r="E1345" s="1" t="s">
        <v>32</v>
      </c>
      <c r="F1345" s="4">
        <v>45992.0</v>
      </c>
      <c r="H1345" s="1" t="s">
        <v>33</v>
      </c>
      <c r="K1345" s="1" t="s">
        <v>366</v>
      </c>
      <c r="L1345" s="1" t="s">
        <v>35</v>
      </c>
      <c r="N1345" s="4">
        <v>45992.0</v>
      </c>
      <c r="O1345" s="4">
        <v>45992.0</v>
      </c>
    </row>
    <row r="1346">
      <c r="A1346" s="1" t="s">
        <v>2179</v>
      </c>
      <c r="B1346" s="1" t="s">
        <v>2112</v>
      </c>
      <c r="C1346" s="1" t="s">
        <v>2113</v>
      </c>
      <c r="D1346" s="1" t="s">
        <v>2182</v>
      </c>
      <c r="E1346" s="1" t="s">
        <v>32</v>
      </c>
      <c r="F1346" s="4">
        <v>45992.0</v>
      </c>
      <c r="H1346" s="1" t="s">
        <v>33</v>
      </c>
      <c r="K1346" s="1" t="s">
        <v>366</v>
      </c>
      <c r="L1346" s="1" t="s">
        <v>35</v>
      </c>
      <c r="N1346" s="4">
        <v>45992.0</v>
      </c>
      <c r="O1346" s="4">
        <v>45992.0</v>
      </c>
    </row>
    <row r="1347">
      <c r="A1347" s="1" t="s">
        <v>2183</v>
      </c>
      <c r="B1347" s="1" t="s">
        <v>1835</v>
      </c>
      <c r="C1347" s="1" t="s">
        <v>1836</v>
      </c>
      <c r="D1347" s="1" t="s">
        <v>2184</v>
      </c>
      <c r="E1347" s="1" t="s">
        <v>32</v>
      </c>
      <c r="F1347" s="4">
        <v>46105.0</v>
      </c>
      <c r="H1347" s="1" t="s">
        <v>33</v>
      </c>
      <c r="K1347" s="1" t="s">
        <v>378</v>
      </c>
      <c r="L1347" s="1" t="s">
        <v>35</v>
      </c>
      <c r="N1347" s="4">
        <v>46105.0</v>
      </c>
      <c r="O1347" s="4">
        <v>46105.0</v>
      </c>
    </row>
    <row r="1348">
      <c r="A1348" s="1" t="s">
        <v>2183</v>
      </c>
      <c r="B1348" s="1" t="s">
        <v>1835</v>
      </c>
      <c r="C1348" s="1" t="s">
        <v>1836</v>
      </c>
      <c r="D1348" s="1" t="s">
        <v>2185</v>
      </c>
      <c r="E1348" s="1" t="s">
        <v>32</v>
      </c>
      <c r="F1348" s="4">
        <v>46105.0</v>
      </c>
      <c r="H1348" s="1" t="s">
        <v>33</v>
      </c>
      <c r="K1348" s="1" t="s">
        <v>378</v>
      </c>
      <c r="L1348" s="1" t="s">
        <v>35</v>
      </c>
      <c r="N1348" s="4">
        <v>46105.0</v>
      </c>
      <c r="O1348" s="4">
        <v>46105.0</v>
      </c>
    </row>
    <row r="1349">
      <c r="A1349" s="1" t="s">
        <v>2183</v>
      </c>
      <c r="B1349" s="1" t="s">
        <v>1835</v>
      </c>
      <c r="C1349" s="1" t="s">
        <v>1836</v>
      </c>
      <c r="D1349" s="1" t="s">
        <v>2186</v>
      </c>
      <c r="E1349" s="1" t="s">
        <v>32</v>
      </c>
      <c r="F1349" s="4">
        <v>46105.0</v>
      </c>
      <c r="H1349" s="1" t="s">
        <v>33</v>
      </c>
      <c r="K1349" s="1" t="s">
        <v>378</v>
      </c>
      <c r="L1349" s="1" t="s">
        <v>35</v>
      </c>
      <c r="N1349" s="4">
        <v>46105.0</v>
      </c>
      <c r="O1349" s="4">
        <v>46105.0</v>
      </c>
    </row>
    <row r="1350">
      <c r="A1350" s="1" t="s">
        <v>2183</v>
      </c>
      <c r="B1350" s="1" t="s">
        <v>1835</v>
      </c>
      <c r="C1350" s="1" t="s">
        <v>1836</v>
      </c>
      <c r="D1350" s="1" t="s">
        <v>2187</v>
      </c>
      <c r="E1350" s="1" t="s">
        <v>32</v>
      </c>
      <c r="F1350" s="4">
        <v>46105.0</v>
      </c>
      <c r="H1350" s="1" t="s">
        <v>33</v>
      </c>
      <c r="K1350" s="1" t="s">
        <v>378</v>
      </c>
      <c r="L1350" s="1" t="s">
        <v>35</v>
      </c>
      <c r="N1350" s="4">
        <v>46105.0</v>
      </c>
      <c r="O1350" s="4">
        <v>46105.0</v>
      </c>
    </row>
    <row r="1351">
      <c r="A1351" s="1" t="s">
        <v>2183</v>
      </c>
      <c r="B1351" s="1" t="s">
        <v>1835</v>
      </c>
      <c r="C1351" s="1" t="s">
        <v>1836</v>
      </c>
      <c r="D1351" s="1" t="s">
        <v>2188</v>
      </c>
      <c r="E1351" s="1" t="s">
        <v>32</v>
      </c>
      <c r="F1351" s="4">
        <v>46105.0</v>
      </c>
      <c r="H1351" s="1" t="s">
        <v>33</v>
      </c>
      <c r="K1351" s="1" t="s">
        <v>378</v>
      </c>
      <c r="L1351" s="1" t="s">
        <v>35</v>
      </c>
      <c r="N1351" s="4">
        <v>46105.0</v>
      </c>
      <c r="O1351" s="4">
        <v>46105.0</v>
      </c>
    </row>
    <row r="1352">
      <c r="A1352" s="1" t="s">
        <v>2189</v>
      </c>
      <c r="B1352" s="1" t="s">
        <v>1745</v>
      </c>
      <c r="C1352" s="1" t="s">
        <v>1746</v>
      </c>
      <c r="D1352" s="1" t="s">
        <v>2190</v>
      </c>
      <c r="E1352" s="1" t="s">
        <v>32</v>
      </c>
      <c r="F1352" s="4">
        <v>46052.0</v>
      </c>
      <c r="H1352" s="1" t="s">
        <v>2191</v>
      </c>
      <c r="K1352" s="1" t="s">
        <v>366</v>
      </c>
      <c r="L1352" s="1" t="s">
        <v>35</v>
      </c>
      <c r="N1352" s="4">
        <v>46052.0</v>
      </c>
      <c r="O1352" s="4">
        <v>46052.0</v>
      </c>
    </row>
    <row r="1353">
      <c r="A1353" s="1" t="s">
        <v>2189</v>
      </c>
      <c r="B1353" s="1" t="s">
        <v>1745</v>
      </c>
      <c r="C1353" s="1" t="s">
        <v>1746</v>
      </c>
      <c r="D1353" s="1" t="s">
        <v>2192</v>
      </c>
      <c r="E1353" s="1" t="s">
        <v>32</v>
      </c>
      <c r="F1353" s="4">
        <v>46052.0</v>
      </c>
      <c r="H1353" s="1" t="s">
        <v>2193</v>
      </c>
      <c r="K1353" s="1" t="s">
        <v>366</v>
      </c>
      <c r="L1353" s="1" t="s">
        <v>35</v>
      </c>
      <c r="N1353" s="4">
        <v>46052.0</v>
      </c>
      <c r="O1353" s="4">
        <v>46052.0</v>
      </c>
    </row>
    <row r="1354">
      <c r="A1354" s="1" t="s">
        <v>2194</v>
      </c>
      <c r="B1354" s="1" t="s">
        <v>255</v>
      </c>
      <c r="C1354" s="1" t="s">
        <v>256</v>
      </c>
      <c r="D1354" s="1" t="s">
        <v>2195</v>
      </c>
      <c r="E1354" s="1" t="s">
        <v>32</v>
      </c>
      <c r="F1354" s="4">
        <v>46042.0</v>
      </c>
      <c r="H1354" s="1" t="s">
        <v>33</v>
      </c>
      <c r="K1354" s="1" t="s">
        <v>235</v>
      </c>
      <c r="L1354" s="1" t="s">
        <v>35</v>
      </c>
      <c r="N1354" s="4">
        <v>46042.0</v>
      </c>
      <c r="O1354" s="4">
        <v>46042.0</v>
      </c>
    </row>
    <row r="1355">
      <c r="A1355" s="1" t="s">
        <v>2196</v>
      </c>
      <c r="B1355" s="1" t="s">
        <v>255</v>
      </c>
      <c r="C1355" s="1" t="s">
        <v>2197</v>
      </c>
      <c r="D1355" s="1" t="s">
        <v>2198</v>
      </c>
      <c r="E1355" s="1" t="s">
        <v>32</v>
      </c>
      <c r="F1355" s="4">
        <v>46094.0</v>
      </c>
      <c r="H1355" s="1" t="s">
        <v>242</v>
      </c>
      <c r="K1355" s="1" t="s">
        <v>243</v>
      </c>
      <c r="L1355" s="1" t="s">
        <v>35</v>
      </c>
      <c r="N1355" s="4">
        <v>46094.0</v>
      </c>
      <c r="O1355" s="4">
        <v>46094.0</v>
      </c>
    </row>
    <row r="1356">
      <c r="A1356" s="1" t="s">
        <v>2199</v>
      </c>
      <c r="B1356" s="1" t="s">
        <v>1835</v>
      </c>
      <c r="C1356" s="1" t="s">
        <v>1836</v>
      </c>
      <c r="D1356" s="1" t="s">
        <v>2200</v>
      </c>
      <c r="E1356" s="1" t="s">
        <v>32</v>
      </c>
      <c r="F1356" s="4">
        <v>46050.0</v>
      </c>
      <c r="H1356" s="1" t="s">
        <v>33</v>
      </c>
      <c r="K1356" s="1" t="s">
        <v>2201</v>
      </c>
      <c r="L1356" s="1" t="s">
        <v>35</v>
      </c>
      <c r="N1356" s="4">
        <v>46050.0</v>
      </c>
      <c r="O1356" s="4">
        <v>46050.0</v>
      </c>
    </row>
    <row r="1357">
      <c r="A1357" s="1" t="s">
        <v>2202</v>
      </c>
      <c r="B1357" s="1" t="s">
        <v>43</v>
      </c>
      <c r="C1357" s="1" t="s">
        <v>259</v>
      </c>
      <c r="D1357" s="1" t="s">
        <v>2203</v>
      </c>
      <c r="E1357" s="1" t="s">
        <v>32</v>
      </c>
      <c r="F1357" s="4">
        <v>46226.0</v>
      </c>
      <c r="H1357" s="1" t="s">
        <v>33</v>
      </c>
      <c r="K1357" s="1" t="s">
        <v>380</v>
      </c>
      <c r="L1357" s="1" t="s">
        <v>35</v>
      </c>
      <c r="N1357" s="4">
        <v>46226.0</v>
      </c>
      <c r="O1357" s="4">
        <v>46226.0</v>
      </c>
    </row>
    <row r="1358">
      <c r="A1358" s="1" t="s">
        <v>2204</v>
      </c>
      <c r="B1358" s="1" t="s">
        <v>762</v>
      </c>
      <c r="C1358" s="1" t="s">
        <v>763</v>
      </c>
      <c r="D1358" s="1" t="s">
        <v>2205</v>
      </c>
      <c r="E1358" s="1" t="s">
        <v>32</v>
      </c>
      <c r="F1358" s="4">
        <v>46247.0</v>
      </c>
      <c r="H1358" s="1" t="s">
        <v>242</v>
      </c>
      <c r="K1358" s="1" t="s">
        <v>98</v>
      </c>
      <c r="L1358" s="1" t="s">
        <v>35</v>
      </c>
      <c r="N1358" s="4">
        <v>46247.0</v>
      </c>
      <c r="O1358" s="4">
        <v>46247.0</v>
      </c>
    </row>
    <row r="1359">
      <c r="A1359" s="1" t="s">
        <v>2206</v>
      </c>
      <c r="B1359" s="1" t="s">
        <v>1507</v>
      </c>
      <c r="C1359" s="1" t="s">
        <v>247</v>
      </c>
      <c r="D1359" s="1" t="s">
        <v>2207</v>
      </c>
      <c r="E1359" s="1" t="s">
        <v>32</v>
      </c>
      <c r="F1359" s="4">
        <v>45993.0</v>
      </c>
      <c r="H1359" s="1" t="s">
        <v>33</v>
      </c>
      <c r="K1359" s="1" t="s">
        <v>235</v>
      </c>
      <c r="L1359" s="1" t="s">
        <v>35</v>
      </c>
      <c r="N1359" s="4">
        <v>45993.0</v>
      </c>
      <c r="O1359" s="4">
        <v>45993.0</v>
      </c>
    </row>
    <row r="1360">
      <c r="A1360" s="1" t="s">
        <v>2208</v>
      </c>
      <c r="B1360" s="1" t="s">
        <v>63</v>
      </c>
      <c r="C1360" s="1" t="s">
        <v>64</v>
      </c>
      <c r="D1360" s="1" t="s">
        <v>2209</v>
      </c>
      <c r="E1360" s="1" t="s">
        <v>32</v>
      </c>
      <c r="F1360" s="8">
        <v>45982.0</v>
      </c>
      <c r="H1360" s="1" t="s">
        <v>33</v>
      </c>
      <c r="K1360" s="1" t="s">
        <v>2210</v>
      </c>
      <c r="L1360" s="1" t="s">
        <v>35</v>
      </c>
      <c r="N1360" s="8">
        <v>45982.0</v>
      </c>
      <c r="O1360" s="8">
        <v>45982.0</v>
      </c>
    </row>
    <row r="1361">
      <c r="A1361" s="1" t="s">
        <v>2208</v>
      </c>
      <c r="B1361" s="1" t="s">
        <v>63</v>
      </c>
      <c r="C1361" s="1" t="s">
        <v>64</v>
      </c>
      <c r="D1361" s="1" t="s">
        <v>2211</v>
      </c>
      <c r="E1361" s="1" t="s">
        <v>32</v>
      </c>
      <c r="F1361" s="8">
        <v>45982.0</v>
      </c>
      <c r="H1361" s="1" t="s">
        <v>33</v>
      </c>
      <c r="K1361" s="1" t="s">
        <v>2210</v>
      </c>
      <c r="L1361" s="1" t="s">
        <v>35</v>
      </c>
      <c r="N1361" s="8">
        <v>45982.0</v>
      </c>
      <c r="O1361" s="8">
        <v>45982.0</v>
      </c>
    </row>
    <row r="1362">
      <c r="A1362" s="1" t="s">
        <v>2208</v>
      </c>
      <c r="B1362" s="1" t="s">
        <v>63</v>
      </c>
      <c r="C1362" s="1" t="s">
        <v>64</v>
      </c>
      <c r="D1362" s="1" t="s">
        <v>2212</v>
      </c>
      <c r="E1362" s="1" t="s">
        <v>32</v>
      </c>
      <c r="F1362" s="8">
        <v>45982.0</v>
      </c>
      <c r="H1362" s="1" t="s">
        <v>33</v>
      </c>
      <c r="K1362" s="1" t="s">
        <v>2210</v>
      </c>
      <c r="L1362" s="1" t="s">
        <v>35</v>
      </c>
      <c r="N1362" s="8">
        <v>45982.0</v>
      </c>
      <c r="O1362" s="8">
        <v>45982.0</v>
      </c>
    </row>
    <row r="1363">
      <c r="A1363" s="1" t="s">
        <v>2208</v>
      </c>
      <c r="B1363" s="1" t="s">
        <v>63</v>
      </c>
      <c r="C1363" s="1" t="s">
        <v>64</v>
      </c>
      <c r="D1363" s="1" t="s">
        <v>2213</v>
      </c>
      <c r="E1363" s="1" t="s">
        <v>32</v>
      </c>
      <c r="F1363" s="8">
        <v>45982.0</v>
      </c>
      <c r="H1363" s="1" t="s">
        <v>33</v>
      </c>
      <c r="K1363" s="1" t="s">
        <v>2210</v>
      </c>
      <c r="L1363" s="1" t="s">
        <v>35</v>
      </c>
      <c r="N1363" s="8">
        <v>45982.0</v>
      </c>
      <c r="O1363" s="8">
        <v>45982.0</v>
      </c>
    </row>
    <row r="1364">
      <c r="A1364" s="1" t="s">
        <v>2214</v>
      </c>
      <c r="B1364" s="1" t="s">
        <v>255</v>
      </c>
      <c r="C1364" s="1" t="s">
        <v>256</v>
      </c>
      <c r="D1364" s="1" t="s">
        <v>2215</v>
      </c>
      <c r="E1364" s="1" t="s">
        <v>32</v>
      </c>
      <c r="F1364" s="4">
        <v>46265.0</v>
      </c>
      <c r="H1364" s="1" t="s">
        <v>33</v>
      </c>
      <c r="K1364" s="1" t="s">
        <v>366</v>
      </c>
      <c r="L1364" s="1" t="s">
        <v>35</v>
      </c>
      <c r="N1364" s="4">
        <v>46265.0</v>
      </c>
      <c r="O1364" s="4">
        <v>46265.0</v>
      </c>
    </row>
    <row r="1365">
      <c r="A1365" s="1" t="s">
        <v>2216</v>
      </c>
      <c r="B1365" s="1" t="s">
        <v>2217</v>
      </c>
      <c r="C1365" s="1" t="s">
        <v>2218</v>
      </c>
      <c r="D1365" s="1" t="s">
        <v>2219</v>
      </c>
      <c r="E1365" s="1" t="s">
        <v>32</v>
      </c>
      <c r="F1365" s="8">
        <v>45957.0</v>
      </c>
      <c r="H1365" s="1" t="s">
        <v>344</v>
      </c>
      <c r="K1365" s="1" t="s">
        <v>372</v>
      </c>
      <c r="L1365" s="1" t="s">
        <v>35</v>
      </c>
      <c r="N1365" s="8">
        <v>45957.0</v>
      </c>
      <c r="O1365" s="8">
        <v>45957.0</v>
      </c>
    </row>
    <row r="1366">
      <c r="A1366" s="1" t="s">
        <v>2216</v>
      </c>
      <c r="B1366" s="1" t="s">
        <v>2217</v>
      </c>
      <c r="C1366" s="1" t="s">
        <v>2218</v>
      </c>
      <c r="D1366" s="1" t="s">
        <v>2220</v>
      </c>
      <c r="E1366" s="1" t="s">
        <v>32</v>
      </c>
      <c r="F1366" s="8">
        <v>45957.0</v>
      </c>
      <c r="H1366" s="1" t="s">
        <v>344</v>
      </c>
      <c r="K1366" s="1" t="s">
        <v>372</v>
      </c>
      <c r="L1366" s="1" t="s">
        <v>35</v>
      </c>
      <c r="N1366" s="8">
        <v>45957.0</v>
      </c>
      <c r="O1366" s="8">
        <v>45957.0</v>
      </c>
    </row>
    <row r="1367">
      <c r="A1367" s="1" t="s">
        <v>2221</v>
      </c>
      <c r="B1367" s="1" t="s">
        <v>342</v>
      </c>
      <c r="C1367" s="1" t="s">
        <v>346</v>
      </c>
      <c r="D1367" s="1" t="s">
        <v>2222</v>
      </c>
      <c r="E1367" s="1" t="s">
        <v>32</v>
      </c>
      <c r="F1367" s="4">
        <v>45044.0</v>
      </c>
      <c r="H1367" s="1" t="s">
        <v>2223</v>
      </c>
      <c r="K1367" s="1" t="s">
        <v>366</v>
      </c>
      <c r="L1367" s="1" t="s">
        <v>35</v>
      </c>
      <c r="M1367" s="4">
        <v>45044.0</v>
      </c>
      <c r="N1367" s="4">
        <v>45044.0</v>
      </c>
      <c r="O1367" s="4">
        <v>45044.0</v>
      </c>
    </row>
    <row r="1368">
      <c r="A1368" s="1" t="s">
        <v>2221</v>
      </c>
      <c r="B1368" s="1" t="s">
        <v>342</v>
      </c>
      <c r="C1368" s="1" t="s">
        <v>346</v>
      </c>
      <c r="D1368" s="1" t="s">
        <v>2224</v>
      </c>
      <c r="E1368" s="1" t="s">
        <v>32</v>
      </c>
      <c r="F1368" s="4">
        <v>45044.0</v>
      </c>
      <c r="H1368" s="1" t="s">
        <v>2225</v>
      </c>
      <c r="K1368" s="1" t="s">
        <v>366</v>
      </c>
      <c r="L1368" s="1" t="s">
        <v>35</v>
      </c>
      <c r="M1368" s="4">
        <v>45044.0</v>
      </c>
      <c r="N1368" s="4">
        <v>45044.0</v>
      </c>
      <c r="O1368" s="4">
        <v>45044.0</v>
      </c>
    </row>
    <row r="1369">
      <c r="A1369" s="1" t="s">
        <v>2221</v>
      </c>
      <c r="B1369" s="1" t="s">
        <v>342</v>
      </c>
      <c r="C1369" s="1" t="s">
        <v>346</v>
      </c>
      <c r="D1369" s="1" t="s">
        <v>2226</v>
      </c>
      <c r="E1369" s="1" t="s">
        <v>32</v>
      </c>
      <c r="F1369" s="4">
        <v>45044.0</v>
      </c>
      <c r="H1369" s="1" t="s">
        <v>2225</v>
      </c>
      <c r="K1369" s="1" t="s">
        <v>366</v>
      </c>
      <c r="L1369" s="1" t="s">
        <v>35</v>
      </c>
      <c r="M1369" s="4">
        <v>45044.0</v>
      </c>
      <c r="N1369" s="4">
        <v>45044.0</v>
      </c>
      <c r="O1369" s="4">
        <v>45044.0</v>
      </c>
    </row>
    <row r="1370">
      <c r="A1370" s="1" t="s">
        <v>2227</v>
      </c>
      <c r="B1370" s="1" t="s">
        <v>1835</v>
      </c>
      <c r="C1370" s="1" t="s">
        <v>2120</v>
      </c>
      <c r="D1370" s="1" t="s">
        <v>2228</v>
      </c>
      <c r="E1370" s="1" t="s">
        <v>32</v>
      </c>
      <c r="F1370" s="4">
        <v>46108.0</v>
      </c>
      <c r="H1370" s="1" t="s">
        <v>33</v>
      </c>
      <c r="K1370" s="1" t="s">
        <v>1865</v>
      </c>
      <c r="L1370" s="1" t="s">
        <v>35</v>
      </c>
      <c r="N1370" s="4">
        <v>46108.0</v>
      </c>
      <c r="O1370" s="4">
        <v>46108.0</v>
      </c>
    </row>
    <row r="1371">
      <c r="A1371" s="1" t="s">
        <v>2229</v>
      </c>
      <c r="B1371" s="1" t="s">
        <v>1690</v>
      </c>
      <c r="C1371" s="1" t="s">
        <v>1691</v>
      </c>
      <c r="D1371" s="1" t="s">
        <v>2230</v>
      </c>
      <c r="E1371" s="1" t="s">
        <v>97</v>
      </c>
      <c r="F1371" s="4">
        <v>46287.0</v>
      </c>
      <c r="G1371" s="1" t="s">
        <v>71</v>
      </c>
      <c r="K1371" s="1" t="s">
        <v>2231</v>
      </c>
      <c r="L1371" s="1" t="s">
        <v>99</v>
      </c>
      <c r="O1371" s="8">
        <v>45251.0</v>
      </c>
    </row>
    <row r="1372">
      <c r="A1372" s="1" t="s">
        <v>2229</v>
      </c>
      <c r="B1372" s="1" t="s">
        <v>1690</v>
      </c>
      <c r="C1372" s="1" t="s">
        <v>1691</v>
      </c>
      <c r="D1372" s="1" t="s">
        <v>2232</v>
      </c>
      <c r="E1372" s="1" t="s">
        <v>97</v>
      </c>
      <c r="F1372" s="4">
        <v>46287.0</v>
      </c>
      <c r="G1372" s="1" t="s">
        <v>2233</v>
      </c>
      <c r="H1372" s="1" t="s">
        <v>133</v>
      </c>
      <c r="J1372" s="1" t="s">
        <v>134</v>
      </c>
      <c r="K1372" s="1" t="s">
        <v>2231</v>
      </c>
      <c r="L1372" s="1" t="s">
        <v>99</v>
      </c>
      <c r="O1372" s="8">
        <v>45251.0</v>
      </c>
    </row>
    <row r="1373">
      <c r="A1373" s="1" t="s">
        <v>2229</v>
      </c>
      <c r="B1373" s="1" t="s">
        <v>288</v>
      </c>
      <c r="C1373" s="1" t="s">
        <v>289</v>
      </c>
      <c r="D1373" s="1" t="s">
        <v>2234</v>
      </c>
      <c r="E1373" s="1" t="s">
        <v>70</v>
      </c>
      <c r="F1373" s="8">
        <v>46309.0</v>
      </c>
      <c r="G1373" s="1" t="s">
        <v>71</v>
      </c>
      <c r="H1373" s="1" t="s">
        <v>2022</v>
      </c>
      <c r="K1373" s="1" t="s">
        <v>2235</v>
      </c>
      <c r="L1373" s="1" t="s">
        <v>99</v>
      </c>
      <c r="O1373" s="8">
        <v>45251.0</v>
      </c>
    </row>
    <row r="1374">
      <c r="A1374" s="1" t="s">
        <v>2229</v>
      </c>
      <c r="B1374" s="1" t="s">
        <v>288</v>
      </c>
      <c r="C1374" s="1" t="s">
        <v>289</v>
      </c>
      <c r="D1374" s="1" t="s">
        <v>2236</v>
      </c>
      <c r="E1374" s="1" t="s">
        <v>70</v>
      </c>
      <c r="F1374" s="8">
        <v>46309.0</v>
      </c>
      <c r="G1374" s="1" t="s">
        <v>107</v>
      </c>
      <c r="H1374" s="1" t="s">
        <v>133</v>
      </c>
      <c r="J1374" s="1" t="s">
        <v>134</v>
      </c>
      <c r="K1374" s="1" t="s">
        <v>2235</v>
      </c>
      <c r="L1374" s="1" t="s">
        <v>99</v>
      </c>
      <c r="O1374" s="8">
        <v>45251.0</v>
      </c>
    </row>
    <row r="1375">
      <c r="A1375" s="1" t="s">
        <v>2229</v>
      </c>
      <c r="B1375" s="1" t="s">
        <v>288</v>
      </c>
      <c r="C1375" s="1" t="s">
        <v>289</v>
      </c>
      <c r="D1375" s="1" t="s">
        <v>2237</v>
      </c>
      <c r="E1375" s="1" t="s">
        <v>70</v>
      </c>
      <c r="F1375" s="8">
        <v>46309.0</v>
      </c>
      <c r="G1375" s="1" t="s">
        <v>107</v>
      </c>
      <c r="H1375" s="1" t="s">
        <v>469</v>
      </c>
      <c r="J1375" s="1" t="s">
        <v>134</v>
      </c>
      <c r="K1375" s="1" t="s">
        <v>2235</v>
      </c>
      <c r="L1375" s="1" t="s">
        <v>99</v>
      </c>
      <c r="O1375" s="8">
        <v>45251.0</v>
      </c>
    </row>
    <row r="1376">
      <c r="A1376" s="1" t="s">
        <v>2229</v>
      </c>
      <c r="B1376" s="1" t="s">
        <v>288</v>
      </c>
      <c r="C1376" s="1" t="s">
        <v>289</v>
      </c>
      <c r="D1376" s="1" t="s">
        <v>2238</v>
      </c>
      <c r="E1376" s="1" t="s">
        <v>97</v>
      </c>
      <c r="F1376" s="8">
        <v>46309.0</v>
      </c>
      <c r="G1376" s="1" t="s">
        <v>71</v>
      </c>
      <c r="H1376" s="1" t="s">
        <v>2022</v>
      </c>
      <c r="K1376" s="1" t="s">
        <v>2235</v>
      </c>
      <c r="L1376" s="1" t="s">
        <v>99</v>
      </c>
      <c r="O1376" s="8">
        <v>45251.0</v>
      </c>
    </row>
    <row r="1377">
      <c r="A1377" s="1" t="s">
        <v>2229</v>
      </c>
      <c r="B1377" s="1" t="s">
        <v>288</v>
      </c>
      <c r="C1377" s="1" t="s">
        <v>289</v>
      </c>
      <c r="D1377" s="1" t="s">
        <v>2239</v>
      </c>
      <c r="E1377" s="1" t="s">
        <v>97</v>
      </c>
      <c r="F1377" s="8">
        <v>46309.0</v>
      </c>
      <c r="G1377" s="1" t="s">
        <v>107</v>
      </c>
      <c r="H1377" s="1" t="s">
        <v>133</v>
      </c>
      <c r="J1377" s="1" t="s">
        <v>47</v>
      </c>
      <c r="K1377" s="1" t="s">
        <v>2235</v>
      </c>
      <c r="L1377" s="1" t="s">
        <v>99</v>
      </c>
      <c r="O1377" s="8">
        <v>45251.0</v>
      </c>
    </row>
    <row r="1378">
      <c r="A1378" s="1" t="s">
        <v>2229</v>
      </c>
      <c r="B1378" s="1" t="s">
        <v>288</v>
      </c>
      <c r="C1378" s="1" t="s">
        <v>289</v>
      </c>
      <c r="D1378" s="1" t="s">
        <v>2240</v>
      </c>
      <c r="E1378" s="1" t="s">
        <v>97</v>
      </c>
      <c r="F1378" s="8">
        <v>46309.0</v>
      </c>
      <c r="G1378" s="1" t="s">
        <v>107</v>
      </c>
      <c r="H1378" s="1" t="s">
        <v>133</v>
      </c>
      <c r="J1378" s="1" t="s">
        <v>47</v>
      </c>
      <c r="K1378" s="1" t="s">
        <v>2235</v>
      </c>
      <c r="L1378" s="1" t="s">
        <v>99</v>
      </c>
      <c r="O1378" s="8">
        <v>45251.0</v>
      </c>
    </row>
    <row r="1379">
      <c r="A1379" s="1" t="s">
        <v>2229</v>
      </c>
      <c r="B1379" s="1" t="s">
        <v>288</v>
      </c>
      <c r="C1379" s="1" t="s">
        <v>289</v>
      </c>
      <c r="D1379" s="1" t="s">
        <v>2241</v>
      </c>
      <c r="E1379" s="1" t="s">
        <v>70</v>
      </c>
      <c r="F1379" s="8">
        <v>46309.0</v>
      </c>
      <c r="G1379" s="1" t="s">
        <v>71</v>
      </c>
      <c r="H1379" s="1" t="s">
        <v>2022</v>
      </c>
      <c r="K1379" s="1" t="s">
        <v>2235</v>
      </c>
      <c r="L1379" s="1" t="s">
        <v>99</v>
      </c>
      <c r="O1379" s="8">
        <v>45251.0</v>
      </c>
    </row>
    <row r="1380">
      <c r="A1380" s="1" t="s">
        <v>2229</v>
      </c>
      <c r="B1380" s="1" t="s">
        <v>288</v>
      </c>
      <c r="C1380" s="1" t="s">
        <v>289</v>
      </c>
      <c r="D1380" s="1" t="s">
        <v>2242</v>
      </c>
      <c r="E1380" s="1" t="s">
        <v>70</v>
      </c>
      <c r="F1380" s="8">
        <v>46309.0</v>
      </c>
      <c r="G1380" s="1" t="s">
        <v>71</v>
      </c>
      <c r="H1380" s="1" t="s">
        <v>2022</v>
      </c>
      <c r="K1380" s="1" t="s">
        <v>2235</v>
      </c>
      <c r="L1380" s="1" t="s">
        <v>99</v>
      </c>
      <c r="O1380" s="8">
        <v>45251.0</v>
      </c>
    </row>
    <row r="1381">
      <c r="A1381" s="1" t="s">
        <v>2243</v>
      </c>
      <c r="B1381" s="1" t="s">
        <v>255</v>
      </c>
      <c r="C1381" s="1" t="s">
        <v>256</v>
      </c>
      <c r="D1381" s="1" t="s">
        <v>2244</v>
      </c>
      <c r="E1381" s="1" t="s">
        <v>97</v>
      </c>
      <c r="F1381" s="8">
        <v>46310.0</v>
      </c>
      <c r="G1381" s="1" t="s">
        <v>107</v>
      </c>
      <c r="H1381" s="1" t="s">
        <v>2245</v>
      </c>
      <c r="J1381" s="1" t="s">
        <v>562</v>
      </c>
      <c r="K1381" s="1" t="s">
        <v>366</v>
      </c>
      <c r="L1381" s="1" t="s">
        <v>99</v>
      </c>
      <c r="O1381" s="8">
        <v>45230.0</v>
      </c>
    </row>
    <row r="1382">
      <c r="A1382" s="1" t="s">
        <v>2243</v>
      </c>
      <c r="B1382" s="1" t="s">
        <v>288</v>
      </c>
      <c r="C1382" s="1" t="s">
        <v>289</v>
      </c>
      <c r="D1382" s="1" t="s">
        <v>2246</v>
      </c>
      <c r="E1382" s="1" t="s">
        <v>97</v>
      </c>
      <c r="F1382" s="8">
        <v>46309.0</v>
      </c>
      <c r="G1382" s="1" t="s">
        <v>107</v>
      </c>
      <c r="H1382" s="1" t="s">
        <v>133</v>
      </c>
      <c r="J1382" s="1" t="s">
        <v>122</v>
      </c>
      <c r="K1382" s="1" t="s">
        <v>366</v>
      </c>
      <c r="L1382" s="1" t="s">
        <v>99</v>
      </c>
      <c r="O1382" s="8">
        <v>45230.0</v>
      </c>
    </row>
    <row r="1383">
      <c r="A1383" s="1" t="s">
        <v>2247</v>
      </c>
      <c r="B1383" s="1" t="s">
        <v>1320</v>
      </c>
      <c r="C1383" s="1" t="s">
        <v>2248</v>
      </c>
      <c r="D1383" s="1" t="s">
        <v>2249</v>
      </c>
      <c r="E1383" s="1" t="s">
        <v>97</v>
      </c>
      <c r="F1383" s="4">
        <v>46297.0</v>
      </c>
      <c r="G1383" s="1" t="s">
        <v>71</v>
      </c>
      <c r="K1383" s="1" t="s">
        <v>366</v>
      </c>
      <c r="L1383" s="1" t="s">
        <v>99</v>
      </c>
      <c r="O1383" s="4">
        <v>44945.0</v>
      </c>
    </row>
    <row r="1384">
      <c r="A1384" s="1" t="s">
        <v>2247</v>
      </c>
      <c r="B1384" s="1" t="s">
        <v>1320</v>
      </c>
      <c r="C1384" s="1" t="s">
        <v>2248</v>
      </c>
      <c r="D1384" s="1" t="s">
        <v>2250</v>
      </c>
      <c r="E1384" s="1" t="s">
        <v>97</v>
      </c>
      <c r="F1384" s="4">
        <v>46297.0</v>
      </c>
      <c r="G1384" s="1" t="s">
        <v>71</v>
      </c>
      <c r="K1384" s="1" t="s">
        <v>366</v>
      </c>
      <c r="L1384" s="1" t="s">
        <v>99</v>
      </c>
      <c r="O1384" s="4">
        <v>44945.0</v>
      </c>
    </row>
    <row r="1385">
      <c r="A1385" s="1" t="s">
        <v>2247</v>
      </c>
      <c r="B1385" s="1" t="s">
        <v>1320</v>
      </c>
      <c r="C1385" s="1" t="s">
        <v>2248</v>
      </c>
      <c r="D1385" s="1" t="s">
        <v>2251</v>
      </c>
      <c r="E1385" s="1" t="s">
        <v>97</v>
      </c>
      <c r="F1385" s="4">
        <v>46297.0</v>
      </c>
      <c r="G1385" s="1" t="s">
        <v>71</v>
      </c>
      <c r="K1385" s="1" t="s">
        <v>366</v>
      </c>
      <c r="L1385" s="1" t="s">
        <v>99</v>
      </c>
      <c r="O1385" s="4">
        <v>44945.0</v>
      </c>
    </row>
    <row r="1386">
      <c r="A1386" s="1" t="s">
        <v>2247</v>
      </c>
      <c r="B1386" s="1" t="s">
        <v>1320</v>
      </c>
      <c r="C1386" s="1" t="s">
        <v>2248</v>
      </c>
      <c r="D1386" s="1" t="s">
        <v>2252</v>
      </c>
      <c r="E1386" s="1" t="s">
        <v>97</v>
      </c>
      <c r="F1386" s="4">
        <v>46297.0</v>
      </c>
      <c r="G1386" s="1" t="s">
        <v>71</v>
      </c>
      <c r="K1386" s="1" t="s">
        <v>366</v>
      </c>
      <c r="L1386" s="1" t="s">
        <v>99</v>
      </c>
      <c r="O1386" s="4">
        <v>44945.0</v>
      </c>
    </row>
    <row r="1387">
      <c r="A1387" s="1" t="s">
        <v>2247</v>
      </c>
      <c r="B1387" s="1" t="s">
        <v>1781</v>
      </c>
      <c r="C1387" s="1" t="s">
        <v>1782</v>
      </c>
      <c r="D1387" s="1" t="s">
        <v>2253</v>
      </c>
      <c r="E1387" s="1" t="s">
        <v>97</v>
      </c>
      <c r="F1387" s="4">
        <v>46202.0</v>
      </c>
      <c r="G1387" s="1" t="s">
        <v>107</v>
      </c>
      <c r="H1387" s="1" t="s">
        <v>2254</v>
      </c>
      <c r="J1387" s="1" t="s">
        <v>122</v>
      </c>
      <c r="K1387" s="1" t="s">
        <v>366</v>
      </c>
      <c r="L1387" s="1" t="s">
        <v>99</v>
      </c>
      <c r="O1387" s="4">
        <v>44945.0</v>
      </c>
    </row>
    <row r="1388">
      <c r="A1388" s="1" t="s">
        <v>2247</v>
      </c>
      <c r="B1388" s="1" t="s">
        <v>1781</v>
      </c>
      <c r="C1388" s="1" t="s">
        <v>1782</v>
      </c>
      <c r="D1388" s="1" t="s">
        <v>2255</v>
      </c>
      <c r="E1388" s="1" t="s">
        <v>97</v>
      </c>
      <c r="F1388" s="4">
        <v>46202.0</v>
      </c>
      <c r="G1388" s="1" t="s">
        <v>107</v>
      </c>
      <c r="H1388" s="1" t="s">
        <v>2254</v>
      </c>
      <c r="J1388" s="1" t="s">
        <v>122</v>
      </c>
      <c r="K1388" s="1" t="s">
        <v>366</v>
      </c>
      <c r="L1388" s="1" t="s">
        <v>99</v>
      </c>
      <c r="O1388" s="4">
        <v>44945.0</v>
      </c>
    </row>
    <row r="1389">
      <c r="A1389" s="1" t="s">
        <v>2247</v>
      </c>
      <c r="B1389" s="1" t="s">
        <v>1781</v>
      </c>
      <c r="C1389" s="1" t="s">
        <v>1782</v>
      </c>
      <c r="D1389" s="1" t="s">
        <v>2256</v>
      </c>
      <c r="E1389" s="1" t="s">
        <v>97</v>
      </c>
      <c r="F1389" s="4">
        <v>46202.0</v>
      </c>
      <c r="G1389" s="1" t="s">
        <v>107</v>
      </c>
      <c r="H1389" s="1" t="s">
        <v>2254</v>
      </c>
      <c r="J1389" s="1" t="s">
        <v>122</v>
      </c>
      <c r="K1389" s="1" t="s">
        <v>366</v>
      </c>
      <c r="L1389" s="1" t="s">
        <v>99</v>
      </c>
      <c r="O1389" s="4">
        <v>44945.0</v>
      </c>
    </row>
    <row r="1390">
      <c r="A1390" s="1" t="s">
        <v>2247</v>
      </c>
      <c r="B1390" s="1" t="s">
        <v>1781</v>
      </c>
      <c r="C1390" s="1" t="s">
        <v>1782</v>
      </c>
      <c r="D1390" s="1" t="s">
        <v>2257</v>
      </c>
      <c r="E1390" s="1" t="s">
        <v>97</v>
      </c>
      <c r="F1390" s="4">
        <v>46202.0</v>
      </c>
      <c r="G1390" s="1" t="s">
        <v>107</v>
      </c>
      <c r="H1390" s="1" t="s">
        <v>2254</v>
      </c>
      <c r="J1390" s="1" t="s">
        <v>122</v>
      </c>
      <c r="K1390" s="1" t="s">
        <v>366</v>
      </c>
      <c r="L1390" s="1" t="s">
        <v>99</v>
      </c>
      <c r="O1390" s="4">
        <v>44945.0</v>
      </c>
    </row>
    <row r="1391">
      <c r="A1391" s="1" t="s">
        <v>2247</v>
      </c>
      <c r="B1391" s="1" t="s">
        <v>2258</v>
      </c>
      <c r="C1391" s="1" t="s">
        <v>2259</v>
      </c>
      <c r="D1391" s="1" t="s">
        <v>2260</v>
      </c>
      <c r="E1391" s="1" t="s">
        <v>97</v>
      </c>
      <c r="F1391" s="8">
        <v>46308.0</v>
      </c>
      <c r="G1391" s="1" t="s">
        <v>107</v>
      </c>
      <c r="H1391" s="1" t="s">
        <v>133</v>
      </c>
      <c r="J1391" s="1" t="s">
        <v>295</v>
      </c>
      <c r="K1391" s="1" t="s">
        <v>366</v>
      </c>
      <c r="L1391" s="1" t="s">
        <v>99</v>
      </c>
      <c r="O1391" s="4">
        <v>44945.0</v>
      </c>
    </row>
    <row r="1392">
      <c r="A1392" s="1" t="s">
        <v>2247</v>
      </c>
      <c r="B1392" s="1" t="s">
        <v>2258</v>
      </c>
      <c r="C1392" s="1" t="s">
        <v>2258</v>
      </c>
      <c r="D1392" s="1" t="s">
        <v>2261</v>
      </c>
      <c r="E1392" s="1" t="s">
        <v>97</v>
      </c>
      <c r="F1392" s="8">
        <v>46308.0</v>
      </c>
      <c r="G1392" s="1" t="s">
        <v>107</v>
      </c>
      <c r="H1392" s="1" t="s">
        <v>133</v>
      </c>
      <c r="J1392" s="1" t="s">
        <v>295</v>
      </c>
      <c r="K1392" s="1" t="s">
        <v>366</v>
      </c>
      <c r="L1392" s="1" t="s">
        <v>99</v>
      </c>
      <c r="O1392" s="4">
        <v>44945.0</v>
      </c>
    </row>
    <row r="1393">
      <c r="A1393" s="1" t="s">
        <v>2247</v>
      </c>
      <c r="B1393" s="1" t="s">
        <v>2258</v>
      </c>
      <c r="C1393" s="1" t="s">
        <v>2259</v>
      </c>
      <c r="D1393" s="1" t="s">
        <v>2262</v>
      </c>
      <c r="E1393" s="1" t="s">
        <v>97</v>
      </c>
      <c r="F1393" s="8">
        <v>46308.0</v>
      </c>
      <c r="G1393" s="1" t="s">
        <v>107</v>
      </c>
      <c r="H1393" s="1" t="s">
        <v>133</v>
      </c>
      <c r="J1393" s="1" t="s">
        <v>295</v>
      </c>
      <c r="K1393" s="1" t="s">
        <v>366</v>
      </c>
      <c r="L1393" s="1" t="s">
        <v>99</v>
      </c>
      <c r="O1393" s="4">
        <v>44945.0</v>
      </c>
    </row>
    <row r="1394">
      <c r="A1394" s="1" t="s">
        <v>2247</v>
      </c>
      <c r="B1394" s="1" t="s">
        <v>2258</v>
      </c>
      <c r="C1394" s="1" t="s">
        <v>2259</v>
      </c>
      <c r="D1394" s="1" t="s">
        <v>2263</v>
      </c>
      <c r="E1394" s="1" t="s">
        <v>97</v>
      </c>
      <c r="F1394" s="8">
        <v>46308.0</v>
      </c>
      <c r="G1394" s="1" t="s">
        <v>107</v>
      </c>
      <c r="H1394" s="1" t="s">
        <v>133</v>
      </c>
      <c r="J1394" s="1" t="s">
        <v>295</v>
      </c>
      <c r="K1394" s="1" t="s">
        <v>366</v>
      </c>
      <c r="L1394" s="1" t="s">
        <v>99</v>
      </c>
      <c r="O1394" s="4">
        <v>44945.0</v>
      </c>
    </row>
    <row r="1395">
      <c r="A1395" s="1" t="s">
        <v>2247</v>
      </c>
      <c r="B1395" s="1" t="s">
        <v>212</v>
      </c>
      <c r="C1395" s="1" t="s">
        <v>822</v>
      </c>
      <c r="D1395" s="1" t="s">
        <v>2264</v>
      </c>
      <c r="E1395" s="1" t="s">
        <v>97</v>
      </c>
      <c r="F1395" s="4">
        <v>46297.0</v>
      </c>
      <c r="G1395" s="1" t="s">
        <v>107</v>
      </c>
      <c r="H1395" s="1" t="s">
        <v>33</v>
      </c>
      <c r="J1395" s="1" t="s">
        <v>33</v>
      </c>
      <c r="K1395" s="1" t="s">
        <v>366</v>
      </c>
      <c r="L1395" s="1" t="s">
        <v>99</v>
      </c>
      <c r="O1395" s="4">
        <v>44945.0</v>
      </c>
    </row>
    <row r="1396">
      <c r="A1396" s="1" t="s">
        <v>2247</v>
      </c>
      <c r="B1396" s="1" t="s">
        <v>212</v>
      </c>
      <c r="C1396" s="1" t="s">
        <v>822</v>
      </c>
      <c r="D1396" s="1" t="s">
        <v>2265</v>
      </c>
      <c r="E1396" s="1" t="s">
        <v>97</v>
      </c>
      <c r="F1396" s="4">
        <v>46297.0</v>
      </c>
      <c r="G1396" s="1" t="s">
        <v>107</v>
      </c>
      <c r="H1396" s="1" t="s">
        <v>33</v>
      </c>
      <c r="J1396" s="1" t="s">
        <v>33</v>
      </c>
      <c r="K1396" s="1" t="s">
        <v>366</v>
      </c>
      <c r="L1396" s="1" t="s">
        <v>99</v>
      </c>
      <c r="O1396" s="4">
        <v>44945.0</v>
      </c>
    </row>
    <row r="1397">
      <c r="A1397" s="1" t="s">
        <v>2247</v>
      </c>
      <c r="B1397" s="1" t="s">
        <v>212</v>
      </c>
      <c r="C1397" s="1" t="s">
        <v>822</v>
      </c>
      <c r="D1397" s="1" t="s">
        <v>2265</v>
      </c>
      <c r="E1397" s="1" t="s">
        <v>97</v>
      </c>
      <c r="F1397" s="4">
        <v>46297.0</v>
      </c>
      <c r="G1397" s="1" t="s">
        <v>107</v>
      </c>
      <c r="H1397" s="1" t="s">
        <v>33</v>
      </c>
      <c r="J1397" s="1" t="s">
        <v>33</v>
      </c>
      <c r="K1397" s="1" t="s">
        <v>366</v>
      </c>
      <c r="L1397" s="1" t="s">
        <v>99</v>
      </c>
      <c r="O1397" s="4">
        <v>44945.0</v>
      </c>
    </row>
    <row r="1398">
      <c r="A1398" s="1" t="s">
        <v>2247</v>
      </c>
      <c r="B1398" s="1" t="s">
        <v>212</v>
      </c>
      <c r="C1398" s="1" t="s">
        <v>822</v>
      </c>
      <c r="D1398" s="1" t="s">
        <v>2266</v>
      </c>
      <c r="E1398" s="1" t="s">
        <v>97</v>
      </c>
      <c r="F1398" s="4">
        <v>46297.0</v>
      </c>
      <c r="G1398" s="1" t="s">
        <v>107</v>
      </c>
      <c r="H1398" s="1" t="s">
        <v>33</v>
      </c>
      <c r="J1398" s="1" t="s">
        <v>33</v>
      </c>
      <c r="K1398" s="1" t="s">
        <v>366</v>
      </c>
      <c r="L1398" s="1" t="s">
        <v>99</v>
      </c>
      <c r="O1398" s="4">
        <v>44945.0</v>
      </c>
    </row>
    <row r="1399">
      <c r="A1399" s="1" t="s">
        <v>2267</v>
      </c>
      <c r="B1399" s="1" t="s">
        <v>212</v>
      </c>
      <c r="C1399" s="1" t="s">
        <v>822</v>
      </c>
      <c r="D1399" s="1" t="s">
        <v>2268</v>
      </c>
      <c r="E1399" s="1" t="s">
        <v>97</v>
      </c>
      <c r="F1399" s="4">
        <v>46297.0</v>
      </c>
      <c r="G1399" s="1" t="s">
        <v>107</v>
      </c>
      <c r="H1399" s="1" t="s">
        <v>33</v>
      </c>
      <c r="J1399" s="1" t="s">
        <v>33</v>
      </c>
      <c r="K1399" s="1" t="s">
        <v>366</v>
      </c>
      <c r="L1399" s="1" t="s">
        <v>99</v>
      </c>
      <c r="O1399" s="4">
        <v>44945.0</v>
      </c>
    </row>
    <row r="1400">
      <c r="A1400" s="1" t="s">
        <v>2267</v>
      </c>
      <c r="B1400" s="1" t="s">
        <v>212</v>
      </c>
      <c r="C1400" s="1" t="s">
        <v>822</v>
      </c>
      <c r="D1400" s="1" t="s">
        <v>2269</v>
      </c>
      <c r="E1400" s="1" t="s">
        <v>97</v>
      </c>
      <c r="F1400" s="4">
        <v>46297.0</v>
      </c>
      <c r="G1400" s="1" t="s">
        <v>107</v>
      </c>
      <c r="H1400" s="1" t="s">
        <v>33</v>
      </c>
      <c r="J1400" s="1" t="s">
        <v>33</v>
      </c>
      <c r="K1400" s="1" t="s">
        <v>366</v>
      </c>
      <c r="L1400" s="1" t="s">
        <v>99</v>
      </c>
      <c r="O1400" s="4">
        <v>44945.0</v>
      </c>
    </row>
    <row r="1401">
      <c r="A1401" s="1" t="s">
        <v>2267</v>
      </c>
      <c r="B1401" s="1" t="s">
        <v>212</v>
      </c>
      <c r="C1401" s="1" t="s">
        <v>822</v>
      </c>
      <c r="D1401" s="1" t="s">
        <v>2270</v>
      </c>
      <c r="E1401" s="1" t="s">
        <v>97</v>
      </c>
      <c r="F1401" s="4">
        <v>46297.0</v>
      </c>
      <c r="G1401" s="1" t="s">
        <v>107</v>
      </c>
      <c r="H1401" s="1" t="s">
        <v>33</v>
      </c>
      <c r="J1401" s="1" t="s">
        <v>33</v>
      </c>
      <c r="K1401" s="1" t="s">
        <v>366</v>
      </c>
      <c r="L1401" s="1" t="s">
        <v>99</v>
      </c>
      <c r="O1401" s="4">
        <v>44945.0</v>
      </c>
    </row>
    <row r="1402">
      <c r="A1402" s="1" t="s">
        <v>2267</v>
      </c>
      <c r="B1402" s="1" t="s">
        <v>1320</v>
      </c>
      <c r="C1402" s="1" t="s">
        <v>2248</v>
      </c>
      <c r="D1402" s="1" t="s">
        <v>2271</v>
      </c>
      <c r="E1402" s="1" t="s">
        <v>97</v>
      </c>
      <c r="F1402" s="4">
        <v>46297.0</v>
      </c>
      <c r="G1402" s="1" t="s">
        <v>71</v>
      </c>
      <c r="K1402" s="1" t="s">
        <v>366</v>
      </c>
      <c r="L1402" s="1" t="s">
        <v>99</v>
      </c>
      <c r="O1402" s="4">
        <v>44945.0</v>
      </c>
    </row>
    <row r="1403">
      <c r="A1403" s="1" t="s">
        <v>2267</v>
      </c>
      <c r="B1403" s="1" t="s">
        <v>1320</v>
      </c>
      <c r="C1403" s="1" t="s">
        <v>2248</v>
      </c>
      <c r="D1403" s="1" t="s">
        <v>2272</v>
      </c>
      <c r="E1403" s="1" t="s">
        <v>97</v>
      </c>
      <c r="F1403" s="4">
        <v>46297.0</v>
      </c>
      <c r="G1403" s="1" t="s">
        <v>71</v>
      </c>
      <c r="K1403" s="1" t="s">
        <v>366</v>
      </c>
      <c r="L1403" s="1" t="s">
        <v>99</v>
      </c>
      <c r="O1403" s="4">
        <v>44945.0</v>
      </c>
    </row>
    <row r="1404">
      <c r="A1404" s="1" t="s">
        <v>2267</v>
      </c>
      <c r="B1404" s="1" t="s">
        <v>1320</v>
      </c>
      <c r="C1404" s="1" t="s">
        <v>2248</v>
      </c>
      <c r="D1404" s="1" t="s">
        <v>2273</v>
      </c>
      <c r="E1404" s="1" t="s">
        <v>97</v>
      </c>
      <c r="F1404" s="4">
        <v>46297.0</v>
      </c>
      <c r="G1404" s="1" t="s">
        <v>71</v>
      </c>
      <c r="K1404" s="1" t="s">
        <v>366</v>
      </c>
      <c r="L1404" s="1" t="s">
        <v>99</v>
      </c>
      <c r="O1404" s="4">
        <v>44945.0</v>
      </c>
    </row>
    <row r="1405">
      <c r="A1405" s="1" t="s">
        <v>2274</v>
      </c>
      <c r="B1405" s="1" t="s">
        <v>677</v>
      </c>
      <c r="C1405" s="1" t="s">
        <v>2275</v>
      </c>
      <c r="D1405" s="1" t="s">
        <v>2276</v>
      </c>
      <c r="E1405" s="1" t="s">
        <v>32</v>
      </c>
      <c r="F1405" s="4">
        <v>46100.0</v>
      </c>
      <c r="H1405" s="1" t="s">
        <v>2277</v>
      </c>
      <c r="K1405" s="1" t="s">
        <v>129</v>
      </c>
      <c r="L1405" s="1" t="s">
        <v>35</v>
      </c>
      <c r="N1405" s="4">
        <v>46100.0</v>
      </c>
      <c r="O1405" s="4">
        <v>46100.0</v>
      </c>
    </row>
    <row r="1406">
      <c r="A1406" s="1" t="s">
        <v>2274</v>
      </c>
      <c r="B1406" s="1" t="s">
        <v>677</v>
      </c>
      <c r="C1406" s="1" t="s">
        <v>2275</v>
      </c>
      <c r="D1406" s="1" t="s">
        <v>2278</v>
      </c>
      <c r="E1406" s="1" t="s">
        <v>32</v>
      </c>
      <c r="F1406" s="4">
        <v>46100.0</v>
      </c>
      <c r="H1406" s="1" t="s">
        <v>2279</v>
      </c>
      <c r="K1406" s="1" t="s">
        <v>129</v>
      </c>
      <c r="L1406" s="1" t="s">
        <v>35</v>
      </c>
      <c r="N1406" s="4">
        <v>46100.0</v>
      </c>
      <c r="O1406" s="4">
        <v>46100.0</v>
      </c>
    </row>
    <row r="1407">
      <c r="A1407" s="1" t="s">
        <v>2280</v>
      </c>
      <c r="B1407" s="1" t="s">
        <v>923</v>
      </c>
      <c r="C1407" s="1" t="s">
        <v>924</v>
      </c>
      <c r="D1407" s="1" t="s">
        <v>2281</v>
      </c>
      <c r="E1407" s="1" t="s">
        <v>97</v>
      </c>
      <c r="F1407" s="8">
        <v>46314.0</v>
      </c>
      <c r="G1407" s="1" t="s">
        <v>71</v>
      </c>
      <c r="K1407" s="1" t="s">
        <v>34</v>
      </c>
      <c r="L1407" s="1" t="s">
        <v>99</v>
      </c>
      <c r="O1407" s="4">
        <v>44740.0</v>
      </c>
    </row>
    <row r="1408">
      <c r="A1408" s="1" t="s">
        <v>2280</v>
      </c>
      <c r="B1408" s="1" t="s">
        <v>923</v>
      </c>
      <c r="C1408" s="1" t="s">
        <v>924</v>
      </c>
      <c r="D1408" s="1" t="s">
        <v>2282</v>
      </c>
      <c r="E1408" s="1" t="s">
        <v>97</v>
      </c>
      <c r="F1408" s="8">
        <v>46314.0</v>
      </c>
      <c r="G1408" s="1" t="s">
        <v>71</v>
      </c>
      <c r="K1408" s="1" t="s">
        <v>34</v>
      </c>
      <c r="L1408" s="1" t="s">
        <v>99</v>
      </c>
      <c r="O1408" s="4">
        <v>44740.0</v>
      </c>
    </row>
    <row r="1409">
      <c r="A1409" s="1" t="s">
        <v>2280</v>
      </c>
      <c r="B1409" s="1" t="s">
        <v>923</v>
      </c>
      <c r="C1409" s="1" t="s">
        <v>924</v>
      </c>
      <c r="D1409" s="1" t="s">
        <v>2283</v>
      </c>
      <c r="E1409" s="1" t="s">
        <v>97</v>
      </c>
      <c r="F1409" s="8">
        <v>46314.0</v>
      </c>
      <c r="G1409" s="1" t="s">
        <v>71</v>
      </c>
      <c r="K1409" s="1" t="s">
        <v>34</v>
      </c>
      <c r="L1409" s="1" t="s">
        <v>99</v>
      </c>
      <c r="O1409" s="4">
        <v>44740.0</v>
      </c>
    </row>
    <row r="1410">
      <c r="A1410" s="1" t="s">
        <v>2280</v>
      </c>
      <c r="B1410" s="1" t="s">
        <v>288</v>
      </c>
      <c r="C1410" s="1" t="s">
        <v>289</v>
      </c>
      <c r="D1410" s="1" t="s">
        <v>2284</v>
      </c>
      <c r="E1410" s="1" t="s">
        <v>97</v>
      </c>
      <c r="F1410" s="8">
        <v>46309.0</v>
      </c>
      <c r="G1410" s="1" t="s">
        <v>107</v>
      </c>
      <c r="H1410" s="1" t="s">
        <v>133</v>
      </c>
      <c r="J1410" s="1" t="s">
        <v>134</v>
      </c>
      <c r="K1410" s="1" t="s">
        <v>34</v>
      </c>
      <c r="L1410" s="1" t="s">
        <v>99</v>
      </c>
      <c r="O1410" s="4">
        <v>44740.0</v>
      </c>
    </row>
    <row r="1411">
      <c r="A1411" s="1" t="s">
        <v>2280</v>
      </c>
      <c r="B1411" s="1" t="s">
        <v>288</v>
      </c>
      <c r="C1411" s="1" t="s">
        <v>289</v>
      </c>
      <c r="D1411" s="1" t="s">
        <v>2285</v>
      </c>
      <c r="E1411" s="1" t="s">
        <v>97</v>
      </c>
      <c r="F1411" s="8">
        <v>46309.0</v>
      </c>
      <c r="G1411" s="1" t="s">
        <v>107</v>
      </c>
      <c r="H1411" s="1" t="s">
        <v>133</v>
      </c>
      <c r="J1411" s="1" t="s">
        <v>134</v>
      </c>
      <c r="K1411" s="1" t="s">
        <v>34</v>
      </c>
      <c r="L1411" s="1" t="s">
        <v>99</v>
      </c>
      <c r="O1411" s="4">
        <v>44740.0</v>
      </c>
    </row>
    <row r="1412">
      <c r="A1412" s="1" t="s">
        <v>2280</v>
      </c>
      <c r="B1412" s="1" t="s">
        <v>288</v>
      </c>
      <c r="C1412" s="1" t="s">
        <v>289</v>
      </c>
      <c r="D1412" s="1" t="s">
        <v>2286</v>
      </c>
      <c r="E1412" s="1" t="s">
        <v>70</v>
      </c>
      <c r="F1412" s="8">
        <v>46309.0</v>
      </c>
      <c r="G1412" s="1" t="s">
        <v>107</v>
      </c>
      <c r="H1412" s="1" t="s">
        <v>133</v>
      </c>
      <c r="J1412" s="1" t="s">
        <v>134</v>
      </c>
      <c r="K1412" s="1" t="s">
        <v>34</v>
      </c>
      <c r="L1412" s="1" t="s">
        <v>99</v>
      </c>
      <c r="O1412" s="4">
        <v>44740.0</v>
      </c>
    </row>
    <row r="1413">
      <c r="A1413" s="1" t="s">
        <v>2280</v>
      </c>
      <c r="B1413" s="1" t="s">
        <v>255</v>
      </c>
      <c r="C1413" s="1" t="s">
        <v>256</v>
      </c>
      <c r="D1413" s="1" t="s">
        <v>2287</v>
      </c>
      <c r="E1413" s="1" t="s">
        <v>70</v>
      </c>
      <c r="F1413" s="8">
        <v>46310.0</v>
      </c>
      <c r="G1413" s="1" t="s">
        <v>107</v>
      </c>
      <c r="H1413" s="1" t="s">
        <v>638</v>
      </c>
      <c r="J1413" s="1" t="s">
        <v>562</v>
      </c>
      <c r="K1413" s="1" t="s">
        <v>34</v>
      </c>
      <c r="L1413" s="1" t="s">
        <v>99</v>
      </c>
      <c r="O1413" s="4">
        <v>44740.0</v>
      </c>
    </row>
    <row r="1414">
      <c r="A1414" s="1" t="s">
        <v>2280</v>
      </c>
      <c r="B1414" s="1" t="s">
        <v>255</v>
      </c>
      <c r="C1414" s="1" t="s">
        <v>256</v>
      </c>
      <c r="D1414" s="1" t="s">
        <v>2288</v>
      </c>
      <c r="E1414" s="1" t="s">
        <v>97</v>
      </c>
      <c r="F1414" s="8">
        <v>46310.0</v>
      </c>
      <c r="G1414" s="1" t="s">
        <v>71</v>
      </c>
      <c r="H1414" s="1" t="s">
        <v>396</v>
      </c>
      <c r="K1414" s="1" t="s">
        <v>34</v>
      </c>
      <c r="L1414" s="1" t="s">
        <v>99</v>
      </c>
      <c r="O1414" s="4">
        <v>44740.0</v>
      </c>
    </row>
    <row r="1415">
      <c r="A1415" s="1" t="s">
        <v>2280</v>
      </c>
      <c r="B1415" s="1" t="s">
        <v>255</v>
      </c>
      <c r="C1415" s="1" t="s">
        <v>256</v>
      </c>
      <c r="D1415" s="1" t="s">
        <v>2289</v>
      </c>
      <c r="E1415" s="1" t="s">
        <v>97</v>
      </c>
      <c r="F1415" s="8">
        <v>46310.0</v>
      </c>
      <c r="G1415" s="1" t="s">
        <v>71</v>
      </c>
      <c r="H1415" s="1" t="s">
        <v>396</v>
      </c>
      <c r="K1415" s="1" t="s">
        <v>34</v>
      </c>
      <c r="L1415" s="1" t="s">
        <v>99</v>
      </c>
      <c r="O1415" s="4">
        <v>44740.0</v>
      </c>
    </row>
    <row r="1416">
      <c r="A1416" s="1" t="s">
        <v>2290</v>
      </c>
      <c r="B1416" s="1" t="s">
        <v>2291</v>
      </c>
      <c r="C1416" s="1" t="s">
        <v>2292</v>
      </c>
      <c r="D1416" s="1" t="s">
        <v>2293</v>
      </c>
      <c r="E1416" s="1" t="s">
        <v>32</v>
      </c>
      <c r="F1416" s="4">
        <v>46042.0</v>
      </c>
      <c r="H1416" s="1" t="s">
        <v>2294</v>
      </c>
      <c r="K1416" s="1" t="s">
        <v>378</v>
      </c>
      <c r="L1416" s="1" t="s">
        <v>35</v>
      </c>
      <c r="N1416" s="4">
        <v>46042.0</v>
      </c>
      <c r="O1416" s="4">
        <v>46042.0</v>
      </c>
    </row>
    <row r="1417">
      <c r="A1417" s="1" t="s">
        <v>2295</v>
      </c>
      <c r="B1417" s="1" t="s">
        <v>140</v>
      </c>
      <c r="C1417" s="1" t="s">
        <v>141</v>
      </c>
      <c r="D1417" s="1" t="s">
        <v>2296</v>
      </c>
      <c r="E1417" s="1" t="s">
        <v>97</v>
      </c>
      <c r="F1417" s="8">
        <v>46318.0</v>
      </c>
      <c r="G1417" s="1" t="s">
        <v>71</v>
      </c>
      <c r="K1417" s="1" t="s">
        <v>235</v>
      </c>
      <c r="L1417" s="1" t="s">
        <v>99</v>
      </c>
      <c r="O1417" s="8">
        <v>44552.0</v>
      </c>
    </row>
    <row r="1418">
      <c r="A1418" s="1" t="s">
        <v>2295</v>
      </c>
      <c r="B1418" s="1" t="s">
        <v>140</v>
      </c>
      <c r="C1418" s="1" t="s">
        <v>141</v>
      </c>
      <c r="D1418" s="1" t="s">
        <v>2297</v>
      </c>
      <c r="E1418" s="1" t="s">
        <v>97</v>
      </c>
      <c r="F1418" s="8">
        <v>46318.0</v>
      </c>
      <c r="G1418" s="1" t="s">
        <v>107</v>
      </c>
      <c r="H1418" s="1" t="s">
        <v>33</v>
      </c>
      <c r="J1418" s="1" t="s">
        <v>33</v>
      </c>
      <c r="K1418" s="1" t="s">
        <v>235</v>
      </c>
      <c r="L1418" s="1" t="s">
        <v>99</v>
      </c>
      <c r="O1418" s="8">
        <v>44552.0</v>
      </c>
    </row>
    <row r="1419">
      <c r="A1419" s="1" t="s">
        <v>2295</v>
      </c>
      <c r="B1419" s="1" t="s">
        <v>140</v>
      </c>
      <c r="C1419" s="1" t="s">
        <v>141</v>
      </c>
      <c r="D1419" s="1" t="s">
        <v>2298</v>
      </c>
      <c r="E1419" s="1" t="s">
        <v>97</v>
      </c>
      <c r="F1419" s="8">
        <v>46318.0</v>
      </c>
      <c r="G1419" s="1" t="s">
        <v>107</v>
      </c>
      <c r="H1419" s="1" t="s">
        <v>33</v>
      </c>
      <c r="J1419" s="1" t="s">
        <v>33</v>
      </c>
      <c r="K1419" s="1" t="s">
        <v>235</v>
      </c>
      <c r="L1419" s="1" t="s">
        <v>99</v>
      </c>
      <c r="O1419" s="8">
        <v>44552.0</v>
      </c>
    </row>
    <row r="1420">
      <c r="A1420" s="1" t="s">
        <v>2295</v>
      </c>
      <c r="B1420" s="1" t="s">
        <v>140</v>
      </c>
      <c r="C1420" s="1" t="s">
        <v>141</v>
      </c>
      <c r="D1420" s="1" t="s">
        <v>2299</v>
      </c>
      <c r="E1420" s="1" t="s">
        <v>97</v>
      </c>
      <c r="F1420" s="8">
        <v>46318.0</v>
      </c>
      <c r="G1420" s="1" t="s">
        <v>71</v>
      </c>
      <c r="K1420" s="1" t="s">
        <v>235</v>
      </c>
      <c r="L1420" s="1" t="s">
        <v>99</v>
      </c>
      <c r="O1420" s="8">
        <v>44552.0</v>
      </c>
    </row>
    <row r="1421">
      <c r="A1421" s="1" t="s">
        <v>2295</v>
      </c>
      <c r="B1421" s="1" t="s">
        <v>140</v>
      </c>
      <c r="C1421" s="1" t="s">
        <v>141</v>
      </c>
      <c r="D1421" s="1" t="s">
        <v>2300</v>
      </c>
      <c r="E1421" s="1" t="s">
        <v>97</v>
      </c>
      <c r="F1421" s="8">
        <v>46318.0</v>
      </c>
      <c r="G1421" s="1" t="s">
        <v>107</v>
      </c>
      <c r="H1421" s="1" t="s">
        <v>33</v>
      </c>
      <c r="J1421" s="1" t="s">
        <v>33</v>
      </c>
      <c r="K1421" s="1" t="s">
        <v>235</v>
      </c>
      <c r="L1421" s="1" t="s">
        <v>99</v>
      </c>
      <c r="O1421" s="8">
        <v>44552.0</v>
      </c>
    </row>
    <row r="1422">
      <c r="A1422" s="1" t="s">
        <v>2295</v>
      </c>
      <c r="B1422" s="1" t="s">
        <v>140</v>
      </c>
      <c r="C1422" s="1" t="s">
        <v>141</v>
      </c>
      <c r="D1422" s="1" t="s">
        <v>2301</v>
      </c>
      <c r="E1422" s="1" t="s">
        <v>97</v>
      </c>
      <c r="F1422" s="8">
        <v>46318.0</v>
      </c>
      <c r="G1422" s="1" t="s">
        <v>107</v>
      </c>
      <c r="H1422" s="1" t="s">
        <v>33</v>
      </c>
      <c r="J1422" s="1" t="s">
        <v>33</v>
      </c>
      <c r="K1422" s="1" t="s">
        <v>235</v>
      </c>
      <c r="L1422" s="1" t="s">
        <v>99</v>
      </c>
      <c r="O1422" s="8">
        <v>44552.0</v>
      </c>
    </row>
    <row r="1423">
      <c r="A1423" s="1" t="s">
        <v>2295</v>
      </c>
      <c r="B1423" s="1" t="s">
        <v>2258</v>
      </c>
      <c r="C1423" s="1" t="s">
        <v>2259</v>
      </c>
      <c r="D1423" s="1" t="s">
        <v>2302</v>
      </c>
      <c r="E1423" s="1" t="s">
        <v>97</v>
      </c>
      <c r="F1423" s="8">
        <v>46308.0</v>
      </c>
      <c r="G1423" s="1" t="s">
        <v>71</v>
      </c>
      <c r="K1423" s="1" t="s">
        <v>235</v>
      </c>
      <c r="L1423" s="1" t="s">
        <v>99</v>
      </c>
      <c r="O1423" s="8">
        <v>44552.0</v>
      </c>
    </row>
    <row r="1424">
      <c r="A1424" s="1" t="s">
        <v>2295</v>
      </c>
      <c r="B1424" s="1" t="s">
        <v>2258</v>
      </c>
      <c r="C1424" s="1" t="s">
        <v>2259</v>
      </c>
      <c r="D1424" s="1" t="s">
        <v>2303</v>
      </c>
      <c r="E1424" s="1" t="s">
        <v>97</v>
      </c>
      <c r="F1424" s="8">
        <v>46308.0</v>
      </c>
      <c r="G1424" s="1" t="s">
        <v>71</v>
      </c>
      <c r="K1424" s="1" t="s">
        <v>235</v>
      </c>
      <c r="L1424" s="1" t="s">
        <v>99</v>
      </c>
      <c r="O1424" s="8">
        <v>44552.0</v>
      </c>
    </row>
    <row r="1425">
      <c r="A1425" s="1" t="s">
        <v>2295</v>
      </c>
      <c r="B1425" s="1" t="s">
        <v>2258</v>
      </c>
      <c r="C1425" s="1" t="s">
        <v>2259</v>
      </c>
      <c r="D1425" s="1" t="s">
        <v>2304</v>
      </c>
      <c r="E1425" s="1" t="s">
        <v>97</v>
      </c>
      <c r="F1425" s="8">
        <v>46308.0</v>
      </c>
      <c r="G1425" s="1" t="s">
        <v>71</v>
      </c>
      <c r="K1425" s="1" t="s">
        <v>235</v>
      </c>
      <c r="L1425" s="1" t="s">
        <v>99</v>
      </c>
      <c r="O1425" s="8">
        <v>44552.0</v>
      </c>
    </row>
    <row r="1426">
      <c r="A1426" s="1" t="s">
        <v>2305</v>
      </c>
      <c r="B1426" s="1" t="s">
        <v>255</v>
      </c>
      <c r="C1426" s="1" t="s">
        <v>256</v>
      </c>
      <c r="D1426" s="1" t="s">
        <v>2306</v>
      </c>
      <c r="E1426" s="1" t="s">
        <v>97</v>
      </c>
      <c r="F1426" s="8">
        <v>46310.0</v>
      </c>
      <c r="G1426" s="1" t="s">
        <v>132</v>
      </c>
      <c r="H1426" s="1" t="s">
        <v>396</v>
      </c>
      <c r="J1426" s="1" t="s">
        <v>47</v>
      </c>
      <c r="K1426" s="1" t="s">
        <v>235</v>
      </c>
      <c r="L1426" s="1" t="s">
        <v>99</v>
      </c>
      <c r="O1426" s="4">
        <v>44244.0</v>
      </c>
    </row>
    <row r="1427">
      <c r="A1427" s="1" t="s">
        <v>2305</v>
      </c>
      <c r="B1427" s="1" t="s">
        <v>1140</v>
      </c>
      <c r="C1427" s="1" t="s">
        <v>1141</v>
      </c>
      <c r="D1427" s="1" t="s">
        <v>2307</v>
      </c>
      <c r="E1427" s="1" t="s">
        <v>97</v>
      </c>
      <c r="F1427" s="4">
        <v>46283.0</v>
      </c>
      <c r="G1427" s="1" t="s">
        <v>107</v>
      </c>
      <c r="H1427" s="1" t="s">
        <v>33</v>
      </c>
      <c r="J1427" s="1" t="s">
        <v>33</v>
      </c>
      <c r="K1427" s="1" t="s">
        <v>235</v>
      </c>
      <c r="L1427" s="1" t="s">
        <v>99</v>
      </c>
      <c r="O1427" s="4">
        <v>44244.0</v>
      </c>
      <c r="T1427" s="19" t="s">
        <v>2308</v>
      </c>
    </row>
    <row r="1428">
      <c r="A1428" s="1" t="s">
        <v>2305</v>
      </c>
      <c r="B1428" s="1" t="s">
        <v>923</v>
      </c>
      <c r="C1428" s="1" t="s">
        <v>924</v>
      </c>
      <c r="D1428" s="1" t="s">
        <v>2309</v>
      </c>
      <c r="E1428" s="1" t="s">
        <v>97</v>
      </c>
      <c r="F1428" s="8">
        <v>46314.0</v>
      </c>
      <c r="G1428" s="1" t="s">
        <v>107</v>
      </c>
      <c r="H1428" s="1" t="s">
        <v>2310</v>
      </c>
      <c r="J1428" s="1" t="s">
        <v>134</v>
      </c>
      <c r="K1428" s="1" t="s">
        <v>235</v>
      </c>
      <c r="L1428" s="1" t="s">
        <v>99</v>
      </c>
      <c r="O1428" s="4">
        <v>44244.0</v>
      </c>
    </row>
    <row r="1429">
      <c r="A1429" s="1" t="s">
        <v>2305</v>
      </c>
      <c r="B1429" s="1" t="s">
        <v>1140</v>
      </c>
      <c r="C1429" s="1" t="s">
        <v>1141</v>
      </c>
      <c r="D1429" s="1" t="s">
        <v>2311</v>
      </c>
      <c r="E1429" s="1" t="s">
        <v>32</v>
      </c>
      <c r="F1429" s="4">
        <v>46132.0</v>
      </c>
      <c r="H1429" s="1" t="s">
        <v>33</v>
      </c>
      <c r="K1429" s="1" t="s">
        <v>235</v>
      </c>
      <c r="L1429" s="1" t="s">
        <v>35</v>
      </c>
      <c r="N1429" s="4">
        <v>46132.0</v>
      </c>
      <c r="O1429" s="4">
        <v>46132.0</v>
      </c>
    </row>
    <row r="1430">
      <c r="A1430" s="1" t="s">
        <v>2312</v>
      </c>
      <c r="B1430" s="1" t="s">
        <v>1140</v>
      </c>
      <c r="C1430" s="1" t="s">
        <v>2313</v>
      </c>
      <c r="D1430" s="1" t="s">
        <v>2314</v>
      </c>
      <c r="E1430" s="1" t="s">
        <v>70</v>
      </c>
      <c r="F1430" s="4">
        <v>46240.0</v>
      </c>
      <c r="I1430" s="1" t="s">
        <v>71</v>
      </c>
      <c r="K1430" s="1" t="s">
        <v>235</v>
      </c>
      <c r="L1430" s="1" t="s">
        <v>73</v>
      </c>
      <c r="M1430" s="4">
        <v>46240.0</v>
      </c>
      <c r="O1430" s="4">
        <v>43915.0</v>
      </c>
    </row>
    <row r="1431">
      <c r="A1431" s="1" t="s">
        <v>2315</v>
      </c>
      <c r="B1431" s="1" t="s">
        <v>2316</v>
      </c>
      <c r="C1431" s="1" t="s">
        <v>2317</v>
      </c>
      <c r="D1431" s="1" t="s">
        <v>2318</v>
      </c>
      <c r="E1431" s="1" t="s">
        <v>97</v>
      </c>
      <c r="F1431" s="8">
        <v>46310.0</v>
      </c>
      <c r="G1431" s="1" t="s">
        <v>71</v>
      </c>
      <c r="K1431" s="1" t="s">
        <v>367</v>
      </c>
      <c r="L1431" s="1" t="s">
        <v>99</v>
      </c>
      <c r="O1431" s="4">
        <v>45317.0</v>
      </c>
      <c r="T1431" s="19" t="s">
        <v>2319</v>
      </c>
    </row>
    <row r="1432">
      <c r="A1432" s="1" t="s">
        <v>2315</v>
      </c>
      <c r="B1432" s="1" t="s">
        <v>2316</v>
      </c>
      <c r="C1432" s="1" t="s">
        <v>2317</v>
      </c>
      <c r="D1432" s="1" t="s">
        <v>2320</v>
      </c>
      <c r="E1432" s="1" t="s">
        <v>97</v>
      </c>
      <c r="F1432" s="8">
        <v>46310.0</v>
      </c>
      <c r="G1432" s="1" t="s">
        <v>71</v>
      </c>
      <c r="K1432" s="1" t="s">
        <v>367</v>
      </c>
      <c r="L1432" s="1" t="s">
        <v>99</v>
      </c>
      <c r="O1432" s="4">
        <v>45317.0</v>
      </c>
      <c r="T1432" s="19" t="s">
        <v>2321</v>
      </c>
    </row>
    <row r="1433">
      <c r="A1433" s="1" t="s">
        <v>2315</v>
      </c>
      <c r="B1433" s="1" t="s">
        <v>2316</v>
      </c>
      <c r="C1433" s="1" t="s">
        <v>2317</v>
      </c>
      <c r="D1433" s="1" t="s">
        <v>2322</v>
      </c>
      <c r="E1433" s="1" t="s">
        <v>97</v>
      </c>
      <c r="F1433" s="8">
        <v>46310.0</v>
      </c>
      <c r="G1433" s="1" t="s">
        <v>107</v>
      </c>
      <c r="H1433" s="1" t="s">
        <v>133</v>
      </c>
      <c r="J1433" s="1" t="s">
        <v>295</v>
      </c>
      <c r="K1433" s="1" t="s">
        <v>367</v>
      </c>
      <c r="L1433" s="1" t="s">
        <v>99</v>
      </c>
      <c r="O1433" s="4">
        <v>45317.0</v>
      </c>
    </row>
    <row r="1434">
      <c r="A1434" s="1" t="s">
        <v>2315</v>
      </c>
      <c r="B1434" s="1" t="s">
        <v>2316</v>
      </c>
      <c r="C1434" s="1" t="s">
        <v>2317</v>
      </c>
      <c r="D1434" s="1" t="s">
        <v>2323</v>
      </c>
      <c r="E1434" s="1" t="s">
        <v>97</v>
      </c>
      <c r="F1434" s="8">
        <v>46310.0</v>
      </c>
      <c r="G1434" s="1" t="s">
        <v>71</v>
      </c>
      <c r="K1434" s="1" t="s">
        <v>367</v>
      </c>
      <c r="L1434" s="1" t="s">
        <v>99</v>
      </c>
      <c r="O1434" s="4">
        <v>45317.0</v>
      </c>
      <c r="T1434" s="19" t="s">
        <v>2324</v>
      </c>
    </row>
    <row r="1435">
      <c r="A1435" s="1" t="s">
        <v>2325</v>
      </c>
      <c r="B1435" s="1" t="s">
        <v>1835</v>
      </c>
      <c r="C1435" s="1" t="s">
        <v>1836</v>
      </c>
      <c r="D1435" s="1" t="s">
        <v>2326</v>
      </c>
      <c r="E1435" s="1" t="s">
        <v>32</v>
      </c>
      <c r="F1435" s="4">
        <v>46227.0</v>
      </c>
      <c r="H1435" s="1" t="s">
        <v>33</v>
      </c>
      <c r="K1435" s="1" t="s">
        <v>267</v>
      </c>
      <c r="L1435" s="1" t="s">
        <v>35</v>
      </c>
      <c r="N1435" s="4">
        <v>46227.0</v>
      </c>
      <c r="O1435" s="4">
        <v>46227.0</v>
      </c>
    </row>
    <row r="1436">
      <c r="A1436" s="1" t="s">
        <v>2327</v>
      </c>
      <c r="B1436" s="1" t="s">
        <v>1835</v>
      </c>
      <c r="C1436" s="1" t="s">
        <v>1836</v>
      </c>
      <c r="D1436" s="1" t="s">
        <v>2328</v>
      </c>
      <c r="E1436" s="1" t="s">
        <v>32</v>
      </c>
      <c r="F1436" s="4">
        <v>46227.0</v>
      </c>
      <c r="H1436" s="1" t="s">
        <v>33</v>
      </c>
      <c r="K1436" s="1" t="s">
        <v>267</v>
      </c>
      <c r="L1436" s="1" t="s">
        <v>35</v>
      </c>
      <c r="N1436" s="4">
        <v>46227.0</v>
      </c>
      <c r="O1436" s="4">
        <v>46227.0</v>
      </c>
    </row>
    <row r="1437">
      <c r="A1437" s="1" t="s">
        <v>2329</v>
      </c>
      <c r="B1437" s="1" t="s">
        <v>1533</v>
      </c>
      <c r="C1437" s="1" t="s">
        <v>1253</v>
      </c>
      <c r="D1437" s="1" t="s">
        <v>2330</v>
      </c>
      <c r="E1437" s="1" t="s">
        <v>32</v>
      </c>
      <c r="F1437" s="4">
        <v>46283.0</v>
      </c>
      <c r="H1437" s="1" t="s">
        <v>2331</v>
      </c>
      <c r="K1437" s="1" t="s">
        <v>243</v>
      </c>
      <c r="L1437" s="1" t="s">
        <v>35</v>
      </c>
      <c r="N1437" s="4">
        <v>46283.0</v>
      </c>
      <c r="O1437" s="4">
        <v>46283.0</v>
      </c>
    </row>
    <row r="1438">
      <c r="A1438" s="1" t="s">
        <v>2332</v>
      </c>
      <c r="B1438" s="1" t="s">
        <v>1146</v>
      </c>
      <c r="C1438" s="1" t="s">
        <v>924</v>
      </c>
      <c r="D1438" s="1" t="s">
        <v>2333</v>
      </c>
      <c r="E1438" s="1" t="s">
        <v>32</v>
      </c>
      <c r="F1438" s="4">
        <v>46283.0</v>
      </c>
      <c r="H1438" s="1" t="s">
        <v>344</v>
      </c>
      <c r="K1438" s="1" t="s">
        <v>367</v>
      </c>
      <c r="L1438" s="1" t="s">
        <v>35</v>
      </c>
      <c r="N1438" s="4">
        <v>46283.0</v>
      </c>
      <c r="O1438" s="4">
        <v>46283.0</v>
      </c>
    </row>
    <row r="1439">
      <c r="A1439" s="1" t="s">
        <v>2334</v>
      </c>
      <c r="B1439" s="1" t="s">
        <v>328</v>
      </c>
      <c r="C1439" s="1" t="s">
        <v>329</v>
      </c>
      <c r="D1439" s="1" t="s">
        <v>2335</v>
      </c>
      <c r="E1439" s="1" t="s">
        <v>97</v>
      </c>
      <c r="F1439" s="4">
        <v>46261.0</v>
      </c>
      <c r="G1439" s="1" t="s">
        <v>71</v>
      </c>
      <c r="K1439" s="1" t="s">
        <v>358</v>
      </c>
      <c r="L1439" s="1" t="s">
        <v>99</v>
      </c>
      <c r="O1439" s="4">
        <v>44972.0</v>
      </c>
    </row>
    <row r="1440">
      <c r="A1440" s="1" t="s">
        <v>2334</v>
      </c>
      <c r="B1440" s="1" t="s">
        <v>328</v>
      </c>
      <c r="C1440" s="1" t="s">
        <v>329</v>
      </c>
      <c r="D1440" s="1" t="s">
        <v>2336</v>
      </c>
      <c r="E1440" s="1" t="s">
        <v>97</v>
      </c>
      <c r="F1440" s="4">
        <v>46261.0</v>
      </c>
      <c r="G1440" s="1" t="s">
        <v>71</v>
      </c>
      <c r="K1440" s="1" t="s">
        <v>358</v>
      </c>
      <c r="L1440" s="1" t="s">
        <v>99</v>
      </c>
      <c r="O1440" s="4">
        <v>44972.0</v>
      </c>
    </row>
    <row r="1441">
      <c r="A1441" s="1" t="s">
        <v>2334</v>
      </c>
      <c r="B1441" s="1" t="s">
        <v>255</v>
      </c>
      <c r="C1441" s="1" t="s">
        <v>256</v>
      </c>
      <c r="D1441" s="1" t="s">
        <v>2337</v>
      </c>
      <c r="E1441" s="1" t="s">
        <v>97</v>
      </c>
      <c r="F1441" s="8">
        <v>46310.0</v>
      </c>
      <c r="G1441" s="1" t="s">
        <v>107</v>
      </c>
      <c r="H1441" s="1" t="s">
        <v>133</v>
      </c>
      <c r="J1441" s="1" t="s">
        <v>562</v>
      </c>
      <c r="K1441" s="1" t="s">
        <v>358</v>
      </c>
      <c r="L1441" s="1" t="s">
        <v>99</v>
      </c>
      <c r="O1441" s="4">
        <v>44972.0</v>
      </c>
    </row>
    <row r="1442">
      <c r="A1442" s="1" t="s">
        <v>2334</v>
      </c>
      <c r="B1442" s="1" t="s">
        <v>2051</v>
      </c>
      <c r="C1442" s="1" t="s">
        <v>2052</v>
      </c>
      <c r="D1442" s="1" t="s">
        <v>2338</v>
      </c>
      <c r="E1442" s="1" t="s">
        <v>70</v>
      </c>
      <c r="F1442" s="4">
        <v>46280.0</v>
      </c>
      <c r="G1442" s="1" t="s">
        <v>71</v>
      </c>
      <c r="K1442" s="1" t="s">
        <v>358</v>
      </c>
      <c r="L1442" s="1" t="s">
        <v>99</v>
      </c>
      <c r="O1442" s="4">
        <v>44972.0</v>
      </c>
    </row>
    <row r="1443">
      <c r="A1443" s="1" t="s">
        <v>2334</v>
      </c>
      <c r="B1443" s="1" t="s">
        <v>2051</v>
      </c>
      <c r="C1443" s="1" t="s">
        <v>2052</v>
      </c>
      <c r="D1443" s="1" t="s">
        <v>2339</v>
      </c>
      <c r="E1443" s="1" t="s">
        <v>97</v>
      </c>
      <c r="F1443" s="4">
        <v>46280.0</v>
      </c>
      <c r="G1443" s="1" t="s">
        <v>132</v>
      </c>
      <c r="H1443" s="1" t="s">
        <v>410</v>
      </c>
      <c r="J1443" s="1" t="s">
        <v>134</v>
      </c>
      <c r="K1443" s="1" t="s">
        <v>358</v>
      </c>
      <c r="L1443" s="1" t="s">
        <v>99</v>
      </c>
      <c r="O1443" s="4">
        <v>44972.0</v>
      </c>
    </row>
    <row r="1444">
      <c r="A1444" s="1" t="s">
        <v>2334</v>
      </c>
      <c r="B1444" s="1" t="s">
        <v>923</v>
      </c>
      <c r="C1444" s="1" t="s">
        <v>924</v>
      </c>
      <c r="D1444" s="1" t="s">
        <v>2340</v>
      </c>
      <c r="E1444" s="1" t="s">
        <v>97</v>
      </c>
      <c r="F1444" s="8">
        <v>46314.0</v>
      </c>
      <c r="G1444" s="1" t="s">
        <v>71</v>
      </c>
      <c r="K1444" s="1" t="s">
        <v>358</v>
      </c>
      <c r="L1444" s="1" t="s">
        <v>99</v>
      </c>
      <c r="O1444" s="4">
        <v>44972.0</v>
      </c>
    </row>
    <row r="1445">
      <c r="A1445" s="1" t="s">
        <v>2334</v>
      </c>
      <c r="B1445" s="1" t="s">
        <v>336</v>
      </c>
      <c r="C1445" s="1" t="s">
        <v>338</v>
      </c>
      <c r="D1445" s="1" t="s">
        <v>2341</v>
      </c>
      <c r="E1445" s="1" t="s">
        <v>97</v>
      </c>
      <c r="F1445" s="8">
        <v>46314.0</v>
      </c>
      <c r="G1445" s="1" t="s">
        <v>71</v>
      </c>
      <c r="H1445" s="1" t="s">
        <v>396</v>
      </c>
      <c r="K1445" s="1" t="s">
        <v>358</v>
      </c>
      <c r="L1445" s="1" t="s">
        <v>99</v>
      </c>
      <c r="O1445" s="4">
        <v>44972.0</v>
      </c>
    </row>
    <row r="1446">
      <c r="A1446" s="1" t="s">
        <v>2334</v>
      </c>
      <c r="B1446" s="1" t="s">
        <v>336</v>
      </c>
      <c r="C1446" s="1" t="s">
        <v>338</v>
      </c>
      <c r="D1446" s="1" t="s">
        <v>2342</v>
      </c>
      <c r="E1446" s="1" t="s">
        <v>97</v>
      </c>
      <c r="F1446" s="8">
        <v>46314.0</v>
      </c>
      <c r="G1446" s="1" t="s">
        <v>71</v>
      </c>
      <c r="H1446" s="1" t="s">
        <v>396</v>
      </c>
      <c r="K1446" s="1" t="s">
        <v>358</v>
      </c>
      <c r="L1446" s="1" t="s">
        <v>99</v>
      </c>
      <c r="O1446" s="4">
        <v>44972.0</v>
      </c>
    </row>
    <row r="1447">
      <c r="A1447" s="1" t="s">
        <v>2334</v>
      </c>
      <c r="B1447" s="1" t="s">
        <v>94</v>
      </c>
      <c r="C1447" s="1" t="s">
        <v>95</v>
      </c>
      <c r="D1447" s="1" t="s">
        <v>2343</v>
      </c>
      <c r="E1447" s="1" t="s">
        <v>97</v>
      </c>
      <c r="F1447" s="8">
        <v>46311.0</v>
      </c>
      <c r="G1447" s="1" t="s">
        <v>71</v>
      </c>
      <c r="K1447" s="1" t="s">
        <v>358</v>
      </c>
      <c r="L1447" s="1" t="s">
        <v>99</v>
      </c>
      <c r="O1447" s="4">
        <v>44972.0</v>
      </c>
    </row>
    <row r="1448">
      <c r="A1448" s="1" t="s">
        <v>2334</v>
      </c>
      <c r="B1448" s="1" t="s">
        <v>94</v>
      </c>
      <c r="C1448" s="1" t="s">
        <v>95</v>
      </c>
      <c r="D1448" s="1" t="s">
        <v>2344</v>
      </c>
      <c r="E1448" s="1" t="s">
        <v>97</v>
      </c>
      <c r="F1448" s="8">
        <v>46311.0</v>
      </c>
      <c r="G1448" s="1" t="s">
        <v>71</v>
      </c>
      <c r="K1448" s="1" t="s">
        <v>358</v>
      </c>
      <c r="L1448" s="1" t="s">
        <v>99</v>
      </c>
      <c r="O1448" s="4">
        <v>44972.0</v>
      </c>
    </row>
    <row r="1449">
      <c r="A1449" s="1" t="s">
        <v>2334</v>
      </c>
      <c r="B1449" s="1" t="s">
        <v>288</v>
      </c>
      <c r="C1449" s="1" t="s">
        <v>289</v>
      </c>
      <c r="D1449" s="1" t="s">
        <v>2345</v>
      </c>
      <c r="E1449" s="1" t="s">
        <v>97</v>
      </c>
      <c r="F1449" s="8">
        <v>46309.0</v>
      </c>
      <c r="G1449" s="1" t="s">
        <v>71</v>
      </c>
      <c r="H1449" s="1" t="s">
        <v>2346</v>
      </c>
      <c r="K1449" s="1" t="s">
        <v>358</v>
      </c>
      <c r="L1449" s="1" t="s">
        <v>99</v>
      </c>
      <c r="O1449" s="4">
        <v>44972.0</v>
      </c>
    </row>
    <row r="1450">
      <c r="A1450" s="1" t="s">
        <v>2334</v>
      </c>
      <c r="B1450" s="1" t="s">
        <v>288</v>
      </c>
      <c r="C1450" s="1" t="s">
        <v>289</v>
      </c>
      <c r="D1450" s="1" t="s">
        <v>2347</v>
      </c>
      <c r="E1450" s="1" t="s">
        <v>97</v>
      </c>
      <c r="F1450" s="8">
        <v>46309.0</v>
      </c>
      <c r="G1450" s="1" t="s">
        <v>71</v>
      </c>
      <c r="H1450" s="1" t="s">
        <v>2348</v>
      </c>
      <c r="K1450" s="1" t="s">
        <v>358</v>
      </c>
      <c r="L1450" s="1" t="s">
        <v>99</v>
      </c>
      <c r="O1450" s="4">
        <v>44972.0</v>
      </c>
    </row>
    <row r="1451">
      <c r="A1451" s="1" t="s">
        <v>2334</v>
      </c>
      <c r="B1451" s="1" t="s">
        <v>255</v>
      </c>
      <c r="C1451" s="1" t="s">
        <v>256</v>
      </c>
      <c r="D1451" s="1" t="s">
        <v>2349</v>
      </c>
      <c r="E1451" s="1" t="s">
        <v>97</v>
      </c>
      <c r="F1451" s="8">
        <v>46310.0</v>
      </c>
      <c r="G1451" s="1" t="s">
        <v>107</v>
      </c>
      <c r="H1451" s="1" t="s">
        <v>638</v>
      </c>
      <c r="J1451" s="1" t="s">
        <v>562</v>
      </c>
      <c r="K1451" s="1" t="s">
        <v>358</v>
      </c>
      <c r="L1451" s="1" t="s">
        <v>99</v>
      </c>
      <c r="O1451" s="4">
        <v>44972.0</v>
      </c>
    </row>
    <row r="1452">
      <c r="A1452" s="1" t="s">
        <v>2334</v>
      </c>
      <c r="B1452" s="1" t="s">
        <v>255</v>
      </c>
      <c r="C1452" s="1" t="s">
        <v>256</v>
      </c>
      <c r="D1452" s="1" t="s">
        <v>2350</v>
      </c>
      <c r="E1452" s="1" t="s">
        <v>70</v>
      </c>
      <c r="F1452" s="8">
        <v>46310.0</v>
      </c>
      <c r="G1452" s="1" t="s">
        <v>107</v>
      </c>
      <c r="H1452" s="1" t="s">
        <v>638</v>
      </c>
      <c r="J1452" s="1" t="s">
        <v>562</v>
      </c>
      <c r="K1452" s="1" t="s">
        <v>358</v>
      </c>
      <c r="L1452" s="1" t="s">
        <v>99</v>
      </c>
      <c r="O1452" s="4">
        <v>44972.0</v>
      </c>
    </row>
    <row r="1453">
      <c r="A1453" s="1" t="s">
        <v>2334</v>
      </c>
      <c r="B1453" s="1" t="s">
        <v>255</v>
      </c>
      <c r="C1453" s="1" t="s">
        <v>256</v>
      </c>
      <c r="D1453" s="1" t="s">
        <v>2351</v>
      </c>
      <c r="E1453" s="1" t="s">
        <v>70</v>
      </c>
      <c r="F1453" s="8">
        <v>46310.0</v>
      </c>
      <c r="G1453" s="1" t="s">
        <v>107</v>
      </c>
      <c r="H1453" s="1" t="s">
        <v>706</v>
      </c>
      <c r="J1453" s="1" t="s">
        <v>562</v>
      </c>
      <c r="K1453" s="1" t="s">
        <v>358</v>
      </c>
      <c r="L1453" s="1" t="s">
        <v>99</v>
      </c>
      <c r="O1453" s="4">
        <v>44972.0</v>
      </c>
    </row>
    <row r="1454">
      <c r="A1454" s="1" t="s">
        <v>2334</v>
      </c>
      <c r="B1454" s="1" t="s">
        <v>255</v>
      </c>
      <c r="C1454" s="1" t="s">
        <v>256</v>
      </c>
      <c r="D1454" s="1" t="s">
        <v>2352</v>
      </c>
      <c r="E1454" s="1" t="s">
        <v>97</v>
      </c>
      <c r="F1454" s="8">
        <v>46310.0</v>
      </c>
      <c r="G1454" s="1" t="s">
        <v>71</v>
      </c>
      <c r="H1454" s="1" t="s">
        <v>396</v>
      </c>
      <c r="K1454" s="1" t="s">
        <v>358</v>
      </c>
      <c r="L1454" s="1" t="s">
        <v>99</v>
      </c>
      <c r="O1454" s="4">
        <v>44972.0</v>
      </c>
    </row>
    <row r="1455">
      <c r="A1455" s="1" t="s">
        <v>2334</v>
      </c>
      <c r="B1455" s="1" t="s">
        <v>1690</v>
      </c>
      <c r="C1455" s="1" t="s">
        <v>1691</v>
      </c>
      <c r="D1455" s="1" t="s">
        <v>2353</v>
      </c>
      <c r="E1455" s="1" t="s">
        <v>97</v>
      </c>
      <c r="F1455" s="4">
        <v>46287.0</v>
      </c>
      <c r="G1455" s="1" t="s">
        <v>71</v>
      </c>
      <c r="H1455" s="1" t="s">
        <v>2354</v>
      </c>
      <c r="K1455" s="1" t="s">
        <v>358</v>
      </c>
      <c r="L1455" s="1" t="s">
        <v>99</v>
      </c>
      <c r="O1455" s="4">
        <v>44972.0</v>
      </c>
    </row>
    <row r="1456">
      <c r="A1456" s="1" t="s">
        <v>2334</v>
      </c>
      <c r="B1456" s="1" t="s">
        <v>1690</v>
      </c>
      <c r="C1456" s="1" t="s">
        <v>1691</v>
      </c>
      <c r="D1456" s="1" t="s">
        <v>2355</v>
      </c>
      <c r="E1456" s="1" t="s">
        <v>97</v>
      </c>
      <c r="F1456" s="4">
        <v>46287.0</v>
      </c>
      <c r="G1456" s="1" t="s">
        <v>71</v>
      </c>
      <c r="H1456" s="1" t="s">
        <v>2354</v>
      </c>
      <c r="K1456" s="1" t="s">
        <v>358</v>
      </c>
      <c r="L1456" s="1" t="s">
        <v>99</v>
      </c>
      <c r="O1456" s="4">
        <v>44972.0</v>
      </c>
    </row>
    <row r="1457">
      <c r="A1457" s="1" t="s">
        <v>2334</v>
      </c>
      <c r="B1457" s="1" t="s">
        <v>374</v>
      </c>
      <c r="C1457" s="1" t="s">
        <v>375</v>
      </c>
      <c r="D1457" s="1" t="s">
        <v>2356</v>
      </c>
      <c r="E1457" s="1" t="s">
        <v>97</v>
      </c>
      <c r="F1457" s="4">
        <v>46303.0</v>
      </c>
      <c r="G1457" s="1" t="s">
        <v>71</v>
      </c>
      <c r="K1457" s="1" t="s">
        <v>358</v>
      </c>
      <c r="L1457" s="1" t="s">
        <v>99</v>
      </c>
      <c r="O1457" s="4">
        <v>44972.0</v>
      </c>
    </row>
    <row r="1458">
      <c r="A1458" s="1" t="s">
        <v>2334</v>
      </c>
      <c r="B1458" s="1" t="s">
        <v>923</v>
      </c>
      <c r="C1458" s="1" t="s">
        <v>924</v>
      </c>
      <c r="D1458" s="1" t="s">
        <v>2357</v>
      </c>
      <c r="E1458" s="1" t="s">
        <v>97</v>
      </c>
      <c r="F1458" s="8">
        <v>46314.0</v>
      </c>
      <c r="G1458" s="1" t="s">
        <v>71</v>
      </c>
      <c r="K1458" s="1" t="s">
        <v>358</v>
      </c>
      <c r="L1458" s="1" t="s">
        <v>99</v>
      </c>
      <c r="O1458" s="4">
        <v>44972.0</v>
      </c>
    </row>
    <row r="1459">
      <c r="A1459" s="1" t="s">
        <v>2334</v>
      </c>
      <c r="B1459" s="1" t="s">
        <v>53</v>
      </c>
      <c r="C1459" s="1" t="s">
        <v>54</v>
      </c>
      <c r="D1459" s="1" t="s">
        <v>2358</v>
      </c>
      <c r="E1459" s="1" t="s">
        <v>97</v>
      </c>
      <c r="F1459" s="8">
        <v>46316.0</v>
      </c>
      <c r="G1459" s="1" t="s">
        <v>71</v>
      </c>
      <c r="K1459" s="1" t="s">
        <v>358</v>
      </c>
      <c r="L1459" s="1" t="s">
        <v>99</v>
      </c>
      <c r="O1459" s="4">
        <v>44972.0</v>
      </c>
    </row>
    <row r="1460">
      <c r="A1460" s="1" t="s">
        <v>2334</v>
      </c>
      <c r="B1460" s="1" t="s">
        <v>53</v>
      </c>
      <c r="C1460" s="1" t="s">
        <v>54</v>
      </c>
      <c r="D1460" s="1" t="s">
        <v>2359</v>
      </c>
      <c r="E1460" s="1" t="s">
        <v>97</v>
      </c>
      <c r="F1460" s="8">
        <v>46316.0</v>
      </c>
      <c r="G1460" s="1" t="s">
        <v>71</v>
      </c>
      <c r="K1460" s="1" t="s">
        <v>358</v>
      </c>
      <c r="L1460" s="1" t="s">
        <v>99</v>
      </c>
      <c r="O1460" s="4">
        <v>44972.0</v>
      </c>
    </row>
    <row r="1461">
      <c r="A1461" s="1" t="s">
        <v>2334</v>
      </c>
      <c r="B1461" s="1" t="s">
        <v>269</v>
      </c>
      <c r="C1461" s="1" t="s">
        <v>270</v>
      </c>
      <c r="D1461" s="1" t="s">
        <v>2360</v>
      </c>
      <c r="E1461" s="1" t="s">
        <v>97</v>
      </c>
      <c r="F1461" s="8">
        <v>46316.0</v>
      </c>
      <c r="G1461" s="1" t="s">
        <v>71</v>
      </c>
      <c r="K1461" s="1" t="s">
        <v>358</v>
      </c>
      <c r="L1461" s="1" t="s">
        <v>99</v>
      </c>
      <c r="O1461" s="4">
        <v>44972.0</v>
      </c>
    </row>
    <row r="1462">
      <c r="A1462" s="1" t="s">
        <v>2334</v>
      </c>
      <c r="B1462" s="1" t="s">
        <v>269</v>
      </c>
      <c r="C1462" s="1" t="s">
        <v>270</v>
      </c>
      <c r="D1462" s="1" t="s">
        <v>2361</v>
      </c>
      <c r="E1462" s="1" t="s">
        <v>97</v>
      </c>
      <c r="F1462" s="8">
        <v>46316.0</v>
      </c>
      <c r="G1462" s="1" t="s">
        <v>71</v>
      </c>
      <c r="K1462" s="1" t="s">
        <v>358</v>
      </c>
      <c r="L1462" s="1" t="s">
        <v>99</v>
      </c>
      <c r="O1462" s="4">
        <v>44972.0</v>
      </c>
    </row>
    <row r="1463">
      <c r="A1463" s="1" t="s">
        <v>2334</v>
      </c>
      <c r="B1463" s="1" t="s">
        <v>269</v>
      </c>
      <c r="C1463" s="1" t="s">
        <v>270</v>
      </c>
      <c r="D1463" s="1" t="s">
        <v>2362</v>
      </c>
      <c r="E1463" s="1" t="s">
        <v>97</v>
      </c>
      <c r="F1463" s="8">
        <v>46316.0</v>
      </c>
      <c r="G1463" s="1" t="s">
        <v>71</v>
      </c>
      <c r="K1463" s="1" t="s">
        <v>358</v>
      </c>
      <c r="L1463" s="1" t="s">
        <v>99</v>
      </c>
      <c r="O1463" s="4">
        <v>44972.0</v>
      </c>
    </row>
    <row r="1464">
      <c r="A1464" s="1" t="s">
        <v>2334</v>
      </c>
      <c r="B1464" s="1" t="s">
        <v>269</v>
      </c>
      <c r="C1464" s="1" t="s">
        <v>270</v>
      </c>
      <c r="D1464" s="1" t="s">
        <v>2363</v>
      </c>
      <c r="E1464" s="1" t="s">
        <v>97</v>
      </c>
      <c r="F1464" s="8">
        <v>46316.0</v>
      </c>
      <c r="G1464" s="1" t="s">
        <v>71</v>
      </c>
      <c r="K1464" s="1" t="s">
        <v>358</v>
      </c>
      <c r="L1464" s="1" t="s">
        <v>99</v>
      </c>
      <c r="O1464" s="4">
        <v>44972.0</v>
      </c>
    </row>
    <row r="1465">
      <c r="A1465" s="1" t="s">
        <v>2364</v>
      </c>
      <c r="B1465" s="1" t="s">
        <v>1990</v>
      </c>
      <c r="C1465" s="1" t="s">
        <v>1991</v>
      </c>
      <c r="D1465" s="1" t="s">
        <v>2365</v>
      </c>
      <c r="E1465" s="1" t="s">
        <v>70</v>
      </c>
      <c r="F1465" s="4">
        <v>46301.0</v>
      </c>
      <c r="G1465" s="1" t="s">
        <v>71</v>
      </c>
      <c r="H1465" s="1" t="s">
        <v>427</v>
      </c>
      <c r="K1465" s="1" t="s">
        <v>358</v>
      </c>
      <c r="L1465" s="1" t="s">
        <v>99</v>
      </c>
      <c r="O1465" s="4">
        <v>43186.0</v>
      </c>
    </row>
    <row r="1466">
      <c r="A1466" s="1" t="s">
        <v>2364</v>
      </c>
      <c r="B1466" s="1" t="s">
        <v>1990</v>
      </c>
      <c r="C1466" s="1" t="s">
        <v>1991</v>
      </c>
      <c r="D1466" s="1" t="s">
        <v>2366</v>
      </c>
      <c r="E1466" s="1" t="s">
        <v>97</v>
      </c>
      <c r="F1466" s="4">
        <v>46301.0</v>
      </c>
      <c r="G1466" s="1" t="s">
        <v>107</v>
      </c>
      <c r="H1466" s="1" t="s">
        <v>409</v>
      </c>
      <c r="J1466" s="1" t="s">
        <v>47</v>
      </c>
      <c r="K1466" s="1" t="s">
        <v>358</v>
      </c>
      <c r="L1466" s="1" t="s">
        <v>99</v>
      </c>
      <c r="O1466" s="4">
        <v>43186.0</v>
      </c>
    </row>
    <row r="1467">
      <c r="A1467" s="1" t="s">
        <v>2364</v>
      </c>
      <c r="B1467" s="1" t="s">
        <v>303</v>
      </c>
      <c r="C1467" s="1" t="s">
        <v>929</v>
      </c>
      <c r="D1467" s="1" t="s">
        <v>2367</v>
      </c>
      <c r="E1467" s="1" t="s">
        <v>97</v>
      </c>
      <c r="F1467" s="4">
        <v>46276.0</v>
      </c>
      <c r="G1467" s="1" t="s">
        <v>71</v>
      </c>
      <c r="K1467" s="1" t="s">
        <v>358</v>
      </c>
      <c r="L1467" s="1" t="s">
        <v>99</v>
      </c>
      <c r="O1467" s="4">
        <v>43182.0</v>
      </c>
    </row>
    <row r="1468">
      <c r="A1468" s="1" t="s">
        <v>2364</v>
      </c>
      <c r="B1468" s="1" t="s">
        <v>303</v>
      </c>
      <c r="C1468" s="1" t="s">
        <v>929</v>
      </c>
      <c r="D1468" s="1" t="s">
        <v>2368</v>
      </c>
      <c r="E1468" s="1" t="s">
        <v>97</v>
      </c>
      <c r="F1468" s="4">
        <v>46276.0</v>
      </c>
      <c r="G1468" s="1" t="s">
        <v>71</v>
      </c>
      <c r="K1468" s="1" t="s">
        <v>358</v>
      </c>
      <c r="L1468" s="1" t="s">
        <v>99</v>
      </c>
      <c r="O1468" s="4">
        <v>43182.0</v>
      </c>
    </row>
    <row r="1469">
      <c r="A1469" s="1" t="s">
        <v>2364</v>
      </c>
      <c r="B1469" s="1" t="s">
        <v>303</v>
      </c>
      <c r="C1469" s="1" t="s">
        <v>929</v>
      </c>
      <c r="D1469" s="1" t="s">
        <v>2369</v>
      </c>
      <c r="E1469" s="1" t="s">
        <v>97</v>
      </c>
      <c r="F1469" s="4">
        <v>46276.0</v>
      </c>
      <c r="G1469" s="1" t="s">
        <v>71</v>
      </c>
      <c r="K1469" s="1" t="s">
        <v>358</v>
      </c>
      <c r="L1469" s="1" t="s">
        <v>99</v>
      </c>
      <c r="O1469" s="4">
        <v>43182.0</v>
      </c>
    </row>
    <row r="1470">
      <c r="A1470" s="1" t="s">
        <v>2364</v>
      </c>
      <c r="B1470" s="1" t="s">
        <v>1226</v>
      </c>
      <c r="C1470" s="1" t="s">
        <v>95</v>
      </c>
      <c r="D1470" s="1" t="s">
        <v>2370</v>
      </c>
      <c r="E1470" s="1" t="s">
        <v>97</v>
      </c>
      <c r="F1470" s="4">
        <v>46183.0</v>
      </c>
      <c r="G1470" s="1" t="s">
        <v>132</v>
      </c>
      <c r="H1470" s="1" t="s">
        <v>519</v>
      </c>
      <c r="J1470" s="1" t="s">
        <v>47</v>
      </c>
      <c r="K1470" s="1" t="s">
        <v>358</v>
      </c>
      <c r="L1470" s="1" t="s">
        <v>99</v>
      </c>
      <c r="O1470" s="8">
        <v>44187.0</v>
      </c>
    </row>
    <row r="1471">
      <c r="A1471" s="1" t="s">
        <v>2364</v>
      </c>
      <c r="B1471" s="1" t="s">
        <v>1226</v>
      </c>
      <c r="C1471" s="1" t="s">
        <v>95</v>
      </c>
      <c r="D1471" s="1" t="s">
        <v>2371</v>
      </c>
      <c r="E1471" s="1" t="s">
        <v>97</v>
      </c>
      <c r="F1471" s="4">
        <v>46183.0</v>
      </c>
      <c r="G1471" s="1" t="s">
        <v>71</v>
      </c>
      <c r="H1471" s="1" t="s">
        <v>519</v>
      </c>
      <c r="K1471" s="1" t="s">
        <v>358</v>
      </c>
      <c r="L1471" s="1" t="s">
        <v>99</v>
      </c>
      <c r="O1471" s="8">
        <v>44187.0</v>
      </c>
    </row>
    <row r="1472">
      <c r="A1472" s="1" t="s">
        <v>2364</v>
      </c>
      <c r="B1472" s="1" t="s">
        <v>1226</v>
      </c>
      <c r="C1472" s="1" t="s">
        <v>95</v>
      </c>
      <c r="D1472" s="1" t="s">
        <v>2372</v>
      </c>
      <c r="E1472" s="1" t="s">
        <v>97</v>
      </c>
      <c r="F1472" s="4">
        <v>46183.0</v>
      </c>
      <c r="G1472" s="1" t="s">
        <v>132</v>
      </c>
      <c r="H1472" s="1" t="s">
        <v>548</v>
      </c>
      <c r="J1472" s="1" t="s">
        <v>47</v>
      </c>
      <c r="K1472" s="1" t="s">
        <v>358</v>
      </c>
      <c r="L1472" s="1" t="s">
        <v>99</v>
      </c>
      <c r="O1472" s="8">
        <v>44187.0</v>
      </c>
    </row>
    <row r="1473">
      <c r="A1473" s="1" t="s">
        <v>2364</v>
      </c>
      <c r="B1473" s="1" t="s">
        <v>1226</v>
      </c>
      <c r="C1473" s="1" t="s">
        <v>95</v>
      </c>
      <c r="D1473" s="1" t="s">
        <v>2373</v>
      </c>
      <c r="E1473" s="1" t="s">
        <v>97</v>
      </c>
      <c r="F1473" s="4">
        <v>46183.0</v>
      </c>
      <c r="G1473" s="1" t="s">
        <v>71</v>
      </c>
      <c r="H1473" s="1" t="s">
        <v>519</v>
      </c>
      <c r="K1473" s="1" t="s">
        <v>358</v>
      </c>
      <c r="L1473" s="1" t="s">
        <v>99</v>
      </c>
      <c r="O1473" s="8">
        <v>44187.0</v>
      </c>
    </row>
    <row r="1474">
      <c r="A1474" s="1" t="s">
        <v>2364</v>
      </c>
      <c r="B1474" s="1" t="s">
        <v>1990</v>
      </c>
      <c r="C1474" s="1" t="s">
        <v>1991</v>
      </c>
      <c r="D1474" s="1" t="s">
        <v>2374</v>
      </c>
      <c r="E1474" s="1" t="s">
        <v>97</v>
      </c>
      <c r="F1474" s="4">
        <v>46301.0</v>
      </c>
      <c r="G1474" s="1" t="s">
        <v>71</v>
      </c>
      <c r="H1474" s="1" t="s">
        <v>427</v>
      </c>
      <c r="K1474" s="1" t="s">
        <v>358</v>
      </c>
      <c r="L1474" s="1" t="s">
        <v>99</v>
      </c>
      <c r="O1474" s="4">
        <v>43186.0</v>
      </c>
    </row>
    <row r="1475">
      <c r="A1475" s="1" t="s">
        <v>2364</v>
      </c>
      <c r="B1475" s="1" t="s">
        <v>1990</v>
      </c>
      <c r="C1475" s="1" t="s">
        <v>1991</v>
      </c>
      <c r="D1475" s="1" t="s">
        <v>2375</v>
      </c>
      <c r="E1475" s="1" t="s">
        <v>97</v>
      </c>
      <c r="F1475" s="4">
        <v>46301.0</v>
      </c>
      <c r="G1475" s="1" t="s">
        <v>71</v>
      </c>
      <c r="H1475" s="1" t="s">
        <v>427</v>
      </c>
      <c r="K1475" s="1" t="s">
        <v>358</v>
      </c>
      <c r="L1475" s="1" t="s">
        <v>99</v>
      </c>
      <c r="O1475" s="4">
        <v>43186.0</v>
      </c>
    </row>
    <row r="1476">
      <c r="A1476" s="1" t="s">
        <v>2364</v>
      </c>
      <c r="B1476" s="1" t="s">
        <v>1990</v>
      </c>
      <c r="C1476" s="1" t="s">
        <v>1991</v>
      </c>
      <c r="D1476" s="1" t="s">
        <v>2376</v>
      </c>
      <c r="E1476" s="1" t="s">
        <v>97</v>
      </c>
      <c r="F1476" s="4">
        <v>46301.0</v>
      </c>
      <c r="G1476" s="1" t="s">
        <v>71</v>
      </c>
      <c r="H1476" s="1" t="s">
        <v>427</v>
      </c>
      <c r="K1476" s="1" t="s">
        <v>358</v>
      </c>
      <c r="L1476" s="1" t="s">
        <v>99</v>
      </c>
      <c r="O1476" s="4">
        <v>43186.0</v>
      </c>
    </row>
    <row r="1477">
      <c r="A1477" s="1" t="s">
        <v>2364</v>
      </c>
      <c r="B1477" s="1" t="s">
        <v>1990</v>
      </c>
      <c r="C1477" s="1" t="s">
        <v>1991</v>
      </c>
      <c r="D1477" s="1" t="s">
        <v>2377</v>
      </c>
      <c r="E1477" s="1" t="s">
        <v>97</v>
      </c>
      <c r="F1477" s="4">
        <v>46301.0</v>
      </c>
      <c r="G1477" s="1" t="s">
        <v>71</v>
      </c>
      <c r="H1477" s="1" t="s">
        <v>427</v>
      </c>
      <c r="K1477" s="1" t="s">
        <v>358</v>
      </c>
      <c r="L1477" s="1" t="s">
        <v>99</v>
      </c>
      <c r="O1477" s="4">
        <v>43186.0</v>
      </c>
    </row>
    <row r="1478">
      <c r="A1478" s="1" t="s">
        <v>2364</v>
      </c>
      <c r="B1478" s="1" t="s">
        <v>336</v>
      </c>
      <c r="C1478" s="1" t="s">
        <v>338</v>
      </c>
      <c r="D1478" s="1" t="s">
        <v>2378</v>
      </c>
      <c r="E1478" s="1" t="s">
        <v>97</v>
      </c>
      <c r="F1478" s="8">
        <v>46314.0</v>
      </c>
      <c r="G1478" s="1" t="s">
        <v>107</v>
      </c>
      <c r="H1478" s="1" t="s">
        <v>340</v>
      </c>
      <c r="J1478" s="1" t="s">
        <v>134</v>
      </c>
      <c r="K1478" s="1" t="s">
        <v>358</v>
      </c>
      <c r="L1478" s="1" t="s">
        <v>99</v>
      </c>
      <c r="O1478" s="4">
        <v>43182.0</v>
      </c>
    </row>
    <row r="1479">
      <c r="A1479" s="1" t="s">
        <v>2364</v>
      </c>
      <c r="B1479" s="1" t="s">
        <v>336</v>
      </c>
      <c r="C1479" s="1" t="s">
        <v>338</v>
      </c>
      <c r="D1479" s="1" t="s">
        <v>2379</v>
      </c>
      <c r="E1479" s="1" t="s">
        <v>97</v>
      </c>
      <c r="F1479" s="8">
        <v>46314.0</v>
      </c>
      <c r="G1479" s="1" t="s">
        <v>71</v>
      </c>
      <c r="H1479" s="1" t="s">
        <v>396</v>
      </c>
      <c r="K1479" s="1" t="s">
        <v>358</v>
      </c>
      <c r="L1479" s="1" t="s">
        <v>99</v>
      </c>
      <c r="O1479" s="4">
        <v>43182.0</v>
      </c>
    </row>
    <row r="1480">
      <c r="A1480" s="1" t="s">
        <v>2364</v>
      </c>
      <c r="B1480" s="1" t="s">
        <v>336</v>
      </c>
      <c r="C1480" s="1" t="s">
        <v>338</v>
      </c>
      <c r="D1480" s="1" t="s">
        <v>2380</v>
      </c>
      <c r="E1480" s="1" t="s">
        <v>97</v>
      </c>
      <c r="F1480" s="8">
        <v>46314.0</v>
      </c>
      <c r="G1480" s="1" t="s">
        <v>71</v>
      </c>
      <c r="H1480" s="1" t="s">
        <v>396</v>
      </c>
      <c r="K1480" s="1" t="s">
        <v>358</v>
      </c>
      <c r="L1480" s="1" t="s">
        <v>99</v>
      </c>
      <c r="O1480" s="4">
        <v>43182.0</v>
      </c>
    </row>
    <row r="1481">
      <c r="A1481" s="1" t="s">
        <v>2364</v>
      </c>
      <c r="B1481" s="1" t="s">
        <v>336</v>
      </c>
      <c r="C1481" s="1" t="s">
        <v>338</v>
      </c>
      <c r="D1481" s="1" t="s">
        <v>2381</v>
      </c>
      <c r="E1481" s="1" t="s">
        <v>97</v>
      </c>
      <c r="F1481" s="8">
        <v>46314.0</v>
      </c>
      <c r="G1481" s="1" t="s">
        <v>71</v>
      </c>
      <c r="H1481" s="1" t="s">
        <v>396</v>
      </c>
      <c r="K1481" s="1" t="s">
        <v>358</v>
      </c>
      <c r="L1481" s="1" t="s">
        <v>99</v>
      </c>
      <c r="O1481" s="4">
        <v>43182.0</v>
      </c>
    </row>
    <row r="1482">
      <c r="A1482" s="1" t="s">
        <v>2364</v>
      </c>
      <c r="B1482" s="1" t="s">
        <v>336</v>
      </c>
      <c r="C1482" s="1" t="s">
        <v>338</v>
      </c>
      <c r="D1482" s="1" t="s">
        <v>2382</v>
      </c>
      <c r="E1482" s="1" t="s">
        <v>97</v>
      </c>
      <c r="F1482" s="8">
        <v>46314.0</v>
      </c>
      <c r="G1482" s="1" t="s">
        <v>107</v>
      </c>
      <c r="H1482" s="1" t="s">
        <v>340</v>
      </c>
      <c r="J1482" s="1" t="s">
        <v>134</v>
      </c>
      <c r="K1482" s="1" t="s">
        <v>358</v>
      </c>
      <c r="L1482" s="1" t="s">
        <v>99</v>
      </c>
      <c r="O1482" s="4">
        <v>43182.0</v>
      </c>
    </row>
    <row r="1483">
      <c r="A1483" s="1" t="s">
        <v>2364</v>
      </c>
      <c r="B1483" s="1" t="s">
        <v>336</v>
      </c>
      <c r="C1483" s="1" t="s">
        <v>338</v>
      </c>
      <c r="D1483" s="1" t="s">
        <v>2383</v>
      </c>
      <c r="E1483" s="1" t="s">
        <v>97</v>
      </c>
      <c r="F1483" s="8">
        <v>46314.0</v>
      </c>
      <c r="G1483" s="1" t="s">
        <v>71</v>
      </c>
      <c r="H1483" s="1" t="s">
        <v>396</v>
      </c>
      <c r="K1483" s="1" t="s">
        <v>358</v>
      </c>
      <c r="L1483" s="1" t="s">
        <v>99</v>
      </c>
      <c r="O1483" s="4">
        <v>43182.0</v>
      </c>
    </row>
    <row r="1484">
      <c r="A1484" s="1" t="s">
        <v>2364</v>
      </c>
      <c r="B1484" s="1" t="s">
        <v>336</v>
      </c>
      <c r="C1484" s="1" t="s">
        <v>338</v>
      </c>
      <c r="D1484" s="1" t="s">
        <v>2384</v>
      </c>
      <c r="E1484" s="1" t="s">
        <v>97</v>
      </c>
      <c r="F1484" s="8">
        <v>46314.0</v>
      </c>
      <c r="G1484" s="1" t="s">
        <v>71</v>
      </c>
      <c r="H1484" s="1" t="s">
        <v>396</v>
      </c>
      <c r="K1484" s="1" t="s">
        <v>358</v>
      </c>
      <c r="L1484" s="1" t="s">
        <v>99</v>
      </c>
      <c r="O1484" s="4">
        <v>43182.0</v>
      </c>
    </row>
    <row r="1485">
      <c r="A1485" s="1" t="s">
        <v>2364</v>
      </c>
      <c r="B1485" s="1" t="s">
        <v>255</v>
      </c>
      <c r="C1485" s="1" t="s">
        <v>256</v>
      </c>
      <c r="D1485" s="1" t="s">
        <v>2385</v>
      </c>
      <c r="E1485" s="1" t="s">
        <v>97</v>
      </c>
      <c r="F1485" s="8">
        <v>46310.0</v>
      </c>
      <c r="G1485" s="1" t="s">
        <v>107</v>
      </c>
      <c r="H1485" s="1" t="s">
        <v>133</v>
      </c>
      <c r="J1485" s="1" t="s">
        <v>134</v>
      </c>
      <c r="K1485" s="1" t="s">
        <v>358</v>
      </c>
      <c r="L1485" s="1" t="s">
        <v>99</v>
      </c>
      <c r="O1485" s="4">
        <v>43182.0</v>
      </c>
    </row>
    <row r="1486">
      <c r="A1486" s="1" t="s">
        <v>2364</v>
      </c>
      <c r="B1486" s="1" t="s">
        <v>255</v>
      </c>
      <c r="C1486" s="1" t="s">
        <v>256</v>
      </c>
      <c r="D1486" s="1" t="s">
        <v>2386</v>
      </c>
      <c r="E1486" s="1" t="s">
        <v>97</v>
      </c>
      <c r="F1486" s="8">
        <v>46310.0</v>
      </c>
      <c r="G1486" s="1" t="s">
        <v>107</v>
      </c>
      <c r="H1486" s="1" t="s">
        <v>133</v>
      </c>
      <c r="J1486" s="1" t="s">
        <v>47</v>
      </c>
      <c r="K1486" s="1" t="s">
        <v>358</v>
      </c>
      <c r="L1486" s="1" t="s">
        <v>99</v>
      </c>
      <c r="O1486" s="4">
        <v>43182.0</v>
      </c>
    </row>
    <row r="1487">
      <c r="A1487" s="1" t="s">
        <v>2364</v>
      </c>
      <c r="B1487" s="1" t="s">
        <v>255</v>
      </c>
      <c r="C1487" s="1" t="s">
        <v>256</v>
      </c>
      <c r="D1487" s="1" t="s">
        <v>2387</v>
      </c>
      <c r="E1487" s="1" t="s">
        <v>97</v>
      </c>
      <c r="F1487" s="8">
        <v>46310.0</v>
      </c>
      <c r="G1487" s="1" t="s">
        <v>107</v>
      </c>
      <c r="H1487" s="1" t="s">
        <v>133</v>
      </c>
      <c r="J1487" s="1" t="s">
        <v>562</v>
      </c>
      <c r="K1487" s="1" t="s">
        <v>358</v>
      </c>
      <c r="L1487" s="1" t="s">
        <v>99</v>
      </c>
      <c r="O1487" s="4">
        <v>43182.0</v>
      </c>
    </row>
    <row r="1488">
      <c r="A1488" s="1" t="s">
        <v>2364</v>
      </c>
      <c r="B1488" s="1" t="s">
        <v>255</v>
      </c>
      <c r="C1488" s="1" t="s">
        <v>256</v>
      </c>
      <c r="D1488" s="1" t="s">
        <v>2388</v>
      </c>
      <c r="E1488" s="1" t="s">
        <v>97</v>
      </c>
      <c r="F1488" s="8">
        <v>46310.0</v>
      </c>
      <c r="G1488" s="1" t="s">
        <v>107</v>
      </c>
      <c r="H1488" s="1" t="s">
        <v>133</v>
      </c>
      <c r="J1488" s="1" t="s">
        <v>134</v>
      </c>
      <c r="K1488" s="1" t="s">
        <v>358</v>
      </c>
      <c r="L1488" s="1" t="s">
        <v>99</v>
      </c>
      <c r="O1488" s="4">
        <v>43182.0</v>
      </c>
    </row>
    <row r="1489">
      <c r="A1489" s="1" t="s">
        <v>2364</v>
      </c>
      <c r="B1489" s="1" t="s">
        <v>255</v>
      </c>
      <c r="C1489" s="1" t="s">
        <v>256</v>
      </c>
      <c r="D1489" s="1" t="s">
        <v>2389</v>
      </c>
      <c r="E1489" s="1" t="s">
        <v>97</v>
      </c>
      <c r="F1489" s="8">
        <v>46310.0</v>
      </c>
      <c r="G1489" s="1" t="s">
        <v>107</v>
      </c>
      <c r="H1489" s="1" t="s">
        <v>133</v>
      </c>
      <c r="J1489" s="1" t="s">
        <v>562</v>
      </c>
      <c r="K1489" s="1" t="s">
        <v>358</v>
      </c>
      <c r="L1489" s="1" t="s">
        <v>99</v>
      </c>
      <c r="O1489" s="4">
        <v>43182.0</v>
      </c>
    </row>
    <row r="1490">
      <c r="A1490" s="1" t="s">
        <v>2364</v>
      </c>
      <c r="B1490" s="1" t="s">
        <v>255</v>
      </c>
      <c r="C1490" s="1" t="s">
        <v>256</v>
      </c>
      <c r="D1490" s="1" t="s">
        <v>2390</v>
      </c>
      <c r="E1490" s="1" t="s">
        <v>97</v>
      </c>
      <c r="F1490" s="8">
        <v>46310.0</v>
      </c>
      <c r="G1490" s="1" t="s">
        <v>107</v>
      </c>
      <c r="H1490" s="1" t="s">
        <v>133</v>
      </c>
      <c r="J1490" s="1" t="s">
        <v>562</v>
      </c>
      <c r="K1490" s="1" t="s">
        <v>358</v>
      </c>
      <c r="L1490" s="1" t="s">
        <v>99</v>
      </c>
      <c r="O1490" s="4">
        <v>43182.0</v>
      </c>
    </row>
    <row r="1491">
      <c r="A1491" s="1" t="s">
        <v>2364</v>
      </c>
      <c r="B1491" s="1" t="s">
        <v>255</v>
      </c>
      <c r="C1491" s="1" t="s">
        <v>256</v>
      </c>
      <c r="D1491" s="1" t="s">
        <v>2391</v>
      </c>
      <c r="E1491" s="1" t="s">
        <v>97</v>
      </c>
      <c r="F1491" s="8">
        <v>46310.0</v>
      </c>
      <c r="G1491" s="1" t="s">
        <v>107</v>
      </c>
      <c r="H1491" s="1" t="s">
        <v>133</v>
      </c>
      <c r="J1491" s="1" t="s">
        <v>47</v>
      </c>
      <c r="K1491" s="1" t="s">
        <v>358</v>
      </c>
      <c r="L1491" s="1" t="s">
        <v>99</v>
      </c>
      <c r="O1491" s="4">
        <v>43182.0</v>
      </c>
    </row>
    <row r="1492">
      <c r="A1492" s="1" t="s">
        <v>2364</v>
      </c>
      <c r="B1492" s="1" t="s">
        <v>255</v>
      </c>
      <c r="C1492" s="1" t="s">
        <v>256</v>
      </c>
      <c r="D1492" s="1" t="s">
        <v>2392</v>
      </c>
      <c r="E1492" s="1" t="s">
        <v>97</v>
      </c>
      <c r="F1492" s="8">
        <v>46310.0</v>
      </c>
      <c r="G1492" s="1" t="s">
        <v>107</v>
      </c>
      <c r="H1492" s="1" t="s">
        <v>133</v>
      </c>
      <c r="J1492" s="1" t="s">
        <v>47</v>
      </c>
      <c r="K1492" s="1" t="s">
        <v>358</v>
      </c>
      <c r="L1492" s="1" t="s">
        <v>99</v>
      </c>
      <c r="O1492" s="4">
        <v>43182.0</v>
      </c>
    </row>
    <row r="1493">
      <c r="A1493" s="1" t="s">
        <v>2364</v>
      </c>
      <c r="B1493" s="1" t="s">
        <v>255</v>
      </c>
      <c r="C1493" s="1" t="s">
        <v>256</v>
      </c>
      <c r="D1493" s="1" t="s">
        <v>2393</v>
      </c>
      <c r="E1493" s="1" t="s">
        <v>97</v>
      </c>
      <c r="F1493" s="8">
        <v>46310.0</v>
      </c>
      <c r="G1493" s="1" t="s">
        <v>71</v>
      </c>
      <c r="H1493" s="1" t="s">
        <v>396</v>
      </c>
      <c r="K1493" s="1" t="s">
        <v>358</v>
      </c>
      <c r="L1493" s="1" t="s">
        <v>99</v>
      </c>
      <c r="O1493" s="4">
        <v>43182.0</v>
      </c>
    </row>
    <row r="1494">
      <c r="A1494" s="1" t="s">
        <v>2364</v>
      </c>
      <c r="B1494" s="1" t="s">
        <v>255</v>
      </c>
      <c r="C1494" s="1" t="s">
        <v>256</v>
      </c>
      <c r="D1494" s="1" t="s">
        <v>2394</v>
      </c>
      <c r="E1494" s="1" t="s">
        <v>97</v>
      </c>
      <c r="F1494" s="8">
        <v>46310.0</v>
      </c>
      <c r="G1494" s="1" t="s">
        <v>71</v>
      </c>
      <c r="K1494" s="1" t="s">
        <v>358</v>
      </c>
      <c r="L1494" s="1" t="s">
        <v>99</v>
      </c>
      <c r="O1494" s="4">
        <v>43182.0</v>
      </c>
    </row>
    <row r="1495">
      <c r="A1495" s="1" t="s">
        <v>2364</v>
      </c>
      <c r="B1495" s="1" t="s">
        <v>255</v>
      </c>
      <c r="C1495" s="1" t="s">
        <v>256</v>
      </c>
      <c r="D1495" s="1" t="s">
        <v>2395</v>
      </c>
      <c r="E1495" s="1" t="s">
        <v>97</v>
      </c>
      <c r="F1495" s="8">
        <v>46310.0</v>
      </c>
      <c r="G1495" s="1" t="s">
        <v>71</v>
      </c>
      <c r="K1495" s="1" t="s">
        <v>358</v>
      </c>
      <c r="L1495" s="1" t="s">
        <v>99</v>
      </c>
      <c r="O1495" s="4">
        <v>43182.0</v>
      </c>
    </row>
    <row r="1496">
      <c r="A1496" s="1" t="s">
        <v>2364</v>
      </c>
      <c r="B1496" s="1" t="s">
        <v>255</v>
      </c>
      <c r="C1496" s="1" t="s">
        <v>256</v>
      </c>
      <c r="D1496" s="1" t="s">
        <v>2396</v>
      </c>
      <c r="E1496" s="1" t="s">
        <v>97</v>
      </c>
      <c r="F1496" s="8">
        <v>46310.0</v>
      </c>
      <c r="G1496" s="1" t="s">
        <v>71</v>
      </c>
      <c r="K1496" s="1" t="s">
        <v>358</v>
      </c>
      <c r="L1496" s="1" t="s">
        <v>99</v>
      </c>
      <c r="O1496" s="4">
        <v>43182.0</v>
      </c>
    </row>
    <row r="1497">
      <c r="A1497" s="1" t="s">
        <v>2364</v>
      </c>
      <c r="B1497" s="1" t="s">
        <v>255</v>
      </c>
      <c r="C1497" s="1" t="s">
        <v>256</v>
      </c>
      <c r="D1497" s="1" t="s">
        <v>2397</v>
      </c>
      <c r="E1497" s="1" t="s">
        <v>70</v>
      </c>
      <c r="F1497" s="8">
        <v>46310.0</v>
      </c>
      <c r="G1497" s="1" t="s">
        <v>107</v>
      </c>
      <c r="H1497" s="1" t="s">
        <v>1452</v>
      </c>
      <c r="J1497" s="1" t="s">
        <v>47</v>
      </c>
      <c r="K1497" s="1" t="s">
        <v>358</v>
      </c>
      <c r="L1497" s="1" t="s">
        <v>99</v>
      </c>
      <c r="O1497" s="4">
        <v>43182.0</v>
      </c>
    </row>
    <row r="1498">
      <c r="A1498" s="1" t="s">
        <v>2364</v>
      </c>
      <c r="B1498" s="1" t="s">
        <v>255</v>
      </c>
      <c r="C1498" s="1" t="s">
        <v>256</v>
      </c>
      <c r="D1498" s="1" t="s">
        <v>2398</v>
      </c>
      <c r="E1498" s="1" t="s">
        <v>97</v>
      </c>
      <c r="F1498" s="8">
        <v>46310.0</v>
      </c>
      <c r="G1498" s="1" t="s">
        <v>71</v>
      </c>
      <c r="H1498" s="1" t="s">
        <v>396</v>
      </c>
      <c r="K1498" s="1" t="s">
        <v>358</v>
      </c>
      <c r="L1498" s="1" t="s">
        <v>99</v>
      </c>
      <c r="O1498" s="4">
        <v>43182.0</v>
      </c>
    </row>
    <row r="1499">
      <c r="A1499" s="1" t="s">
        <v>2364</v>
      </c>
      <c r="B1499" s="1" t="s">
        <v>255</v>
      </c>
      <c r="C1499" s="1" t="s">
        <v>256</v>
      </c>
      <c r="D1499" s="1" t="s">
        <v>2399</v>
      </c>
      <c r="E1499" s="1" t="s">
        <v>97</v>
      </c>
      <c r="F1499" s="8">
        <v>46310.0</v>
      </c>
      <c r="G1499" s="1" t="s">
        <v>71</v>
      </c>
      <c r="H1499" s="1" t="s">
        <v>396</v>
      </c>
      <c r="K1499" s="1" t="s">
        <v>358</v>
      </c>
      <c r="L1499" s="1" t="s">
        <v>99</v>
      </c>
      <c r="O1499" s="4">
        <v>43182.0</v>
      </c>
    </row>
    <row r="1500">
      <c r="A1500" s="1" t="s">
        <v>2364</v>
      </c>
      <c r="B1500" s="1" t="s">
        <v>255</v>
      </c>
      <c r="C1500" s="1" t="s">
        <v>256</v>
      </c>
      <c r="D1500" s="1" t="s">
        <v>2400</v>
      </c>
      <c r="E1500" s="1" t="s">
        <v>97</v>
      </c>
      <c r="F1500" s="8">
        <v>46310.0</v>
      </c>
      <c r="G1500" s="1" t="s">
        <v>71</v>
      </c>
      <c r="K1500" s="1" t="s">
        <v>358</v>
      </c>
      <c r="L1500" s="1" t="s">
        <v>99</v>
      </c>
      <c r="O1500" s="4">
        <v>43182.0</v>
      </c>
    </row>
    <row r="1501">
      <c r="A1501" s="1" t="s">
        <v>2364</v>
      </c>
      <c r="B1501" s="1" t="s">
        <v>255</v>
      </c>
      <c r="C1501" s="1" t="s">
        <v>256</v>
      </c>
      <c r="D1501" s="1" t="s">
        <v>2401</v>
      </c>
      <c r="E1501" s="1" t="s">
        <v>97</v>
      </c>
      <c r="F1501" s="8">
        <v>46310.0</v>
      </c>
      <c r="G1501" s="1" t="s">
        <v>71</v>
      </c>
      <c r="H1501" s="1" t="s">
        <v>396</v>
      </c>
      <c r="K1501" s="1" t="s">
        <v>358</v>
      </c>
      <c r="L1501" s="1" t="s">
        <v>99</v>
      </c>
      <c r="O1501" s="4">
        <v>43182.0</v>
      </c>
    </row>
    <row r="1502">
      <c r="A1502" s="1" t="s">
        <v>2364</v>
      </c>
      <c r="B1502" s="1" t="s">
        <v>255</v>
      </c>
      <c r="C1502" s="1" t="s">
        <v>256</v>
      </c>
      <c r="D1502" s="1" t="s">
        <v>2402</v>
      </c>
      <c r="E1502" s="1" t="s">
        <v>97</v>
      </c>
      <c r="F1502" s="8">
        <v>46310.0</v>
      </c>
      <c r="G1502" s="1" t="s">
        <v>71</v>
      </c>
      <c r="K1502" s="1" t="s">
        <v>358</v>
      </c>
      <c r="L1502" s="1" t="s">
        <v>99</v>
      </c>
      <c r="O1502" s="4">
        <v>43182.0</v>
      </c>
    </row>
    <row r="1503">
      <c r="A1503" s="1" t="s">
        <v>2364</v>
      </c>
      <c r="B1503" s="1" t="s">
        <v>255</v>
      </c>
      <c r="C1503" s="1" t="s">
        <v>256</v>
      </c>
      <c r="D1503" s="1" t="s">
        <v>2403</v>
      </c>
      <c r="E1503" s="1" t="s">
        <v>97</v>
      </c>
      <c r="F1503" s="8">
        <v>46310.0</v>
      </c>
      <c r="G1503" s="1" t="s">
        <v>71</v>
      </c>
      <c r="K1503" s="1" t="s">
        <v>358</v>
      </c>
      <c r="L1503" s="1" t="s">
        <v>99</v>
      </c>
      <c r="O1503" s="4">
        <v>43182.0</v>
      </c>
    </row>
    <row r="1504">
      <c r="A1504" s="1" t="s">
        <v>2364</v>
      </c>
      <c r="B1504" s="1" t="s">
        <v>255</v>
      </c>
      <c r="C1504" s="1" t="s">
        <v>256</v>
      </c>
      <c r="D1504" s="1" t="s">
        <v>2404</v>
      </c>
      <c r="E1504" s="1" t="s">
        <v>97</v>
      </c>
      <c r="F1504" s="8">
        <v>46310.0</v>
      </c>
      <c r="G1504" s="1" t="s">
        <v>107</v>
      </c>
      <c r="H1504" s="1" t="s">
        <v>133</v>
      </c>
      <c r="J1504" s="1" t="s">
        <v>562</v>
      </c>
      <c r="K1504" s="1" t="s">
        <v>358</v>
      </c>
      <c r="L1504" s="1" t="s">
        <v>99</v>
      </c>
      <c r="O1504" s="4">
        <v>43182.0</v>
      </c>
    </row>
    <row r="1505">
      <c r="A1505" s="1" t="s">
        <v>2364</v>
      </c>
      <c r="B1505" s="1" t="s">
        <v>255</v>
      </c>
      <c r="C1505" s="1" t="s">
        <v>256</v>
      </c>
      <c r="D1505" s="1" t="s">
        <v>2405</v>
      </c>
      <c r="E1505" s="1" t="s">
        <v>97</v>
      </c>
      <c r="F1505" s="8">
        <v>46310.0</v>
      </c>
      <c r="G1505" s="1" t="s">
        <v>71</v>
      </c>
      <c r="K1505" s="1" t="s">
        <v>358</v>
      </c>
      <c r="L1505" s="1" t="s">
        <v>99</v>
      </c>
      <c r="O1505" s="4">
        <v>43182.0</v>
      </c>
    </row>
    <row r="1506">
      <c r="A1506" s="1" t="s">
        <v>2364</v>
      </c>
      <c r="B1506" s="1" t="s">
        <v>255</v>
      </c>
      <c r="C1506" s="1" t="s">
        <v>256</v>
      </c>
      <c r="D1506" s="1" t="s">
        <v>2406</v>
      </c>
      <c r="E1506" s="1" t="s">
        <v>97</v>
      </c>
      <c r="F1506" s="8">
        <v>46310.0</v>
      </c>
      <c r="G1506" s="1" t="s">
        <v>71</v>
      </c>
      <c r="K1506" s="1" t="s">
        <v>358</v>
      </c>
      <c r="L1506" s="1" t="s">
        <v>99</v>
      </c>
      <c r="O1506" s="4">
        <v>43182.0</v>
      </c>
    </row>
    <row r="1507">
      <c r="A1507" s="1" t="s">
        <v>2364</v>
      </c>
      <c r="B1507" s="1" t="s">
        <v>303</v>
      </c>
      <c r="C1507" s="1" t="s">
        <v>929</v>
      </c>
      <c r="D1507" s="1" t="s">
        <v>2407</v>
      </c>
      <c r="E1507" s="1" t="s">
        <v>97</v>
      </c>
      <c r="F1507" s="4">
        <v>46276.0</v>
      </c>
      <c r="G1507" s="1" t="s">
        <v>71</v>
      </c>
      <c r="K1507" s="1" t="s">
        <v>358</v>
      </c>
      <c r="L1507" s="1" t="s">
        <v>99</v>
      </c>
      <c r="O1507" s="4">
        <v>43182.0</v>
      </c>
    </row>
    <row r="1508">
      <c r="A1508" s="1" t="s">
        <v>2364</v>
      </c>
      <c r="B1508" s="1" t="s">
        <v>303</v>
      </c>
      <c r="C1508" s="1" t="s">
        <v>929</v>
      </c>
      <c r="D1508" s="1" t="s">
        <v>2408</v>
      </c>
      <c r="E1508" s="1" t="s">
        <v>97</v>
      </c>
      <c r="F1508" s="4">
        <v>46276.0</v>
      </c>
      <c r="G1508" s="1" t="s">
        <v>71</v>
      </c>
      <c r="K1508" s="1" t="s">
        <v>358</v>
      </c>
      <c r="L1508" s="1" t="s">
        <v>99</v>
      </c>
      <c r="O1508" s="4">
        <v>43182.0</v>
      </c>
    </row>
    <row r="1509">
      <c r="A1509" s="1" t="s">
        <v>2364</v>
      </c>
      <c r="B1509" s="1" t="s">
        <v>303</v>
      </c>
      <c r="C1509" s="1" t="s">
        <v>929</v>
      </c>
      <c r="D1509" s="1" t="s">
        <v>2409</v>
      </c>
      <c r="E1509" s="1" t="s">
        <v>97</v>
      </c>
      <c r="F1509" s="4">
        <v>46276.0</v>
      </c>
      <c r="G1509" s="1" t="s">
        <v>71</v>
      </c>
      <c r="K1509" s="1" t="s">
        <v>358</v>
      </c>
      <c r="L1509" s="1" t="s">
        <v>99</v>
      </c>
      <c r="O1509" s="4">
        <v>43182.0</v>
      </c>
    </row>
    <row r="1510">
      <c r="A1510" s="1" t="s">
        <v>2364</v>
      </c>
      <c r="B1510" s="1" t="s">
        <v>303</v>
      </c>
      <c r="C1510" s="1" t="s">
        <v>929</v>
      </c>
      <c r="D1510" s="1" t="s">
        <v>2410</v>
      </c>
      <c r="E1510" s="1" t="s">
        <v>97</v>
      </c>
      <c r="F1510" s="4">
        <v>46276.0</v>
      </c>
      <c r="G1510" s="1" t="s">
        <v>71</v>
      </c>
      <c r="K1510" s="1" t="s">
        <v>358</v>
      </c>
      <c r="L1510" s="1" t="s">
        <v>99</v>
      </c>
      <c r="O1510" s="4">
        <v>43182.0</v>
      </c>
    </row>
    <row r="1511">
      <c r="A1511" s="1" t="s">
        <v>2364</v>
      </c>
      <c r="B1511" s="1" t="s">
        <v>303</v>
      </c>
      <c r="C1511" s="1" t="s">
        <v>304</v>
      </c>
      <c r="D1511" s="1" t="s">
        <v>2411</v>
      </c>
      <c r="E1511" s="1" t="s">
        <v>97</v>
      </c>
      <c r="F1511" s="4">
        <v>46276.0</v>
      </c>
      <c r="G1511" s="1" t="s">
        <v>71</v>
      </c>
      <c r="K1511" s="1" t="s">
        <v>358</v>
      </c>
      <c r="L1511" s="1" t="s">
        <v>99</v>
      </c>
      <c r="O1511" s="4">
        <v>43182.0</v>
      </c>
    </row>
    <row r="1512">
      <c r="A1512" s="1" t="s">
        <v>2364</v>
      </c>
      <c r="B1512" s="1" t="s">
        <v>303</v>
      </c>
      <c r="C1512" s="1" t="s">
        <v>304</v>
      </c>
      <c r="D1512" s="1" t="s">
        <v>2412</v>
      </c>
      <c r="E1512" s="1" t="s">
        <v>97</v>
      </c>
      <c r="F1512" s="4">
        <v>46276.0</v>
      </c>
      <c r="G1512" s="1" t="s">
        <v>71</v>
      </c>
      <c r="K1512" s="1" t="s">
        <v>358</v>
      </c>
      <c r="L1512" s="1" t="s">
        <v>99</v>
      </c>
      <c r="O1512" s="4">
        <v>43182.0</v>
      </c>
    </row>
    <row r="1513">
      <c r="A1513" s="1" t="s">
        <v>2364</v>
      </c>
      <c r="B1513" s="1" t="s">
        <v>303</v>
      </c>
      <c r="C1513" s="1" t="s">
        <v>304</v>
      </c>
      <c r="D1513" s="1" t="s">
        <v>2413</v>
      </c>
      <c r="E1513" s="1" t="s">
        <v>97</v>
      </c>
      <c r="F1513" s="4">
        <v>46276.0</v>
      </c>
      <c r="G1513" s="1" t="s">
        <v>71</v>
      </c>
      <c r="K1513" s="1" t="s">
        <v>358</v>
      </c>
      <c r="L1513" s="1" t="s">
        <v>99</v>
      </c>
      <c r="O1513" s="4">
        <v>43182.0</v>
      </c>
    </row>
    <row r="1514">
      <c r="A1514" s="1" t="s">
        <v>2414</v>
      </c>
      <c r="B1514" s="1" t="s">
        <v>43</v>
      </c>
      <c r="C1514" s="1" t="s">
        <v>44</v>
      </c>
      <c r="D1514" s="1" t="s">
        <v>2415</v>
      </c>
      <c r="E1514" s="1" t="s">
        <v>32</v>
      </c>
      <c r="F1514" s="4">
        <v>45964.0</v>
      </c>
      <c r="H1514" s="1" t="s">
        <v>33</v>
      </c>
      <c r="K1514" s="1" t="s">
        <v>2416</v>
      </c>
      <c r="L1514" s="1" t="s">
        <v>35</v>
      </c>
      <c r="N1514" s="4">
        <v>45964.0</v>
      </c>
      <c r="O1514" s="4">
        <v>45964.0</v>
      </c>
    </row>
    <row r="1515">
      <c r="A1515" s="1" t="s">
        <v>2417</v>
      </c>
      <c r="B1515" s="1" t="s">
        <v>1700</v>
      </c>
      <c r="C1515" s="1" t="s">
        <v>1701</v>
      </c>
      <c r="D1515" s="1" t="s">
        <v>2418</v>
      </c>
      <c r="E1515" s="1" t="s">
        <v>32</v>
      </c>
      <c r="F1515" s="4">
        <v>46177.0</v>
      </c>
      <c r="H1515" s="1" t="s">
        <v>2419</v>
      </c>
      <c r="K1515" s="1" t="s">
        <v>372</v>
      </c>
      <c r="L1515" s="1" t="s">
        <v>35</v>
      </c>
      <c r="N1515" s="4">
        <v>46177.0</v>
      </c>
      <c r="O1515" s="4">
        <v>46177.0</v>
      </c>
    </row>
    <row r="1516">
      <c r="A1516" s="1" t="s">
        <v>2417</v>
      </c>
      <c r="B1516" s="1" t="s">
        <v>1700</v>
      </c>
      <c r="C1516" s="1" t="s">
        <v>1701</v>
      </c>
      <c r="D1516" s="1" t="s">
        <v>2420</v>
      </c>
      <c r="E1516" s="1" t="s">
        <v>32</v>
      </c>
      <c r="F1516" s="4">
        <v>46177.0</v>
      </c>
      <c r="H1516" s="1" t="s">
        <v>2419</v>
      </c>
      <c r="K1516" s="1" t="s">
        <v>372</v>
      </c>
      <c r="L1516" s="1" t="s">
        <v>35</v>
      </c>
      <c r="N1516" s="4">
        <v>46177.0</v>
      </c>
      <c r="O1516" s="4">
        <v>46177.0</v>
      </c>
    </row>
    <row r="1517">
      <c r="A1517" s="1" t="s">
        <v>2417</v>
      </c>
      <c r="B1517" s="1" t="s">
        <v>1700</v>
      </c>
      <c r="C1517" s="1" t="s">
        <v>1701</v>
      </c>
      <c r="D1517" s="1" t="s">
        <v>2421</v>
      </c>
      <c r="E1517" s="1" t="s">
        <v>32</v>
      </c>
      <c r="F1517" s="4">
        <v>46177.0</v>
      </c>
      <c r="H1517" s="1" t="s">
        <v>2419</v>
      </c>
      <c r="K1517" s="1" t="s">
        <v>372</v>
      </c>
      <c r="L1517" s="1" t="s">
        <v>35</v>
      </c>
      <c r="N1517" s="4">
        <v>46177.0</v>
      </c>
      <c r="O1517" s="4">
        <v>46177.0</v>
      </c>
    </row>
    <row r="1518">
      <c r="A1518" s="1" t="s">
        <v>2422</v>
      </c>
      <c r="B1518" s="1" t="s">
        <v>303</v>
      </c>
      <c r="C1518" s="1" t="s">
        <v>304</v>
      </c>
      <c r="D1518" s="1" t="s">
        <v>2423</v>
      </c>
      <c r="E1518" s="1" t="s">
        <v>97</v>
      </c>
      <c r="F1518" s="4">
        <v>46276.0</v>
      </c>
      <c r="G1518" s="1" t="s">
        <v>71</v>
      </c>
      <c r="K1518" s="1" t="s">
        <v>2424</v>
      </c>
      <c r="L1518" s="1" t="s">
        <v>99</v>
      </c>
      <c r="O1518" s="4">
        <v>42403.0</v>
      </c>
    </row>
    <row r="1519">
      <c r="A1519" s="1" t="s">
        <v>2422</v>
      </c>
      <c r="B1519" s="1" t="s">
        <v>303</v>
      </c>
      <c r="C1519" s="1" t="s">
        <v>304</v>
      </c>
      <c r="D1519" s="1" t="s">
        <v>2425</v>
      </c>
      <c r="E1519" s="1" t="s">
        <v>97</v>
      </c>
      <c r="F1519" s="4">
        <v>46276.0</v>
      </c>
      <c r="G1519" s="1" t="s">
        <v>71</v>
      </c>
      <c r="K1519" s="1" t="s">
        <v>2424</v>
      </c>
      <c r="L1519" s="1" t="s">
        <v>99</v>
      </c>
      <c r="O1519" s="4">
        <v>42403.0</v>
      </c>
    </row>
    <row r="1520">
      <c r="A1520" s="1" t="s">
        <v>2422</v>
      </c>
      <c r="B1520" s="1" t="s">
        <v>2426</v>
      </c>
      <c r="C1520" s="1" t="s">
        <v>2427</v>
      </c>
      <c r="D1520" s="1" t="s">
        <v>2428</v>
      </c>
      <c r="E1520" s="1" t="s">
        <v>97</v>
      </c>
      <c r="F1520" s="8">
        <v>46310.0</v>
      </c>
      <c r="G1520" s="1" t="s">
        <v>71</v>
      </c>
      <c r="K1520" s="1" t="s">
        <v>2424</v>
      </c>
      <c r="L1520" s="1" t="s">
        <v>99</v>
      </c>
      <c r="O1520" s="4">
        <v>42403.0</v>
      </c>
    </row>
    <row r="1521">
      <c r="A1521" s="1" t="s">
        <v>2422</v>
      </c>
      <c r="B1521" s="1" t="s">
        <v>288</v>
      </c>
      <c r="C1521" s="1" t="s">
        <v>289</v>
      </c>
      <c r="D1521" s="1" t="s">
        <v>2429</v>
      </c>
      <c r="E1521" s="1" t="s">
        <v>97</v>
      </c>
      <c r="F1521" s="8">
        <v>46309.0</v>
      </c>
      <c r="G1521" s="1" t="s">
        <v>71</v>
      </c>
      <c r="H1521" s="1" t="s">
        <v>2348</v>
      </c>
      <c r="K1521" s="1" t="s">
        <v>2424</v>
      </c>
      <c r="L1521" s="1" t="s">
        <v>99</v>
      </c>
      <c r="O1521" s="4">
        <v>42403.0</v>
      </c>
    </row>
    <row r="1522">
      <c r="A1522" s="1" t="s">
        <v>2422</v>
      </c>
      <c r="B1522" s="1" t="s">
        <v>288</v>
      </c>
      <c r="C1522" s="1" t="s">
        <v>289</v>
      </c>
      <c r="D1522" s="1" t="s">
        <v>2430</v>
      </c>
      <c r="E1522" s="1" t="s">
        <v>97</v>
      </c>
      <c r="F1522" s="8">
        <v>46309.0</v>
      </c>
      <c r="G1522" s="1" t="s">
        <v>71</v>
      </c>
      <c r="H1522" s="1" t="s">
        <v>2346</v>
      </c>
      <c r="K1522" s="1" t="s">
        <v>2424</v>
      </c>
      <c r="L1522" s="1" t="s">
        <v>99</v>
      </c>
      <c r="O1522" s="4">
        <v>42403.0</v>
      </c>
    </row>
    <row r="1523">
      <c r="A1523" s="1" t="s">
        <v>2422</v>
      </c>
      <c r="B1523" s="1" t="s">
        <v>2426</v>
      </c>
      <c r="C1523" s="1" t="s">
        <v>2427</v>
      </c>
      <c r="D1523" s="1" t="s">
        <v>2431</v>
      </c>
      <c r="E1523" s="1" t="s">
        <v>97</v>
      </c>
      <c r="F1523" s="8">
        <v>46310.0</v>
      </c>
      <c r="G1523" s="1" t="s">
        <v>132</v>
      </c>
      <c r="H1523" s="1" t="s">
        <v>133</v>
      </c>
      <c r="J1523" s="1" t="s">
        <v>47</v>
      </c>
      <c r="K1523" s="1" t="s">
        <v>2424</v>
      </c>
      <c r="L1523" s="1" t="s">
        <v>99</v>
      </c>
      <c r="O1523" s="4">
        <v>42403.0</v>
      </c>
    </row>
    <row r="1524">
      <c r="A1524" s="1" t="s">
        <v>2422</v>
      </c>
      <c r="B1524" s="1" t="s">
        <v>269</v>
      </c>
      <c r="C1524" s="1" t="s">
        <v>270</v>
      </c>
      <c r="D1524" s="1" t="s">
        <v>2432</v>
      </c>
      <c r="E1524" s="1" t="s">
        <v>97</v>
      </c>
      <c r="F1524" s="8">
        <v>46316.0</v>
      </c>
      <c r="G1524" s="1" t="s">
        <v>71</v>
      </c>
      <c r="K1524" s="1" t="s">
        <v>2424</v>
      </c>
      <c r="L1524" s="1" t="s">
        <v>99</v>
      </c>
      <c r="O1524" s="4">
        <v>42403.0</v>
      </c>
    </row>
    <row r="1525">
      <c r="A1525" s="1" t="s">
        <v>2422</v>
      </c>
      <c r="B1525" s="1" t="s">
        <v>269</v>
      </c>
      <c r="C1525" s="1" t="s">
        <v>270</v>
      </c>
      <c r="D1525" s="1" t="s">
        <v>2433</v>
      </c>
      <c r="E1525" s="1" t="s">
        <v>70</v>
      </c>
      <c r="F1525" s="8">
        <v>46316.0</v>
      </c>
      <c r="G1525" s="1" t="s">
        <v>71</v>
      </c>
      <c r="K1525" s="1" t="s">
        <v>2424</v>
      </c>
      <c r="L1525" s="1" t="s">
        <v>99</v>
      </c>
      <c r="O1525" s="4">
        <v>42403.0</v>
      </c>
    </row>
    <row r="1526">
      <c r="A1526" s="1" t="s">
        <v>2422</v>
      </c>
      <c r="B1526" s="1" t="s">
        <v>269</v>
      </c>
      <c r="C1526" s="1" t="s">
        <v>270</v>
      </c>
      <c r="D1526" s="1" t="s">
        <v>2434</v>
      </c>
      <c r="E1526" s="1" t="s">
        <v>97</v>
      </c>
      <c r="F1526" s="8">
        <v>46316.0</v>
      </c>
      <c r="G1526" s="1" t="s">
        <v>71</v>
      </c>
      <c r="K1526" s="1" t="s">
        <v>2424</v>
      </c>
      <c r="L1526" s="1" t="s">
        <v>99</v>
      </c>
      <c r="O1526" s="4">
        <v>42403.0</v>
      </c>
    </row>
    <row r="1527">
      <c r="A1527" s="1" t="s">
        <v>2422</v>
      </c>
      <c r="B1527" s="1" t="s">
        <v>255</v>
      </c>
      <c r="C1527" s="1" t="s">
        <v>256</v>
      </c>
      <c r="D1527" s="1" t="s">
        <v>2435</v>
      </c>
      <c r="E1527" s="1" t="s">
        <v>70</v>
      </c>
      <c r="F1527" s="8">
        <v>46310.0</v>
      </c>
      <c r="G1527" s="1" t="s">
        <v>107</v>
      </c>
      <c r="H1527" s="1" t="s">
        <v>638</v>
      </c>
      <c r="J1527" s="1" t="s">
        <v>47</v>
      </c>
      <c r="K1527" s="1" t="s">
        <v>2424</v>
      </c>
      <c r="L1527" s="1" t="s">
        <v>99</v>
      </c>
      <c r="O1527" s="4">
        <v>42452.0</v>
      </c>
    </row>
    <row r="1528">
      <c r="A1528" s="1" t="s">
        <v>2422</v>
      </c>
      <c r="B1528" s="1" t="s">
        <v>2426</v>
      </c>
      <c r="C1528" s="1" t="s">
        <v>2427</v>
      </c>
      <c r="D1528" s="1" t="s">
        <v>2436</v>
      </c>
      <c r="E1528" s="1" t="s">
        <v>97</v>
      </c>
      <c r="F1528" s="8">
        <v>46310.0</v>
      </c>
      <c r="G1528" s="1" t="s">
        <v>71</v>
      </c>
      <c r="K1528" s="1" t="s">
        <v>381</v>
      </c>
      <c r="L1528" s="1" t="s">
        <v>99</v>
      </c>
      <c r="O1528" s="4">
        <v>42452.0</v>
      </c>
    </row>
    <row r="1529">
      <c r="A1529" s="1" t="s">
        <v>2422</v>
      </c>
      <c r="B1529" s="1" t="s">
        <v>2426</v>
      </c>
      <c r="C1529" s="1" t="s">
        <v>2427</v>
      </c>
      <c r="D1529" s="1" t="s">
        <v>2437</v>
      </c>
      <c r="E1529" s="1" t="s">
        <v>97</v>
      </c>
      <c r="F1529" s="8">
        <v>46310.0</v>
      </c>
      <c r="G1529" s="1" t="s">
        <v>71</v>
      </c>
      <c r="K1529" s="1" t="s">
        <v>381</v>
      </c>
      <c r="L1529" s="1" t="s">
        <v>99</v>
      </c>
      <c r="O1529" s="4">
        <v>42452.0</v>
      </c>
    </row>
    <row r="1530">
      <c r="A1530" s="1" t="s">
        <v>2422</v>
      </c>
      <c r="B1530" s="1" t="s">
        <v>269</v>
      </c>
      <c r="C1530" s="1" t="s">
        <v>270</v>
      </c>
      <c r="D1530" s="1" t="s">
        <v>2438</v>
      </c>
      <c r="E1530" s="1" t="s">
        <v>97</v>
      </c>
      <c r="F1530" s="8">
        <v>46316.0</v>
      </c>
      <c r="G1530" s="1" t="s">
        <v>71</v>
      </c>
      <c r="K1530" s="1" t="s">
        <v>2424</v>
      </c>
      <c r="L1530" s="1" t="s">
        <v>99</v>
      </c>
      <c r="O1530" s="4">
        <v>42403.0</v>
      </c>
    </row>
    <row r="1531">
      <c r="A1531" s="1" t="s">
        <v>2422</v>
      </c>
      <c r="B1531" s="1" t="s">
        <v>269</v>
      </c>
      <c r="C1531" s="1" t="s">
        <v>270</v>
      </c>
      <c r="D1531" s="1" t="s">
        <v>2439</v>
      </c>
      <c r="E1531" s="1" t="s">
        <v>97</v>
      </c>
      <c r="F1531" s="8">
        <v>46316.0</v>
      </c>
      <c r="G1531" s="1" t="s">
        <v>71</v>
      </c>
      <c r="K1531" s="1" t="s">
        <v>2424</v>
      </c>
      <c r="L1531" s="1" t="s">
        <v>99</v>
      </c>
      <c r="O1531" s="4">
        <v>42403.0</v>
      </c>
    </row>
    <row r="1532">
      <c r="A1532" s="1" t="s">
        <v>2422</v>
      </c>
      <c r="B1532" s="1" t="s">
        <v>269</v>
      </c>
      <c r="C1532" s="1" t="s">
        <v>270</v>
      </c>
      <c r="D1532" s="1" t="s">
        <v>2440</v>
      </c>
      <c r="E1532" s="1" t="s">
        <v>97</v>
      </c>
      <c r="F1532" s="8">
        <v>46316.0</v>
      </c>
      <c r="G1532" s="1" t="s">
        <v>71</v>
      </c>
      <c r="K1532" s="1" t="s">
        <v>2424</v>
      </c>
      <c r="L1532" s="1" t="s">
        <v>99</v>
      </c>
      <c r="O1532" s="4">
        <v>42403.0</v>
      </c>
    </row>
    <row r="1533">
      <c r="A1533" s="1" t="s">
        <v>2441</v>
      </c>
      <c r="B1533" s="1" t="s">
        <v>2442</v>
      </c>
      <c r="C1533" s="1" t="s">
        <v>2443</v>
      </c>
      <c r="D1533" s="1" t="s">
        <v>2444</v>
      </c>
      <c r="E1533" s="1" t="s">
        <v>97</v>
      </c>
      <c r="F1533" s="8">
        <v>46310.0</v>
      </c>
      <c r="G1533" s="1" t="s">
        <v>71</v>
      </c>
      <c r="K1533" s="1" t="s">
        <v>1077</v>
      </c>
      <c r="L1533" s="1" t="s">
        <v>99</v>
      </c>
      <c r="O1533" s="4">
        <v>42940.0</v>
      </c>
    </row>
    <row r="1534">
      <c r="A1534" s="1" t="s">
        <v>2441</v>
      </c>
      <c r="B1534" s="1" t="s">
        <v>2442</v>
      </c>
      <c r="C1534" s="1" t="s">
        <v>2443</v>
      </c>
      <c r="D1534" s="1" t="s">
        <v>2445</v>
      </c>
      <c r="E1534" s="1" t="s">
        <v>97</v>
      </c>
      <c r="F1534" s="8">
        <v>46310.0</v>
      </c>
      <c r="G1534" s="1" t="s">
        <v>71</v>
      </c>
      <c r="K1534" s="1" t="s">
        <v>1077</v>
      </c>
      <c r="L1534" s="1" t="s">
        <v>99</v>
      </c>
      <c r="O1534" s="4">
        <v>42940.0</v>
      </c>
    </row>
    <row r="1535">
      <c r="A1535" s="1" t="s">
        <v>2441</v>
      </c>
      <c r="B1535" s="1" t="s">
        <v>269</v>
      </c>
      <c r="C1535" s="1" t="s">
        <v>270</v>
      </c>
      <c r="D1535" s="1" t="s">
        <v>2446</v>
      </c>
      <c r="E1535" s="1" t="s">
        <v>70</v>
      </c>
      <c r="F1535" s="8">
        <v>46316.0</v>
      </c>
      <c r="G1535" s="1" t="s">
        <v>132</v>
      </c>
      <c r="H1535" s="1" t="s">
        <v>2447</v>
      </c>
      <c r="J1535" s="1" t="s">
        <v>134</v>
      </c>
      <c r="K1535" s="1" t="s">
        <v>1077</v>
      </c>
      <c r="L1535" s="1" t="s">
        <v>99</v>
      </c>
      <c r="O1535" s="4">
        <v>42795.0</v>
      </c>
    </row>
    <row r="1536">
      <c r="A1536" s="1" t="s">
        <v>2441</v>
      </c>
      <c r="B1536" s="1" t="s">
        <v>269</v>
      </c>
      <c r="C1536" s="1" t="s">
        <v>270</v>
      </c>
      <c r="D1536" s="1" t="s">
        <v>2448</v>
      </c>
      <c r="E1536" s="1" t="s">
        <v>70</v>
      </c>
      <c r="F1536" s="8">
        <v>46316.0</v>
      </c>
      <c r="G1536" s="1" t="s">
        <v>422</v>
      </c>
      <c r="H1536" s="1" t="s">
        <v>1208</v>
      </c>
      <c r="J1536" s="1" t="s">
        <v>47</v>
      </c>
      <c r="K1536" s="1" t="s">
        <v>1077</v>
      </c>
      <c r="L1536" s="1" t="s">
        <v>99</v>
      </c>
      <c r="O1536" s="4">
        <v>42795.0</v>
      </c>
    </row>
    <row r="1537">
      <c r="A1537" s="1" t="s">
        <v>2441</v>
      </c>
      <c r="B1537" s="1" t="s">
        <v>269</v>
      </c>
      <c r="C1537" s="1" t="s">
        <v>270</v>
      </c>
      <c r="D1537" s="1" t="s">
        <v>2449</v>
      </c>
      <c r="E1537" s="1" t="s">
        <v>70</v>
      </c>
      <c r="F1537" s="8">
        <v>46316.0</v>
      </c>
      <c r="G1537" s="1" t="s">
        <v>71</v>
      </c>
      <c r="K1537" s="1" t="s">
        <v>1077</v>
      </c>
      <c r="L1537" s="1" t="s">
        <v>99</v>
      </c>
      <c r="O1537" s="4">
        <v>42795.0</v>
      </c>
    </row>
    <row r="1538">
      <c r="A1538" s="1" t="s">
        <v>2441</v>
      </c>
      <c r="B1538" s="1" t="s">
        <v>269</v>
      </c>
      <c r="C1538" s="1" t="s">
        <v>270</v>
      </c>
      <c r="D1538" s="1" t="s">
        <v>2450</v>
      </c>
      <c r="E1538" s="1" t="s">
        <v>70</v>
      </c>
      <c r="F1538" s="8">
        <v>46316.0</v>
      </c>
      <c r="G1538" s="1" t="s">
        <v>107</v>
      </c>
      <c r="H1538" s="1" t="s">
        <v>1571</v>
      </c>
      <c r="J1538" s="1" t="s">
        <v>47</v>
      </c>
      <c r="K1538" s="1" t="s">
        <v>1077</v>
      </c>
      <c r="L1538" s="1" t="s">
        <v>99</v>
      </c>
      <c r="O1538" s="4">
        <v>42795.0</v>
      </c>
    </row>
    <row r="1539">
      <c r="A1539" s="1" t="s">
        <v>2441</v>
      </c>
      <c r="B1539" s="1" t="s">
        <v>2442</v>
      </c>
      <c r="C1539" s="1" t="s">
        <v>2443</v>
      </c>
      <c r="D1539" s="1" t="s">
        <v>2451</v>
      </c>
      <c r="E1539" s="1" t="s">
        <v>97</v>
      </c>
      <c r="F1539" s="8">
        <v>46310.0</v>
      </c>
      <c r="G1539" s="1" t="s">
        <v>71</v>
      </c>
      <c r="K1539" s="1" t="s">
        <v>1077</v>
      </c>
      <c r="L1539" s="1" t="s">
        <v>99</v>
      </c>
      <c r="O1539" s="4">
        <v>42940.0</v>
      </c>
    </row>
    <row r="1540">
      <c r="A1540" s="1" t="s">
        <v>2441</v>
      </c>
      <c r="B1540" s="1" t="s">
        <v>279</v>
      </c>
      <c r="C1540" s="1" t="s">
        <v>280</v>
      </c>
      <c r="D1540" s="1" t="s">
        <v>2452</v>
      </c>
      <c r="E1540" s="1" t="s">
        <v>97</v>
      </c>
      <c r="F1540" s="8">
        <v>46311.0</v>
      </c>
      <c r="G1540" s="1" t="s">
        <v>132</v>
      </c>
      <c r="H1540" s="1" t="s">
        <v>417</v>
      </c>
      <c r="J1540" s="1" t="s">
        <v>134</v>
      </c>
      <c r="K1540" s="1" t="s">
        <v>1077</v>
      </c>
      <c r="L1540" s="1" t="s">
        <v>99</v>
      </c>
      <c r="O1540" s="4">
        <v>42795.0</v>
      </c>
    </row>
    <row r="1541">
      <c r="A1541" s="1" t="s">
        <v>2441</v>
      </c>
      <c r="B1541" s="1" t="s">
        <v>255</v>
      </c>
      <c r="C1541" s="1" t="s">
        <v>256</v>
      </c>
      <c r="D1541" s="1" t="s">
        <v>2453</v>
      </c>
      <c r="E1541" s="1" t="s">
        <v>97</v>
      </c>
      <c r="F1541" s="8">
        <v>46310.0</v>
      </c>
      <c r="G1541" s="1" t="s">
        <v>71</v>
      </c>
      <c r="H1541" s="1" t="s">
        <v>2454</v>
      </c>
      <c r="K1541" s="1" t="s">
        <v>1077</v>
      </c>
      <c r="L1541" s="1" t="s">
        <v>99</v>
      </c>
      <c r="O1541" s="4">
        <v>42940.0</v>
      </c>
    </row>
    <row r="1542">
      <c r="A1542" s="1" t="s">
        <v>2441</v>
      </c>
      <c r="B1542" s="1" t="s">
        <v>255</v>
      </c>
      <c r="C1542" s="1" t="s">
        <v>256</v>
      </c>
      <c r="D1542" s="1" t="s">
        <v>2455</v>
      </c>
      <c r="E1542" s="1" t="s">
        <v>97</v>
      </c>
      <c r="F1542" s="8">
        <v>46310.0</v>
      </c>
      <c r="G1542" s="1" t="s">
        <v>71</v>
      </c>
      <c r="H1542" s="1" t="s">
        <v>396</v>
      </c>
      <c r="K1542" s="1" t="s">
        <v>1077</v>
      </c>
      <c r="L1542" s="1" t="s">
        <v>99</v>
      </c>
      <c r="O1542" s="4">
        <v>42940.0</v>
      </c>
    </row>
    <row r="1543">
      <c r="A1543" s="1" t="s">
        <v>2441</v>
      </c>
      <c r="B1543" s="1" t="s">
        <v>2456</v>
      </c>
      <c r="C1543" s="1" t="s">
        <v>2457</v>
      </c>
      <c r="D1543" s="1" t="s">
        <v>2458</v>
      </c>
      <c r="E1543" s="1" t="s">
        <v>97</v>
      </c>
      <c r="F1543" s="8">
        <v>46311.0</v>
      </c>
      <c r="G1543" s="1" t="s">
        <v>71</v>
      </c>
      <c r="K1543" s="1" t="s">
        <v>1077</v>
      </c>
      <c r="L1543" s="1" t="s">
        <v>99</v>
      </c>
      <c r="O1543" s="4">
        <v>42795.0</v>
      </c>
    </row>
    <row r="1544">
      <c r="A1544" s="1" t="s">
        <v>2441</v>
      </c>
      <c r="B1544" s="1" t="s">
        <v>269</v>
      </c>
      <c r="C1544" s="1" t="s">
        <v>270</v>
      </c>
      <c r="D1544" s="1" t="s">
        <v>2459</v>
      </c>
      <c r="E1544" s="1" t="s">
        <v>32</v>
      </c>
      <c r="F1544" s="4">
        <v>45968.0</v>
      </c>
      <c r="H1544" s="1" t="s">
        <v>33</v>
      </c>
      <c r="K1544" s="1" t="s">
        <v>1077</v>
      </c>
      <c r="L1544" s="1" t="s">
        <v>35</v>
      </c>
      <c r="N1544" s="4">
        <v>45968.0</v>
      </c>
      <c r="O1544" s="4">
        <v>45968.0</v>
      </c>
    </row>
    <row r="1545">
      <c r="A1545" s="1" t="s">
        <v>2441</v>
      </c>
      <c r="B1545" s="1" t="s">
        <v>269</v>
      </c>
      <c r="C1545" s="1" t="s">
        <v>270</v>
      </c>
      <c r="D1545" s="1" t="s">
        <v>2460</v>
      </c>
      <c r="E1545" s="1" t="s">
        <v>32</v>
      </c>
      <c r="F1545" s="4">
        <v>45968.0</v>
      </c>
      <c r="H1545" s="1" t="s">
        <v>33</v>
      </c>
      <c r="K1545" s="1" t="s">
        <v>1077</v>
      </c>
      <c r="L1545" s="1" t="s">
        <v>35</v>
      </c>
      <c r="N1545" s="4">
        <v>45968.0</v>
      </c>
      <c r="O1545" s="4">
        <v>45968.0</v>
      </c>
    </row>
    <row r="1546">
      <c r="A1546" s="1" t="s">
        <v>2441</v>
      </c>
      <c r="B1546" s="1" t="s">
        <v>269</v>
      </c>
      <c r="C1546" s="1" t="s">
        <v>270</v>
      </c>
      <c r="D1546" s="1" t="s">
        <v>2461</v>
      </c>
      <c r="E1546" s="1" t="s">
        <v>32</v>
      </c>
      <c r="F1546" s="4">
        <v>45968.0</v>
      </c>
      <c r="H1546" s="1" t="s">
        <v>33</v>
      </c>
      <c r="K1546" s="1" t="s">
        <v>1077</v>
      </c>
      <c r="L1546" s="1" t="s">
        <v>35</v>
      </c>
      <c r="N1546" s="4">
        <v>45968.0</v>
      </c>
      <c r="O1546" s="4">
        <v>45968.0</v>
      </c>
    </row>
    <row r="1547">
      <c r="A1547" s="1" t="s">
        <v>2441</v>
      </c>
      <c r="B1547" s="1" t="s">
        <v>269</v>
      </c>
      <c r="C1547" s="1" t="s">
        <v>270</v>
      </c>
      <c r="D1547" s="1" t="s">
        <v>2462</v>
      </c>
      <c r="E1547" s="1" t="s">
        <v>32</v>
      </c>
      <c r="F1547" s="4">
        <v>45968.0</v>
      </c>
      <c r="H1547" s="1" t="s">
        <v>33</v>
      </c>
      <c r="K1547" s="1" t="s">
        <v>1077</v>
      </c>
      <c r="L1547" s="1" t="s">
        <v>35</v>
      </c>
      <c r="N1547" s="4">
        <v>45968.0</v>
      </c>
      <c r="O1547" s="4">
        <v>45968.0</v>
      </c>
    </row>
    <row r="1548">
      <c r="A1548" s="1" t="s">
        <v>2463</v>
      </c>
      <c r="B1548" s="1" t="s">
        <v>269</v>
      </c>
      <c r="C1548" s="1" t="s">
        <v>270</v>
      </c>
      <c r="D1548" s="1" t="s">
        <v>2464</v>
      </c>
      <c r="E1548" s="1" t="s">
        <v>32</v>
      </c>
      <c r="F1548" s="4">
        <v>45994.0</v>
      </c>
      <c r="H1548" s="1" t="s">
        <v>33</v>
      </c>
      <c r="K1548" s="1" t="s">
        <v>2465</v>
      </c>
      <c r="L1548" s="1" t="s">
        <v>35</v>
      </c>
      <c r="N1548" s="4">
        <v>45994.0</v>
      </c>
      <c r="O1548" s="4">
        <v>45994.0</v>
      </c>
    </row>
    <row r="1549">
      <c r="A1549" s="1" t="s">
        <v>2463</v>
      </c>
      <c r="B1549" s="1" t="s">
        <v>269</v>
      </c>
      <c r="C1549" s="1" t="s">
        <v>270</v>
      </c>
      <c r="D1549" s="1" t="s">
        <v>2466</v>
      </c>
      <c r="E1549" s="1" t="s">
        <v>32</v>
      </c>
      <c r="F1549" s="4">
        <v>45994.0</v>
      </c>
      <c r="H1549" s="1" t="s">
        <v>33</v>
      </c>
      <c r="K1549" s="1" t="s">
        <v>2465</v>
      </c>
      <c r="L1549" s="1" t="s">
        <v>35</v>
      </c>
      <c r="N1549" s="4">
        <v>45994.0</v>
      </c>
      <c r="O1549" s="4">
        <v>45994.0</v>
      </c>
    </row>
    <row r="1550">
      <c r="A1550" s="1" t="s">
        <v>2463</v>
      </c>
      <c r="B1550" s="1" t="s">
        <v>269</v>
      </c>
      <c r="C1550" s="1" t="s">
        <v>270</v>
      </c>
      <c r="D1550" s="1" t="s">
        <v>2467</v>
      </c>
      <c r="E1550" s="1" t="s">
        <v>32</v>
      </c>
      <c r="F1550" s="4">
        <v>45994.0</v>
      </c>
      <c r="H1550" s="1" t="s">
        <v>33</v>
      </c>
      <c r="K1550" s="1" t="s">
        <v>2465</v>
      </c>
      <c r="L1550" s="1" t="s">
        <v>35</v>
      </c>
      <c r="N1550" s="4">
        <v>45994.0</v>
      </c>
      <c r="O1550" s="4">
        <v>45994.0</v>
      </c>
    </row>
    <row r="1551">
      <c r="A1551" s="1" t="s">
        <v>2468</v>
      </c>
      <c r="B1551" s="1" t="s">
        <v>776</v>
      </c>
      <c r="C1551" s="1" t="s">
        <v>2469</v>
      </c>
      <c r="D1551" s="1" t="s">
        <v>2470</v>
      </c>
      <c r="E1551" s="1" t="s">
        <v>32</v>
      </c>
      <c r="F1551" s="8">
        <v>46020.0</v>
      </c>
      <c r="H1551" s="1" t="s">
        <v>33</v>
      </c>
      <c r="K1551" s="1" t="s">
        <v>129</v>
      </c>
      <c r="L1551" s="1" t="s">
        <v>35</v>
      </c>
      <c r="N1551" s="8">
        <v>46020.0</v>
      </c>
      <c r="O1551" s="8">
        <v>46020.0</v>
      </c>
    </row>
    <row r="1552">
      <c r="A1552" s="1" t="s">
        <v>2471</v>
      </c>
      <c r="B1552" s="1" t="s">
        <v>1700</v>
      </c>
      <c r="C1552" s="1" t="s">
        <v>1701</v>
      </c>
      <c r="D1552" s="1" t="s">
        <v>2472</v>
      </c>
      <c r="E1552" s="1" t="s">
        <v>32</v>
      </c>
      <c r="F1552" s="8">
        <v>45975.0</v>
      </c>
      <c r="H1552" s="1" t="s">
        <v>33</v>
      </c>
      <c r="K1552" s="1" t="s">
        <v>372</v>
      </c>
      <c r="L1552" s="1" t="s">
        <v>35</v>
      </c>
      <c r="N1552" s="8">
        <v>45975.0</v>
      </c>
      <c r="O1552" s="8">
        <v>45975.0</v>
      </c>
    </row>
    <row r="1553">
      <c r="A1553" s="1" t="s">
        <v>2473</v>
      </c>
      <c r="B1553" s="1" t="s">
        <v>342</v>
      </c>
      <c r="C1553" s="1" t="s">
        <v>346</v>
      </c>
      <c r="D1553" s="1" t="s">
        <v>2474</v>
      </c>
      <c r="E1553" s="1" t="s">
        <v>32</v>
      </c>
      <c r="F1553" s="8">
        <v>46001.0</v>
      </c>
      <c r="H1553" s="1" t="s">
        <v>344</v>
      </c>
      <c r="K1553" s="1" t="s">
        <v>366</v>
      </c>
      <c r="L1553" s="1" t="s">
        <v>35</v>
      </c>
      <c r="N1553" s="8">
        <v>46001.0</v>
      </c>
      <c r="O1553" s="8">
        <v>46001.0</v>
      </c>
    </row>
    <row r="1554">
      <c r="A1554" s="1" t="s">
        <v>2473</v>
      </c>
      <c r="B1554" s="1" t="s">
        <v>342</v>
      </c>
      <c r="C1554" s="1" t="s">
        <v>346</v>
      </c>
      <c r="D1554" s="1" t="s">
        <v>2475</v>
      </c>
      <c r="E1554" s="1" t="s">
        <v>32</v>
      </c>
      <c r="F1554" s="8">
        <v>46001.0</v>
      </c>
      <c r="H1554" s="1" t="s">
        <v>344</v>
      </c>
      <c r="K1554" s="1" t="s">
        <v>366</v>
      </c>
      <c r="L1554" s="1" t="s">
        <v>35</v>
      </c>
      <c r="N1554" s="8">
        <v>46001.0</v>
      </c>
      <c r="O1554" s="8">
        <v>46001.0</v>
      </c>
    </row>
    <row r="1555">
      <c r="A1555" s="1" t="s">
        <v>2476</v>
      </c>
      <c r="B1555" s="1" t="s">
        <v>288</v>
      </c>
      <c r="C1555" s="1" t="s">
        <v>289</v>
      </c>
      <c r="D1555" s="1" t="s">
        <v>2477</v>
      </c>
      <c r="E1555" s="1" t="s">
        <v>70</v>
      </c>
      <c r="F1555" s="8">
        <v>46309.0</v>
      </c>
      <c r="G1555" s="1" t="s">
        <v>107</v>
      </c>
      <c r="H1555" s="1" t="s">
        <v>469</v>
      </c>
      <c r="J1555" s="1" t="s">
        <v>134</v>
      </c>
      <c r="K1555" s="1" t="s">
        <v>47</v>
      </c>
      <c r="L1555" s="1" t="s">
        <v>99</v>
      </c>
      <c r="O1555" s="8">
        <v>44523.0</v>
      </c>
    </row>
    <row r="1556">
      <c r="A1556" s="1" t="s">
        <v>2476</v>
      </c>
      <c r="B1556" s="1" t="s">
        <v>269</v>
      </c>
      <c r="C1556" s="1" t="s">
        <v>270</v>
      </c>
      <c r="D1556" s="1" t="s">
        <v>2478</v>
      </c>
      <c r="E1556" s="1" t="s">
        <v>97</v>
      </c>
      <c r="F1556" s="8">
        <v>46316.0</v>
      </c>
      <c r="G1556" s="1" t="s">
        <v>71</v>
      </c>
      <c r="K1556" s="1" t="s">
        <v>47</v>
      </c>
      <c r="L1556" s="1" t="s">
        <v>99</v>
      </c>
      <c r="O1556" s="8">
        <v>44523.0</v>
      </c>
    </row>
    <row r="1557">
      <c r="A1557" s="1" t="s">
        <v>2476</v>
      </c>
      <c r="B1557" s="1" t="s">
        <v>269</v>
      </c>
      <c r="C1557" s="1" t="s">
        <v>270</v>
      </c>
      <c r="D1557" s="1" t="s">
        <v>2479</v>
      </c>
      <c r="E1557" s="1" t="s">
        <v>97</v>
      </c>
      <c r="F1557" s="8">
        <v>46316.0</v>
      </c>
      <c r="G1557" s="1" t="s">
        <v>71</v>
      </c>
      <c r="K1557" s="1" t="s">
        <v>47</v>
      </c>
      <c r="L1557" s="1" t="s">
        <v>99</v>
      </c>
      <c r="O1557" s="8">
        <v>44523.0</v>
      </c>
    </row>
    <row r="1558">
      <c r="A1558" s="1" t="s">
        <v>2476</v>
      </c>
      <c r="B1558" s="1" t="s">
        <v>269</v>
      </c>
      <c r="C1558" s="1" t="s">
        <v>270</v>
      </c>
      <c r="D1558" s="1" t="s">
        <v>2480</v>
      </c>
      <c r="E1558" s="1" t="s">
        <v>97</v>
      </c>
      <c r="F1558" s="8">
        <v>46316.0</v>
      </c>
      <c r="G1558" s="1" t="s">
        <v>71</v>
      </c>
      <c r="K1558" s="1" t="s">
        <v>47</v>
      </c>
      <c r="L1558" s="1" t="s">
        <v>99</v>
      </c>
      <c r="O1558" s="8">
        <v>44523.0</v>
      </c>
    </row>
    <row r="1559">
      <c r="A1559" s="1" t="s">
        <v>2476</v>
      </c>
      <c r="B1559" s="1" t="s">
        <v>269</v>
      </c>
      <c r="C1559" s="1" t="s">
        <v>270</v>
      </c>
      <c r="D1559" s="1" t="s">
        <v>2481</v>
      </c>
      <c r="E1559" s="1" t="s">
        <v>97</v>
      </c>
      <c r="F1559" s="8">
        <v>46316.0</v>
      </c>
      <c r="G1559" s="1" t="s">
        <v>71</v>
      </c>
      <c r="K1559" s="1" t="s">
        <v>47</v>
      </c>
      <c r="L1559" s="1" t="s">
        <v>99</v>
      </c>
      <c r="O1559" s="8">
        <v>44523.0</v>
      </c>
    </row>
    <row r="1560">
      <c r="A1560" s="1" t="s">
        <v>2476</v>
      </c>
      <c r="B1560" s="1" t="s">
        <v>255</v>
      </c>
      <c r="C1560" s="1" t="s">
        <v>256</v>
      </c>
      <c r="D1560" s="1" t="s">
        <v>2482</v>
      </c>
      <c r="E1560" s="1" t="s">
        <v>97</v>
      </c>
      <c r="F1560" s="8">
        <v>46310.0</v>
      </c>
      <c r="G1560" s="1" t="s">
        <v>107</v>
      </c>
      <c r="H1560" s="1" t="s">
        <v>278</v>
      </c>
      <c r="J1560" s="1" t="s">
        <v>134</v>
      </c>
      <c r="K1560" s="1" t="s">
        <v>47</v>
      </c>
      <c r="L1560" s="1" t="s">
        <v>99</v>
      </c>
      <c r="O1560" s="8">
        <v>44523.0</v>
      </c>
    </row>
    <row r="1561">
      <c r="A1561" s="1" t="s">
        <v>2476</v>
      </c>
      <c r="B1561" s="1" t="s">
        <v>255</v>
      </c>
      <c r="C1561" s="1" t="s">
        <v>256</v>
      </c>
      <c r="D1561" s="1" t="s">
        <v>2483</v>
      </c>
      <c r="E1561" s="1" t="s">
        <v>97</v>
      </c>
      <c r="F1561" s="8">
        <v>46310.0</v>
      </c>
      <c r="G1561" s="1" t="s">
        <v>71</v>
      </c>
      <c r="H1561" s="1" t="s">
        <v>396</v>
      </c>
      <c r="K1561" s="1" t="s">
        <v>47</v>
      </c>
      <c r="L1561" s="1" t="s">
        <v>99</v>
      </c>
      <c r="O1561" s="8">
        <v>44523.0</v>
      </c>
    </row>
    <row r="1562">
      <c r="A1562" s="1" t="s">
        <v>2476</v>
      </c>
      <c r="B1562" s="1" t="s">
        <v>255</v>
      </c>
      <c r="C1562" s="1" t="s">
        <v>256</v>
      </c>
      <c r="D1562" s="1" t="s">
        <v>2484</v>
      </c>
      <c r="E1562" s="1" t="s">
        <v>97</v>
      </c>
      <c r="F1562" s="8">
        <v>46310.0</v>
      </c>
      <c r="G1562" s="1" t="s">
        <v>71</v>
      </c>
      <c r="H1562" s="1" t="s">
        <v>396</v>
      </c>
      <c r="K1562" s="1" t="s">
        <v>47</v>
      </c>
      <c r="L1562" s="1" t="s">
        <v>99</v>
      </c>
      <c r="O1562" s="8">
        <v>44523.0</v>
      </c>
    </row>
    <row r="1563">
      <c r="A1563" s="1" t="s">
        <v>2476</v>
      </c>
      <c r="B1563" s="1" t="s">
        <v>274</v>
      </c>
      <c r="C1563" s="1" t="s">
        <v>275</v>
      </c>
      <c r="D1563" s="1" t="s">
        <v>2485</v>
      </c>
      <c r="E1563" s="1" t="s">
        <v>97</v>
      </c>
      <c r="F1563" s="8">
        <v>46310.0</v>
      </c>
      <c r="G1563" s="1" t="s">
        <v>71</v>
      </c>
      <c r="K1563" s="1" t="s">
        <v>47</v>
      </c>
      <c r="L1563" s="1" t="s">
        <v>99</v>
      </c>
      <c r="O1563" s="8">
        <v>44523.0</v>
      </c>
    </row>
    <row r="1564">
      <c r="A1564" s="1" t="s">
        <v>2476</v>
      </c>
      <c r="B1564" s="1" t="s">
        <v>269</v>
      </c>
      <c r="C1564" s="1" t="s">
        <v>270</v>
      </c>
      <c r="D1564" s="1" t="s">
        <v>2486</v>
      </c>
      <c r="E1564" s="1" t="s">
        <v>97</v>
      </c>
      <c r="F1564" s="8">
        <v>46316.0</v>
      </c>
      <c r="G1564" s="1" t="s">
        <v>71</v>
      </c>
      <c r="K1564" s="1" t="s">
        <v>47</v>
      </c>
      <c r="L1564" s="1" t="s">
        <v>99</v>
      </c>
      <c r="O1564" s="4">
        <v>44533.0</v>
      </c>
    </row>
    <row r="1565">
      <c r="A1565" s="1" t="s">
        <v>2476</v>
      </c>
      <c r="B1565" s="1" t="s">
        <v>255</v>
      </c>
      <c r="C1565" s="1" t="s">
        <v>256</v>
      </c>
      <c r="D1565" s="1" t="s">
        <v>2487</v>
      </c>
      <c r="E1565" s="1" t="s">
        <v>97</v>
      </c>
      <c r="F1565" s="8">
        <v>46310.0</v>
      </c>
      <c r="G1565" s="1" t="s">
        <v>71</v>
      </c>
      <c r="H1565" s="1" t="s">
        <v>396</v>
      </c>
      <c r="K1565" s="1" t="s">
        <v>47</v>
      </c>
      <c r="L1565" s="1" t="s">
        <v>99</v>
      </c>
      <c r="O1565" s="8">
        <v>44523.0</v>
      </c>
    </row>
    <row r="1566">
      <c r="A1566" s="1" t="s">
        <v>2476</v>
      </c>
      <c r="B1566" s="1" t="s">
        <v>77</v>
      </c>
      <c r="C1566" s="1" t="s">
        <v>78</v>
      </c>
      <c r="D1566" s="1" t="s">
        <v>2488</v>
      </c>
      <c r="E1566" s="1" t="s">
        <v>97</v>
      </c>
      <c r="F1566" s="4">
        <v>46238.0</v>
      </c>
      <c r="G1566" s="1" t="s">
        <v>132</v>
      </c>
      <c r="H1566" s="1" t="s">
        <v>2489</v>
      </c>
      <c r="J1566" s="1" t="s">
        <v>47</v>
      </c>
      <c r="K1566" s="1" t="s">
        <v>47</v>
      </c>
      <c r="L1566" s="1" t="s">
        <v>99</v>
      </c>
      <c r="O1566" s="8">
        <v>44523.0</v>
      </c>
    </row>
    <row r="1567">
      <c r="A1567" s="1" t="s">
        <v>2490</v>
      </c>
      <c r="B1567" s="1" t="s">
        <v>115</v>
      </c>
      <c r="C1567" s="1" t="s">
        <v>116</v>
      </c>
      <c r="D1567" s="1" t="s">
        <v>2491</v>
      </c>
      <c r="E1567" s="1" t="s">
        <v>97</v>
      </c>
      <c r="F1567" s="8">
        <v>46311.0</v>
      </c>
      <c r="G1567" s="1" t="s">
        <v>107</v>
      </c>
      <c r="H1567" s="1" t="s">
        <v>552</v>
      </c>
      <c r="J1567" s="1" t="s">
        <v>33</v>
      </c>
      <c r="K1567" s="1" t="s">
        <v>2492</v>
      </c>
      <c r="L1567" s="1" t="s">
        <v>99</v>
      </c>
      <c r="O1567" s="4">
        <v>45044.0</v>
      </c>
      <c r="T1567" s="19" t="s">
        <v>2493</v>
      </c>
    </row>
    <row r="1568">
      <c r="A1568" s="1" t="s">
        <v>2490</v>
      </c>
      <c r="B1568" s="1" t="s">
        <v>115</v>
      </c>
      <c r="C1568" s="1" t="s">
        <v>116</v>
      </c>
      <c r="D1568" s="1" t="s">
        <v>2494</v>
      </c>
      <c r="E1568" s="1" t="s">
        <v>97</v>
      </c>
      <c r="F1568" s="8">
        <v>46311.0</v>
      </c>
      <c r="G1568" s="1" t="s">
        <v>107</v>
      </c>
      <c r="H1568" s="1" t="s">
        <v>552</v>
      </c>
      <c r="J1568" s="1" t="s">
        <v>33</v>
      </c>
      <c r="K1568" s="1" t="s">
        <v>2492</v>
      </c>
      <c r="L1568" s="1" t="s">
        <v>99</v>
      </c>
      <c r="O1568" s="4">
        <v>45044.0</v>
      </c>
      <c r="T1568" s="19" t="s">
        <v>2493</v>
      </c>
    </row>
    <row r="1569">
      <c r="A1569" s="1" t="s">
        <v>2490</v>
      </c>
      <c r="B1569" s="1" t="s">
        <v>115</v>
      </c>
      <c r="C1569" s="1" t="s">
        <v>116</v>
      </c>
      <c r="D1569" s="1" t="s">
        <v>2495</v>
      </c>
      <c r="E1569" s="1" t="s">
        <v>97</v>
      </c>
      <c r="F1569" s="8">
        <v>46311.0</v>
      </c>
      <c r="G1569" s="1" t="s">
        <v>107</v>
      </c>
      <c r="H1569" s="1" t="s">
        <v>552</v>
      </c>
      <c r="J1569" s="1" t="s">
        <v>33</v>
      </c>
      <c r="K1569" s="1" t="s">
        <v>2492</v>
      </c>
      <c r="L1569" s="1" t="s">
        <v>99</v>
      </c>
      <c r="O1569" s="4">
        <v>45044.0</v>
      </c>
      <c r="T1569" s="19" t="s">
        <v>2493</v>
      </c>
    </row>
    <row r="1570">
      <c r="A1570" s="1" t="s">
        <v>2490</v>
      </c>
      <c r="B1570" s="1" t="s">
        <v>115</v>
      </c>
      <c r="C1570" s="1" t="s">
        <v>116</v>
      </c>
      <c r="D1570" s="1" t="s">
        <v>2496</v>
      </c>
      <c r="E1570" s="1" t="s">
        <v>97</v>
      </c>
      <c r="F1570" s="8">
        <v>46311.0</v>
      </c>
      <c r="G1570" s="1" t="s">
        <v>107</v>
      </c>
      <c r="H1570" s="1" t="s">
        <v>552</v>
      </c>
      <c r="J1570" s="1" t="s">
        <v>33</v>
      </c>
      <c r="K1570" s="1" t="s">
        <v>2492</v>
      </c>
      <c r="L1570" s="1" t="s">
        <v>99</v>
      </c>
      <c r="O1570" s="4">
        <v>45044.0</v>
      </c>
      <c r="T1570" s="19" t="s">
        <v>2493</v>
      </c>
    </row>
    <row r="1571">
      <c r="A1571" s="1" t="s">
        <v>2490</v>
      </c>
      <c r="B1571" s="1" t="s">
        <v>94</v>
      </c>
      <c r="C1571" s="1" t="s">
        <v>95</v>
      </c>
      <c r="D1571" s="1" t="s">
        <v>2497</v>
      </c>
      <c r="E1571" s="1" t="s">
        <v>97</v>
      </c>
      <c r="F1571" s="8">
        <v>46311.0</v>
      </c>
      <c r="G1571" s="1" t="s">
        <v>71</v>
      </c>
      <c r="K1571" s="1" t="s">
        <v>2492</v>
      </c>
      <c r="L1571" s="1" t="s">
        <v>99</v>
      </c>
      <c r="O1571" s="4">
        <v>45044.0</v>
      </c>
    </row>
    <row r="1572">
      <c r="A1572" s="1" t="s">
        <v>2490</v>
      </c>
      <c r="B1572" s="1" t="s">
        <v>94</v>
      </c>
      <c r="C1572" s="1" t="s">
        <v>95</v>
      </c>
      <c r="D1572" s="1" t="s">
        <v>2498</v>
      </c>
      <c r="E1572" s="1" t="s">
        <v>70</v>
      </c>
      <c r="F1572" s="8">
        <v>46311.0</v>
      </c>
      <c r="G1572" s="1" t="s">
        <v>71</v>
      </c>
      <c r="K1572" s="1" t="s">
        <v>2492</v>
      </c>
      <c r="L1572" s="1" t="s">
        <v>99</v>
      </c>
      <c r="O1572" s="4">
        <v>45044.0</v>
      </c>
    </row>
    <row r="1573">
      <c r="A1573" s="1" t="s">
        <v>2490</v>
      </c>
      <c r="B1573" s="1" t="s">
        <v>94</v>
      </c>
      <c r="C1573" s="1" t="s">
        <v>95</v>
      </c>
      <c r="D1573" s="1" t="s">
        <v>2499</v>
      </c>
      <c r="E1573" s="1" t="s">
        <v>70</v>
      </c>
      <c r="F1573" s="8">
        <v>46311.0</v>
      </c>
      <c r="G1573" s="1" t="s">
        <v>132</v>
      </c>
      <c r="H1573" s="1" t="s">
        <v>2500</v>
      </c>
      <c r="J1573" s="1" t="s">
        <v>47</v>
      </c>
      <c r="K1573" s="1" t="s">
        <v>2492</v>
      </c>
      <c r="L1573" s="1" t="s">
        <v>99</v>
      </c>
      <c r="O1573" s="4">
        <v>45044.0</v>
      </c>
    </row>
    <row r="1574">
      <c r="A1574" s="1" t="s">
        <v>2490</v>
      </c>
      <c r="B1574" s="1" t="s">
        <v>102</v>
      </c>
      <c r="C1574" s="1" t="s">
        <v>103</v>
      </c>
      <c r="D1574" s="1" t="s">
        <v>2501</v>
      </c>
      <c r="E1574" s="1" t="s">
        <v>97</v>
      </c>
      <c r="F1574" s="8">
        <v>46314.0</v>
      </c>
      <c r="G1574" s="1" t="s">
        <v>71</v>
      </c>
      <c r="K1574" s="1" t="s">
        <v>2492</v>
      </c>
      <c r="L1574" s="1" t="s">
        <v>99</v>
      </c>
      <c r="O1574" s="4">
        <v>45044.0</v>
      </c>
    </row>
    <row r="1575">
      <c r="A1575" s="1" t="s">
        <v>2490</v>
      </c>
      <c r="B1575" s="1" t="s">
        <v>102</v>
      </c>
      <c r="C1575" s="1" t="s">
        <v>103</v>
      </c>
      <c r="D1575" s="1" t="s">
        <v>2502</v>
      </c>
      <c r="E1575" s="1" t="s">
        <v>97</v>
      </c>
      <c r="F1575" s="8">
        <v>46314.0</v>
      </c>
      <c r="G1575" s="1" t="s">
        <v>71</v>
      </c>
      <c r="K1575" s="1" t="s">
        <v>2492</v>
      </c>
      <c r="L1575" s="1" t="s">
        <v>99</v>
      </c>
      <c r="O1575" s="4">
        <v>45044.0</v>
      </c>
    </row>
    <row r="1576">
      <c r="A1576" s="1" t="s">
        <v>2503</v>
      </c>
      <c r="B1576" s="1" t="s">
        <v>63</v>
      </c>
      <c r="C1576" s="1" t="s">
        <v>64</v>
      </c>
      <c r="D1576" s="1" t="s">
        <v>2504</v>
      </c>
      <c r="E1576" s="1" t="s">
        <v>97</v>
      </c>
      <c r="F1576" s="8">
        <v>46310.0</v>
      </c>
      <c r="G1576" s="1" t="s">
        <v>107</v>
      </c>
      <c r="H1576" s="1" t="s">
        <v>133</v>
      </c>
      <c r="J1576" s="1" t="s">
        <v>47</v>
      </c>
      <c r="K1576" s="1" t="s">
        <v>254</v>
      </c>
      <c r="L1576" s="1" t="s">
        <v>99</v>
      </c>
      <c r="O1576" s="4">
        <v>44754.0</v>
      </c>
    </row>
    <row r="1577">
      <c r="A1577" s="1" t="s">
        <v>2503</v>
      </c>
      <c r="B1577" s="1" t="s">
        <v>2505</v>
      </c>
      <c r="C1577" s="1" t="s">
        <v>2506</v>
      </c>
      <c r="D1577" s="1" t="s">
        <v>2507</v>
      </c>
      <c r="E1577" s="1" t="s">
        <v>70</v>
      </c>
      <c r="F1577" s="4">
        <v>46281.0</v>
      </c>
      <c r="G1577" s="1" t="s">
        <v>71</v>
      </c>
      <c r="K1577" s="1" t="s">
        <v>254</v>
      </c>
      <c r="L1577" s="1" t="s">
        <v>99</v>
      </c>
      <c r="O1577" s="4">
        <v>44754.0</v>
      </c>
      <c r="T1577" s="19" t="s">
        <v>2508</v>
      </c>
    </row>
    <row r="1578">
      <c r="A1578" s="1" t="s">
        <v>2509</v>
      </c>
      <c r="B1578" s="1" t="s">
        <v>255</v>
      </c>
      <c r="C1578" s="1" t="s">
        <v>256</v>
      </c>
      <c r="D1578" s="1" t="s">
        <v>2510</v>
      </c>
      <c r="E1578" s="1" t="s">
        <v>32</v>
      </c>
      <c r="F1578" s="4">
        <v>46226.0</v>
      </c>
      <c r="H1578" s="1" t="s">
        <v>33</v>
      </c>
      <c r="K1578" s="1" t="s">
        <v>358</v>
      </c>
      <c r="L1578" s="1" t="s">
        <v>35</v>
      </c>
      <c r="N1578" s="4">
        <v>46226.0</v>
      </c>
      <c r="O1578" s="4">
        <v>46226.0</v>
      </c>
    </row>
    <row r="1579">
      <c r="A1579" s="1" t="s">
        <v>2511</v>
      </c>
      <c r="B1579" s="1" t="s">
        <v>269</v>
      </c>
      <c r="C1579" s="1" t="s">
        <v>270</v>
      </c>
      <c r="D1579" s="1" t="s">
        <v>2512</v>
      </c>
      <c r="E1579" s="1" t="s">
        <v>70</v>
      </c>
      <c r="F1579" s="8">
        <v>46316.0</v>
      </c>
      <c r="G1579" s="1" t="s">
        <v>132</v>
      </c>
      <c r="H1579" s="1" t="s">
        <v>428</v>
      </c>
      <c r="J1579" s="1" t="s">
        <v>47</v>
      </c>
      <c r="K1579" s="1" t="s">
        <v>1286</v>
      </c>
      <c r="L1579" s="1" t="s">
        <v>99</v>
      </c>
      <c r="O1579" s="4">
        <v>44684.0</v>
      </c>
    </row>
    <row r="1580">
      <c r="A1580" s="1" t="s">
        <v>2511</v>
      </c>
      <c r="B1580" s="1" t="s">
        <v>288</v>
      </c>
      <c r="C1580" s="1" t="s">
        <v>289</v>
      </c>
      <c r="D1580" s="1" t="s">
        <v>2513</v>
      </c>
      <c r="E1580" s="1" t="s">
        <v>97</v>
      </c>
      <c r="F1580" s="8">
        <v>46309.0</v>
      </c>
      <c r="G1580" s="1" t="s">
        <v>107</v>
      </c>
      <c r="H1580" s="1" t="s">
        <v>523</v>
      </c>
      <c r="J1580" s="1" t="s">
        <v>47</v>
      </c>
      <c r="K1580" s="1" t="s">
        <v>1286</v>
      </c>
      <c r="L1580" s="1" t="s">
        <v>99</v>
      </c>
      <c r="O1580" s="4">
        <v>44684.0</v>
      </c>
    </row>
    <row r="1581">
      <c r="A1581" s="1" t="s">
        <v>2511</v>
      </c>
      <c r="B1581" s="1" t="s">
        <v>288</v>
      </c>
      <c r="C1581" s="1" t="s">
        <v>289</v>
      </c>
      <c r="D1581" s="1" t="s">
        <v>2514</v>
      </c>
      <c r="E1581" s="1" t="s">
        <v>97</v>
      </c>
      <c r="F1581" s="8">
        <v>46309.0</v>
      </c>
      <c r="G1581" s="1" t="s">
        <v>107</v>
      </c>
      <c r="H1581" s="1" t="s">
        <v>523</v>
      </c>
      <c r="J1581" s="1" t="s">
        <v>47</v>
      </c>
      <c r="K1581" s="1" t="s">
        <v>1286</v>
      </c>
      <c r="L1581" s="1" t="s">
        <v>99</v>
      </c>
      <c r="O1581" s="4">
        <v>44684.0</v>
      </c>
    </row>
    <row r="1582">
      <c r="A1582" s="1" t="s">
        <v>2511</v>
      </c>
      <c r="B1582" s="1" t="s">
        <v>288</v>
      </c>
      <c r="C1582" s="1" t="s">
        <v>289</v>
      </c>
      <c r="D1582" s="1" t="s">
        <v>2515</v>
      </c>
      <c r="E1582" s="1" t="s">
        <v>97</v>
      </c>
      <c r="F1582" s="8">
        <v>46309.0</v>
      </c>
      <c r="G1582" s="1" t="s">
        <v>107</v>
      </c>
      <c r="H1582" s="1" t="s">
        <v>523</v>
      </c>
      <c r="J1582" s="1" t="s">
        <v>47</v>
      </c>
      <c r="K1582" s="1" t="s">
        <v>1286</v>
      </c>
      <c r="L1582" s="1" t="s">
        <v>99</v>
      </c>
      <c r="O1582" s="4">
        <v>44684.0</v>
      </c>
    </row>
    <row r="1583">
      <c r="A1583" s="1" t="s">
        <v>2516</v>
      </c>
      <c r="B1583" s="1" t="s">
        <v>2517</v>
      </c>
      <c r="C1583" s="1" t="s">
        <v>2518</v>
      </c>
      <c r="D1583" s="1" t="s">
        <v>2519</v>
      </c>
      <c r="E1583" s="1" t="s">
        <v>32</v>
      </c>
      <c r="F1583" s="4">
        <v>46150.0</v>
      </c>
      <c r="H1583" s="1" t="s">
        <v>33</v>
      </c>
      <c r="K1583" s="1" t="s">
        <v>380</v>
      </c>
      <c r="L1583" s="1" t="s">
        <v>35</v>
      </c>
      <c r="N1583" s="4">
        <v>46150.0</v>
      </c>
      <c r="O1583" s="4">
        <v>46150.0</v>
      </c>
    </row>
    <row r="1584">
      <c r="A1584" s="1" t="s">
        <v>2516</v>
      </c>
      <c r="B1584" s="1" t="s">
        <v>2517</v>
      </c>
      <c r="C1584" s="1" t="s">
        <v>2518</v>
      </c>
      <c r="D1584" s="1" t="s">
        <v>2520</v>
      </c>
      <c r="E1584" s="1" t="s">
        <v>32</v>
      </c>
      <c r="F1584" s="4">
        <v>46150.0</v>
      </c>
      <c r="H1584" s="1" t="s">
        <v>33</v>
      </c>
      <c r="K1584" s="1" t="s">
        <v>380</v>
      </c>
      <c r="L1584" s="1" t="s">
        <v>35</v>
      </c>
      <c r="N1584" s="4">
        <v>46150.0</v>
      </c>
      <c r="O1584" s="4">
        <v>46150.0</v>
      </c>
    </row>
    <row r="1585">
      <c r="A1585" s="1" t="s">
        <v>2516</v>
      </c>
      <c r="B1585" s="1" t="s">
        <v>2517</v>
      </c>
      <c r="C1585" s="1" t="s">
        <v>2518</v>
      </c>
      <c r="D1585" s="1" t="s">
        <v>2521</v>
      </c>
      <c r="E1585" s="1" t="s">
        <v>32</v>
      </c>
      <c r="F1585" s="4">
        <v>46150.0</v>
      </c>
      <c r="H1585" s="1" t="s">
        <v>2522</v>
      </c>
      <c r="K1585" s="1" t="s">
        <v>380</v>
      </c>
      <c r="L1585" s="1" t="s">
        <v>35</v>
      </c>
      <c r="N1585" s="4">
        <v>46150.0</v>
      </c>
      <c r="O1585" s="4">
        <v>46150.0</v>
      </c>
    </row>
    <row r="1586">
      <c r="A1586" s="1" t="s">
        <v>2523</v>
      </c>
      <c r="B1586" s="1" t="s">
        <v>2524</v>
      </c>
      <c r="C1586" s="1" t="s">
        <v>2137</v>
      </c>
      <c r="D1586" s="1" t="s">
        <v>2525</v>
      </c>
      <c r="E1586" s="1" t="s">
        <v>32</v>
      </c>
      <c r="F1586" s="4">
        <v>46108.0</v>
      </c>
      <c r="H1586" s="1" t="s">
        <v>1542</v>
      </c>
      <c r="K1586" s="1" t="s">
        <v>254</v>
      </c>
      <c r="L1586" s="1" t="s">
        <v>35</v>
      </c>
      <c r="N1586" s="4">
        <v>46108.0</v>
      </c>
      <c r="O1586" s="4">
        <v>46108.0</v>
      </c>
    </row>
    <row r="1587">
      <c r="A1587" s="1" t="s">
        <v>2526</v>
      </c>
      <c r="B1587" s="1" t="s">
        <v>2527</v>
      </c>
      <c r="C1587" s="1" t="s">
        <v>2528</v>
      </c>
      <c r="D1587" s="1" t="s">
        <v>2529</v>
      </c>
      <c r="E1587" s="1" t="s">
        <v>97</v>
      </c>
      <c r="F1587" s="8">
        <v>46311.0</v>
      </c>
      <c r="G1587" s="1" t="s">
        <v>132</v>
      </c>
      <c r="H1587" s="1" t="s">
        <v>410</v>
      </c>
      <c r="J1587" s="1" t="s">
        <v>122</v>
      </c>
      <c r="K1587" s="1" t="s">
        <v>384</v>
      </c>
      <c r="L1587" s="1" t="s">
        <v>99</v>
      </c>
      <c r="O1587" s="8">
        <v>45287.0</v>
      </c>
    </row>
    <row r="1588">
      <c r="A1588" s="1" t="s">
        <v>2526</v>
      </c>
      <c r="B1588" s="1" t="s">
        <v>1745</v>
      </c>
      <c r="C1588" s="1" t="s">
        <v>1746</v>
      </c>
      <c r="D1588" s="1" t="s">
        <v>2530</v>
      </c>
      <c r="E1588" s="1" t="s">
        <v>97</v>
      </c>
      <c r="F1588" s="8">
        <v>46314.0</v>
      </c>
      <c r="G1588" s="1" t="s">
        <v>107</v>
      </c>
      <c r="H1588" s="1" t="s">
        <v>1748</v>
      </c>
      <c r="J1588" s="1" t="s">
        <v>47</v>
      </c>
      <c r="K1588" s="1" t="s">
        <v>384</v>
      </c>
      <c r="L1588" s="1" t="s">
        <v>99</v>
      </c>
      <c r="O1588" s="8">
        <v>45287.0</v>
      </c>
    </row>
    <row r="1589">
      <c r="A1589" s="1" t="s">
        <v>2526</v>
      </c>
      <c r="B1589" s="1" t="s">
        <v>1745</v>
      </c>
      <c r="C1589" s="1" t="s">
        <v>1746</v>
      </c>
      <c r="D1589" s="1" t="s">
        <v>2531</v>
      </c>
      <c r="E1589" s="1" t="s">
        <v>97</v>
      </c>
      <c r="F1589" s="8">
        <v>46314.0</v>
      </c>
      <c r="G1589" s="1" t="s">
        <v>107</v>
      </c>
      <c r="H1589" s="1" t="s">
        <v>1748</v>
      </c>
      <c r="J1589" s="1" t="s">
        <v>47</v>
      </c>
      <c r="K1589" s="1" t="s">
        <v>384</v>
      </c>
      <c r="L1589" s="1" t="s">
        <v>99</v>
      </c>
      <c r="O1589" s="8">
        <v>45287.0</v>
      </c>
    </row>
    <row r="1590">
      <c r="A1590" s="1" t="s">
        <v>2532</v>
      </c>
      <c r="B1590" s="1" t="s">
        <v>63</v>
      </c>
      <c r="C1590" s="1" t="s">
        <v>1712</v>
      </c>
      <c r="D1590" s="1" t="s">
        <v>2533</v>
      </c>
      <c r="E1590" s="1" t="s">
        <v>32</v>
      </c>
      <c r="F1590" s="4">
        <v>46127.0</v>
      </c>
      <c r="H1590" s="1" t="s">
        <v>33</v>
      </c>
      <c r="K1590" s="1" t="s">
        <v>367</v>
      </c>
      <c r="L1590" s="1" t="s">
        <v>35</v>
      </c>
      <c r="N1590" s="4">
        <v>46127.0</v>
      </c>
      <c r="O1590" s="4">
        <v>46127.0</v>
      </c>
    </row>
    <row r="1591">
      <c r="A1591" s="1" t="s">
        <v>2532</v>
      </c>
      <c r="B1591" s="1" t="s">
        <v>63</v>
      </c>
      <c r="C1591" s="1" t="s">
        <v>1712</v>
      </c>
      <c r="D1591" s="1" t="s">
        <v>2534</v>
      </c>
      <c r="E1591" s="1" t="s">
        <v>32</v>
      </c>
      <c r="F1591" s="4">
        <v>46127.0</v>
      </c>
      <c r="H1591" s="1" t="s">
        <v>33</v>
      </c>
      <c r="K1591" s="1" t="s">
        <v>367</v>
      </c>
      <c r="L1591" s="1" t="s">
        <v>35</v>
      </c>
      <c r="N1591" s="4">
        <v>46127.0</v>
      </c>
      <c r="O1591" s="4">
        <v>46127.0</v>
      </c>
    </row>
    <row r="1592">
      <c r="A1592" s="1" t="s">
        <v>2532</v>
      </c>
      <c r="B1592" s="1" t="s">
        <v>63</v>
      </c>
      <c r="C1592" s="1" t="s">
        <v>1712</v>
      </c>
      <c r="D1592" s="1" t="s">
        <v>2535</v>
      </c>
      <c r="E1592" s="1" t="s">
        <v>32</v>
      </c>
      <c r="F1592" s="4">
        <v>46127.0</v>
      </c>
      <c r="H1592" s="1" t="s">
        <v>33</v>
      </c>
      <c r="K1592" s="1" t="s">
        <v>367</v>
      </c>
      <c r="L1592" s="1" t="s">
        <v>35</v>
      </c>
      <c r="N1592" s="4">
        <v>46127.0</v>
      </c>
      <c r="O1592" s="4">
        <v>46127.0</v>
      </c>
    </row>
    <row r="1593">
      <c r="A1593" s="1" t="s">
        <v>2532</v>
      </c>
      <c r="B1593" s="1" t="s">
        <v>63</v>
      </c>
      <c r="C1593" s="1" t="s">
        <v>1712</v>
      </c>
      <c r="D1593" s="1" t="s">
        <v>2536</v>
      </c>
      <c r="E1593" s="1" t="s">
        <v>32</v>
      </c>
      <c r="F1593" s="4">
        <v>46127.0</v>
      </c>
      <c r="H1593" s="1" t="s">
        <v>33</v>
      </c>
      <c r="K1593" s="1" t="s">
        <v>367</v>
      </c>
      <c r="L1593" s="1" t="s">
        <v>35</v>
      </c>
      <c r="N1593" s="4">
        <v>46127.0</v>
      </c>
      <c r="O1593" s="4">
        <v>46127.0</v>
      </c>
    </row>
    <row r="1594">
      <c r="A1594" s="1" t="s">
        <v>2537</v>
      </c>
      <c r="B1594" s="1" t="s">
        <v>269</v>
      </c>
      <c r="C1594" s="1" t="s">
        <v>270</v>
      </c>
      <c r="D1594" s="1" t="s">
        <v>2538</v>
      </c>
      <c r="E1594" s="1" t="s">
        <v>32</v>
      </c>
      <c r="F1594" s="4">
        <v>46220.0</v>
      </c>
      <c r="H1594" s="1" t="s">
        <v>33</v>
      </c>
      <c r="K1594" s="1" t="s">
        <v>235</v>
      </c>
      <c r="L1594" s="1" t="s">
        <v>35</v>
      </c>
      <c r="N1594" s="4">
        <v>46220.0</v>
      </c>
      <c r="O1594" s="4">
        <v>46220.0</v>
      </c>
    </row>
    <row r="1595">
      <c r="A1595" s="1" t="s">
        <v>2539</v>
      </c>
      <c r="B1595" s="1" t="s">
        <v>1146</v>
      </c>
      <c r="C1595" s="1" t="s">
        <v>1579</v>
      </c>
      <c r="D1595" s="1" t="s">
        <v>2540</v>
      </c>
      <c r="E1595" s="1" t="s">
        <v>32</v>
      </c>
      <c r="F1595" s="4">
        <v>46210.0</v>
      </c>
      <c r="H1595" s="1" t="s">
        <v>33</v>
      </c>
      <c r="K1595" s="1" t="s">
        <v>378</v>
      </c>
      <c r="L1595" s="1" t="s">
        <v>35</v>
      </c>
      <c r="N1595" s="4">
        <v>46210.0</v>
      </c>
      <c r="O1595" s="4">
        <v>46210.0</v>
      </c>
    </row>
    <row r="1596">
      <c r="A1596" s="1" t="s">
        <v>2539</v>
      </c>
      <c r="B1596" s="1" t="s">
        <v>1146</v>
      </c>
      <c r="C1596" s="1" t="s">
        <v>1579</v>
      </c>
      <c r="D1596" s="1" t="s">
        <v>2541</v>
      </c>
      <c r="E1596" s="1" t="s">
        <v>32</v>
      </c>
      <c r="F1596" s="4">
        <v>46210.0</v>
      </c>
      <c r="H1596" s="1" t="s">
        <v>33</v>
      </c>
      <c r="K1596" s="1" t="s">
        <v>378</v>
      </c>
      <c r="L1596" s="1" t="s">
        <v>35</v>
      </c>
      <c r="N1596" s="4">
        <v>46210.0</v>
      </c>
      <c r="O1596" s="4">
        <v>46210.0</v>
      </c>
    </row>
    <row r="1597">
      <c r="A1597" s="1" t="s">
        <v>2542</v>
      </c>
      <c r="B1597" s="1" t="s">
        <v>2543</v>
      </c>
      <c r="C1597" s="1" t="s">
        <v>2544</v>
      </c>
      <c r="D1597" s="1" t="s">
        <v>2545</v>
      </c>
      <c r="E1597" s="1" t="s">
        <v>32</v>
      </c>
      <c r="F1597" s="4">
        <v>46234.0</v>
      </c>
      <c r="K1597" s="1" t="s">
        <v>378</v>
      </c>
      <c r="L1597" s="1" t="s">
        <v>73</v>
      </c>
      <c r="M1597" s="4">
        <v>46234.0</v>
      </c>
      <c r="O1597" s="4">
        <v>44466.0</v>
      </c>
    </row>
    <row r="1598">
      <c r="A1598" s="1" t="s">
        <v>2546</v>
      </c>
      <c r="B1598" s="1" t="s">
        <v>2547</v>
      </c>
      <c r="C1598" s="1" t="s">
        <v>2548</v>
      </c>
      <c r="D1598" s="1" t="s">
        <v>2549</v>
      </c>
      <c r="E1598" s="1" t="s">
        <v>70</v>
      </c>
      <c r="F1598" s="4">
        <v>46280.0</v>
      </c>
      <c r="G1598" s="1" t="s">
        <v>71</v>
      </c>
      <c r="K1598" s="1" t="s">
        <v>57</v>
      </c>
      <c r="L1598" s="1" t="s">
        <v>99</v>
      </c>
      <c r="O1598" s="4">
        <v>44320.0</v>
      </c>
      <c r="T1598" s="19" t="s">
        <v>2550</v>
      </c>
    </row>
    <row r="1599">
      <c r="A1599" s="1" t="s">
        <v>2551</v>
      </c>
      <c r="B1599" s="1" t="s">
        <v>2552</v>
      </c>
      <c r="C1599" s="1" t="s">
        <v>2553</v>
      </c>
      <c r="D1599" s="1" t="s">
        <v>2554</v>
      </c>
      <c r="E1599" s="1" t="s">
        <v>32</v>
      </c>
      <c r="F1599" s="4">
        <v>46118.0</v>
      </c>
      <c r="H1599" s="1" t="s">
        <v>33</v>
      </c>
      <c r="K1599" s="1" t="s">
        <v>47</v>
      </c>
      <c r="L1599" s="1" t="s">
        <v>35</v>
      </c>
      <c r="N1599" s="4">
        <v>46118.0</v>
      </c>
      <c r="O1599" s="4">
        <v>46118.0</v>
      </c>
    </row>
    <row r="1600">
      <c r="A1600" s="1" t="s">
        <v>2555</v>
      </c>
      <c r="B1600" s="1" t="s">
        <v>288</v>
      </c>
      <c r="C1600" s="1" t="s">
        <v>289</v>
      </c>
      <c r="D1600" s="1" t="s">
        <v>2556</v>
      </c>
      <c r="E1600" s="1" t="s">
        <v>97</v>
      </c>
      <c r="F1600" s="8">
        <v>46309.0</v>
      </c>
      <c r="G1600" s="1" t="s">
        <v>71</v>
      </c>
      <c r="H1600" s="1" t="s">
        <v>2346</v>
      </c>
      <c r="K1600" s="1" t="s">
        <v>367</v>
      </c>
      <c r="L1600" s="1" t="s">
        <v>99</v>
      </c>
      <c r="O1600" s="8">
        <v>44195.0</v>
      </c>
    </row>
    <row r="1601">
      <c r="A1601" s="1" t="s">
        <v>2555</v>
      </c>
      <c r="B1601" s="1" t="s">
        <v>255</v>
      </c>
      <c r="C1601" s="1" t="s">
        <v>256</v>
      </c>
      <c r="D1601" s="1" t="s">
        <v>2557</v>
      </c>
      <c r="E1601" s="1" t="s">
        <v>97</v>
      </c>
      <c r="F1601" s="8">
        <v>46310.0</v>
      </c>
      <c r="G1601" s="1" t="s">
        <v>107</v>
      </c>
      <c r="H1601" s="1" t="s">
        <v>638</v>
      </c>
      <c r="J1601" s="1" t="s">
        <v>134</v>
      </c>
      <c r="K1601" s="1" t="s">
        <v>367</v>
      </c>
      <c r="L1601" s="1" t="s">
        <v>99</v>
      </c>
      <c r="O1601" s="8">
        <v>44195.0</v>
      </c>
    </row>
    <row r="1602">
      <c r="A1602" s="1" t="s">
        <v>2558</v>
      </c>
      <c r="B1602" s="1" t="s">
        <v>1146</v>
      </c>
      <c r="C1602" s="1" t="s">
        <v>924</v>
      </c>
      <c r="D1602" s="1" t="s">
        <v>2559</v>
      </c>
      <c r="E1602" s="1" t="s">
        <v>32</v>
      </c>
      <c r="F1602" s="8">
        <v>45980.0</v>
      </c>
      <c r="H1602" s="1" t="s">
        <v>242</v>
      </c>
      <c r="K1602" s="1" t="s">
        <v>366</v>
      </c>
      <c r="L1602" s="1" t="s">
        <v>35</v>
      </c>
      <c r="N1602" s="8">
        <v>45980.0</v>
      </c>
      <c r="O1602" s="8">
        <v>45980.0</v>
      </c>
    </row>
    <row r="1603">
      <c r="A1603" s="1" t="s">
        <v>2558</v>
      </c>
      <c r="B1603" s="1" t="s">
        <v>1146</v>
      </c>
      <c r="C1603" s="1" t="s">
        <v>924</v>
      </c>
      <c r="D1603" s="1" t="s">
        <v>2560</v>
      </c>
      <c r="E1603" s="1" t="s">
        <v>32</v>
      </c>
      <c r="F1603" s="8">
        <v>45980.0</v>
      </c>
      <c r="H1603" s="1" t="s">
        <v>242</v>
      </c>
      <c r="K1603" s="1" t="s">
        <v>366</v>
      </c>
      <c r="L1603" s="1" t="s">
        <v>35</v>
      </c>
      <c r="N1603" s="8">
        <v>45980.0</v>
      </c>
      <c r="O1603" s="8">
        <v>45980.0</v>
      </c>
    </row>
    <row r="1604">
      <c r="A1604" s="1" t="s">
        <v>2558</v>
      </c>
      <c r="B1604" s="1" t="s">
        <v>1146</v>
      </c>
      <c r="C1604" s="1" t="s">
        <v>924</v>
      </c>
      <c r="D1604" s="1" t="s">
        <v>2561</v>
      </c>
      <c r="E1604" s="1" t="s">
        <v>32</v>
      </c>
      <c r="F1604" s="8">
        <v>45980.0</v>
      </c>
      <c r="H1604" s="1" t="s">
        <v>242</v>
      </c>
      <c r="K1604" s="1" t="s">
        <v>366</v>
      </c>
      <c r="L1604" s="1" t="s">
        <v>35</v>
      </c>
      <c r="N1604" s="8">
        <v>45980.0</v>
      </c>
      <c r="O1604" s="8">
        <v>45980.0</v>
      </c>
    </row>
    <row r="1605">
      <c r="A1605" s="1" t="s">
        <v>2558</v>
      </c>
      <c r="B1605" s="1" t="s">
        <v>1146</v>
      </c>
      <c r="C1605" s="1" t="s">
        <v>924</v>
      </c>
      <c r="D1605" s="1" t="s">
        <v>2562</v>
      </c>
      <c r="E1605" s="1" t="s">
        <v>32</v>
      </c>
      <c r="F1605" s="8">
        <v>45980.0</v>
      </c>
      <c r="H1605" s="1" t="s">
        <v>242</v>
      </c>
      <c r="K1605" s="1" t="s">
        <v>366</v>
      </c>
      <c r="L1605" s="1" t="s">
        <v>35</v>
      </c>
      <c r="N1605" s="8">
        <v>45980.0</v>
      </c>
      <c r="O1605" s="8">
        <v>45980.0</v>
      </c>
    </row>
    <row r="1606">
      <c r="A1606" s="1" t="s">
        <v>2563</v>
      </c>
      <c r="B1606" s="1" t="s">
        <v>269</v>
      </c>
      <c r="C1606" s="1" t="s">
        <v>270</v>
      </c>
      <c r="D1606" s="1" t="s">
        <v>2564</v>
      </c>
      <c r="E1606" s="1" t="s">
        <v>32</v>
      </c>
      <c r="F1606" s="8">
        <v>45975.0</v>
      </c>
      <c r="H1606" s="1" t="s">
        <v>33</v>
      </c>
      <c r="K1606" s="1" t="s">
        <v>235</v>
      </c>
      <c r="L1606" s="1" t="s">
        <v>35</v>
      </c>
      <c r="N1606" s="8">
        <v>45975.0</v>
      </c>
      <c r="O1606" s="8">
        <v>45975.0</v>
      </c>
    </row>
    <row r="1607">
      <c r="A1607" s="1" t="s">
        <v>2565</v>
      </c>
      <c r="B1607" s="1" t="s">
        <v>342</v>
      </c>
      <c r="C1607" s="1" t="s">
        <v>270</v>
      </c>
      <c r="D1607" s="1" t="s">
        <v>2566</v>
      </c>
      <c r="E1607" s="1" t="s">
        <v>32</v>
      </c>
      <c r="F1607" s="8">
        <v>45982.0</v>
      </c>
      <c r="H1607" s="1" t="s">
        <v>33</v>
      </c>
      <c r="K1607" s="1" t="s">
        <v>366</v>
      </c>
      <c r="L1607" s="1" t="s">
        <v>35</v>
      </c>
      <c r="N1607" s="8">
        <v>45982.0</v>
      </c>
      <c r="O1607" s="8">
        <v>45982.0</v>
      </c>
    </row>
    <row r="1608">
      <c r="A1608" s="1" t="s">
        <v>2567</v>
      </c>
      <c r="B1608" s="1" t="s">
        <v>288</v>
      </c>
      <c r="C1608" s="1" t="s">
        <v>289</v>
      </c>
      <c r="D1608" s="1" t="s">
        <v>2568</v>
      </c>
      <c r="E1608" s="1" t="s">
        <v>32</v>
      </c>
      <c r="F1608" s="8">
        <v>46311.0</v>
      </c>
      <c r="H1608" s="1" t="s">
        <v>2569</v>
      </c>
      <c r="K1608" s="1" t="s">
        <v>367</v>
      </c>
      <c r="L1608" s="1" t="s">
        <v>35</v>
      </c>
      <c r="N1608" s="8">
        <v>46311.0</v>
      </c>
      <c r="O1608" s="8">
        <v>46311.0</v>
      </c>
    </row>
  </sheetData>
  <hyperlinks>
    <hyperlink r:id="rId1" ref="T210"/>
    <hyperlink r:id="rId2" ref="T211"/>
    <hyperlink r:id="rId3" ref="T212"/>
    <hyperlink r:id="rId4" ref="T213"/>
    <hyperlink r:id="rId5" ref="T214"/>
    <hyperlink r:id="rId6" ref="T329"/>
    <hyperlink r:id="rId7" ref="T330"/>
    <hyperlink r:id="rId8" ref="T343"/>
    <hyperlink r:id="rId9" ref="T344"/>
    <hyperlink r:id="rId10" ref="T345"/>
    <hyperlink r:id="rId11" ref="T455"/>
    <hyperlink r:id="rId12" ref="T489"/>
    <hyperlink r:id="rId13" ref="T749"/>
    <hyperlink r:id="rId14" ref="T750"/>
    <hyperlink r:id="rId15" ref="T751"/>
    <hyperlink r:id="rId16" ref="T840"/>
    <hyperlink r:id="rId17" ref="T856"/>
    <hyperlink r:id="rId18" ref="T994"/>
    <hyperlink r:id="rId19" ref="T1324"/>
    <hyperlink r:id="rId20" ref="T1325"/>
    <hyperlink r:id="rId21" ref="T1326"/>
    <hyperlink r:id="rId22" ref="T1327"/>
    <hyperlink r:id="rId23" ref="T1427"/>
    <hyperlink r:id="rId24" ref="T1431"/>
    <hyperlink r:id="rId25" ref="T1432"/>
    <hyperlink r:id="rId26" ref="T1434"/>
    <hyperlink r:id="rId27" ref="T1567"/>
    <hyperlink r:id="rId28" ref="T1568"/>
    <hyperlink r:id="rId29" ref="T1569"/>
    <hyperlink r:id="rId30" ref="T1570"/>
    <hyperlink r:id="rId31" ref="T1577"/>
    <hyperlink r:id="rId32" ref="T1598"/>
  </hyperlinks>
  <drawing r:id="rId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4.63"/>
    <col customWidth="1" min="3" max="3" width="11.75"/>
    <col customWidth="1" min="4" max="4" width="13.38"/>
    <col customWidth="1" min="5" max="5" width="13.25"/>
    <col customWidth="1" min="6" max="6" width="20.13"/>
    <col customWidth="1" min="7" max="7" width="17.5"/>
    <col customWidth="1" min="8" max="8" width="13.0"/>
    <col customWidth="1" min="9" max="9" width="18.13"/>
    <col customWidth="1" min="10" max="10" width="18.63"/>
    <col customWidth="1" min="11" max="11" width="15.63"/>
    <col customWidth="1" min="13" max="13" width="15.63"/>
    <col customWidth="1" min="14" max="14" width="16.25"/>
    <col customWidth="1" min="15" max="15" width="11.75"/>
    <col customWidth="1" min="16" max="16" width="15.75"/>
    <col customWidth="1" min="17" max="17" width="13.25"/>
    <col customWidth="1" min="18" max="18" width="19.38"/>
    <col customWidth="1" min="19" max="19" width="15.13"/>
  </cols>
  <sheetData>
    <row r="1">
      <c r="A1" s="3" t="str">
        <f>IFERROR(__xludf.DUMMYFUNCTION("UNIQUE(FILTER({raw!A2:B2106, raw!D2:O2106}, raw!A2:A2106&lt;&gt;""""))"),"Generic Name")</f>
        <v>Generic Name</v>
      </c>
      <c r="B1" s="3" t="str">
        <f>IFERROR(__xludf.DUMMYFUNCTION("""COMPUTED_VALUE"""),"Company Name")</f>
        <v>Company Name</v>
      </c>
      <c r="C1" s="3" t="str">
        <f>IFERROR(__xludf.DUMMYFUNCTION("""COMPUTED_VALUE"""),"Presentation")</f>
        <v>Presentation</v>
      </c>
      <c r="D1" s="3" t="str">
        <f>IFERROR(__xludf.DUMMYFUNCTION("""COMPUTED_VALUE"""),"Type of Update")</f>
        <v>Type of Update</v>
      </c>
      <c r="E1" s="3" t="str">
        <f>IFERROR(__xludf.DUMMYFUNCTION("""COMPUTED_VALUE"""),"Date of Update")</f>
        <v>Date of Update</v>
      </c>
      <c r="F1" s="3" t="str">
        <f>IFERROR(__xludf.DUMMYFUNCTION("""COMPUTED_VALUE"""),"Availability Information")</f>
        <v>Availability Information</v>
      </c>
      <c r="G1" s="3" t="str">
        <f>IFERROR(__xludf.DUMMYFUNCTION("""COMPUTED_VALUE"""),"Related Information")</f>
        <v>Related Information</v>
      </c>
      <c r="H1" s="3" t="str">
        <f>IFERROR(__xludf.DUMMYFUNCTION("""COMPUTED_VALUE"""),"Resolved Note")</f>
        <v>Resolved Note</v>
      </c>
      <c r="I1" s="3" t="str">
        <f>IFERROR(__xludf.DUMMYFUNCTION("""COMPUTED_VALUE"""),"Reason for Shortage")</f>
        <v>Reason for Shortage</v>
      </c>
      <c r="J1" s="3" t="str">
        <f>IFERROR(__xludf.DUMMYFUNCTION("""COMPUTED_VALUE"""),"Therapeutic Category")</f>
        <v>Therapeutic Category</v>
      </c>
      <c r="K1" s="3" t="str">
        <f>IFERROR(__xludf.DUMMYFUNCTION("""COMPUTED_VALUE"""),"Status")</f>
        <v>Status</v>
      </c>
      <c r="L1" s="3" t="str">
        <f>IFERROR(__xludf.DUMMYFUNCTION("""COMPUTED_VALUE"""),"Change Date")</f>
        <v>Change Date</v>
      </c>
      <c r="M1" s="3" t="str">
        <f>IFERROR(__xludf.DUMMYFUNCTION("""COMPUTED_VALUE"""),"Date Discontinued")</f>
        <v>Date Discontinued</v>
      </c>
      <c r="N1" s="3" t="str">
        <f>IFERROR(__xludf.DUMMYFUNCTION("""COMPUTED_VALUE"""),"Initial Posting Date")</f>
        <v>Initial Posting Date</v>
      </c>
      <c r="O1" s="3" t="str">
        <f t="array" ref="O1:O2106">{"Posting Year"; IF(N2:N2106="",,YEAR(N2:N2106))}</f>
        <v>Posting Year</v>
      </c>
      <c r="P1" s="3" t="str">
        <f>IFERROR(__xludf.DUMMYFUNCTION("{""Availability (clean)""; ARRAYFORMULA(IF(A2:A2106="""",, IFS(F2:F2106="""", ""Not stated"", REGEXMATCH(F2:F2106,""(?i)^limited""), ""Limited Availability"", REGEXMATCH(F2:F2106,""(?i)^un""), ""Unavailable"", TRUE, F2:F2106)))}"),"Availability (clean)")</f>
        <v>Availability (clean)</v>
      </c>
      <c r="Q1" s="3" t="str">
        <f t="array" ref="Q1:Q2106">{"Reason (clean)"; IF(A2:A2106="",, IF(I2:I2106="", "Not reported", I2:I2106))}</f>
        <v>Reason (clean)</v>
      </c>
      <c r="R1" s="3" t="str">
        <f t="array" ref="R1:R2106">{"Listed more than once"; IF(A2:A2106="",, IF(COUNTIF(C2:C2106,C2:C2106)&gt;1, "Yes", "No"))}</f>
        <v>Listed more than once</v>
      </c>
      <c r="S1" s="9" t="str">
        <f t="array" ref="S1:S2106">{"Days on FDA list"; IF(A2:A2106="",, DATE(2026,10,26) - N2:N2106)}</f>
        <v>Days on FDA list</v>
      </c>
      <c r="T1" s="3"/>
      <c r="U1" s="3"/>
      <c r="V1" s="3"/>
      <c r="W1" s="3"/>
      <c r="X1" s="3"/>
      <c r="Y1" s="3"/>
      <c r="Z1" s="3"/>
    </row>
    <row r="2">
      <c r="A2" s="5" t="str">
        <f>IFERROR(__xludf.DUMMYFUNCTION("""COMPUTED_VALUE"""),"Acetaminophen; Oxycodone Hydrochloride Tablet")</f>
        <v>Acetaminophen; Oxycodone Hydrochloride Tablet</v>
      </c>
      <c r="B2" s="5" t="str">
        <f>IFERROR(__xludf.DUMMYFUNCTION("""COMPUTED_VALUE"""),"Endo Pharmaceuticals, Inc.")</f>
        <v>Endo Pharmaceuticals, Inc.</v>
      </c>
      <c r="C2" s="5" t="str">
        <f>IFERROR(__xludf.DUMMYFUNCTION("""COMPUTED_VALUE"""),"Acetaminophen; Oxycodone Hydrochloride, Tablet, 325 mg; 5 mg (NDC 60951-602-70)")</f>
        <v>Acetaminophen; Oxycodone Hydrochloride, Tablet, 325 mg; 5 mg (NDC 60951-602-70)</v>
      </c>
      <c r="D2" s="5" t="str">
        <f>IFERROR(__xludf.DUMMYFUNCTION("""COMPUTED_VALUE"""),"New")</f>
        <v>New</v>
      </c>
      <c r="E2" s="10">
        <f>IFERROR(__xludf.DUMMYFUNCTION("""COMPUTED_VALUE"""),45964.0)</f>
        <v>45964</v>
      </c>
      <c r="F2" s="5"/>
      <c r="G2" s="5" t="str">
        <f>IFERROR(__xludf.DUMMYFUNCTION("""COMPUTED_VALUE"""),"Discontinuation of the manufacture of the drug")</f>
        <v>Discontinuation of the manufacture of the drug</v>
      </c>
      <c r="H2" s="5"/>
      <c r="I2" s="5"/>
      <c r="J2" s="5" t="str">
        <f>IFERROR(__xludf.DUMMYFUNCTION("""COMPUTED_VALUE"""),"Analgesia/Addiction")</f>
        <v>Analgesia/Addiction</v>
      </c>
      <c r="K2" s="5" t="str">
        <f>IFERROR(__xludf.DUMMYFUNCTION("""COMPUTED_VALUE"""),"To Be Discontinued")</f>
        <v>To Be Discontinued</v>
      </c>
      <c r="L2" s="5"/>
      <c r="M2" s="10">
        <f>IFERROR(__xludf.DUMMYFUNCTION("""COMPUTED_VALUE"""),45964.0)</f>
        <v>45964</v>
      </c>
      <c r="N2" s="10">
        <f>IFERROR(__xludf.DUMMYFUNCTION("""COMPUTED_VALUE"""),45964.0)</f>
        <v>45964</v>
      </c>
      <c r="O2" s="5">
        <v>2025.0</v>
      </c>
      <c r="P2" s="5" t="str">
        <f>IFERROR(__xludf.DUMMYFUNCTION("""COMPUTED_VALUE"""),"Not stated")</f>
        <v>Not stated</v>
      </c>
      <c r="Q2" s="5" t="s">
        <v>135</v>
      </c>
      <c r="R2" s="5" t="s">
        <v>136</v>
      </c>
      <c r="S2" s="11">
        <v>357.0</v>
      </c>
    </row>
    <row r="3">
      <c r="A3" s="5" t="str">
        <f>IFERROR(__xludf.DUMMYFUNCTION("""COMPUTED_VALUE"""),"Acetaminophen; Oxycodone Hydrochloride Tablet")</f>
        <v>Acetaminophen; Oxycodone Hydrochloride Tablet</v>
      </c>
      <c r="B3" s="5" t="str">
        <f>IFERROR(__xludf.DUMMYFUNCTION("""COMPUTED_VALUE"""),"Endo Pharmaceuticals, Inc.")</f>
        <v>Endo Pharmaceuticals, Inc.</v>
      </c>
      <c r="C3" s="5" t="str">
        <f>IFERROR(__xludf.DUMMYFUNCTION("""COMPUTED_VALUE"""),"Acetaminophen; Oxycodone Hydrochloride, Tablet, 325 mg; 5 mg (NDC 60951-602-85)")</f>
        <v>Acetaminophen; Oxycodone Hydrochloride, Tablet, 325 mg; 5 mg (NDC 60951-602-85)</v>
      </c>
      <c r="D3" s="5" t="str">
        <f>IFERROR(__xludf.DUMMYFUNCTION("""COMPUTED_VALUE"""),"New")</f>
        <v>New</v>
      </c>
      <c r="E3" s="10">
        <f>IFERROR(__xludf.DUMMYFUNCTION("""COMPUTED_VALUE"""),45964.0)</f>
        <v>45964</v>
      </c>
      <c r="F3" s="5"/>
      <c r="G3" s="5" t="str">
        <f>IFERROR(__xludf.DUMMYFUNCTION("""COMPUTED_VALUE"""),"Discontinuation of the manufacture of the drug")</f>
        <v>Discontinuation of the manufacture of the drug</v>
      </c>
      <c r="H3" s="5"/>
      <c r="I3" s="5"/>
      <c r="J3" s="5" t="str">
        <f>IFERROR(__xludf.DUMMYFUNCTION("""COMPUTED_VALUE"""),"Analgesia/Addiction")</f>
        <v>Analgesia/Addiction</v>
      </c>
      <c r="K3" s="5" t="str">
        <f>IFERROR(__xludf.DUMMYFUNCTION("""COMPUTED_VALUE"""),"To Be Discontinued")</f>
        <v>To Be Discontinued</v>
      </c>
      <c r="L3" s="5"/>
      <c r="M3" s="10">
        <f>IFERROR(__xludf.DUMMYFUNCTION("""COMPUTED_VALUE"""),45964.0)</f>
        <v>45964</v>
      </c>
      <c r="N3" s="10">
        <f>IFERROR(__xludf.DUMMYFUNCTION("""COMPUTED_VALUE"""),45964.0)</f>
        <v>45964</v>
      </c>
      <c r="O3" s="5">
        <v>2025.0</v>
      </c>
      <c r="P3" s="5" t="str">
        <f>IFERROR(__xludf.DUMMYFUNCTION("""COMPUTED_VALUE"""),"Not stated")</f>
        <v>Not stated</v>
      </c>
      <c r="Q3" s="5" t="s">
        <v>135</v>
      </c>
      <c r="R3" s="5" t="s">
        <v>136</v>
      </c>
      <c r="S3" s="11">
        <v>357.0</v>
      </c>
    </row>
    <row r="4">
      <c r="A4" s="5" t="str">
        <f>IFERROR(__xludf.DUMMYFUNCTION("""COMPUTED_VALUE"""),"Acetaminophen; Oxycodone Hydrochloride Tablet")</f>
        <v>Acetaminophen; Oxycodone Hydrochloride Tablet</v>
      </c>
      <c r="B4" s="5" t="str">
        <f>IFERROR(__xludf.DUMMYFUNCTION("""COMPUTED_VALUE"""),"Endo Pharmaceuticals, Inc.")</f>
        <v>Endo Pharmaceuticals, Inc.</v>
      </c>
      <c r="C4" s="5" t="str">
        <f>IFERROR(__xludf.DUMMYFUNCTION("""COMPUTED_VALUE"""),"Acetaminophen; Oxycodone Hydrochloride, Tablet, 325 mg; 7.5 mg (NDC 60951-700-70)")</f>
        <v>Acetaminophen; Oxycodone Hydrochloride, Tablet, 325 mg; 7.5 mg (NDC 60951-700-70)</v>
      </c>
      <c r="D4" s="5" t="str">
        <f>IFERROR(__xludf.DUMMYFUNCTION("""COMPUTED_VALUE"""),"New")</f>
        <v>New</v>
      </c>
      <c r="E4" s="10">
        <f>IFERROR(__xludf.DUMMYFUNCTION("""COMPUTED_VALUE"""),45964.0)</f>
        <v>45964</v>
      </c>
      <c r="F4" s="5"/>
      <c r="G4" s="5" t="str">
        <f>IFERROR(__xludf.DUMMYFUNCTION("""COMPUTED_VALUE"""),"Discontinuation of the manufacture of the drug")</f>
        <v>Discontinuation of the manufacture of the drug</v>
      </c>
      <c r="H4" s="5"/>
      <c r="I4" s="5"/>
      <c r="J4" s="5" t="str">
        <f>IFERROR(__xludf.DUMMYFUNCTION("""COMPUTED_VALUE"""),"Analgesia/Addiction")</f>
        <v>Analgesia/Addiction</v>
      </c>
      <c r="K4" s="5" t="str">
        <f>IFERROR(__xludf.DUMMYFUNCTION("""COMPUTED_VALUE"""),"To Be Discontinued")</f>
        <v>To Be Discontinued</v>
      </c>
      <c r="L4" s="5"/>
      <c r="M4" s="10">
        <f>IFERROR(__xludf.DUMMYFUNCTION("""COMPUTED_VALUE"""),45964.0)</f>
        <v>45964</v>
      </c>
      <c r="N4" s="10">
        <f>IFERROR(__xludf.DUMMYFUNCTION("""COMPUTED_VALUE"""),45964.0)</f>
        <v>45964</v>
      </c>
      <c r="O4" s="5">
        <v>2025.0</v>
      </c>
      <c r="P4" s="5" t="str">
        <f>IFERROR(__xludf.DUMMYFUNCTION("""COMPUTED_VALUE"""),"Not stated")</f>
        <v>Not stated</v>
      </c>
      <c r="Q4" s="5" t="s">
        <v>135</v>
      </c>
      <c r="R4" s="5" t="s">
        <v>136</v>
      </c>
      <c r="S4" s="11">
        <v>357.0</v>
      </c>
    </row>
    <row r="5">
      <c r="A5" s="5" t="str">
        <f>IFERROR(__xludf.DUMMYFUNCTION("""COMPUTED_VALUE"""),"Acetaminophen; Oxycodone Hydrochloride Tablet")</f>
        <v>Acetaminophen; Oxycodone Hydrochloride Tablet</v>
      </c>
      <c r="B5" s="5" t="str">
        <f>IFERROR(__xludf.DUMMYFUNCTION("""COMPUTED_VALUE"""),"Endo Pharmaceuticals, Inc.")</f>
        <v>Endo Pharmaceuticals, Inc.</v>
      </c>
      <c r="C5" s="5" t="str">
        <f>IFERROR(__xludf.DUMMYFUNCTION("""COMPUTED_VALUE"""),"Acetaminophen; Oxycodone Hydrochloride, Tablet, 325 mg; 2.5 mg (NDC 60951-701-70)")</f>
        <v>Acetaminophen; Oxycodone Hydrochloride, Tablet, 325 mg; 2.5 mg (NDC 60951-701-70)</v>
      </c>
      <c r="D5" s="5" t="str">
        <f>IFERROR(__xludf.DUMMYFUNCTION("""COMPUTED_VALUE"""),"New")</f>
        <v>New</v>
      </c>
      <c r="E5" s="10">
        <f>IFERROR(__xludf.DUMMYFUNCTION("""COMPUTED_VALUE"""),45964.0)</f>
        <v>45964</v>
      </c>
      <c r="F5" s="5"/>
      <c r="G5" s="5" t="str">
        <f>IFERROR(__xludf.DUMMYFUNCTION("""COMPUTED_VALUE"""),"Discontinuation of the manufacture of the drug")</f>
        <v>Discontinuation of the manufacture of the drug</v>
      </c>
      <c r="H5" s="5"/>
      <c r="I5" s="5"/>
      <c r="J5" s="5" t="str">
        <f>IFERROR(__xludf.DUMMYFUNCTION("""COMPUTED_VALUE"""),"Analgesia/Addiction")</f>
        <v>Analgesia/Addiction</v>
      </c>
      <c r="K5" s="5" t="str">
        <f>IFERROR(__xludf.DUMMYFUNCTION("""COMPUTED_VALUE"""),"To Be Discontinued")</f>
        <v>To Be Discontinued</v>
      </c>
      <c r="L5" s="5"/>
      <c r="M5" s="10">
        <f>IFERROR(__xludf.DUMMYFUNCTION("""COMPUTED_VALUE"""),45964.0)</f>
        <v>45964</v>
      </c>
      <c r="N5" s="10">
        <f>IFERROR(__xludf.DUMMYFUNCTION("""COMPUTED_VALUE"""),45964.0)</f>
        <v>45964</v>
      </c>
      <c r="O5" s="5">
        <v>2025.0</v>
      </c>
      <c r="P5" s="5" t="str">
        <f>IFERROR(__xludf.DUMMYFUNCTION("""COMPUTED_VALUE"""),"Not stated")</f>
        <v>Not stated</v>
      </c>
      <c r="Q5" s="5" t="s">
        <v>135</v>
      </c>
      <c r="R5" s="5" t="s">
        <v>136</v>
      </c>
      <c r="S5" s="11">
        <v>357.0</v>
      </c>
    </row>
    <row r="6">
      <c r="A6" s="5" t="str">
        <f>IFERROR(__xludf.DUMMYFUNCTION("""COMPUTED_VALUE"""),"Acetaminophen; Oxycodone Hydrochloride Tablet")</f>
        <v>Acetaminophen; Oxycodone Hydrochloride Tablet</v>
      </c>
      <c r="B6" s="5" t="str">
        <f>IFERROR(__xludf.DUMMYFUNCTION("""COMPUTED_VALUE"""),"Endo Pharmaceuticals, Inc.")</f>
        <v>Endo Pharmaceuticals, Inc.</v>
      </c>
      <c r="C6" s="5" t="str">
        <f>IFERROR(__xludf.DUMMYFUNCTION("""COMPUTED_VALUE"""),"Acetaminophen; Oxycodone Hydrochloride, Tablet, 325 mg; 10 mg (NDC 60951-712-70)")</f>
        <v>Acetaminophen; Oxycodone Hydrochloride, Tablet, 325 mg; 10 mg (NDC 60951-712-70)</v>
      </c>
      <c r="D6" s="5" t="str">
        <f>IFERROR(__xludf.DUMMYFUNCTION("""COMPUTED_VALUE"""),"New")</f>
        <v>New</v>
      </c>
      <c r="E6" s="10">
        <f>IFERROR(__xludf.DUMMYFUNCTION("""COMPUTED_VALUE"""),45964.0)</f>
        <v>45964</v>
      </c>
      <c r="F6" s="5"/>
      <c r="G6" s="5" t="str">
        <f>IFERROR(__xludf.DUMMYFUNCTION("""COMPUTED_VALUE"""),"Discontinuation of the manufacture of the drug")</f>
        <v>Discontinuation of the manufacture of the drug</v>
      </c>
      <c r="H6" s="5"/>
      <c r="I6" s="5"/>
      <c r="J6" s="5" t="str">
        <f>IFERROR(__xludf.DUMMYFUNCTION("""COMPUTED_VALUE"""),"Analgesia/Addiction")</f>
        <v>Analgesia/Addiction</v>
      </c>
      <c r="K6" s="5" t="str">
        <f>IFERROR(__xludf.DUMMYFUNCTION("""COMPUTED_VALUE"""),"To Be Discontinued")</f>
        <v>To Be Discontinued</v>
      </c>
      <c r="L6" s="5"/>
      <c r="M6" s="10">
        <f>IFERROR(__xludf.DUMMYFUNCTION("""COMPUTED_VALUE"""),45964.0)</f>
        <v>45964</v>
      </c>
      <c r="N6" s="10">
        <f>IFERROR(__xludf.DUMMYFUNCTION("""COMPUTED_VALUE"""),45964.0)</f>
        <v>45964</v>
      </c>
      <c r="O6" s="5">
        <v>2025.0</v>
      </c>
      <c r="P6" s="5" t="str">
        <f>IFERROR(__xludf.DUMMYFUNCTION("""COMPUTED_VALUE"""),"Not stated")</f>
        <v>Not stated</v>
      </c>
      <c r="Q6" s="5" t="s">
        <v>135</v>
      </c>
      <c r="R6" s="5" t="s">
        <v>136</v>
      </c>
      <c r="S6" s="11">
        <v>357.0</v>
      </c>
    </row>
    <row r="7">
      <c r="A7" s="5" t="str">
        <f>IFERROR(__xludf.DUMMYFUNCTION("""COMPUTED_VALUE"""),"Acetaminophen; Oxycodone Hydrochloride Tablet")</f>
        <v>Acetaminophen; Oxycodone Hydrochloride Tablet</v>
      </c>
      <c r="B7" s="5" t="str">
        <f>IFERROR(__xludf.DUMMYFUNCTION("""COMPUTED_VALUE"""),"Endo Pharmaceuticals, Inc.")</f>
        <v>Endo Pharmaceuticals, Inc.</v>
      </c>
      <c r="C7" s="5" t="str">
        <f>IFERROR(__xludf.DUMMYFUNCTION("""COMPUTED_VALUE"""),"Acetaminophen; Oxycodone Hydrochloride, Tablet, 325 mg; 2.5 mg (NDC 63481-627-70)")</f>
        <v>Acetaminophen; Oxycodone Hydrochloride, Tablet, 325 mg; 2.5 mg (NDC 63481-627-70)</v>
      </c>
      <c r="D7" s="5" t="str">
        <f>IFERROR(__xludf.DUMMYFUNCTION("""COMPUTED_VALUE"""),"New")</f>
        <v>New</v>
      </c>
      <c r="E7" s="10">
        <f>IFERROR(__xludf.DUMMYFUNCTION("""COMPUTED_VALUE"""),45964.0)</f>
        <v>45964</v>
      </c>
      <c r="F7" s="5"/>
      <c r="G7" s="5" t="str">
        <f>IFERROR(__xludf.DUMMYFUNCTION("""COMPUTED_VALUE"""),"Discontinuation of the manufacture of the drug")</f>
        <v>Discontinuation of the manufacture of the drug</v>
      </c>
      <c r="H7" s="5"/>
      <c r="I7" s="5"/>
      <c r="J7" s="5" t="str">
        <f>IFERROR(__xludf.DUMMYFUNCTION("""COMPUTED_VALUE"""),"Analgesia/Addiction")</f>
        <v>Analgesia/Addiction</v>
      </c>
      <c r="K7" s="5" t="str">
        <f>IFERROR(__xludf.DUMMYFUNCTION("""COMPUTED_VALUE"""),"To Be Discontinued")</f>
        <v>To Be Discontinued</v>
      </c>
      <c r="L7" s="5"/>
      <c r="M7" s="10">
        <f>IFERROR(__xludf.DUMMYFUNCTION("""COMPUTED_VALUE"""),45964.0)</f>
        <v>45964</v>
      </c>
      <c r="N7" s="10">
        <f>IFERROR(__xludf.DUMMYFUNCTION("""COMPUTED_VALUE"""),45964.0)</f>
        <v>45964</v>
      </c>
      <c r="O7" s="5">
        <v>2025.0</v>
      </c>
      <c r="P7" s="5" t="str">
        <f>IFERROR(__xludf.DUMMYFUNCTION("""COMPUTED_VALUE"""),"Not stated")</f>
        <v>Not stated</v>
      </c>
      <c r="Q7" s="5" t="s">
        <v>135</v>
      </c>
      <c r="R7" s="5" t="s">
        <v>136</v>
      </c>
      <c r="S7" s="11">
        <v>357.0</v>
      </c>
    </row>
    <row r="8">
      <c r="A8" s="5" t="str">
        <f>IFERROR(__xludf.DUMMYFUNCTION("""COMPUTED_VALUE"""),"Activated Charcoal Oral Suspension")</f>
        <v>Activated Charcoal Oral Suspension</v>
      </c>
      <c r="B8" s="5" t="str">
        <f>IFERROR(__xludf.DUMMYFUNCTION("""COMPUTED_VALUE"""),"Padagis US LLC")</f>
        <v>Padagis US LLC</v>
      </c>
      <c r="C8" s="5" t="str">
        <f>IFERROR(__xludf.DUMMYFUNCTION("""COMPUTED_VALUE"""),"Actidose, Oral Suspension, 208 mg/1 mL (NDC 0574-0520-74)")</f>
        <v>Actidose, Oral Suspension, 208 mg/1 mL (NDC 0574-0520-74)</v>
      </c>
      <c r="D8" s="5" t="str">
        <f>IFERROR(__xludf.DUMMYFUNCTION("""COMPUTED_VALUE"""),"New")</f>
        <v>New</v>
      </c>
      <c r="E8" s="10">
        <f>IFERROR(__xludf.DUMMYFUNCTION("""COMPUTED_VALUE"""),46157.0)</f>
        <v>46157</v>
      </c>
      <c r="F8" s="5"/>
      <c r="G8" s="5" t="str">
        <f>IFERROR(__xludf.DUMMYFUNCTION("""COMPUTED_VALUE"""),"Discontinuation of the manufacture of the drug")</f>
        <v>Discontinuation of the manufacture of the drug</v>
      </c>
      <c r="H8" s="5"/>
      <c r="I8" s="5"/>
      <c r="J8" s="5" t="str">
        <f>IFERROR(__xludf.DUMMYFUNCTION("""COMPUTED_VALUE"""),"Other")</f>
        <v>Other</v>
      </c>
      <c r="K8" s="5" t="str">
        <f>IFERROR(__xludf.DUMMYFUNCTION("""COMPUTED_VALUE"""),"To Be Discontinued")</f>
        <v>To Be Discontinued</v>
      </c>
      <c r="L8" s="5"/>
      <c r="M8" s="10">
        <f>IFERROR(__xludf.DUMMYFUNCTION("""COMPUTED_VALUE"""),46157.0)</f>
        <v>46157</v>
      </c>
      <c r="N8" s="10">
        <f>IFERROR(__xludf.DUMMYFUNCTION("""COMPUTED_VALUE"""),46157.0)</f>
        <v>46157</v>
      </c>
      <c r="O8" s="5">
        <v>2026.0</v>
      </c>
      <c r="P8" s="5" t="str">
        <f>IFERROR(__xludf.DUMMYFUNCTION("""COMPUTED_VALUE"""),"Not stated")</f>
        <v>Not stated</v>
      </c>
      <c r="Q8" s="5" t="s">
        <v>135</v>
      </c>
      <c r="R8" s="5" t="s">
        <v>136</v>
      </c>
      <c r="S8" s="11">
        <v>164.0</v>
      </c>
    </row>
    <row r="9">
      <c r="A9" s="5" t="str">
        <f>IFERROR(__xludf.DUMMYFUNCTION("""COMPUTED_VALUE"""),"Activated Charcoal Oral Suspension")</f>
        <v>Activated Charcoal Oral Suspension</v>
      </c>
      <c r="B9" s="5" t="str">
        <f>IFERROR(__xludf.DUMMYFUNCTION("""COMPUTED_VALUE"""),"Padagis US LLC")</f>
        <v>Padagis US LLC</v>
      </c>
      <c r="C9" s="5" t="str">
        <f>IFERROR(__xludf.DUMMYFUNCTION("""COMPUTED_VALUE"""),"Actidose, Oral Suspension, 208 mg/1 mL (NDC 0574-0520-76)")</f>
        <v>Actidose, Oral Suspension, 208 mg/1 mL (NDC 0574-0520-76)</v>
      </c>
      <c r="D9" s="5" t="str">
        <f>IFERROR(__xludf.DUMMYFUNCTION("""COMPUTED_VALUE"""),"New")</f>
        <v>New</v>
      </c>
      <c r="E9" s="10">
        <f>IFERROR(__xludf.DUMMYFUNCTION("""COMPUTED_VALUE"""),46157.0)</f>
        <v>46157</v>
      </c>
      <c r="F9" s="5"/>
      <c r="G9" s="5" t="str">
        <f>IFERROR(__xludf.DUMMYFUNCTION("""COMPUTED_VALUE"""),"Discontinuation of the manufacture of the drug")</f>
        <v>Discontinuation of the manufacture of the drug</v>
      </c>
      <c r="H9" s="5"/>
      <c r="I9" s="5"/>
      <c r="J9" s="5" t="str">
        <f>IFERROR(__xludf.DUMMYFUNCTION("""COMPUTED_VALUE"""),"Other")</f>
        <v>Other</v>
      </c>
      <c r="K9" s="5" t="str">
        <f>IFERROR(__xludf.DUMMYFUNCTION("""COMPUTED_VALUE"""),"To Be Discontinued")</f>
        <v>To Be Discontinued</v>
      </c>
      <c r="L9" s="5"/>
      <c r="M9" s="10">
        <f>IFERROR(__xludf.DUMMYFUNCTION("""COMPUTED_VALUE"""),46157.0)</f>
        <v>46157</v>
      </c>
      <c r="N9" s="10">
        <f>IFERROR(__xludf.DUMMYFUNCTION("""COMPUTED_VALUE"""),46157.0)</f>
        <v>46157</v>
      </c>
      <c r="O9" s="5">
        <v>2026.0</v>
      </c>
      <c r="P9" s="5" t="str">
        <f>IFERROR(__xludf.DUMMYFUNCTION("""COMPUTED_VALUE"""),"Not stated")</f>
        <v>Not stated</v>
      </c>
      <c r="Q9" s="5" t="s">
        <v>135</v>
      </c>
      <c r="R9" s="5" t="s">
        <v>136</v>
      </c>
      <c r="S9" s="11">
        <v>164.0</v>
      </c>
    </row>
    <row r="10">
      <c r="A10" s="5" t="str">
        <f>IFERROR(__xludf.DUMMYFUNCTION("""COMPUTED_VALUE"""),"Activated Charcoal Oral Suspension")</f>
        <v>Activated Charcoal Oral Suspension</v>
      </c>
      <c r="B10" s="5" t="str">
        <f>IFERROR(__xludf.DUMMYFUNCTION("""COMPUTED_VALUE"""),"Padagis US LLC")</f>
        <v>Padagis US LLC</v>
      </c>
      <c r="C10" s="5" t="str">
        <f>IFERROR(__xludf.DUMMYFUNCTION("""COMPUTED_VALUE"""),"Actidose Aqua, Oral Suspension, 208 mg/1 mL (NDC 0574-0521-25)")</f>
        <v>Actidose Aqua, Oral Suspension, 208 mg/1 mL (NDC 0574-0521-25)</v>
      </c>
      <c r="D10" s="5" t="str">
        <f>IFERROR(__xludf.DUMMYFUNCTION("""COMPUTED_VALUE"""),"New")</f>
        <v>New</v>
      </c>
      <c r="E10" s="10">
        <f>IFERROR(__xludf.DUMMYFUNCTION("""COMPUTED_VALUE"""),46157.0)</f>
        <v>46157</v>
      </c>
      <c r="F10" s="5"/>
      <c r="G10" s="5" t="str">
        <f>IFERROR(__xludf.DUMMYFUNCTION("""COMPUTED_VALUE"""),"Discontinuation of the manufacture of the drug")</f>
        <v>Discontinuation of the manufacture of the drug</v>
      </c>
      <c r="H10" s="5"/>
      <c r="I10" s="5"/>
      <c r="J10" s="5" t="str">
        <f>IFERROR(__xludf.DUMMYFUNCTION("""COMPUTED_VALUE"""),"Other")</f>
        <v>Other</v>
      </c>
      <c r="K10" s="5" t="str">
        <f>IFERROR(__xludf.DUMMYFUNCTION("""COMPUTED_VALUE"""),"To Be Discontinued")</f>
        <v>To Be Discontinued</v>
      </c>
      <c r="L10" s="5"/>
      <c r="M10" s="10">
        <f>IFERROR(__xludf.DUMMYFUNCTION("""COMPUTED_VALUE"""),46157.0)</f>
        <v>46157</v>
      </c>
      <c r="N10" s="10">
        <f>IFERROR(__xludf.DUMMYFUNCTION("""COMPUTED_VALUE"""),46157.0)</f>
        <v>46157</v>
      </c>
      <c r="O10" s="5">
        <v>2026.0</v>
      </c>
      <c r="P10" s="5" t="str">
        <f>IFERROR(__xludf.DUMMYFUNCTION("""COMPUTED_VALUE"""),"Not stated")</f>
        <v>Not stated</v>
      </c>
      <c r="Q10" s="5" t="s">
        <v>135</v>
      </c>
      <c r="R10" s="5" t="s">
        <v>136</v>
      </c>
      <c r="S10" s="11">
        <v>164.0</v>
      </c>
    </row>
    <row r="11">
      <c r="A11" s="5" t="str">
        <f>IFERROR(__xludf.DUMMYFUNCTION("""COMPUTED_VALUE"""),"Activated Charcoal Oral Suspension")</f>
        <v>Activated Charcoal Oral Suspension</v>
      </c>
      <c r="B11" s="5" t="str">
        <f>IFERROR(__xludf.DUMMYFUNCTION("""COMPUTED_VALUE"""),"Padagis US LLC")</f>
        <v>Padagis US LLC</v>
      </c>
      <c r="C11" s="5" t="str">
        <f>IFERROR(__xludf.DUMMYFUNCTION("""COMPUTED_VALUE"""),"Actidose Aqua, Oral Suspension, 208 mg/1 mL (NDC 0574-0521-74)")</f>
        <v>Actidose Aqua, Oral Suspension, 208 mg/1 mL (NDC 0574-0521-74)</v>
      </c>
      <c r="D11" s="5" t="str">
        <f>IFERROR(__xludf.DUMMYFUNCTION("""COMPUTED_VALUE"""),"New")</f>
        <v>New</v>
      </c>
      <c r="E11" s="10">
        <f>IFERROR(__xludf.DUMMYFUNCTION("""COMPUTED_VALUE"""),46157.0)</f>
        <v>46157</v>
      </c>
      <c r="F11" s="5"/>
      <c r="G11" s="5" t="str">
        <f>IFERROR(__xludf.DUMMYFUNCTION("""COMPUTED_VALUE"""),"Discontinuation of the manufacture of the drug")</f>
        <v>Discontinuation of the manufacture of the drug</v>
      </c>
      <c r="H11" s="5"/>
      <c r="I11" s="5"/>
      <c r="J11" s="5" t="str">
        <f>IFERROR(__xludf.DUMMYFUNCTION("""COMPUTED_VALUE"""),"Other")</f>
        <v>Other</v>
      </c>
      <c r="K11" s="5" t="str">
        <f>IFERROR(__xludf.DUMMYFUNCTION("""COMPUTED_VALUE"""),"To Be Discontinued")</f>
        <v>To Be Discontinued</v>
      </c>
      <c r="L11" s="5"/>
      <c r="M11" s="10">
        <f>IFERROR(__xludf.DUMMYFUNCTION("""COMPUTED_VALUE"""),46157.0)</f>
        <v>46157</v>
      </c>
      <c r="N11" s="10">
        <f>IFERROR(__xludf.DUMMYFUNCTION("""COMPUTED_VALUE"""),46157.0)</f>
        <v>46157</v>
      </c>
      <c r="O11" s="5">
        <v>2026.0</v>
      </c>
      <c r="P11" s="5" t="str">
        <f>IFERROR(__xludf.DUMMYFUNCTION("""COMPUTED_VALUE"""),"Not stated")</f>
        <v>Not stated</v>
      </c>
      <c r="Q11" s="5" t="s">
        <v>135</v>
      </c>
      <c r="R11" s="5" t="s">
        <v>136</v>
      </c>
      <c r="S11" s="11">
        <v>164.0</v>
      </c>
    </row>
    <row r="12">
      <c r="A12" s="5" t="str">
        <f>IFERROR(__xludf.DUMMYFUNCTION("""COMPUTED_VALUE"""),"Activated Charcoal Oral Suspension")</f>
        <v>Activated Charcoal Oral Suspension</v>
      </c>
      <c r="B12" s="5" t="str">
        <f>IFERROR(__xludf.DUMMYFUNCTION("""COMPUTED_VALUE"""),"Padagis US LLC")</f>
        <v>Padagis US LLC</v>
      </c>
      <c r="C12" s="5" t="str">
        <f>IFERROR(__xludf.DUMMYFUNCTION("""COMPUTED_VALUE"""),"Actidose Aqua, Oral Suspension, 208 mg/1 mL (NDC 0574-0521-76)")</f>
        <v>Actidose Aqua, Oral Suspension, 208 mg/1 mL (NDC 0574-0521-76)</v>
      </c>
      <c r="D12" s="5" t="str">
        <f>IFERROR(__xludf.DUMMYFUNCTION("""COMPUTED_VALUE"""),"New")</f>
        <v>New</v>
      </c>
      <c r="E12" s="10">
        <f>IFERROR(__xludf.DUMMYFUNCTION("""COMPUTED_VALUE"""),46157.0)</f>
        <v>46157</v>
      </c>
      <c r="F12" s="5"/>
      <c r="G12" s="5" t="str">
        <f>IFERROR(__xludf.DUMMYFUNCTION("""COMPUTED_VALUE"""),"Discontinuation of the manufacture of the drug")</f>
        <v>Discontinuation of the manufacture of the drug</v>
      </c>
      <c r="H12" s="5"/>
      <c r="I12" s="5"/>
      <c r="J12" s="5" t="str">
        <f>IFERROR(__xludf.DUMMYFUNCTION("""COMPUTED_VALUE"""),"Other")</f>
        <v>Other</v>
      </c>
      <c r="K12" s="5" t="str">
        <f>IFERROR(__xludf.DUMMYFUNCTION("""COMPUTED_VALUE"""),"To Be Discontinued")</f>
        <v>To Be Discontinued</v>
      </c>
      <c r="L12" s="5"/>
      <c r="M12" s="10">
        <f>IFERROR(__xludf.DUMMYFUNCTION("""COMPUTED_VALUE"""),46157.0)</f>
        <v>46157</v>
      </c>
      <c r="N12" s="10">
        <f>IFERROR(__xludf.DUMMYFUNCTION("""COMPUTED_VALUE"""),46157.0)</f>
        <v>46157</v>
      </c>
      <c r="O12" s="5">
        <v>2026.0</v>
      </c>
      <c r="P12" s="5" t="str">
        <f>IFERROR(__xludf.DUMMYFUNCTION("""COMPUTED_VALUE"""),"Not stated")</f>
        <v>Not stated</v>
      </c>
      <c r="Q12" s="5" t="s">
        <v>135</v>
      </c>
      <c r="R12" s="5" t="s">
        <v>136</v>
      </c>
      <c r="S12" s="11">
        <v>164.0</v>
      </c>
    </row>
    <row r="13">
      <c r="A13" s="5" t="str">
        <f>IFERROR(__xludf.DUMMYFUNCTION("""COMPUTED_VALUE"""),"Adalimumab-adaz Injection")</f>
        <v>Adalimumab-adaz Injection</v>
      </c>
      <c r="B13" s="5" t="str">
        <f>IFERROR(__xludf.DUMMYFUNCTION("""COMPUTED_VALUE"""),"Sandoz Inc.")</f>
        <v>Sandoz Inc.</v>
      </c>
      <c r="C13" s="5" t="str">
        <f>IFERROR(__xludf.DUMMYFUNCTION("""COMPUTED_VALUE"""),"Hyrimoz, Injection, Kit (NDC 61314-531-64)")</f>
        <v>Hyrimoz, Injection, Kit (NDC 61314-531-64)</v>
      </c>
      <c r="D13" s="5" t="str">
        <f>IFERROR(__xludf.DUMMYFUNCTION("""COMPUTED_VALUE"""),"New")</f>
        <v>New</v>
      </c>
      <c r="E13" s="10">
        <f>IFERROR(__xludf.DUMMYFUNCTION("""COMPUTED_VALUE"""),46035.0)</f>
        <v>46035</v>
      </c>
      <c r="F13" s="5"/>
      <c r="G13" s="5" t="str">
        <f>IFERROR(__xludf.DUMMYFUNCTION("""COMPUTED_VALUE"""),"Equivalent Sandoz format is available.")</f>
        <v>Equivalent Sandoz format is available.</v>
      </c>
      <c r="H13" s="5"/>
      <c r="I13" s="5"/>
      <c r="J13" s="5" t="str">
        <f>IFERROR(__xludf.DUMMYFUNCTION("""COMPUTED_VALUE"""),"Rheumatology")</f>
        <v>Rheumatology</v>
      </c>
      <c r="K13" s="5" t="str">
        <f>IFERROR(__xludf.DUMMYFUNCTION("""COMPUTED_VALUE"""),"To Be Discontinued")</f>
        <v>To Be Discontinued</v>
      </c>
      <c r="L13" s="5"/>
      <c r="M13" s="10">
        <f>IFERROR(__xludf.DUMMYFUNCTION("""COMPUTED_VALUE"""),46035.0)</f>
        <v>46035</v>
      </c>
      <c r="N13" s="10">
        <f>IFERROR(__xludf.DUMMYFUNCTION("""COMPUTED_VALUE"""),46035.0)</f>
        <v>46035</v>
      </c>
      <c r="O13" s="5">
        <v>2026.0</v>
      </c>
      <c r="P13" s="5" t="str">
        <f>IFERROR(__xludf.DUMMYFUNCTION("""COMPUTED_VALUE"""),"Not stated")</f>
        <v>Not stated</v>
      </c>
      <c r="Q13" s="5" t="s">
        <v>135</v>
      </c>
      <c r="R13" s="5" t="s">
        <v>136</v>
      </c>
      <c r="S13" s="11">
        <v>286.0</v>
      </c>
    </row>
    <row r="14">
      <c r="A14" s="5" t="str">
        <f>IFERROR(__xludf.DUMMYFUNCTION("""COMPUTED_VALUE"""),"Adalimumab-adaz Injection")</f>
        <v>Adalimumab-adaz Injection</v>
      </c>
      <c r="B14" s="5" t="str">
        <f>IFERROR(__xludf.DUMMYFUNCTION("""COMPUTED_VALUE"""),"Sandoz Inc.")</f>
        <v>Sandoz Inc.</v>
      </c>
      <c r="C14" s="5" t="str">
        <f>IFERROR(__xludf.DUMMYFUNCTION("""COMPUTED_VALUE"""),"Hyrimoz, Injection, Kit (NDC 61314-517-36)")</f>
        <v>Hyrimoz, Injection, Kit (NDC 61314-517-36)</v>
      </c>
      <c r="D14" s="5" t="str">
        <f>IFERROR(__xludf.DUMMYFUNCTION("""COMPUTED_VALUE"""),"New")</f>
        <v>New</v>
      </c>
      <c r="E14" s="10">
        <f>IFERROR(__xludf.DUMMYFUNCTION("""COMPUTED_VALUE"""),46035.0)</f>
        <v>46035</v>
      </c>
      <c r="F14" s="5"/>
      <c r="G14" s="5" t="str">
        <f>IFERROR(__xludf.DUMMYFUNCTION("""COMPUTED_VALUE"""),"Equivalent Sandoz format is available.")</f>
        <v>Equivalent Sandoz format is available.</v>
      </c>
      <c r="H14" s="5"/>
      <c r="I14" s="5"/>
      <c r="J14" s="5" t="str">
        <f>IFERROR(__xludf.DUMMYFUNCTION("""COMPUTED_VALUE"""),"Rheumatology")</f>
        <v>Rheumatology</v>
      </c>
      <c r="K14" s="5" t="str">
        <f>IFERROR(__xludf.DUMMYFUNCTION("""COMPUTED_VALUE"""),"To Be Discontinued")</f>
        <v>To Be Discontinued</v>
      </c>
      <c r="L14" s="5"/>
      <c r="M14" s="10">
        <f>IFERROR(__xludf.DUMMYFUNCTION("""COMPUTED_VALUE"""),46035.0)</f>
        <v>46035</v>
      </c>
      <c r="N14" s="10">
        <f>IFERROR(__xludf.DUMMYFUNCTION("""COMPUTED_VALUE"""),46035.0)</f>
        <v>46035</v>
      </c>
      <c r="O14" s="5">
        <v>2026.0</v>
      </c>
      <c r="P14" s="5" t="str">
        <f>IFERROR(__xludf.DUMMYFUNCTION("""COMPUTED_VALUE"""),"Not stated")</f>
        <v>Not stated</v>
      </c>
      <c r="Q14" s="5" t="s">
        <v>135</v>
      </c>
      <c r="R14" s="5" t="s">
        <v>136</v>
      </c>
      <c r="S14" s="11">
        <v>286.0</v>
      </c>
    </row>
    <row r="15">
      <c r="A15" s="5" t="str">
        <f>IFERROR(__xludf.DUMMYFUNCTION("""COMPUTED_VALUE"""),"Adalimumab-adaz Injection")</f>
        <v>Adalimumab-adaz Injection</v>
      </c>
      <c r="B15" s="5" t="str">
        <f>IFERROR(__xludf.DUMMYFUNCTION("""COMPUTED_VALUE"""),"Sandoz Inc.")</f>
        <v>Sandoz Inc.</v>
      </c>
      <c r="C15" s="5" t="str">
        <f>IFERROR(__xludf.DUMMYFUNCTION("""COMPUTED_VALUE"""),"Hyrimoz, Injection, 40 mg/.4 mL (NDC 61314-473-64)")</f>
        <v>Hyrimoz, Injection, 40 mg/.4 mL (NDC 61314-473-64)</v>
      </c>
      <c r="D15" s="5" t="str">
        <f>IFERROR(__xludf.DUMMYFUNCTION("""COMPUTED_VALUE"""),"New")</f>
        <v>New</v>
      </c>
      <c r="E15" s="10">
        <f>IFERROR(__xludf.DUMMYFUNCTION("""COMPUTED_VALUE"""),46035.0)</f>
        <v>46035</v>
      </c>
      <c r="F15" s="5"/>
      <c r="G15" s="5" t="str">
        <f>IFERROR(__xludf.DUMMYFUNCTION("""COMPUTED_VALUE"""),"Equivalent Sandoz format is available.")</f>
        <v>Equivalent Sandoz format is available.</v>
      </c>
      <c r="H15" s="5"/>
      <c r="I15" s="5"/>
      <c r="J15" s="5" t="str">
        <f>IFERROR(__xludf.DUMMYFUNCTION("""COMPUTED_VALUE"""),"Rheumatology")</f>
        <v>Rheumatology</v>
      </c>
      <c r="K15" s="5" t="str">
        <f>IFERROR(__xludf.DUMMYFUNCTION("""COMPUTED_VALUE"""),"To Be Discontinued")</f>
        <v>To Be Discontinued</v>
      </c>
      <c r="L15" s="5"/>
      <c r="M15" s="10">
        <f>IFERROR(__xludf.DUMMYFUNCTION("""COMPUTED_VALUE"""),46035.0)</f>
        <v>46035</v>
      </c>
      <c r="N15" s="10">
        <f>IFERROR(__xludf.DUMMYFUNCTION("""COMPUTED_VALUE"""),46035.0)</f>
        <v>46035</v>
      </c>
      <c r="O15" s="5">
        <v>2026.0</v>
      </c>
      <c r="P15" s="5" t="str">
        <f>IFERROR(__xludf.DUMMYFUNCTION("""COMPUTED_VALUE"""),"Not stated")</f>
        <v>Not stated</v>
      </c>
      <c r="Q15" s="5" t="s">
        <v>135</v>
      </c>
      <c r="R15" s="5" t="s">
        <v>136</v>
      </c>
      <c r="S15" s="11">
        <v>286.0</v>
      </c>
    </row>
    <row r="16">
      <c r="A16" s="5" t="str">
        <f>IFERROR(__xludf.DUMMYFUNCTION("""COMPUTED_VALUE"""),"Adalimumab-adaz Injection")</f>
        <v>Adalimumab-adaz Injection</v>
      </c>
      <c r="B16" s="5" t="str">
        <f>IFERROR(__xludf.DUMMYFUNCTION("""COMPUTED_VALUE"""),"Sandoz Inc.")</f>
        <v>Sandoz Inc.</v>
      </c>
      <c r="C16" s="5" t="str">
        <f>IFERROR(__xludf.DUMMYFUNCTION("""COMPUTED_VALUE"""),"Hyrimoz, Injection, 80 mg/.8 mL (NDC 61314-454-68)")</f>
        <v>Hyrimoz, Injection, 80 mg/.8 mL (NDC 61314-454-68)</v>
      </c>
      <c r="D16" s="5" t="str">
        <f>IFERROR(__xludf.DUMMYFUNCTION("""COMPUTED_VALUE"""),"New")</f>
        <v>New</v>
      </c>
      <c r="E16" s="10">
        <f>IFERROR(__xludf.DUMMYFUNCTION("""COMPUTED_VALUE"""),46035.0)</f>
        <v>46035</v>
      </c>
      <c r="F16" s="5"/>
      <c r="G16" s="5" t="str">
        <f>IFERROR(__xludf.DUMMYFUNCTION("""COMPUTED_VALUE"""),"Equivalent Sandoz format is available.")</f>
        <v>Equivalent Sandoz format is available.</v>
      </c>
      <c r="H16" s="5"/>
      <c r="I16" s="5"/>
      <c r="J16" s="5" t="str">
        <f>IFERROR(__xludf.DUMMYFUNCTION("""COMPUTED_VALUE"""),"Rheumatology")</f>
        <v>Rheumatology</v>
      </c>
      <c r="K16" s="5" t="str">
        <f>IFERROR(__xludf.DUMMYFUNCTION("""COMPUTED_VALUE"""),"To Be Discontinued")</f>
        <v>To Be Discontinued</v>
      </c>
      <c r="L16" s="5"/>
      <c r="M16" s="10">
        <f>IFERROR(__xludf.DUMMYFUNCTION("""COMPUTED_VALUE"""),46035.0)</f>
        <v>46035</v>
      </c>
      <c r="N16" s="10">
        <f>IFERROR(__xludf.DUMMYFUNCTION("""COMPUTED_VALUE"""),46035.0)</f>
        <v>46035</v>
      </c>
      <c r="O16" s="5">
        <v>2026.0</v>
      </c>
      <c r="P16" s="5" t="str">
        <f>IFERROR(__xludf.DUMMYFUNCTION("""COMPUTED_VALUE"""),"Not stated")</f>
        <v>Not stated</v>
      </c>
      <c r="Q16" s="5" t="s">
        <v>135</v>
      </c>
      <c r="R16" s="5" t="s">
        <v>136</v>
      </c>
      <c r="S16" s="11">
        <v>286.0</v>
      </c>
    </row>
    <row r="17">
      <c r="A17" s="5" t="str">
        <f>IFERROR(__xludf.DUMMYFUNCTION("""COMPUTED_VALUE"""),"Adalimumab-adaz Injection")</f>
        <v>Adalimumab-adaz Injection</v>
      </c>
      <c r="B17" s="5" t="str">
        <f>IFERROR(__xludf.DUMMYFUNCTION("""COMPUTED_VALUE"""),"Sandoz Inc.")</f>
        <v>Sandoz Inc.</v>
      </c>
      <c r="C17" s="5" t="str">
        <f>IFERROR(__xludf.DUMMYFUNCTION("""COMPUTED_VALUE"""),"Hyrimoz, Injection, 80 mg/.8 mL (NDC 61314-454-36)")</f>
        <v>Hyrimoz, Injection, 80 mg/.8 mL (NDC 61314-454-36)</v>
      </c>
      <c r="D17" s="5" t="str">
        <f>IFERROR(__xludf.DUMMYFUNCTION("""COMPUTED_VALUE"""),"New")</f>
        <v>New</v>
      </c>
      <c r="E17" s="10">
        <f>IFERROR(__xludf.DUMMYFUNCTION("""COMPUTED_VALUE"""),46035.0)</f>
        <v>46035</v>
      </c>
      <c r="F17" s="5"/>
      <c r="G17" s="5" t="str">
        <f>IFERROR(__xludf.DUMMYFUNCTION("""COMPUTED_VALUE"""),"Equivalent Sandoz format is available.")</f>
        <v>Equivalent Sandoz format is available.</v>
      </c>
      <c r="H17" s="5"/>
      <c r="I17" s="5"/>
      <c r="J17" s="5" t="str">
        <f>IFERROR(__xludf.DUMMYFUNCTION("""COMPUTED_VALUE"""),"Rheumatology")</f>
        <v>Rheumatology</v>
      </c>
      <c r="K17" s="5" t="str">
        <f>IFERROR(__xludf.DUMMYFUNCTION("""COMPUTED_VALUE"""),"To Be Discontinued")</f>
        <v>To Be Discontinued</v>
      </c>
      <c r="L17" s="5"/>
      <c r="M17" s="10">
        <f>IFERROR(__xludf.DUMMYFUNCTION("""COMPUTED_VALUE"""),46035.0)</f>
        <v>46035</v>
      </c>
      <c r="N17" s="10">
        <f>IFERROR(__xludf.DUMMYFUNCTION("""COMPUTED_VALUE"""),46035.0)</f>
        <v>46035</v>
      </c>
      <c r="O17" s="5">
        <v>2026.0</v>
      </c>
      <c r="P17" s="5" t="str">
        <f>IFERROR(__xludf.DUMMYFUNCTION("""COMPUTED_VALUE"""),"Not stated")</f>
        <v>Not stated</v>
      </c>
      <c r="Q17" s="5" t="s">
        <v>135</v>
      </c>
      <c r="R17" s="5" t="s">
        <v>136</v>
      </c>
      <c r="S17" s="11">
        <v>286.0</v>
      </c>
    </row>
    <row r="18">
      <c r="A18" s="5" t="str">
        <f>IFERROR(__xludf.DUMMYFUNCTION("""COMPUTED_VALUE"""),"Adalimumab-ryvk Kit")</f>
        <v>Adalimumab-ryvk Kit</v>
      </c>
      <c r="B18" s="5" t="str">
        <f>IFERROR(__xludf.DUMMYFUNCTION("""COMPUTED_VALUE"""),"Teva Pharmaceuticals USA, Inc.")</f>
        <v>Teva Pharmaceuticals USA, Inc.</v>
      </c>
      <c r="C18" s="5" t="str">
        <f>IFERROR(__xludf.DUMMYFUNCTION("""COMPUTED_VALUE"""),"Simlandi, Kit, Kit (NDC 51759-523-21)")</f>
        <v>Simlandi, Kit, Kit (NDC 51759-523-21)</v>
      </c>
      <c r="D18" s="5" t="str">
        <f>IFERROR(__xludf.DUMMYFUNCTION("""COMPUTED_VALUE"""),"New")</f>
        <v>New</v>
      </c>
      <c r="E18" s="13">
        <f>IFERROR(__xludf.DUMMYFUNCTION("""COMPUTED_VALUE"""),45974.0)</f>
        <v>45974</v>
      </c>
      <c r="F18" s="5"/>
      <c r="G18" s="5" t="str">
        <f>IFERROR(__xludf.DUMMYFUNCTION("""COMPUTED_VALUE"""),"Discontinuation of the manufacture of the drug")</f>
        <v>Discontinuation of the manufacture of the drug</v>
      </c>
      <c r="H18" s="5"/>
      <c r="I18" s="5"/>
      <c r="J18" s="5" t="str">
        <f>IFERROR(__xludf.DUMMYFUNCTION("""COMPUTED_VALUE"""),"Rheumatology")</f>
        <v>Rheumatology</v>
      </c>
      <c r="K18" s="5" t="str">
        <f>IFERROR(__xludf.DUMMYFUNCTION("""COMPUTED_VALUE"""),"To Be Discontinued")</f>
        <v>To Be Discontinued</v>
      </c>
      <c r="L18" s="5"/>
      <c r="M18" s="13">
        <f>IFERROR(__xludf.DUMMYFUNCTION("""COMPUTED_VALUE"""),45974.0)</f>
        <v>45974</v>
      </c>
      <c r="N18" s="13">
        <f>IFERROR(__xludf.DUMMYFUNCTION("""COMPUTED_VALUE"""),45974.0)</f>
        <v>45974</v>
      </c>
      <c r="O18" s="5">
        <v>2025.0</v>
      </c>
      <c r="P18" s="5" t="str">
        <f>IFERROR(__xludf.DUMMYFUNCTION("""COMPUTED_VALUE"""),"Not stated")</f>
        <v>Not stated</v>
      </c>
      <c r="Q18" s="5" t="s">
        <v>135</v>
      </c>
      <c r="R18" s="5" t="s">
        <v>136</v>
      </c>
      <c r="S18" s="11">
        <v>347.0</v>
      </c>
    </row>
    <row r="19">
      <c r="A19" s="5" t="str">
        <f>IFERROR(__xludf.DUMMYFUNCTION("""COMPUTED_VALUE"""),"Albuterol Sulfate Solution")</f>
        <v>Albuterol Sulfate Solution</v>
      </c>
      <c r="B19" s="5" t="str">
        <f>IFERROR(__xludf.DUMMYFUNCTION("""COMPUTED_VALUE"""),"Ritedose Pharmaceuticals, LLC")</f>
        <v>Ritedose Pharmaceuticals, LLC</v>
      </c>
      <c r="C19" s="5" t="str">
        <f>IFERROR(__xludf.DUMMYFUNCTION("""COMPUTED_VALUE"""),"Albuterol Sulfate, Solution, 2.5 mg/.5 mL (NDC 76204-027-01)")</f>
        <v>Albuterol Sulfate, Solution, 2.5 mg/.5 mL (NDC 76204-027-01)</v>
      </c>
      <c r="D19" s="5" t="str">
        <f>IFERROR(__xludf.DUMMYFUNCTION("""COMPUTED_VALUE"""),"Revised")</f>
        <v>Revised</v>
      </c>
      <c r="E19" s="10">
        <f>IFERROR(__xludf.DUMMYFUNCTION("""COMPUTED_VALUE"""),46261.0)</f>
        <v>46261</v>
      </c>
      <c r="F19" s="5"/>
      <c r="G19" s="5"/>
      <c r="H19" s="5" t="str">
        <f>IFERROR(__xludf.DUMMYFUNCTION("""COMPUTED_VALUE"""),"Available")</f>
        <v>Available</v>
      </c>
      <c r="I19" s="5"/>
      <c r="J19" s="5" t="str">
        <f>IFERROR(__xludf.DUMMYFUNCTION("""COMPUTED_VALUE"""),"Pediatric; Pulmonary/Allergy")</f>
        <v>Pediatric; Pulmonary/Allergy</v>
      </c>
      <c r="K19" s="5" t="str">
        <f>IFERROR(__xludf.DUMMYFUNCTION("""COMPUTED_VALUE"""),"Resolved")</f>
        <v>Resolved</v>
      </c>
      <c r="L19" s="10">
        <f>IFERROR(__xludf.DUMMYFUNCTION("""COMPUTED_VALUE"""),46261.0)</f>
        <v>46261</v>
      </c>
      <c r="M19" s="5"/>
      <c r="N19" s="13">
        <f>IFERROR(__xludf.DUMMYFUNCTION("""COMPUTED_VALUE"""),44859.0)</f>
        <v>44859</v>
      </c>
      <c r="O19" s="5">
        <v>2022.0</v>
      </c>
      <c r="P19" s="5" t="str">
        <f>IFERROR(__xludf.DUMMYFUNCTION("""COMPUTED_VALUE"""),"Not stated")</f>
        <v>Not stated</v>
      </c>
      <c r="Q19" s="5" t="s">
        <v>135</v>
      </c>
      <c r="R19" s="5" t="s">
        <v>136</v>
      </c>
      <c r="S19" s="11">
        <v>1462.0</v>
      </c>
    </row>
    <row r="20">
      <c r="A20" s="5" t="str">
        <f>IFERROR(__xludf.DUMMYFUNCTION("""COMPUTED_VALUE"""),"Albuterol Sulfate Solution")</f>
        <v>Albuterol Sulfate Solution</v>
      </c>
      <c r="B20" s="5" t="str">
        <f>IFERROR(__xludf.DUMMYFUNCTION("""COMPUTED_VALUE"""),"Rising Pharma Holdings, Inc.")</f>
        <v>Rising Pharma Holdings, Inc.</v>
      </c>
      <c r="C20" s="5" t="str">
        <f>IFERROR(__xludf.DUMMYFUNCTION("""COMPUTED_VALUE"""),"Albuterol Sulfate, Solution, 2.5 mg/.5 mL (NDC 64980-642-03)")</f>
        <v>Albuterol Sulfate, Solution, 2.5 mg/.5 mL (NDC 64980-642-03)</v>
      </c>
      <c r="D20" s="5" t="str">
        <f>IFERROR(__xludf.DUMMYFUNCTION("""COMPUTED_VALUE"""),"Revised")</f>
        <v>Revised</v>
      </c>
      <c r="E20" s="10">
        <f>IFERROR(__xludf.DUMMYFUNCTION("""COMPUTED_VALUE"""),46261.0)</f>
        <v>46261</v>
      </c>
      <c r="F20" s="5"/>
      <c r="G20" s="5"/>
      <c r="H20" s="5" t="str">
        <f>IFERROR(__xludf.DUMMYFUNCTION("""COMPUTED_VALUE"""),"Available")</f>
        <v>Available</v>
      </c>
      <c r="I20" s="5"/>
      <c r="J20" s="5" t="str">
        <f>IFERROR(__xludf.DUMMYFUNCTION("""COMPUTED_VALUE"""),"Pediatric; Pulmonary/Allergy")</f>
        <v>Pediatric; Pulmonary/Allergy</v>
      </c>
      <c r="K20" s="5" t="str">
        <f>IFERROR(__xludf.DUMMYFUNCTION("""COMPUTED_VALUE"""),"Resolved")</f>
        <v>Resolved</v>
      </c>
      <c r="L20" s="10">
        <f>IFERROR(__xludf.DUMMYFUNCTION("""COMPUTED_VALUE"""),46261.0)</f>
        <v>46261</v>
      </c>
      <c r="M20" s="5"/>
      <c r="N20" s="13">
        <f>IFERROR(__xludf.DUMMYFUNCTION("""COMPUTED_VALUE"""),44859.0)</f>
        <v>44859</v>
      </c>
      <c r="O20" s="5">
        <v>2022.0</v>
      </c>
      <c r="P20" s="5" t="str">
        <f>IFERROR(__xludf.DUMMYFUNCTION("""COMPUTED_VALUE"""),"Not stated")</f>
        <v>Not stated</v>
      </c>
      <c r="Q20" s="5" t="s">
        <v>135</v>
      </c>
      <c r="R20" s="5" t="s">
        <v>136</v>
      </c>
      <c r="S20" s="11">
        <v>1462.0</v>
      </c>
    </row>
    <row r="21">
      <c r="A21" s="5" t="str">
        <f>IFERROR(__xludf.DUMMYFUNCTION("""COMPUTED_VALUE"""),"Albuterol Sulfate Solution")</f>
        <v>Albuterol Sulfate Solution</v>
      </c>
      <c r="B21" s="5" t="str">
        <f>IFERROR(__xludf.DUMMYFUNCTION("""COMPUTED_VALUE"""),"Nephron Pharmaceuticals Corporation")</f>
        <v>Nephron Pharmaceuticals Corporation</v>
      </c>
      <c r="C21" s="5" t="str">
        <f>IFERROR(__xludf.DUMMYFUNCTION("""COMPUTED_VALUE"""),"Albuterol Sulfate, Solution, 2.5 mg/.5 mL (NDC 0487-9901-30)")</f>
        <v>Albuterol Sulfate, Solution, 2.5 mg/.5 mL (NDC 0487-9901-30)</v>
      </c>
      <c r="D21" s="5" t="str">
        <f>IFERROR(__xludf.DUMMYFUNCTION("""COMPUTED_VALUE"""),"Revised")</f>
        <v>Revised</v>
      </c>
      <c r="E21" s="10">
        <f>IFERROR(__xludf.DUMMYFUNCTION("""COMPUTED_VALUE"""),46261.0)</f>
        <v>46261</v>
      </c>
      <c r="F21" s="5"/>
      <c r="G21" s="5"/>
      <c r="H21" s="5" t="str">
        <f>IFERROR(__xludf.DUMMYFUNCTION("""COMPUTED_VALUE"""),"Available")</f>
        <v>Available</v>
      </c>
      <c r="I21" s="5"/>
      <c r="J21" s="5" t="str">
        <f>IFERROR(__xludf.DUMMYFUNCTION("""COMPUTED_VALUE"""),"Pulmonary/Allergy; Pediatric")</f>
        <v>Pulmonary/Allergy; Pediatric</v>
      </c>
      <c r="K21" s="5" t="str">
        <f>IFERROR(__xludf.DUMMYFUNCTION("""COMPUTED_VALUE"""),"Resolved")</f>
        <v>Resolved</v>
      </c>
      <c r="L21" s="10">
        <f>IFERROR(__xludf.DUMMYFUNCTION("""COMPUTED_VALUE"""),46261.0)</f>
        <v>46261</v>
      </c>
      <c r="M21" s="5"/>
      <c r="N21" s="13">
        <f>IFERROR(__xludf.DUMMYFUNCTION("""COMPUTED_VALUE"""),44859.0)</f>
        <v>44859</v>
      </c>
      <c r="O21" s="5">
        <v>2022.0</v>
      </c>
      <c r="P21" s="5" t="str">
        <f>IFERROR(__xludf.DUMMYFUNCTION("""COMPUTED_VALUE"""),"Not stated")</f>
        <v>Not stated</v>
      </c>
      <c r="Q21" s="5" t="s">
        <v>135</v>
      </c>
      <c r="R21" s="5" t="s">
        <v>136</v>
      </c>
      <c r="S21" s="11">
        <v>1462.0</v>
      </c>
    </row>
    <row r="22">
      <c r="A22" s="5" t="str">
        <f>IFERROR(__xludf.DUMMYFUNCTION("""COMPUTED_VALUE"""),"Allopurinol Tablet")</f>
        <v>Allopurinol Tablet</v>
      </c>
      <c r="B22" s="5" t="str">
        <f>IFERROR(__xludf.DUMMYFUNCTION("""COMPUTED_VALUE"""),"Teva Pharmaceuticals USA, Inc.")</f>
        <v>Teva Pharmaceuticals USA, Inc.</v>
      </c>
      <c r="C22" s="5" t="str">
        <f>IFERROR(__xludf.DUMMYFUNCTION("""COMPUTED_VALUE"""),"Allopurinol, Tablet, 100 mg (NDC 0591-5543-01)")</f>
        <v>Allopurinol, Tablet, 100 mg (NDC 0591-5543-01)</v>
      </c>
      <c r="D22" s="5" t="str">
        <f>IFERROR(__xludf.DUMMYFUNCTION("""COMPUTED_VALUE"""),"New")</f>
        <v>New</v>
      </c>
      <c r="E22" s="10">
        <f>IFERROR(__xludf.DUMMYFUNCTION("""COMPUTED_VALUE"""),46072.0)</f>
        <v>46072</v>
      </c>
      <c r="F22" s="5"/>
      <c r="G22" s="5" t="str">
        <f>IFERROR(__xludf.DUMMYFUNCTION("""COMPUTED_VALUE"""),"Discontinuation of the manufacture of the drug")</f>
        <v>Discontinuation of the manufacture of the drug</v>
      </c>
      <c r="H22" s="5"/>
      <c r="I22" s="5"/>
      <c r="J22" s="5" t="str">
        <f>IFERROR(__xludf.DUMMYFUNCTION("""COMPUTED_VALUE"""),"Oncology; Renal; Rheumatology")</f>
        <v>Oncology; Renal; Rheumatology</v>
      </c>
      <c r="K22" s="5" t="str">
        <f>IFERROR(__xludf.DUMMYFUNCTION("""COMPUTED_VALUE"""),"To Be Discontinued")</f>
        <v>To Be Discontinued</v>
      </c>
      <c r="L22" s="5"/>
      <c r="M22" s="10">
        <f>IFERROR(__xludf.DUMMYFUNCTION("""COMPUTED_VALUE"""),46072.0)</f>
        <v>46072</v>
      </c>
      <c r="N22" s="10">
        <f>IFERROR(__xludf.DUMMYFUNCTION("""COMPUTED_VALUE"""),46072.0)</f>
        <v>46072</v>
      </c>
      <c r="O22" s="5">
        <v>2026.0</v>
      </c>
      <c r="P22" s="5" t="str">
        <f>IFERROR(__xludf.DUMMYFUNCTION("""COMPUTED_VALUE"""),"Not stated")</f>
        <v>Not stated</v>
      </c>
      <c r="Q22" s="5" t="s">
        <v>135</v>
      </c>
      <c r="R22" s="5" t="s">
        <v>136</v>
      </c>
      <c r="S22" s="11">
        <v>249.0</v>
      </c>
    </row>
    <row r="23">
      <c r="A23" s="5" t="str">
        <f>IFERROR(__xludf.DUMMYFUNCTION("""COMPUTED_VALUE"""),"Allopurinol Tablet")</f>
        <v>Allopurinol Tablet</v>
      </c>
      <c r="B23" s="5" t="str">
        <f>IFERROR(__xludf.DUMMYFUNCTION("""COMPUTED_VALUE"""),"Teva Pharmaceuticals USA, Inc.")</f>
        <v>Teva Pharmaceuticals USA, Inc.</v>
      </c>
      <c r="C23" s="5" t="str">
        <f>IFERROR(__xludf.DUMMYFUNCTION("""COMPUTED_VALUE"""),"Allopurinol, Tablet, 100 mg (NDC 0591-5543-10)")</f>
        <v>Allopurinol, Tablet, 100 mg (NDC 0591-5543-10)</v>
      </c>
      <c r="D23" s="5" t="str">
        <f>IFERROR(__xludf.DUMMYFUNCTION("""COMPUTED_VALUE"""),"New")</f>
        <v>New</v>
      </c>
      <c r="E23" s="10">
        <f>IFERROR(__xludf.DUMMYFUNCTION("""COMPUTED_VALUE"""),46072.0)</f>
        <v>46072</v>
      </c>
      <c r="F23" s="5"/>
      <c r="G23" s="5" t="str">
        <f>IFERROR(__xludf.DUMMYFUNCTION("""COMPUTED_VALUE"""),"Discontinuation of the manufacture of the drug")</f>
        <v>Discontinuation of the manufacture of the drug</v>
      </c>
      <c r="H23" s="5"/>
      <c r="I23" s="5"/>
      <c r="J23" s="5" t="str">
        <f>IFERROR(__xludf.DUMMYFUNCTION("""COMPUTED_VALUE"""),"Oncology; Renal; Rheumatology")</f>
        <v>Oncology; Renal; Rheumatology</v>
      </c>
      <c r="K23" s="5" t="str">
        <f>IFERROR(__xludf.DUMMYFUNCTION("""COMPUTED_VALUE"""),"To Be Discontinued")</f>
        <v>To Be Discontinued</v>
      </c>
      <c r="L23" s="5"/>
      <c r="M23" s="10">
        <f>IFERROR(__xludf.DUMMYFUNCTION("""COMPUTED_VALUE"""),46072.0)</f>
        <v>46072</v>
      </c>
      <c r="N23" s="10">
        <f>IFERROR(__xludf.DUMMYFUNCTION("""COMPUTED_VALUE"""),46072.0)</f>
        <v>46072</v>
      </c>
      <c r="O23" s="5">
        <v>2026.0</v>
      </c>
      <c r="P23" s="5" t="str">
        <f>IFERROR(__xludf.DUMMYFUNCTION("""COMPUTED_VALUE"""),"Not stated")</f>
        <v>Not stated</v>
      </c>
      <c r="Q23" s="5" t="s">
        <v>135</v>
      </c>
      <c r="R23" s="5" t="s">
        <v>136</v>
      </c>
      <c r="S23" s="11">
        <v>249.0</v>
      </c>
    </row>
    <row r="24">
      <c r="A24" s="5" t="str">
        <f>IFERROR(__xludf.DUMMYFUNCTION("""COMPUTED_VALUE"""),"Allopurinol Tablet")</f>
        <v>Allopurinol Tablet</v>
      </c>
      <c r="B24" s="5" t="str">
        <f>IFERROR(__xludf.DUMMYFUNCTION("""COMPUTED_VALUE"""),"Teva Pharmaceuticals USA, Inc.")</f>
        <v>Teva Pharmaceuticals USA, Inc.</v>
      </c>
      <c r="C24" s="5" t="str">
        <f>IFERROR(__xludf.DUMMYFUNCTION("""COMPUTED_VALUE"""),"Allopurinol, Tablet, 300 mg (NDC 0591-5544-01)")</f>
        <v>Allopurinol, Tablet, 300 mg (NDC 0591-5544-01)</v>
      </c>
      <c r="D24" s="5" t="str">
        <f>IFERROR(__xludf.DUMMYFUNCTION("""COMPUTED_VALUE"""),"New")</f>
        <v>New</v>
      </c>
      <c r="E24" s="10">
        <f>IFERROR(__xludf.DUMMYFUNCTION("""COMPUTED_VALUE"""),46072.0)</f>
        <v>46072</v>
      </c>
      <c r="F24" s="5"/>
      <c r="G24" s="5" t="str">
        <f>IFERROR(__xludf.DUMMYFUNCTION("""COMPUTED_VALUE"""),"Discontinuation of the manufacture of the drug")</f>
        <v>Discontinuation of the manufacture of the drug</v>
      </c>
      <c r="H24" s="5"/>
      <c r="I24" s="5"/>
      <c r="J24" s="5" t="str">
        <f>IFERROR(__xludf.DUMMYFUNCTION("""COMPUTED_VALUE"""),"Oncology; Renal; Rheumatology")</f>
        <v>Oncology; Renal; Rheumatology</v>
      </c>
      <c r="K24" s="5" t="str">
        <f>IFERROR(__xludf.DUMMYFUNCTION("""COMPUTED_VALUE"""),"To Be Discontinued")</f>
        <v>To Be Discontinued</v>
      </c>
      <c r="L24" s="5"/>
      <c r="M24" s="10">
        <f>IFERROR(__xludf.DUMMYFUNCTION("""COMPUTED_VALUE"""),46072.0)</f>
        <v>46072</v>
      </c>
      <c r="N24" s="10">
        <f>IFERROR(__xludf.DUMMYFUNCTION("""COMPUTED_VALUE"""),46072.0)</f>
        <v>46072</v>
      </c>
      <c r="O24" s="5">
        <v>2026.0</v>
      </c>
      <c r="P24" s="5" t="str">
        <f>IFERROR(__xludf.DUMMYFUNCTION("""COMPUTED_VALUE"""),"Not stated")</f>
        <v>Not stated</v>
      </c>
      <c r="Q24" s="5" t="s">
        <v>135</v>
      </c>
      <c r="R24" s="5" t="s">
        <v>136</v>
      </c>
      <c r="S24" s="11">
        <v>249.0</v>
      </c>
    </row>
    <row r="25">
      <c r="A25" s="5" t="str">
        <f>IFERROR(__xludf.DUMMYFUNCTION("""COMPUTED_VALUE"""),"Allopurinol Tablet")</f>
        <v>Allopurinol Tablet</v>
      </c>
      <c r="B25" s="5" t="str">
        <f>IFERROR(__xludf.DUMMYFUNCTION("""COMPUTED_VALUE"""),"Teva Pharmaceuticals USA, Inc.")</f>
        <v>Teva Pharmaceuticals USA, Inc.</v>
      </c>
      <c r="C25" s="5" t="str">
        <f>IFERROR(__xludf.DUMMYFUNCTION("""COMPUTED_VALUE"""),"Allopurinol, Tablet, 300 mg (NDC 0591-5544-05)")</f>
        <v>Allopurinol, Tablet, 300 mg (NDC 0591-5544-05)</v>
      </c>
      <c r="D25" s="5" t="str">
        <f>IFERROR(__xludf.DUMMYFUNCTION("""COMPUTED_VALUE"""),"New")</f>
        <v>New</v>
      </c>
      <c r="E25" s="10">
        <f>IFERROR(__xludf.DUMMYFUNCTION("""COMPUTED_VALUE"""),46072.0)</f>
        <v>46072</v>
      </c>
      <c r="F25" s="5"/>
      <c r="G25" s="5" t="str">
        <f>IFERROR(__xludf.DUMMYFUNCTION("""COMPUTED_VALUE"""),"Discontinuation of the manufacture of the drug")</f>
        <v>Discontinuation of the manufacture of the drug</v>
      </c>
      <c r="H25" s="5"/>
      <c r="I25" s="5"/>
      <c r="J25" s="5" t="str">
        <f>IFERROR(__xludf.DUMMYFUNCTION("""COMPUTED_VALUE"""),"Oncology; Renal; Rheumatology")</f>
        <v>Oncology; Renal; Rheumatology</v>
      </c>
      <c r="K25" s="5" t="str">
        <f>IFERROR(__xludf.DUMMYFUNCTION("""COMPUTED_VALUE"""),"To Be Discontinued")</f>
        <v>To Be Discontinued</v>
      </c>
      <c r="L25" s="5"/>
      <c r="M25" s="10">
        <f>IFERROR(__xludf.DUMMYFUNCTION("""COMPUTED_VALUE"""),46072.0)</f>
        <v>46072</v>
      </c>
      <c r="N25" s="10">
        <f>IFERROR(__xludf.DUMMYFUNCTION("""COMPUTED_VALUE"""),46072.0)</f>
        <v>46072</v>
      </c>
      <c r="O25" s="5">
        <v>2026.0</v>
      </c>
      <c r="P25" s="5" t="str">
        <f>IFERROR(__xludf.DUMMYFUNCTION("""COMPUTED_VALUE"""),"Not stated")</f>
        <v>Not stated</v>
      </c>
      <c r="Q25" s="5" t="s">
        <v>135</v>
      </c>
      <c r="R25" s="5" t="s">
        <v>136</v>
      </c>
      <c r="S25" s="11">
        <v>249.0</v>
      </c>
    </row>
    <row r="26">
      <c r="A26" s="5" t="str">
        <f>IFERROR(__xludf.DUMMYFUNCTION("""COMPUTED_VALUE"""),"Alteplase Injection")</f>
        <v>Alteplase Injection</v>
      </c>
      <c r="B26" s="5" t="str">
        <f>IFERROR(__xludf.DUMMYFUNCTION("""COMPUTED_VALUE"""),"Genentech, Inc")</f>
        <v>Genentech, Inc</v>
      </c>
      <c r="C26" s="5" t="str">
        <f>IFERROR(__xludf.DUMMYFUNCTION("""COMPUTED_VALUE"""),"Activase, Injection, 1 KIT in 1 CARTON (50242-085-27) * 100 mL in 1 VIAL, SINGLE-USE * 100 mL in 1 VIAL, SINGLE USE (NDC 50242-085-27)")</f>
        <v>Activase, Injection, 1 KIT in 1 CARTON (50242-085-27) * 100 mL in 1 VIAL, SINGLE-USE * 100 mL in 1 VIAL, SINGLE USE (NDC 50242-085-27)</v>
      </c>
      <c r="D26" s="5" t="str">
        <f>IFERROR(__xludf.DUMMYFUNCTION("""COMPUTED_VALUE"""),"New")</f>
        <v>New</v>
      </c>
      <c r="E26" s="10">
        <f>IFERROR(__xludf.DUMMYFUNCTION("""COMPUTED_VALUE"""),46163.0)</f>
        <v>46163</v>
      </c>
      <c r="F26" s="5"/>
      <c r="G26" s="5" t="str">
        <f>IFERROR(__xludf.DUMMYFUNCTION("""COMPUTED_VALUE"""),"Discontinuation of the 100mg vial configuration")</f>
        <v>Discontinuation of the 100mg vial configuration</v>
      </c>
      <c r="H26" s="5"/>
      <c r="I26" s="5"/>
      <c r="J26" s="5" t="str">
        <f>IFERROR(__xludf.DUMMYFUNCTION("""COMPUTED_VALUE"""),"Cardiovascular; Hematology; Neurology")</f>
        <v>Cardiovascular; Hematology; Neurology</v>
      </c>
      <c r="K26" s="5" t="str">
        <f>IFERROR(__xludf.DUMMYFUNCTION("""COMPUTED_VALUE"""),"To Be Discontinued")</f>
        <v>To Be Discontinued</v>
      </c>
      <c r="L26" s="5"/>
      <c r="M26" s="10">
        <f>IFERROR(__xludf.DUMMYFUNCTION("""COMPUTED_VALUE"""),46163.0)</f>
        <v>46163</v>
      </c>
      <c r="N26" s="10">
        <f>IFERROR(__xludf.DUMMYFUNCTION("""COMPUTED_VALUE"""),46163.0)</f>
        <v>46163</v>
      </c>
      <c r="O26" s="5">
        <v>2026.0</v>
      </c>
      <c r="P26" s="5" t="str">
        <f>IFERROR(__xludf.DUMMYFUNCTION("""COMPUTED_VALUE"""),"Not stated")</f>
        <v>Not stated</v>
      </c>
      <c r="Q26" s="5" t="s">
        <v>135</v>
      </c>
      <c r="R26" s="5" t="s">
        <v>136</v>
      </c>
      <c r="S26" s="11">
        <v>158.0</v>
      </c>
    </row>
    <row r="27">
      <c r="A27" s="5" t="str">
        <f>IFERROR(__xludf.DUMMYFUNCTION("""COMPUTED_VALUE"""),"Amino Acid Injection")</f>
        <v>Amino Acid Injection</v>
      </c>
      <c r="B27" s="5" t="str">
        <f>IFERROR(__xludf.DUMMYFUNCTION("""COMPUTED_VALUE"""),"Baxter Healthcare")</f>
        <v>Baxter Healthcare</v>
      </c>
      <c r="C27" s="5" t="str">
        <f>IFERROR(__xludf.DUMMYFUNCTION("""COMPUTED_VALUE"""),"Premasol 10% Sulfite Free in VIAFLEX Plastic Container, Injection, 0.1 (NDC 0338-1130-03)")</f>
        <v>Premasol 10% Sulfite Free in VIAFLEX Plastic Container, Injection, 0.1 (NDC 0338-1130-03)</v>
      </c>
      <c r="D27" s="5" t="str">
        <f>IFERROR(__xludf.DUMMYFUNCTION("""COMPUTED_VALUE"""),"Reverified")</f>
        <v>Reverified</v>
      </c>
      <c r="E27" s="13">
        <f>IFERROR(__xludf.DUMMYFUNCTION("""COMPUTED_VALUE"""),46311.0)</f>
        <v>46311</v>
      </c>
      <c r="F27" s="5" t="str">
        <f>IFERROR(__xludf.DUMMYFUNCTION("""COMPUTED_VALUE"""),"Available")</f>
        <v>Available</v>
      </c>
      <c r="G27" s="5"/>
      <c r="H27" s="5"/>
      <c r="I27" s="5"/>
      <c r="J27" s="5" t="str">
        <f>IFERROR(__xludf.DUMMYFUNCTION("""COMPUTED_VALUE"""),"Gastroenterology")</f>
        <v>Gastroenterology</v>
      </c>
      <c r="K27" s="5" t="str">
        <f>IFERROR(__xludf.DUMMYFUNCTION("""COMPUTED_VALUE"""),"Current")</f>
        <v>Current</v>
      </c>
      <c r="L27" s="5"/>
      <c r="M27" s="5"/>
      <c r="N27" s="10">
        <f>IFERROR(__xludf.DUMMYFUNCTION("""COMPUTED_VALUE"""),44173.0)</f>
        <v>44173</v>
      </c>
      <c r="O27" s="5">
        <v>2020.0</v>
      </c>
      <c r="P27" s="5" t="str">
        <f>IFERROR(__xludf.DUMMYFUNCTION("""COMPUTED_VALUE"""),"Available")</f>
        <v>Available</v>
      </c>
      <c r="Q27" s="5" t="s">
        <v>135</v>
      </c>
      <c r="R27" s="5" t="s">
        <v>136</v>
      </c>
      <c r="S27" s="11">
        <v>2148.0</v>
      </c>
    </row>
    <row r="28">
      <c r="A28" s="5" t="str">
        <f>IFERROR(__xludf.DUMMYFUNCTION("""COMPUTED_VALUE"""),"Amino Acid Injection")</f>
        <v>Amino Acid Injection</v>
      </c>
      <c r="B28" s="5" t="str">
        <f>IFERROR(__xludf.DUMMYFUNCTION("""COMPUTED_VALUE"""),"Baxter Healthcare")</f>
        <v>Baxter Healthcare</v>
      </c>
      <c r="C28" s="5" t="str">
        <f>IFERROR(__xludf.DUMMYFUNCTION("""COMPUTED_VALUE"""),"Premasol 10% Sulfite Free in VIAFLEX Plastic Container, Injection, 0.1 (NDC 0338-1130-04)")</f>
        <v>Premasol 10% Sulfite Free in VIAFLEX Plastic Container, Injection, 0.1 (NDC 0338-1130-04)</v>
      </c>
      <c r="D28" s="5" t="str">
        <f>IFERROR(__xludf.DUMMYFUNCTION("""COMPUTED_VALUE"""),"Reverified")</f>
        <v>Reverified</v>
      </c>
      <c r="E28" s="13">
        <f>IFERROR(__xludf.DUMMYFUNCTION("""COMPUTED_VALUE"""),46311.0)</f>
        <v>46311</v>
      </c>
      <c r="F28" s="5" t="str">
        <f>IFERROR(__xludf.DUMMYFUNCTION("""COMPUTED_VALUE"""),"Available")</f>
        <v>Available</v>
      </c>
      <c r="G28" s="5"/>
      <c r="H28" s="5"/>
      <c r="I28" s="5"/>
      <c r="J28" s="5" t="str">
        <f>IFERROR(__xludf.DUMMYFUNCTION("""COMPUTED_VALUE"""),"Gastroenterology")</f>
        <v>Gastroenterology</v>
      </c>
      <c r="K28" s="5" t="str">
        <f>IFERROR(__xludf.DUMMYFUNCTION("""COMPUTED_VALUE"""),"Current")</f>
        <v>Current</v>
      </c>
      <c r="L28" s="5"/>
      <c r="M28" s="5"/>
      <c r="N28" s="10">
        <f>IFERROR(__xludf.DUMMYFUNCTION("""COMPUTED_VALUE"""),44173.0)</f>
        <v>44173</v>
      </c>
      <c r="O28" s="5">
        <v>2020.0</v>
      </c>
      <c r="P28" s="5" t="str">
        <f>IFERROR(__xludf.DUMMYFUNCTION("""COMPUTED_VALUE"""),"Available")</f>
        <v>Available</v>
      </c>
      <c r="Q28" s="5" t="s">
        <v>135</v>
      </c>
      <c r="R28" s="5" t="s">
        <v>136</v>
      </c>
      <c r="S28" s="11">
        <v>2148.0</v>
      </c>
    </row>
    <row r="29">
      <c r="A29" s="5" t="str">
        <f>IFERROR(__xludf.DUMMYFUNCTION("""COMPUTED_VALUE"""),"Amino Acid Injection")</f>
        <v>Amino Acid Injection</v>
      </c>
      <c r="B29" s="5" t="str">
        <f>IFERROR(__xludf.DUMMYFUNCTION("""COMPUTED_VALUE"""),"Baxter Healthcare")</f>
        <v>Baxter Healthcare</v>
      </c>
      <c r="C29" s="5" t="str">
        <f>IFERROR(__xludf.DUMMYFUNCTION("""COMPUTED_VALUE"""),"Premasol 10% Sulfite Free in VIAFLEX Plastic Container, Injection, 0.1 (NDC 0338-1130-06)")</f>
        <v>Premasol 10% Sulfite Free in VIAFLEX Plastic Container, Injection, 0.1 (NDC 0338-1130-06)</v>
      </c>
      <c r="D29" s="5" t="str">
        <f>IFERROR(__xludf.DUMMYFUNCTION("""COMPUTED_VALUE"""),"Reverified")</f>
        <v>Reverified</v>
      </c>
      <c r="E29" s="13">
        <f>IFERROR(__xludf.DUMMYFUNCTION("""COMPUTED_VALUE"""),46311.0)</f>
        <v>46311</v>
      </c>
      <c r="F29" s="5" t="str">
        <f>IFERROR(__xludf.DUMMYFUNCTION("""COMPUTED_VALUE"""),"Available")</f>
        <v>Available</v>
      </c>
      <c r="G29" s="5"/>
      <c r="H29" s="5"/>
      <c r="I29" s="5"/>
      <c r="J29" s="5" t="str">
        <f>IFERROR(__xludf.DUMMYFUNCTION("""COMPUTED_VALUE"""),"Gastroenterology")</f>
        <v>Gastroenterology</v>
      </c>
      <c r="K29" s="5" t="str">
        <f>IFERROR(__xludf.DUMMYFUNCTION("""COMPUTED_VALUE"""),"Current")</f>
        <v>Current</v>
      </c>
      <c r="L29" s="5"/>
      <c r="M29" s="5"/>
      <c r="N29" s="10">
        <f>IFERROR(__xludf.DUMMYFUNCTION("""COMPUTED_VALUE"""),44173.0)</f>
        <v>44173</v>
      </c>
      <c r="O29" s="5">
        <v>2020.0</v>
      </c>
      <c r="P29" s="5" t="str">
        <f>IFERROR(__xludf.DUMMYFUNCTION("""COMPUTED_VALUE"""),"Available")</f>
        <v>Available</v>
      </c>
      <c r="Q29" s="5" t="s">
        <v>135</v>
      </c>
      <c r="R29" s="5" t="s">
        <v>136</v>
      </c>
      <c r="S29" s="11">
        <v>2148.0</v>
      </c>
    </row>
    <row r="30">
      <c r="A30" s="5" t="str">
        <f>IFERROR(__xludf.DUMMYFUNCTION("""COMPUTED_VALUE"""),"Amino Acid Injection")</f>
        <v>Amino Acid Injection</v>
      </c>
      <c r="B30" s="5" t="str">
        <f>IFERROR(__xludf.DUMMYFUNCTION("""COMPUTED_VALUE"""),"B. Braun Medical Inc.")</f>
        <v>B. Braun Medical Inc.</v>
      </c>
      <c r="C30" s="5" t="str">
        <f>IFERROR(__xludf.DUMMYFUNCTION("""COMPUTED_VALUE"""),"TrophAmine 10%, Injection, 0.1 (NDC 0264-1933-10)")</f>
        <v>TrophAmine 10%, Injection, 0.1 (NDC 0264-1933-10)</v>
      </c>
      <c r="D30" s="5" t="str">
        <f>IFERROR(__xludf.DUMMYFUNCTION("""COMPUTED_VALUE"""),"Reverified")</f>
        <v>Reverified</v>
      </c>
      <c r="E30" s="13">
        <f>IFERROR(__xludf.DUMMYFUNCTION("""COMPUTED_VALUE"""),46314.0)</f>
        <v>46314</v>
      </c>
      <c r="F30" s="5" t="str">
        <f>IFERROR(__xludf.DUMMYFUNCTION("""COMPUTED_VALUE"""),"Available")</f>
        <v>Available</v>
      </c>
      <c r="G30" s="5"/>
      <c r="H30" s="5"/>
      <c r="I30" s="5"/>
      <c r="J30" s="5" t="str">
        <f>IFERROR(__xludf.DUMMYFUNCTION("""COMPUTED_VALUE"""),"Gastroenterology")</f>
        <v>Gastroenterology</v>
      </c>
      <c r="K30" s="5" t="str">
        <f>IFERROR(__xludf.DUMMYFUNCTION("""COMPUTED_VALUE"""),"Current")</f>
        <v>Current</v>
      </c>
      <c r="L30" s="5"/>
      <c r="M30" s="5"/>
      <c r="N30" s="10">
        <f>IFERROR(__xludf.DUMMYFUNCTION("""COMPUTED_VALUE"""),44173.0)</f>
        <v>44173</v>
      </c>
      <c r="O30" s="5">
        <v>2020.0</v>
      </c>
      <c r="P30" s="5" t="str">
        <f>IFERROR(__xludf.DUMMYFUNCTION("""COMPUTED_VALUE"""),"Available")</f>
        <v>Available</v>
      </c>
      <c r="Q30" s="5" t="s">
        <v>135</v>
      </c>
      <c r="R30" s="5" t="s">
        <v>136</v>
      </c>
      <c r="S30" s="11">
        <v>2148.0</v>
      </c>
    </row>
    <row r="31">
      <c r="A31" s="5" t="str">
        <f>IFERROR(__xludf.DUMMYFUNCTION("""COMPUTED_VALUE"""),"Amino Acid Injection")</f>
        <v>Amino Acid Injection</v>
      </c>
      <c r="B31" s="5" t="str">
        <f>IFERROR(__xludf.DUMMYFUNCTION("""COMPUTED_VALUE"""),"Baxter Healthcare")</f>
        <v>Baxter Healthcare</v>
      </c>
      <c r="C31" s="5" t="str">
        <f>IFERROR(__xludf.DUMMYFUNCTION("""COMPUTED_VALUE"""),"PROSOL 20% SULFITE FREE IN PLASTIC CONTAINER, Injection, 2.76 g/100 mL; 1.96 g/100 mL; 600 mg/100 mL; 1.02 g/100 mL; 2.06 g/100 mL; 1.18 g/100 mL; 1.08 g/100 mL; 1.08 g/100 mL; 1.35 g/100 mL; 760 mg/100 mL; 1 g/100 mL; 1.34 g/100 mL; 1.02 g/100 mL; 980 mg"&amp;"/100 mL; 320 mg/100 mL; 50 mg/100 mL; 1.44 g/100 mL (NDC 0338-0499-06)")</f>
        <v>PROSOL 20% SULFITE FREE IN PLASTIC CONTAINER, Injection, 2.76 g/100 mL; 1.96 g/100 mL; 600 mg/100 mL; 1.02 g/100 mL; 2.06 g/100 mL; 1.18 g/100 mL; 1.08 g/100 mL; 1.08 g/100 mL; 1.35 g/100 mL; 760 mg/100 mL; 1 g/100 mL; 1.34 g/100 mL; 1.02 g/100 mL; 980 mg/100 mL; 320 mg/100 mL; 50 mg/100 mL; 1.44 g/100 mL (NDC 0338-0499-06)</v>
      </c>
      <c r="D31" s="5" t="str">
        <f>IFERROR(__xludf.DUMMYFUNCTION("""COMPUTED_VALUE"""),"Reverified")</f>
        <v>Reverified</v>
      </c>
      <c r="E31" s="13">
        <f>IFERROR(__xludf.DUMMYFUNCTION("""COMPUTED_VALUE"""),46311.0)</f>
        <v>46311</v>
      </c>
      <c r="F31" s="5" t="str">
        <f>IFERROR(__xludf.DUMMYFUNCTION("""COMPUTED_VALUE"""),"Available")</f>
        <v>Available</v>
      </c>
      <c r="G31" s="5"/>
      <c r="H31" s="5"/>
      <c r="I31" s="5"/>
      <c r="J31" s="5" t="str">
        <f>IFERROR(__xludf.DUMMYFUNCTION("""COMPUTED_VALUE"""),"Gastroenterology")</f>
        <v>Gastroenterology</v>
      </c>
      <c r="K31" s="5" t="str">
        <f>IFERROR(__xludf.DUMMYFUNCTION("""COMPUTED_VALUE"""),"Current")</f>
        <v>Current</v>
      </c>
      <c r="L31" s="5"/>
      <c r="M31" s="5"/>
      <c r="N31" s="10">
        <f>IFERROR(__xludf.DUMMYFUNCTION("""COMPUTED_VALUE"""),44173.0)</f>
        <v>44173</v>
      </c>
      <c r="O31" s="5">
        <v>2020.0</v>
      </c>
      <c r="P31" s="5" t="str">
        <f>IFERROR(__xludf.DUMMYFUNCTION("""COMPUTED_VALUE"""),"Available")</f>
        <v>Available</v>
      </c>
      <c r="Q31" s="5" t="s">
        <v>135</v>
      </c>
      <c r="R31" s="5" t="s">
        <v>136</v>
      </c>
      <c r="S31" s="11">
        <v>2148.0</v>
      </c>
    </row>
    <row r="32">
      <c r="A32" s="5" t="str">
        <f>IFERROR(__xludf.DUMMYFUNCTION("""COMPUTED_VALUE"""),"Amino Acid Injection")</f>
        <v>Amino Acid Injection</v>
      </c>
      <c r="B32" s="5" t="str">
        <f>IFERROR(__xludf.DUMMYFUNCTION("""COMPUTED_VALUE"""),"Baxter Healthcare")</f>
        <v>Baxter Healthcare</v>
      </c>
      <c r="C32" s="5" t="str">
        <f>IFERROR(__xludf.DUMMYFUNCTION("""COMPUTED_VALUE"""),"Travasol, Injection, 2.07 g/100 mL; 1.15 g/100 mL; 1.03 g/100 mL; 480 mg/100 mL; 600 mg/100 mL; 730 mg/100 mL; 580 mg/100 mL; 400 mg/100 mL; 560 mg/100 mL; 680 mg/100 mL; 500 mg/100 mL; 420 mg/100 mL; 180 mg/100 mL; 40 mg/100 mL; 580 mg/100 mL (NDC 0338-0"&amp;"644-03)")</f>
        <v>Travasol, Injection, 2.07 g/100 mL; 1.15 g/100 mL; 1.03 g/100 mL; 480 mg/100 mL; 600 mg/100 mL; 730 mg/100 mL; 580 mg/100 mL; 400 mg/100 mL; 560 mg/100 mL; 680 mg/100 mL; 500 mg/100 mL; 420 mg/100 mL; 180 mg/100 mL; 40 mg/100 mL; 580 mg/100 mL (NDC 0338-0644-03)</v>
      </c>
      <c r="D32" s="5" t="str">
        <f>IFERROR(__xludf.DUMMYFUNCTION("""COMPUTED_VALUE"""),"Reverified")</f>
        <v>Reverified</v>
      </c>
      <c r="E32" s="13">
        <f>IFERROR(__xludf.DUMMYFUNCTION("""COMPUTED_VALUE"""),46311.0)</f>
        <v>46311</v>
      </c>
      <c r="F32" s="5" t="str">
        <f>IFERROR(__xludf.DUMMYFUNCTION("""COMPUTED_VALUE"""),"Unavailable")</f>
        <v>Unavailable</v>
      </c>
      <c r="G32" s="5" t="str">
        <f>IFERROR(__xludf.DUMMYFUNCTION("""COMPUTED_VALUE"""),"Estimated recovery: December 2026")</f>
        <v>Estimated recovery: December 2026</v>
      </c>
      <c r="H32" s="5"/>
      <c r="I32" s="5" t="str">
        <f>IFERROR(__xludf.DUMMYFUNCTION("""COMPUTED_VALUE"""),"Shortage of an inactive ingredient component")</f>
        <v>Shortage of an inactive ingredient component</v>
      </c>
      <c r="J32" s="5" t="str">
        <f>IFERROR(__xludf.DUMMYFUNCTION("""COMPUTED_VALUE"""),"Gastroenterology")</f>
        <v>Gastroenterology</v>
      </c>
      <c r="K32" s="5" t="str">
        <f>IFERROR(__xludf.DUMMYFUNCTION("""COMPUTED_VALUE"""),"Current")</f>
        <v>Current</v>
      </c>
      <c r="L32" s="5"/>
      <c r="M32" s="5"/>
      <c r="N32" s="10">
        <f>IFERROR(__xludf.DUMMYFUNCTION("""COMPUTED_VALUE"""),44173.0)</f>
        <v>44173</v>
      </c>
      <c r="O32" s="5">
        <v>2020.0</v>
      </c>
      <c r="P32" s="5" t="str">
        <f>IFERROR(__xludf.DUMMYFUNCTION("""COMPUTED_VALUE"""),"Unavailable")</f>
        <v>Unavailable</v>
      </c>
      <c r="Q32" s="5" t="s">
        <v>109</v>
      </c>
      <c r="R32" s="5" t="s">
        <v>136</v>
      </c>
      <c r="S32" s="11">
        <v>2148.0</v>
      </c>
    </row>
    <row r="33">
      <c r="A33" s="5" t="str">
        <f>IFERROR(__xludf.DUMMYFUNCTION("""COMPUTED_VALUE"""),"Amino Acid Injection")</f>
        <v>Amino Acid Injection</v>
      </c>
      <c r="B33" s="5" t="str">
        <f>IFERROR(__xludf.DUMMYFUNCTION("""COMPUTED_VALUE"""),"Baxter Healthcare")</f>
        <v>Baxter Healthcare</v>
      </c>
      <c r="C33" s="5" t="str">
        <f>IFERROR(__xludf.DUMMYFUNCTION("""COMPUTED_VALUE"""),"Travasol, Injection, 2.07 g/100 mL; 1.15 g/100 mL; 1.03 g/100 mL; 480 mg/100 mL; 600 mg/100 mL; 730 mg/100 mL; 580 mg/100 mL; 400 mg/100 mL; 560 mg/100 mL; 680 mg/100 mL; 500 mg/100 mL; 420 mg/100 mL; 180 mg/100 mL; 40 mg/100 mL; 580 mg/100 mL (NDC 0338-0"&amp;"644-04)")</f>
        <v>Travasol, Injection, 2.07 g/100 mL; 1.15 g/100 mL; 1.03 g/100 mL; 480 mg/100 mL; 600 mg/100 mL; 730 mg/100 mL; 580 mg/100 mL; 400 mg/100 mL; 560 mg/100 mL; 680 mg/100 mL; 500 mg/100 mL; 420 mg/100 mL; 180 mg/100 mL; 40 mg/100 mL; 580 mg/100 mL (NDC 0338-0644-04)</v>
      </c>
      <c r="D33" s="5" t="str">
        <f>IFERROR(__xludf.DUMMYFUNCTION("""COMPUTED_VALUE"""),"Reverified")</f>
        <v>Reverified</v>
      </c>
      <c r="E33" s="13">
        <f>IFERROR(__xludf.DUMMYFUNCTION("""COMPUTED_VALUE"""),46311.0)</f>
        <v>46311</v>
      </c>
      <c r="F33" s="5" t="str">
        <f>IFERROR(__xludf.DUMMYFUNCTION("""COMPUTED_VALUE"""),"Available")</f>
        <v>Available</v>
      </c>
      <c r="G33" s="5"/>
      <c r="H33" s="5"/>
      <c r="I33" s="5"/>
      <c r="J33" s="5" t="str">
        <f>IFERROR(__xludf.DUMMYFUNCTION("""COMPUTED_VALUE"""),"Gastroenterology")</f>
        <v>Gastroenterology</v>
      </c>
      <c r="K33" s="5" t="str">
        <f>IFERROR(__xludf.DUMMYFUNCTION("""COMPUTED_VALUE"""),"Current")</f>
        <v>Current</v>
      </c>
      <c r="L33" s="5"/>
      <c r="M33" s="5"/>
      <c r="N33" s="10">
        <f>IFERROR(__xludf.DUMMYFUNCTION("""COMPUTED_VALUE"""),44173.0)</f>
        <v>44173</v>
      </c>
      <c r="O33" s="5">
        <v>2020.0</v>
      </c>
      <c r="P33" s="5" t="str">
        <f>IFERROR(__xludf.DUMMYFUNCTION("""COMPUTED_VALUE"""),"Available")</f>
        <v>Available</v>
      </c>
      <c r="Q33" s="5" t="s">
        <v>135</v>
      </c>
      <c r="R33" s="5" t="s">
        <v>136</v>
      </c>
      <c r="S33" s="11">
        <v>2148.0</v>
      </c>
    </row>
    <row r="34">
      <c r="A34" s="5" t="str">
        <f>IFERROR(__xludf.DUMMYFUNCTION("""COMPUTED_VALUE"""),"Amino Acid Injection")</f>
        <v>Amino Acid Injection</v>
      </c>
      <c r="B34" s="5" t="str">
        <f>IFERROR(__xludf.DUMMYFUNCTION("""COMPUTED_VALUE"""),"Baxter Healthcare")</f>
        <v>Baxter Healthcare</v>
      </c>
      <c r="C34" s="5" t="str">
        <f>IFERROR(__xludf.DUMMYFUNCTION("""COMPUTED_VALUE"""),"Travasol, Injection, 2.07 g/100 mL; 1.15 g/100 mL; 1.03 g/100 mL; 480 mg/100 mL; 600 mg/100 mL; 730 mg/100 mL; 580 mg/100 mL; 400 mg/100 mL; 560 mg/100 mL; 680 mg/100 mL; 500 mg/100 mL; 420 mg/100 mL; 180 mg/100 mL; 40 mg/100 mL; 580 mg/100 mL (NDC 0338-0"&amp;"644-06)")</f>
        <v>Travasol, Injection, 2.07 g/100 mL; 1.15 g/100 mL; 1.03 g/100 mL; 480 mg/100 mL; 600 mg/100 mL; 730 mg/100 mL; 580 mg/100 mL; 400 mg/100 mL; 560 mg/100 mL; 680 mg/100 mL; 500 mg/100 mL; 420 mg/100 mL; 180 mg/100 mL; 40 mg/100 mL; 580 mg/100 mL (NDC 0338-0644-06)</v>
      </c>
      <c r="D34" s="5" t="str">
        <f>IFERROR(__xludf.DUMMYFUNCTION("""COMPUTED_VALUE"""),"Reverified")</f>
        <v>Reverified</v>
      </c>
      <c r="E34" s="13">
        <f>IFERROR(__xludf.DUMMYFUNCTION("""COMPUTED_VALUE"""),46311.0)</f>
        <v>46311</v>
      </c>
      <c r="F34" s="5" t="str">
        <f>IFERROR(__xludf.DUMMYFUNCTION("""COMPUTED_VALUE"""),"Available")</f>
        <v>Available</v>
      </c>
      <c r="G34" s="5"/>
      <c r="H34" s="5"/>
      <c r="I34" s="5"/>
      <c r="J34" s="5" t="str">
        <f>IFERROR(__xludf.DUMMYFUNCTION("""COMPUTED_VALUE"""),"Gastroenterology")</f>
        <v>Gastroenterology</v>
      </c>
      <c r="K34" s="5" t="str">
        <f>IFERROR(__xludf.DUMMYFUNCTION("""COMPUTED_VALUE"""),"Current")</f>
        <v>Current</v>
      </c>
      <c r="L34" s="5"/>
      <c r="M34" s="5"/>
      <c r="N34" s="10">
        <f>IFERROR(__xludf.DUMMYFUNCTION("""COMPUTED_VALUE"""),44173.0)</f>
        <v>44173</v>
      </c>
      <c r="O34" s="5">
        <v>2020.0</v>
      </c>
      <c r="P34" s="5" t="str">
        <f>IFERROR(__xludf.DUMMYFUNCTION("""COMPUTED_VALUE"""),"Available")</f>
        <v>Available</v>
      </c>
      <c r="Q34" s="5" t="s">
        <v>135</v>
      </c>
      <c r="R34" s="5" t="s">
        <v>136</v>
      </c>
      <c r="S34" s="11">
        <v>2148.0</v>
      </c>
    </row>
    <row r="35">
      <c r="A35" s="5" t="str">
        <f>IFERROR(__xludf.DUMMYFUNCTION("""COMPUTED_VALUE"""),"Amino Acid Injection")</f>
        <v>Amino Acid Injection</v>
      </c>
      <c r="B35" s="5" t="str">
        <f>IFERROR(__xludf.DUMMYFUNCTION("""COMPUTED_VALUE"""),"Baxter Healthcare")</f>
        <v>Baxter Healthcare</v>
      </c>
      <c r="C35" s="5" t="str">
        <f>IFERROR(__xludf.DUMMYFUNCTION("""COMPUTED_VALUE"""),"Clinisol 15% Sulfite Free In Plastic Container, Injection, 0.15 (NDC 0338-0502-03)")</f>
        <v>Clinisol 15% Sulfite Free In Plastic Container, Injection, 0.15 (NDC 0338-0502-03)</v>
      </c>
      <c r="D35" s="5" t="str">
        <f>IFERROR(__xludf.DUMMYFUNCTION("""COMPUTED_VALUE"""),"Reverified")</f>
        <v>Reverified</v>
      </c>
      <c r="E35" s="13">
        <f>IFERROR(__xludf.DUMMYFUNCTION("""COMPUTED_VALUE"""),46311.0)</f>
        <v>46311</v>
      </c>
      <c r="F35" s="5" t="str">
        <f>IFERROR(__xludf.DUMMYFUNCTION("""COMPUTED_VALUE"""),"Available")</f>
        <v>Available</v>
      </c>
      <c r="G35" s="5"/>
      <c r="H35" s="5"/>
      <c r="I35" s="5"/>
      <c r="J35" s="5" t="str">
        <f>IFERROR(__xludf.DUMMYFUNCTION("""COMPUTED_VALUE"""),"Gastroenterology")</f>
        <v>Gastroenterology</v>
      </c>
      <c r="K35" s="5" t="str">
        <f>IFERROR(__xludf.DUMMYFUNCTION("""COMPUTED_VALUE"""),"Current")</f>
        <v>Current</v>
      </c>
      <c r="L35" s="5"/>
      <c r="M35" s="5"/>
      <c r="N35" s="10">
        <f>IFERROR(__xludf.DUMMYFUNCTION("""COMPUTED_VALUE"""),44173.0)</f>
        <v>44173</v>
      </c>
      <c r="O35" s="5">
        <v>2020.0</v>
      </c>
      <c r="P35" s="5" t="str">
        <f>IFERROR(__xludf.DUMMYFUNCTION("""COMPUTED_VALUE"""),"Available")</f>
        <v>Available</v>
      </c>
      <c r="Q35" s="5" t="s">
        <v>135</v>
      </c>
      <c r="R35" s="5" t="s">
        <v>136</v>
      </c>
      <c r="S35" s="11">
        <v>2148.0</v>
      </c>
    </row>
    <row r="36">
      <c r="A36" s="5" t="str">
        <f>IFERROR(__xludf.DUMMYFUNCTION("""COMPUTED_VALUE"""),"Amino Acid Injection")</f>
        <v>Amino Acid Injection</v>
      </c>
      <c r="B36" s="5" t="str">
        <f>IFERROR(__xludf.DUMMYFUNCTION("""COMPUTED_VALUE"""),"B. Braun Medical Inc.")</f>
        <v>B. Braun Medical Inc.</v>
      </c>
      <c r="C36" s="5" t="str">
        <f>IFERROR(__xludf.DUMMYFUNCTION("""COMPUTED_VALUE"""),"Plenamine, Injection, 0.15 (NDC 0264-4500-05)")</f>
        <v>Plenamine, Injection, 0.15 (NDC 0264-4500-05)</v>
      </c>
      <c r="D36" s="5" t="str">
        <f>IFERROR(__xludf.DUMMYFUNCTION("""COMPUTED_VALUE"""),"Reverified")</f>
        <v>Reverified</v>
      </c>
      <c r="E36" s="13">
        <f>IFERROR(__xludf.DUMMYFUNCTION("""COMPUTED_VALUE"""),46314.0)</f>
        <v>46314</v>
      </c>
      <c r="F36" s="5" t="str">
        <f>IFERROR(__xludf.DUMMYFUNCTION("""COMPUTED_VALUE"""),"Available")</f>
        <v>Available</v>
      </c>
      <c r="G36" s="5"/>
      <c r="H36" s="5"/>
      <c r="I36" s="5"/>
      <c r="J36" s="5" t="str">
        <f>IFERROR(__xludf.DUMMYFUNCTION("""COMPUTED_VALUE"""),"Gastroenterology")</f>
        <v>Gastroenterology</v>
      </c>
      <c r="K36" s="5" t="str">
        <f>IFERROR(__xludf.DUMMYFUNCTION("""COMPUTED_VALUE"""),"Current")</f>
        <v>Current</v>
      </c>
      <c r="L36" s="5"/>
      <c r="M36" s="5"/>
      <c r="N36" s="10">
        <f>IFERROR(__xludf.DUMMYFUNCTION("""COMPUTED_VALUE"""),44173.0)</f>
        <v>44173</v>
      </c>
      <c r="O36" s="5">
        <v>2020.0</v>
      </c>
      <c r="P36" s="5" t="str">
        <f>IFERROR(__xludf.DUMMYFUNCTION("""COMPUTED_VALUE"""),"Available")</f>
        <v>Available</v>
      </c>
      <c r="Q36" s="5" t="s">
        <v>135</v>
      </c>
      <c r="R36" s="5" t="s">
        <v>136</v>
      </c>
      <c r="S36" s="11">
        <v>2148.0</v>
      </c>
    </row>
    <row r="37">
      <c r="A37" s="5" t="str">
        <f>IFERROR(__xludf.DUMMYFUNCTION("""COMPUTED_VALUE"""),"Amino Acid Injection")</f>
        <v>Amino Acid Injection</v>
      </c>
      <c r="B37" s="5" t="str">
        <f>IFERROR(__xludf.DUMMYFUNCTION("""COMPUTED_VALUE"""),"B. Braun Medical Inc.")</f>
        <v>B. Braun Medical Inc.</v>
      </c>
      <c r="C37" s="5" t="str">
        <f>IFERROR(__xludf.DUMMYFUNCTION("""COMPUTED_VALUE"""),"Plenamine, Injection, 0.15 (NDC 0264-4500-00)")</f>
        <v>Plenamine, Injection, 0.15 (NDC 0264-4500-00)</v>
      </c>
      <c r="D37" s="5" t="str">
        <f>IFERROR(__xludf.DUMMYFUNCTION("""COMPUTED_VALUE"""),"Reverified")</f>
        <v>Reverified</v>
      </c>
      <c r="E37" s="13">
        <f>IFERROR(__xludf.DUMMYFUNCTION("""COMPUTED_VALUE"""),46314.0)</f>
        <v>46314</v>
      </c>
      <c r="F37" s="5" t="str">
        <f>IFERROR(__xludf.DUMMYFUNCTION("""COMPUTED_VALUE"""),"Available")</f>
        <v>Available</v>
      </c>
      <c r="G37" s="5"/>
      <c r="H37" s="5"/>
      <c r="I37" s="5"/>
      <c r="J37" s="5" t="str">
        <f>IFERROR(__xludf.DUMMYFUNCTION("""COMPUTED_VALUE"""),"Gastroenterology")</f>
        <v>Gastroenterology</v>
      </c>
      <c r="K37" s="5" t="str">
        <f>IFERROR(__xludf.DUMMYFUNCTION("""COMPUTED_VALUE"""),"Current")</f>
        <v>Current</v>
      </c>
      <c r="L37" s="5"/>
      <c r="M37" s="5"/>
      <c r="N37" s="10">
        <f>IFERROR(__xludf.DUMMYFUNCTION("""COMPUTED_VALUE"""),44173.0)</f>
        <v>44173</v>
      </c>
      <c r="O37" s="5">
        <v>2020.0</v>
      </c>
      <c r="P37" s="5" t="str">
        <f>IFERROR(__xludf.DUMMYFUNCTION("""COMPUTED_VALUE"""),"Available")</f>
        <v>Available</v>
      </c>
      <c r="Q37" s="5" t="s">
        <v>135</v>
      </c>
      <c r="R37" s="5" t="s">
        <v>136</v>
      </c>
      <c r="S37" s="11">
        <v>2148.0</v>
      </c>
    </row>
    <row r="38">
      <c r="A38" s="5" t="str">
        <f>IFERROR(__xludf.DUMMYFUNCTION("""COMPUTED_VALUE"""),"Amino Acid Injection")</f>
        <v>Amino Acid Injection</v>
      </c>
      <c r="B38" s="5" t="str">
        <f>IFERROR(__xludf.DUMMYFUNCTION("""COMPUTED_VALUE"""),"Otsuka ICU Medical LLC")</f>
        <v>Otsuka ICU Medical LLC</v>
      </c>
      <c r="C38" s="5" t="str">
        <f>IFERROR(__xludf.DUMMYFUNCTION("""COMPUTED_VALUE"""),"Aminosyn II 15% In Plastic Container, Injection, 0.15 (NDC 0990-7171-17)")</f>
        <v>Aminosyn II 15% In Plastic Container, Injection, 0.15 (NDC 0990-7171-17)</v>
      </c>
      <c r="D38" s="5" t="str">
        <f>IFERROR(__xludf.DUMMYFUNCTION("""COMPUTED_VALUE"""),"Reverified")</f>
        <v>Reverified</v>
      </c>
      <c r="E38" s="13">
        <f>IFERROR(__xludf.DUMMYFUNCTION("""COMPUTED_VALUE"""),46311.0)</f>
        <v>46311</v>
      </c>
      <c r="F38" s="5" t="str">
        <f>IFERROR(__xludf.DUMMYFUNCTION("""COMPUTED_VALUE"""),"Available")</f>
        <v>Available</v>
      </c>
      <c r="G38" s="5" t="str">
        <f>IFERROR(__xludf.DUMMYFUNCTION("""COMPUTED_VALUE"""),"This product is distributed by ICU Medical. For questions regarding this product, please contact ICU Medical.")</f>
        <v>This product is distributed by ICU Medical. For questions regarding this product, please contact ICU Medical.</v>
      </c>
      <c r="H38" s="5"/>
      <c r="I38" s="5"/>
      <c r="J38" s="5" t="str">
        <f>IFERROR(__xludf.DUMMYFUNCTION("""COMPUTED_VALUE"""),"Gastroenterology")</f>
        <v>Gastroenterology</v>
      </c>
      <c r="K38" s="5" t="str">
        <f>IFERROR(__xludf.DUMMYFUNCTION("""COMPUTED_VALUE"""),"Current")</f>
        <v>Current</v>
      </c>
      <c r="L38" s="5"/>
      <c r="M38" s="5"/>
      <c r="N38" s="10">
        <f>IFERROR(__xludf.DUMMYFUNCTION("""COMPUTED_VALUE"""),44173.0)</f>
        <v>44173</v>
      </c>
      <c r="O38" s="5">
        <v>2020.0</v>
      </c>
      <c r="P38" s="5" t="str">
        <f>IFERROR(__xludf.DUMMYFUNCTION("""COMPUTED_VALUE"""),"Available")</f>
        <v>Available</v>
      </c>
      <c r="Q38" s="5" t="s">
        <v>135</v>
      </c>
      <c r="R38" s="5" t="s">
        <v>136</v>
      </c>
      <c r="S38" s="11">
        <v>2148.0</v>
      </c>
    </row>
    <row r="39">
      <c r="A39" s="5" t="str">
        <f>IFERROR(__xludf.DUMMYFUNCTION("""COMPUTED_VALUE"""),"Amino Acid Injection")</f>
        <v>Amino Acid Injection</v>
      </c>
      <c r="B39" s="5" t="str">
        <f>IFERROR(__xludf.DUMMYFUNCTION("""COMPUTED_VALUE"""),"Otsuka ICU Medical LLC")</f>
        <v>Otsuka ICU Medical LLC</v>
      </c>
      <c r="C39" s="5" t="str">
        <f>IFERROR(__xludf.DUMMYFUNCTION("""COMPUTED_VALUE"""),"Aminosyn II 10% In Plastic Container, Injection, 0.1 (NDC 0990-7172-17)")</f>
        <v>Aminosyn II 10% In Plastic Container, Injection, 0.1 (NDC 0990-7172-17)</v>
      </c>
      <c r="D39" s="5" t="str">
        <f>IFERROR(__xludf.DUMMYFUNCTION("""COMPUTED_VALUE"""),"Reverified")</f>
        <v>Reverified</v>
      </c>
      <c r="E39" s="13">
        <f>IFERROR(__xludf.DUMMYFUNCTION("""COMPUTED_VALUE"""),46311.0)</f>
        <v>46311</v>
      </c>
      <c r="F39" s="5" t="str">
        <f>IFERROR(__xludf.DUMMYFUNCTION("""COMPUTED_VALUE"""),"Available")</f>
        <v>Available</v>
      </c>
      <c r="G39" s="5" t="str">
        <f>IFERROR(__xludf.DUMMYFUNCTION("""COMPUTED_VALUE"""),"This product is distributed by ICU Medical. For questions regarding this product, please contact ICU Medical.")</f>
        <v>This product is distributed by ICU Medical. For questions regarding this product, please contact ICU Medical.</v>
      </c>
      <c r="H39" s="5"/>
      <c r="I39" s="5"/>
      <c r="J39" s="5" t="str">
        <f>IFERROR(__xludf.DUMMYFUNCTION("""COMPUTED_VALUE"""),"Gastroenterology")</f>
        <v>Gastroenterology</v>
      </c>
      <c r="K39" s="5" t="str">
        <f>IFERROR(__xludf.DUMMYFUNCTION("""COMPUTED_VALUE"""),"Current")</f>
        <v>Current</v>
      </c>
      <c r="L39" s="5"/>
      <c r="M39" s="5"/>
      <c r="N39" s="10">
        <f>IFERROR(__xludf.DUMMYFUNCTION("""COMPUTED_VALUE"""),44173.0)</f>
        <v>44173</v>
      </c>
      <c r="O39" s="5">
        <v>2020.0</v>
      </c>
      <c r="P39" s="5" t="str">
        <f>IFERROR(__xludf.DUMMYFUNCTION("""COMPUTED_VALUE"""),"Available")</f>
        <v>Available</v>
      </c>
      <c r="Q39" s="5" t="s">
        <v>135</v>
      </c>
      <c r="R39" s="5" t="s">
        <v>136</v>
      </c>
      <c r="S39" s="11">
        <v>2148.0</v>
      </c>
    </row>
    <row r="40">
      <c r="A40" s="5" t="str">
        <f>IFERROR(__xludf.DUMMYFUNCTION("""COMPUTED_VALUE"""),"Amino Acid Injection")</f>
        <v>Amino Acid Injection</v>
      </c>
      <c r="B40" s="5" t="str">
        <f>IFERROR(__xludf.DUMMYFUNCTION("""COMPUTED_VALUE"""),"Otsuka ICU Medical LLC")</f>
        <v>Otsuka ICU Medical LLC</v>
      </c>
      <c r="C40" s="5" t="str">
        <f>IFERROR(__xludf.DUMMYFUNCTION("""COMPUTED_VALUE"""),"Aminosyn-PF 7%, Injection, 0.07 (NDC 0990-4178-03)")</f>
        <v>Aminosyn-PF 7%, Injection, 0.07 (NDC 0990-4178-03)</v>
      </c>
      <c r="D40" s="5" t="str">
        <f>IFERROR(__xludf.DUMMYFUNCTION("""COMPUTED_VALUE"""),"Reverified")</f>
        <v>Reverified</v>
      </c>
      <c r="E40" s="13">
        <f>IFERROR(__xludf.DUMMYFUNCTION("""COMPUTED_VALUE"""),46311.0)</f>
        <v>46311</v>
      </c>
      <c r="F40" s="5" t="str">
        <f>IFERROR(__xludf.DUMMYFUNCTION("""COMPUTED_VALUE"""),"Unavailable")</f>
        <v>Unavailable</v>
      </c>
      <c r="G40" s="5" t="str">
        <f>IFERROR(__xludf.DUMMYFUNCTION("""COMPUTED_VALUE"""),"Estimated recovery: TBD. This product is distributed by ICU Medical. For questions regarding this product, please contact ICU Medical.")</f>
        <v>Estimated recovery: TBD. This product is distributed by ICU Medical. For questions regarding this product, please contact ICU Medical.</v>
      </c>
      <c r="H40" s="5"/>
      <c r="I40" s="5" t="str">
        <f>IFERROR(__xludf.DUMMYFUNCTION("""COMPUTED_VALUE"""),"Shortage of an active ingredient")</f>
        <v>Shortage of an active ingredient</v>
      </c>
      <c r="J40" s="5" t="str">
        <f>IFERROR(__xludf.DUMMYFUNCTION("""COMPUTED_VALUE"""),"Gastroenterology")</f>
        <v>Gastroenterology</v>
      </c>
      <c r="K40" s="5" t="str">
        <f>IFERROR(__xludf.DUMMYFUNCTION("""COMPUTED_VALUE"""),"Current")</f>
        <v>Current</v>
      </c>
      <c r="L40" s="5"/>
      <c r="M40" s="5"/>
      <c r="N40" s="10">
        <f>IFERROR(__xludf.DUMMYFUNCTION("""COMPUTED_VALUE"""),44173.0)</f>
        <v>44173</v>
      </c>
      <c r="O40" s="5">
        <v>2020.0</v>
      </c>
      <c r="P40" s="5" t="str">
        <f>IFERROR(__xludf.DUMMYFUNCTION("""COMPUTED_VALUE"""),"Unavailable")</f>
        <v>Unavailable</v>
      </c>
      <c r="Q40" s="5" t="s">
        <v>122</v>
      </c>
      <c r="R40" s="5" t="s">
        <v>136</v>
      </c>
      <c r="S40" s="11">
        <v>2148.0</v>
      </c>
    </row>
    <row r="41">
      <c r="A41" s="5" t="str">
        <f>IFERROR(__xludf.DUMMYFUNCTION("""COMPUTED_VALUE"""),"Amino Acid Injection")</f>
        <v>Amino Acid Injection</v>
      </c>
      <c r="B41" s="5" t="str">
        <f>IFERROR(__xludf.DUMMYFUNCTION("""COMPUTED_VALUE"""),"Otsuka ICU Medical LLC")</f>
        <v>Otsuka ICU Medical LLC</v>
      </c>
      <c r="C41" s="5" t="str">
        <f>IFERROR(__xludf.DUMMYFUNCTION("""COMPUTED_VALUE"""),"Aminosyn-PF 10%, Injection, 0.1 (NDC 0990-4179-05)")</f>
        <v>Aminosyn-PF 10%, Injection, 0.1 (NDC 0990-4179-05)</v>
      </c>
      <c r="D41" s="5" t="str">
        <f>IFERROR(__xludf.DUMMYFUNCTION("""COMPUTED_VALUE"""),"Reverified")</f>
        <v>Reverified</v>
      </c>
      <c r="E41" s="13">
        <f>IFERROR(__xludf.DUMMYFUNCTION("""COMPUTED_VALUE"""),46311.0)</f>
        <v>46311</v>
      </c>
      <c r="F41" s="5" t="str">
        <f>IFERROR(__xludf.DUMMYFUNCTION("""COMPUTED_VALUE"""),"Unavailable")</f>
        <v>Unavailable</v>
      </c>
      <c r="G41" s="5" t="str">
        <f>IFERROR(__xludf.DUMMYFUNCTION("""COMPUTED_VALUE"""),"Estimated recovery: TBD. This product is distributed by ICU Medical. For questions regarding this product, please contact ICU Medical.")</f>
        <v>Estimated recovery: TBD. This product is distributed by ICU Medical. For questions regarding this product, please contact ICU Medical.</v>
      </c>
      <c r="H41" s="5"/>
      <c r="I41" s="5" t="str">
        <f>IFERROR(__xludf.DUMMYFUNCTION("""COMPUTED_VALUE"""),"Shortage of an active ingredient")</f>
        <v>Shortage of an active ingredient</v>
      </c>
      <c r="J41" s="5" t="str">
        <f>IFERROR(__xludf.DUMMYFUNCTION("""COMPUTED_VALUE"""),"Gastroenterology")</f>
        <v>Gastroenterology</v>
      </c>
      <c r="K41" s="5" t="str">
        <f>IFERROR(__xludf.DUMMYFUNCTION("""COMPUTED_VALUE"""),"Current")</f>
        <v>Current</v>
      </c>
      <c r="L41" s="5"/>
      <c r="M41" s="5"/>
      <c r="N41" s="10">
        <f>IFERROR(__xludf.DUMMYFUNCTION("""COMPUTED_VALUE"""),44173.0)</f>
        <v>44173</v>
      </c>
      <c r="O41" s="5">
        <v>2020.0</v>
      </c>
      <c r="P41" s="5" t="str">
        <f>IFERROR(__xludf.DUMMYFUNCTION("""COMPUTED_VALUE"""),"Unavailable")</f>
        <v>Unavailable</v>
      </c>
      <c r="Q41" s="5" t="s">
        <v>122</v>
      </c>
      <c r="R41" s="5" t="s">
        <v>136</v>
      </c>
      <c r="S41" s="11">
        <v>2148.0</v>
      </c>
    </row>
    <row r="42">
      <c r="A42" s="5" t="str">
        <f>IFERROR(__xludf.DUMMYFUNCTION("""COMPUTED_VALUE"""),"Amino Acid Injection")</f>
        <v>Amino Acid Injection</v>
      </c>
      <c r="B42" s="5" t="str">
        <f>IFERROR(__xludf.DUMMYFUNCTION("""COMPUTED_VALUE"""),"Baxter Healthcare")</f>
        <v>Baxter Healthcare</v>
      </c>
      <c r="C42" s="5" t="str">
        <f>IFERROR(__xludf.DUMMYFUNCTION("""COMPUTED_VALUE"""),"Clinisol 15% Sulfite Free In Plastic Container, Injection, 0.15 (NDC 0338-0502-06)")</f>
        <v>Clinisol 15% Sulfite Free In Plastic Container, Injection, 0.15 (NDC 0338-0502-06)</v>
      </c>
      <c r="D42" s="5" t="str">
        <f>IFERROR(__xludf.DUMMYFUNCTION("""COMPUTED_VALUE"""),"Reverified")</f>
        <v>Reverified</v>
      </c>
      <c r="E42" s="13">
        <f>IFERROR(__xludf.DUMMYFUNCTION("""COMPUTED_VALUE"""),46311.0)</f>
        <v>46311</v>
      </c>
      <c r="F42" s="5" t="str">
        <f>IFERROR(__xludf.DUMMYFUNCTION("""COMPUTED_VALUE"""),"Available")</f>
        <v>Available</v>
      </c>
      <c r="G42" s="5"/>
      <c r="H42" s="5"/>
      <c r="I42" s="5"/>
      <c r="J42" s="5" t="str">
        <f>IFERROR(__xludf.DUMMYFUNCTION("""COMPUTED_VALUE"""),"Gastroenterology")</f>
        <v>Gastroenterology</v>
      </c>
      <c r="K42" s="5" t="str">
        <f>IFERROR(__xludf.DUMMYFUNCTION("""COMPUTED_VALUE"""),"Current")</f>
        <v>Current</v>
      </c>
      <c r="L42" s="5"/>
      <c r="M42" s="5"/>
      <c r="N42" s="10">
        <f>IFERROR(__xludf.DUMMYFUNCTION("""COMPUTED_VALUE"""),44173.0)</f>
        <v>44173</v>
      </c>
      <c r="O42" s="5">
        <v>2020.0</v>
      </c>
      <c r="P42" s="5" t="str">
        <f>IFERROR(__xludf.DUMMYFUNCTION("""COMPUTED_VALUE"""),"Available")</f>
        <v>Available</v>
      </c>
      <c r="Q42" s="5" t="s">
        <v>135</v>
      </c>
      <c r="R42" s="5" t="s">
        <v>136</v>
      </c>
      <c r="S42" s="11">
        <v>2148.0</v>
      </c>
    </row>
    <row r="43">
      <c r="A43"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43" s="5" t="str">
        <f>IFERROR(__xludf.DUMMYFUNCTION("""COMPUTED_VALUE"""),"SpecGx LLC")</f>
        <v>SpecGx LLC</v>
      </c>
      <c r="C43" s="5" t="str">
        <f>IFERROR(__xludf.DUMMYFUNCTION("""COMPUTED_VALUE"""),"Amphetamine Aspartate Monohydrate, Amphetamine Sulfate, Dextroamphetamine Saccharate, Dextroamphetamine Sulfate, Tablet, 1.875 mg; 1.875 mg; 1.875 mg; 1.875 mg (NDC 0406-8884-01)")</f>
        <v>Amphetamine Aspartate Monohydrate, Amphetamine Sulfate, Dextroamphetamine Saccharate, Dextroamphetamine Sulfate, Tablet, 1.875 mg; 1.875 mg; 1.875 mg; 1.875 mg (NDC 0406-8884-01)</v>
      </c>
      <c r="D43" s="5" t="str">
        <f>IFERROR(__xludf.DUMMYFUNCTION("""COMPUTED_VALUE"""),"Reverified")</f>
        <v>Reverified</v>
      </c>
      <c r="E43" s="10">
        <f>IFERROR(__xludf.DUMMYFUNCTION("""COMPUTED_VALUE"""),46254.0)</f>
        <v>46254</v>
      </c>
      <c r="F43" s="5" t="str">
        <f>IFERROR(__xludf.DUMMYFUNCTION("""COMPUTED_VALUE"""),"Available")</f>
        <v>Available</v>
      </c>
      <c r="G43" s="5"/>
      <c r="H43" s="5"/>
      <c r="I43" s="5"/>
      <c r="J43" s="5" t="str">
        <f>IFERROR(__xludf.DUMMYFUNCTION("""COMPUTED_VALUE"""),"Psychiatry")</f>
        <v>Psychiatry</v>
      </c>
      <c r="K43" s="5" t="str">
        <f>IFERROR(__xludf.DUMMYFUNCTION("""COMPUTED_VALUE"""),"Current")</f>
        <v>Current</v>
      </c>
      <c r="L43" s="5"/>
      <c r="M43" s="5"/>
      <c r="N43" s="13">
        <f>IFERROR(__xludf.DUMMYFUNCTION("""COMPUTED_VALUE"""),44846.0)</f>
        <v>44846</v>
      </c>
      <c r="O43" s="5">
        <v>2022.0</v>
      </c>
      <c r="P43" s="5" t="str">
        <f>IFERROR(__xludf.DUMMYFUNCTION("""COMPUTED_VALUE"""),"Available")</f>
        <v>Available</v>
      </c>
      <c r="Q43" s="5" t="s">
        <v>135</v>
      </c>
      <c r="R43" s="5" t="s">
        <v>136</v>
      </c>
      <c r="S43" s="11">
        <v>1475.0</v>
      </c>
    </row>
    <row r="44">
      <c r="A44"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44" s="5" t="str">
        <f>IFERROR(__xludf.DUMMYFUNCTION("""COMPUTED_VALUE"""),"SpecGx LLC")</f>
        <v>SpecGx LLC</v>
      </c>
      <c r="C44" s="5" t="str">
        <f>IFERROR(__xludf.DUMMYFUNCTION("""COMPUTED_VALUE"""),"Amphetamine Aspartate Monohydrate, Amphetamine Sulfate, Dextroamphetamine Saccharate, Dextroamphetamine Sulfate, Tablet, 3.75 mg; 3.75 mg; 3.75 mg; 3.75 mg (NDC 0406-8885-01)")</f>
        <v>Amphetamine Aspartate Monohydrate, Amphetamine Sulfate, Dextroamphetamine Saccharate, Dextroamphetamine Sulfate, Tablet, 3.75 mg; 3.75 mg; 3.75 mg; 3.75 mg (NDC 0406-8885-01)</v>
      </c>
      <c r="D44" s="5" t="str">
        <f>IFERROR(__xludf.DUMMYFUNCTION("""COMPUTED_VALUE"""),"Reverified")</f>
        <v>Reverified</v>
      </c>
      <c r="E44" s="10">
        <f>IFERROR(__xludf.DUMMYFUNCTION("""COMPUTED_VALUE"""),46254.0)</f>
        <v>46254</v>
      </c>
      <c r="F44" s="5" t="str">
        <f>IFERROR(__xludf.DUMMYFUNCTION("""COMPUTED_VALUE"""),"Available")</f>
        <v>Available</v>
      </c>
      <c r="G44" s="5"/>
      <c r="H44" s="5"/>
      <c r="I44" s="5"/>
      <c r="J44" s="5" t="str">
        <f>IFERROR(__xludf.DUMMYFUNCTION("""COMPUTED_VALUE"""),"Psychiatry")</f>
        <v>Psychiatry</v>
      </c>
      <c r="K44" s="5" t="str">
        <f>IFERROR(__xludf.DUMMYFUNCTION("""COMPUTED_VALUE"""),"Current")</f>
        <v>Current</v>
      </c>
      <c r="L44" s="5"/>
      <c r="M44" s="5"/>
      <c r="N44" s="13">
        <f>IFERROR(__xludf.DUMMYFUNCTION("""COMPUTED_VALUE"""),44846.0)</f>
        <v>44846</v>
      </c>
      <c r="O44" s="5">
        <v>2022.0</v>
      </c>
      <c r="P44" s="5" t="str">
        <f>IFERROR(__xludf.DUMMYFUNCTION("""COMPUTED_VALUE"""),"Available")</f>
        <v>Available</v>
      </c>
      <c r="Q44" s="5" t="s">
        <v>135</v>
      </c>
      <c r="R44" s="5" t="s">
        <v>136</v>
      </c>
      <c r="S44" s="11">
        <v>1475.0</v>
      </c>
    </row>
    <row r="45">
      <c r="A45"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45" s="5" t="str">
        <f>IFERROR(__xludf.DUMMYFUNCTION("""COMPUTED_VALUE"""),"SpecGx LLC")</f>
        <v>SpecGx LLC</v>
      </c>
      <c r="C45" s="5" t="str">
        <f>IFERROR(__xludf.DUMMYFUNCTION("""COMPUTED_VALUE"""),"Amphetamine Aspartate Monohydrate, Amphetamine Sulfate, Dextroamphetamine Saccharate, Dextroamphetamine Sulfate, Tablet, 1.25 mg; 1.25 mg; 1.25 mg; 1.25 mg (NDC 0406-8891-01)")</f>
        <v>Amphetamine Aspartate Monohydrate, Amphetamine Sulfate, Dextroamphetamine Saccharate, Dextroamphetamine Sulfate, Tablet, 1.25 mg; 1.25 mg; 1.25 mg; 1.25 mg (NDC 0406-8891-01)</v>
      </c>
      <c r="D45" s="5" t="str">
        <f>IFERROR(__xludf.DUMMYFUNCTION("""COMPUTED_VALUE"""),"Revised")</f>
        <v>Revised</v>
      </c>
      <c r="E45" s="10">
        <f>IFERROR(__xludf.DUMMYFUNCTION("""COMPUTED_VALUE"""),46254.0)</f>
        <v>46254</v>
      </c>
      <c r="F45" s="5" t="str">
        <f>IFERROR(__xludf.DUMMYFUNCTION("""COMPUTED_VALUE"""),"Limited Availability")</f>
        <v>Limited Availability</v>
      </c>
      <c r="G45" s="5" t="str">
        <f>IFERROR(__xludf.DUMMYFUNCTION("""COMPUTED_VALUE"""),"Estimated recovery: TBD")</f>
        <v>Estimated recovery: TBD</v>
      </c>
      <c r="H45" s="5"/>
      <c r="I45" s="5" t="str">
        <f>IFERROR(__xludf.DUMMYFUNCTION("""COMPUTED_VALUE"""),"Demand increase for the drug")</f>
        <v>Demand increase for the drug</v>
      </c>
      <c r="J45" s="5" t="str">
        <f>IFERROR(__xludf.DUMMYFUNCTION("""COMPUTED_VALUE"""),"Psychiatry")</f>
        <v>Psychiatry</v>
      </c>
      <c r="K45" s="5" t="str">
        <f>IFERROR(__xludf.DUMMYFUNCTION("""COMPUTED_VALUE"""),"Current")</f>
        <v>Current</v>
      </c>
      <c r="L45" s="5"/>
      <c r="M45" s="5"/>
      <c r="N45" s="13">
        <f>IFERROR(__xludf.DUMMYFUNCTION("""COMPUTED_VALUE"""),44846.0)</f>
        <v>44846</v>
      </c>
      <c r="O45" s="5">
        <v>2022.0</v>
      </c>
      <c r="P45" s="5" t="str">
        <f>IFERROR(__xludf.DUMMYFUNCTION("""COMPUTED_VALUE"""),"Limited Availability")</f>
        <v>Limited Availability</v>
      </c>
      <c r="Q45" s="5" t="s">
        <v>134</v>
      </c>
      <c r="R45" s="5" t="s">
        <v>136</v>
      </c>
      <c r="S45" s="11">
        <v>1475.0</v>
      </c>
    </row>
    <row r="46">
      <c r="A46"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46" s="5" t="str">
        <f>IFERROR(__xludf.DUMMYFUNCTION("""COMPUTED_VALUE"""),"SpecGx LLC")</f>
        <v>SpecGx LLC</v>
      </c>
      <c r="C46" s="5" t="str">
        <f>IFERROR(__xludf.DUMMYFUNCTION("""COMPUTED_VALUE"""),"Amphetamine Aspartate Monohydrate, Amphetamine Sulfate, Dextroamphetamine Saccharate, Dextroamphetamine Sulfate, Tablet, 2.5 mg; 2.5 mg; 2.5 mg; 2.5 mg (NDC 0406-8892-01)")</f>
        <v>Amphetamine Aspartate Monohydrate, Amphetamine Sulfate, Dextroamphetamine Saccharate, Dextroamphetamine Sulfate, Tablet, 2.5 mg; 2.5 mg; 2.5 mg; 2.5 mg (NDC 0406-8892-01)</v>
      </c>
      <c r="D46" s="5" t="str">
        <f>IFERROR(__xludf.DUMMYFUNCTION("""COMPUTED_VALUE"""),"Revised")</f>
        <v>Revised</v>
      </c>
      <c r="E46" s="10">
        <f>IFERROR(__xludf.DUMMYFUNCTION("""COMPUTED_VALUE"""),46254.0)</f>
        <v>46254</v>
      </c>
      <c r="F46" s="5" t="str">
        <f>IFERROR(__xludf.DUMMYFUNCTION("""COMPUTED_VALUE"""),"Limited Availability")</f>
        <v>Limited Availability</v>
      </c>
      <c r="G46" s="5" t="str">
        <f>IFERROR(__xludf.DUMMYFUNCTION("""COMPUTED_VALUE"""),"Estimated recovery: TBD")</f>
        <v>Estimated recovery: TBD</v>
      </c>
      <c r="H46" s="5"/>
      <c r="I46" s="5" t="str">
        <f>IFERROR(__xludf.DUMMYFUNCTION("""COMPUTED_VALUE"""),"Demand increase for the drug")</f>
        <v>Demand increase for the drug</v>
      </c>
      <c r="J46" s="5" t="str">
        <f>IFERROR(__xludf.DUMMYFUNCTION("""COMPUTED_VALUE"""),"Psychiatry")</f>
        <v>Psychiatry</v>
      </c>
      <c r="K46" s="5" t="str">
        <f>IFERROR(__xludf.DUMMYFUNCTION("""COMPUTED_VALUE"""),"Current")</f>
        <v>Current</v>
      </c>
      <c r="L46" s="5"/>
      <c r="M46" s="5"/>
      <c r="N46" s="13">
        <f>IFERROR(__xludf.DUMMYFUNCTION("""COMPUTED_VALUE"""),44846.0)</f>
        <v>44846</v>
      </c>
      <c r="O46" s="5">
        <v>2022.0</v>
      </c>
      <c r="P46" s="5" t="str">
        <f>IFERROR(__xludf.DUMMYFUNCTION("""COMPUTED_VALUE"""),"Limited Availability")</f>
        <v>Limited Availability</v>
      </c>
      <c r="Q46" s="5" t="s">
        <v>134</v>
      </c>
      <c r="R46" s="5" t="s">
        <v>136</v>
      </c>
      <c r="S46" s="11">
        <v>1475.0</v>
      </c>
    </row>
    <row r="47">
      <c r="A47"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47" s="5" t="str">
        <f>IFERROR(__xludf.DUMMYFUNCTION("""COMPUTED_VALUE"""),"SpecGx LLC")</f>
        <v>SpecGx LLC</v>
      </c>
      <c r="C47" s="5" t="str">
        <f>IFERROR(__xludf.DUMMYFUNCTION("""COMPUTED_VALUE"""),"Amphetamine Aspartate Monohydrate, Amphetamine Sulfate, Dextroamphetamine Saccharate, Dextroamphetamine Sulfate, Tablet, 5 mg; 5 mg; 5 mg; 5 mg (NDC 0406-8893-01)")</f>
        <v>Amphetamine Aspartate Monohydrate, Amphetamine Sulfate, Dextroamphetamine Saccharate, Dextroamphetamine Sulfate, Tablet, 5 mg; 5 mg; 5 mg; 5 mg (NDC 0406-8893-01)</v>
      </c>
      <c r="D47" s="5" t="str">
        <f>IFERROR(__xludf.DUMMYFUNCTION("""COMPUTED_VALUE"""),"Reverified")</f>
        <v>Reverified</v>
      </c>
      <c r="E47" s="10">
        <f>IFERROR(__xludf.DUMMYFUNCTION("""COMPUTED_VALUE"""),46254.0)</f>
        <v>46254</v>
      </c>
      <c r="F47" s="5" t="str">
        <f>IFERROR(__xludf.DUMMYFUNCTION("""COMPUTED_VALUE"""),"Available")</f>
        <v>Available</v>
      </c>
      <c r="G47" s="5"/>
      <c r="H47" s="5"/>
      <c r="I47" s="5"/>
      <c r="J47" s="5" t="str">
        <f>IFERROR(__xludf.DUMMYFUNCTION("""COMPUTED_VALUE"""),"Psychiatry")</f>
        <v>Psychiatry</v>
      </c>
      <c r="K47" s="5" t="str">
        <f>IFERROR(__xludf.DUMMYFUNCTION("""COMPUTED_VALUE"""),"Current")</f>
        <v>Current</v>
      </c>
      <c r="L47" s="5"/>
      <c r="M47" s="5"/>
      <c r="N47" s="13">
        <f>IFERROR(__xludf.DUMMYFUNCTION("""COMPUTED_VALUE"""),44846.0)</f>
        <v>44846</v>
      </c>
      <c r="O47" s="5">
        <v>2022.0</v>
      </c>
      <c r="P47" s="5" t="str">
        <f>IFERROR(__xludf.DUMMYFUNCTION("""COMPUTED_VALUE"""),"Available")</f>
        <v>Available</v>
      </c>
      <c r="Q47" s="5" t="s">
        <v>135</v>
      </c>
      <c r="R47" s="5" t="s">
        <v>136</v>
      </c>
      <c r="S47" s="11">
        <v>1475.0</v>
      </c>
    </row>
    <row r="48">
      <c r="A48"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48" s="5" t="str">
        <f>IFERROR(__xludf.DUMMYFUNCTION("""COMPUTED_VALUE"""),"SpecGx LLC")</f>
        <v>SpecGx LLC</v>
      </c>
      <c r="C48" s="5" t="str">
        <f>IFERROR(__xludf.DUMMYFUNCTION("""COMPUTED_VALUE"""),"Amphetamine Aspartate Monohydrate, Amphetamine Sulfate, Dextroamphetamine Saccharate, Dextroamphetamine Sulfate, Tablet, 7.5 mg; 7.5 mg; 7.5 mg; 7.5 mg (NDC 0406-8894-01)")</f>
        <v>Amphetamine Aspartate Monohydrate, Amphetamine Sulfate, Dextroamphetamine Saccharate, Dextroamphetamine Sulfate, Tablet, 7.5 mg; 7.5 mg; 7.5 mg; 7.5 mg (NDC 0406-8894-01)</v>
      </c>
      <c r="D48" s="5" t="str">
        <f>IFERROR(__xludf.DUMMYFUNCTION("""COMPUTED_VALUE"""),"Revised")</f>
        <v>Revised</v>
      </c>
      <c r="E48" s="10">
        <f>IFERROR(__xludf.DUMMYFUNCTION("""COMPUTED_VALUE"""),46254.0)</f>
        <v>46254</v>
      </c>
      <c r="F48" s="5" t="str">
        <f>IFERROR(__xludf.DUMMYFUNCTION("""COMPUTED_VALUE"""),"Limited Availability")</f>
        <v>Limited Availability</v>
      </c>
      <c r="G48" s="5" t="str">
        <f>IFERROR(__xludf.DUMMYFUNCTION("""COMPUTED_VALUE"""),"Estimated recovery: TBD")</f>
        <v>Estimated recovery: TBD</v>
      </c>
      <c r="H48" s="5"/>
      <c r="I48" s="5" t="str">
        <f>IFERROR(__xludf.DUMMYFUNCTION("""COMPUTED_VALUE"""),"Demand increase for the drug")</f>
        <v>Demand increase for the drug</v>
      </c>
      <c r="J48" s="5" t="str">
        <f>IFERROR(__xludf.DUMMYFUNCTION("""COMPUTED_VALUE"""),"Psychiatry")</f>
        <v>Psychiatry</v>
      </c>
      <c r="K48" s="5" t="str">
        <f>IFERROR(__xludf.DUMMYFUNCTION("""COMPUTED_VALUE"""),"Current")</f>
        <v>Current</v>
      </c>
      <c r="L48" s="5"/>
      <c r="M48" s="5"/>
      <c r="N48" s="13">
        <f>IFERROR(__xludf.DUMMYFUNCTION("""COMPUTED_VALUE"""),44846.0)</f>
        <v>44846</v>
      </c>
      <c r="O48" s="5">
        <v>2022.0</v>
      </c>
      <c r="P48" s="5" t="str">
        <f>IFERROR(__xludf.DUMMYFUNCTION("""COMPUTED_VALUE"""),"Limited Availability")</f>
        <v>Limited Availability</v>
      </c>
      <c r="Q48" s="5" t="s">
        <v>134</v>
      </c>
      <c r="R48" s="5" t="s">
        <v>136</v>
      </c>
      <c r="S48" s="11">
        <v>1475.0</v>
      </c>
    </row>
    <row r="49">
      <c r="A49"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49" s="5" t="str">
        <f>IFERROR(__xludf.DUMMYFUNCTION("""COMPUTED_VALUE"""),"Epic Pharma, LLC")</f>
        <v>Epic Pharma, LLC</v>
      </c>
      <c r="C49" s="5" t="str">
        <f>IFERROR(__xludf.DUMMYFUNCTION("""COMPUTED_VALUE"""),"Amphetamine Aspartate Monohydrate, Amphetamine Sulfate, Dextroamphetamine Saccharate, Dextroamphetamine Sulfate, Tablet, 5 mg; 5 mg; 5 mg; 5 mg (NDC 42806-344-01)")</f>
        <v>Amphetamine Aspartate Monohydrate, Amphetamine Sulfate, Dextroamphetamine Saccharate, Dextroamphetamine Sulfate, Tablet, 5 mg; 5 mg; 5 mg; 5 mg (NDC 42806-344-01)</v>
      </c>
      <c r="D49" s="5" t="str">
        <f>IFERROR(__xludf.DUMMYFUNCTION("""COMPUTED_VALUE"""),"Reverified")</f>
        <v>Reverified</v>
      </c>
      <c r="E49" s="13">
        <f>IFERROR(__xludf.DUMMYFUNCTION("""COMPUTED_VALUE"""),46318.0)</f>
        <v>46318</v>
      </c>
      <c r="F49" s="5" t="str">
        <f>IFERROR(__xludf.DUMMYFUNCTION("""COMPUTED_VALUE"""),"Limited Availability")</f>
        <v>Limited Availability</v>
      </c>
      <c r="G49" s="5" t="str">
        <f>IFERROR(__xludf.DUMMYFUNCTION("""COMPUTED_VALUE"""),"Estimated recovery: TBD")</f>
        <v>Estimated recovery: TBD</v>
      </c>
      <c r="H49" s="5"/>
      <c r="I49" s="5" t="str">
        <f>IFERROR(__xludf.DUMMYFUNCTION("""COMPUTED_VALUE"""),"Shortage of an active ingredient")</f>
        <v>Shortage of an active ingredient</v>
      </c>
      <c r="J49" s="5" t="str">
        <f>IFERROR(__xludf.DUMMYFUNCTION("""COMPUTED_VALUE"""),"Psychiatry")</f>
        <v>Psychiatry</v>
      </c>
      <c r="K49" s="5" t="str">
        <f>IFERROR(__xludf.DUMMYFUNCTION("""COMPUTED_VALUE"""),"Current")</f>
        <v>Current</v>
      </c>
      <c r="L49" s="5"/>
      <c r="M49" s="5"/>
      <c r="N49" s="13">
        <f>IFERROR(__xludf.DUMMYFUNCTION("""COMPUTED_VALUE"""),44846.0)</f>
        <v>44846</v>
      </c>
      <c r="O49" s="5">
        <v>2022.0</v>
      </c>
      <c r="P49" s="5" t="str">
        <f>IFERROR(__xludf.DUMMYFUNCTION("""COMPUTED_VALUE"""),"Limited Availability")</f>
        <v>Limited Availability</v>
      </c>
      <c r="Q49" s="5" t="s">
        <v>122</v>
      </c>
      <c r="R49" s="5" t="s">
        <v>136</v>
      </c>
      <c r="S49" s="11">
        <v>1475.0</v>
      </c>
    </row>
    <row r="50">
      <c r="A50"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50" s="5" t="str">
        <f>IFERROR(__xludf.DUMMYFUNCTION("""COMPUTED_VALUE"""),"Epic Pharma, LLC")</f>
        <v>Epic Pharma, LLC</v>
      </c>
      <c r="C50" s="5" t="str">
        <f>IFERROR(__xludf.DUMMYFUNCTION("""COMPUTED_VALUE"""),"Amphetamine Aspartate Monohydrate, Amphetamine Sulfate, Dextroamphetamine Saccharate, Dextroamphetamine Sulfate, Tablet, 2.5 mg; 2.5 mg; 2.5 mg; 2.5 mg (NDC 42806-341-01)")</f>
        <v>Amphetamine Aspartate Monohydrate, Amphetamine Sulfate, Dextroamphetamine Saccharate, Dextroamphetamine Sulfate, Tablet, 2.5 mg; 2.5 mg; 2.5 mg; 2.5 mg (NDC 42806-341-01)</v>
      </c>
      <c r="D50" s="5" t="str">
        <f>IFERROR(__xludf.DUMMYFUNCTION("""COMPUTED_VALUE"""),"Reverified")</f>
        <v>Reverified</v>
      </c>
      <c r="E50" s="13">
        <f>IFERROR(__xludf.DUMMYFUNCTION("""COMPUTED_VALUE"""),46318.0)</f>
        <v>46318</v>
      </c>
      <c r="F50" s="5" t="str">
        <f>IFERROR(__xludf.DUMMYFUNCTION("""COMPUTED_VALUE"""),"Limited Availability")</f>
        <v>Limited Availability</v>
      </c>
      <c r="G50" s="5" t="str">
        <f>IFERROR(__xludf.DUMMYFUNCTION("""COMPUTED_VALUE"""),"Estimated recovery: TBD")</f>
        <v>Estimated recovery: TBD</v>
      </c>
      <c r="H50" s="5"/>
      <c r="I50" s="5" t="str">
        <f>IFERROR(__xludf.DUMMYFUNCTION("""COMPUTED_VALUE"""),"Shortage of an active ingredient")</f>
        <v>Shortage of an active ingredient</v>
      </c>
      <c r="J50" s="5" t="str">
        <f>IFERROR(__xludf.DUMMYFUNCTION("""COMPUTED_VALUE"""),"Psychiatry")</f>
        <v>Psychiatry</v>
      </c>
      <c r="K50" s="5" t="str">
        <f>IFERROR(__xludf.DUMMYFUNCTION("""COMPUTED_VALUE"""),"Current")</f>
        <v>Current</v>
      </c>
      <c r="L50" s="5"/>
      <c r="M50" s="5"/>
      <c r="N50" s="13">
        <f>IFERROR(__xludf.DUMMYFUNCTION("""COMPUTED_VALUE"""),44846.0)</f>
        <v>44846</v>
      </c>
      <c r="O50" s="5">
        <v>2022.0</v>
      </c>
      <c r="P50" s="5" t="str">
        <f>IFERROR(__xludf.DUMMYFUNCTION("""COMPUTED_VALUE"""),"Limited Availability")</f>
        <v>Limited Availability</v>
      </c>
      <c r="Q50" s="5" t="s">
        <v>122</v>
      </c>
      <c r="R50" s="5" t="s">
        <v>136</v>
      </c>
      <c r="S50" s="11">
        <v>1475.0</v>
      </c>
    </row>
    <row r="51">
      <c r="A51"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51" s="5" t="str">
        <f>IFERROR(__xludf.DUMMYFUNCTION("""COMPUTED_VALUE"""),"Epic Pharma, LLC")</f>
        <v>Epic Pharma, LLC</v>
      </c>
      <c r="C51" s="5" t="str">
        <f>IFERROR(__xludf.DUMMYFUNCTION("""COMPUTED_VALUE"""),"Amphetamine Aspartate Monohydrate, Amphetamine Sulfate, Dextroamphetamine Saccharate, Dextroamphetamine Sulfate, Tablet, 3.75 mg; 3.75 mg; 3.75 mg; 3.75 mg (NDC 42806-343-01)")</f>
        <v>Amphetamine Aspartate Monohydrate, Amphetamine Sulfate, Dextroamphetamine Saccharate, Dextroamphetamine Sulfate, Tablet, 3.75 mg; 3.75 mg; 3.75 mg; 3.75 mg (NDC 42806-343-01)</v>
      </c>
      <c r="D51" s="5" t="str">
        <f>IFERROR(__xludf.DUMMYFUNCTION("""COMPUTED_VALUE"""),"Reverified")</f>
        <v>Reverified</v>
      </c>
      <c r="E51" s="13">
        <f>IFERROR(__xludf.DUMMYFUNCTION("""COMPUTED_VALUE"""),46318.0)</f>
        <v>46318</v>
      </c>
      <c r="F51" s="5" t="str">
        <f>IFERROR(__xludf.DUMMYFUNCTION("""COMPUTED_VALUE"""),"Limited Availability")</f>
        <v>Limited Availability</v>
      </c>
      <c r="G51" s="5" t="str">
        <f>IFERROR(__xludf.DUMMYFUNCTION("""COMPUTED_VALUE"""),"Estimated recovery: TBD")</f>
        <v>Estimated recovery: TBD</v>
      </c>
      <c r="H51" s="5"/>
      <c r="I51" s="5" t="str">
        <f>IFERROR(__xludf.DUMMYFUNCTION("""COMPUTED_VALUE"""),"Shortage of an active ingredient")</f>
        <v>Shortage of an active ingredient</v>
      </c>
      <c r="J51" s="5" t="str">
        <f>IFERROR(__xludf.DUMMYFUNCTION("""COMPUTED_VALUE"""),"Psychiatry")</f>
        <v>Psychiatry</v>
      </c>
      <c r="K51" s="5" t="str">
        <f>IFERROR(__xludf.DUMMYFUNCTION("""COMPUTED_VALUE"""),"Current")</f>
        <v>Current</v>
      </c>
      <c r="L51" s="5"/>
      <c r="M51" s="5"/>
      <c r="N51" s="13">
        <f>IFERROR(__xludf.DUMMYFUNCTION("""COMPUTED_VALUE"""),44846.0)</f>
        <v>44846</v>
      </c>
      <c r="O51" s="5">
        <v>2022.0</v>
      </c>
      <c r="P51" s="5" t="str">
        <f>IFERROR(__xludf.DUMMYFUNCTION("""COMPUTED_VALUE"""),"Limited Availability")</f>
        <v>Limited Availability</v>
      </c>
      <c r="Q51" s="5" t="s">
        <v>122</v>
      </c>
      <c r="R51" s="5" t="s">
        <v>136</v>
      </c>
      <c r="S51" s="11">
        <v>1475.0</v>
      </c>
    </row>
    <row r="52">
      <c r="A52"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52" s="5" t="str">
        <f>IFERROR(__xludf.DUMMYFUNCTION("""COMPUTED_VALUE"""),"Epic Pharma, LLC")</f>
        <v>Epic Pharma, LLC</v>
      </c>
      <c r="C52" s="5" t="str">
        <f>IFERROR(__xludf.DUMMYFUNCTION("""COMPUTED_VALUE"""),"Amphetamine Aspartate Monohydrate, Amphetamine Sulfate, Dextroamphetamine Saccharate, Dextroamphetamine Sulfate, Tablet, 7.5 mg; 7.5 mg; 7.5 mg; 7.5 mg (NDC 42806-345-01)")</f>
        <v>Amphetamine Aspartate Monohydrate, Amphetamine Sulfate, Dextroamphetamine Saccharate, Dextroamphetamine Sulfate, Tablet, 7.5 mg; 7.5 mg; 7.5 mg; 7.5 mg (NDC 42806-345-01)</v>
      </c>
      <c r="D52" s="5" t="str">
        <f>IFERROR(__xludf.DUMMYFUNCTION("""COMPUTED_VALUE"""),"Reverified")</f>
        <v>Reverified</v>
      </c>
      <c r="E52" s="13">
        <f>IFERROR(__xludf.DUMMYFUNCTION("""COMPUTED_VALUE"""),46318.0)</f>
        <v>46318</v>
      </c>
      <c r="F52" s="5" t="str">
        <f>IFERROR(__xludf.DUMMYFUNCTION("""COMPUTED_VALUE"""),"Limited Availability")</f>
        <v>Limited Availability</v>
      </c>
      <c r="G52" s="5" t="str">
        <f>IFERROR(__xludf.DUMMYFUNCTION("""COMPUTED_VALUE"""),"Estimated recovery: TBD")</f>
        <v>Estimated recovery: TBD</v>
      </c>
      <c r="H52" s="5"/>
      <c r="I52" s="5" t="str">
        <f>IFERROR(__xludf.DUMMYFUNCTION("""COMPUTED_VALUE"""),"Shortage of an active ingredient")</f>
        <v>Shortage of an active ingredient</v>
      </c>
      <c r="J52" s="5" t="str">
        <f>IFERROR(__xludf.DUMMYFUNCTION("""COMPUTED_VALUE"""),"Psychiatry")</f>
        <v>Psychiatry</v>
      </c>
      <c r="K52" s="5" t="str">
        <f>IFERROR(__xludf.DUMMYFUNCTION("""COMPUTED_VALUE"""),"Current")</f>
        <v>Current</v>
      </c>
      <c r="L52" s="5"/>
      <c r="M52" s="5"/>
      <c r="N52" s="13">
        <f>IFERROR(__xludf.DUMMYFUNCTION("""COMPUTED_VALUE"""),44846.0)</f>
        <v>44846</v>
      </c>
      <c r="O52" s="5">
        <v>2022.0</v>
      </c>
      <c r="P52" s="5" t="str">
        <f>IFERROR(__xludf.DUMMYFUNCTION("""COMPUTED_VALUE"""),"Limited Availability")</f>
        <v>Limited Availability</v>
      </c>
      <c r="Q52" s="5" t="s">
        <v>122</v>
      </c>
      <c r="R52" s="5" t="s">
        <v>136</v>
      </c>
      <c r="S52" s="11">
        <v>1475.0</v>
      </c>
    </row>
    <row r="53">
      <c r="A53"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53" s="5" t="str">
        <f>IFERROR(__xludf.DUMMYFUNCTION("""COMPUTED_VALUE"""),"Epic Pharma, LLC")</f>
        <v>Epic Pharma, LLC</v>
      </c>
      <c r="C53" s="5" t="str">
        <f>IFERROR(__xludf.DUMMYFUNCTION("""COMPUTED_VALUE"""),"Amphetamine Aspartate Monohydrate, Amphetamine Sulfate, Dextroamphetamine Saccharate, Dextroamphetamine Sulfate, Tablet, 1.25 mg; 1.25 mg; 1.25 mg; 1.25 mg (NDC 42806-339-01)")</f>
        <v>Amphetamine Aspartate Monohydrate, Amphetamine Sulfate, Dextroamphetamine Saccharate, Dextroamphetamine Sulfate, Tablet, 1.25 mg; 1.25 mg; 1.25 mg; 1.25 mg (NDC 42806-339-01)</v>
      </c>
      <c r="D53" s="5" t="str">
        <f>IFERROR(__xludf.DUMMYFUNCTION("""COMPUTED_VALUE"""),"Reverified")</f>
        <v>Reverified</v>
      </c>
      <c r="E53" s="13">
        <f>IFERROR(__xludf.DUMMYFUNCTION("""COMPUTED_VALUE"""),46318.0)</f>
        <v>46318</v>
      </c>
      <c r="F53" s="5" t="str">
        <f>IFERROR(__xludf.DUMMYFUNCTION("""COMPUTED_VALUE"""),"Limited Availability")</f>
        <v>Limited Availability</v>
      </c>
      <c r="G53" s="5" t="str">
        <f>IFERROR(__xludf.DUMMYFUNCTION("""COMPUTED_VALUE"""),"Estimated recovery: TBD")</f>
        <v>Estimated recovery: TBD</v>
      </c>
      <c r="H53" s="5"/>
      <c r="I53" s="5" t="str">
        <f>IFERROR(__xludf.DUMMYFUNCTION("""COMPUTED_VALUE"""),"Shortage of an active ingredient")</f>
        <v>Shortage of an active ingredient</v>
      </c>
      <c r="J53" s="5" t="str">
        <f>IFERROR(__xludf.DUMMYFUNCTION("""COMPUTED_VALUE"""),"Psychiatry")</f>
        <v>Psychiatry</v>
      </c>
      <c r="K53" s="5" t="str">
        <f>IFERROR(__xludf.DUMMYFUNCTION("""COMPUTED_VALUE"""),"Current")</f>
        <v>Current</v>
      </c>
      <c r="L53" s="5"/>
      <c r="M53" s="5"/>
      <c r="N53" s="13">
        <f>IFERROR(__xludf.DUMMYFUNCTION("""COMPUTED_VALUE"""),44846.0)</f>
        <v>44846</v>
      </c>
      <c r="O53" s="5">
        <v>2022.0</v>
      </c>
      <c r="P53" s="5" t="str">
        <f>IFERROR(__xludf.DUMMYFUNCTION("""COMPUTED_VALUE"""),"Limited Availability")</f>
        <v>Limited Availability</v>
      </c>
      <c r="Q53" s="5" t="s">
        <v>122</v>
      </c>
      <c r="R53" s="5" t="s">
        <v>136</v>
      </c>
      <c r="S53" s="11">
        <v>1475.0</v>
      </c>
    </row>
    <row r="54">
      <c r="A54"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54" s="5" t="str">
        <f>IFERROR(__xludf.DUMMYFUNCTION("""COMPUTED_VALUE"""),"Alvogen")</f>
        <v>Alvogen</v>
      </c>
      <c r="C54" s="5" t="str">
        <f>IFERROR(__xludf.DUMMYFUNCTION("""COMPUTED_VALUE"""),"Amphetamine Aspartate Monohydrate, Amphetamine Sulfate, Dextroamphetamine Saccharate, Dextroamphetamine Sulfate, Tablet, 5mg (NDC 47781-174-01)")</f>
        <v>Amphetamine Aspartate Monohydrate, Amphetamine Sulfate, Dextroamphetamine Saccharate, Dextroamphetamine Sulfate, Tablet, 5mg (NDC 47781-174-01)</v>
      </c>
      <c r="D54" s="5" t="str">
        <f>IFERROR(__xludf.DUMMYFUNCTION("""COMPUTED_VALUE"""),"Reverified")</f>
        <v>Reverified</v>
      </c>
      <c r="E54" s="13">
        <f>IFERROR(__xludf.DUMMYFUNCTION("""COMPUTED_VALUE"""),46311.0)</f>
        <v>46311</v>
      </c>
      <c r="F54" s="5" t="str">
        <f>IFERROR(__xludf.DUMMYFUNCTION("""COMPUTED_VALUE"""),"Available")</f>
        <v>Available</v>
      </c>
      <c r="G54" s="5"/>
      <c r="H54" s="5"/>
      <c r="I54" s="5"/>
      <c r="J54" s="5" t="str">
        <f>IFERROR(__xludf.DUMMYFUNCTION("""COMPUTED_VALUE"""),"Psychiatry")</f>
        <v>Psychiatry</v>
      </c>
      <c r="K54" s="5" t="str">
        <f>IFERROR(__xludf.DUMMYFUNCTION("""COMPUTED_VALUE"""),"Current")</f>
        <v>Current</v>
      </c>
      <c r="L54" s="5"/>
      <c r="M54" s="5"/>
      <c r="N54" s="13">
        <f>IFERROR(__xludf.DUMMYFUNCTION("""COMPUTED_VALUE"""),44846.0)</f>
        <v>44846</v>
      </c>
      <c r="O54" s="5">
        <v>2022.0</v>
      </c>
      <c r="P54" s="5" t="str">
        <f>IFERROR(__xludf.DUMMYFUNCTION("""COMPUTED_VALUE"""),"Available")</f>
        <v>Available</v>
      </c>
      <c r="Q54" s="5" t="s">
        <v>135</v>
      </c>
      <c r="R54" s="5" t="s">
        <v>136</v>
      </c>
      <c r="S54" s="11">
        <v>1475.0</v>
      </c>
    </row>
    <row r="55">
      <c r="A55"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55" s="5" t="str">
        <f>IFERROR(__xludf.DUMMYFUNCTION("""COMPUTED_VALUE"""),"Alvogen")</f>
        <v>Alvogen</v>
      </c>
      <c r="C55" s="5" t="str">
        <f>IFERROR(__xludf.DUMMYFUNCTION("""COMPUTED_VALUE"""),"Amphetamine Aspartate Monohydrate, Amphetamine Sulfate, Dextroamphetamine Saccharate, Dextroamphetamine Sulfate, Tablet, 10mg (NDC 47781-176-01)")</f>
        <v>Amphetamine Aspartate Monohydrate, Amphetamine Sulfate, Dextroamphetamine Saccharate, Dextroamphetamine Sulfate, Tablet, 10mg (NDC 47781-176-01)</v>
      </c>
      <c r="D55" s="5" t="str">
        <f>IFERROR(__xludf.DUMMYFUNCTION("""COMPUTED_VALUE"""),"Reverified")</f>
        <v>Reverified</v>
      </c>
      <c r="E55" s="13">
        <f>IFERROR(__xludf.DUMMYFUNCTION("""COMPUTED_VALUE"""),46311.0)</f>
        <v>46311</v>
      </c>
      <c r="F55" s="5" t="str">
        <f>IFERROR(__xludf.DUMMYFUNCTION("""COMPUTED_VALUE"""),"Available")</f>
        <v>Available</v>
      </c>
      <c r="G55" s="5"/>
      <c r="H55" s="5"/>
      <c r="I55" s="5"/>
      <c r="J55" s="5" t="str">
        <f>IFERROR(__xludf.DUMMYFUNCTION("""COMPUTED_VALUE"""),"Psychiatry")</f>
        <v>Psychiatry</v>
      </c>
      <c r="K55" s="5" t="str">
        <f>IFERROR(__xludf.DUMMYFUNCTION("""COMPUTED_VALUE"""),"Current")</f>
        <v>Current</v>
      </c>
      <c r="L55" s="5"/>
      <c r="M55" s="5"/>
      <c r="N55" s="13">
        <f>IFERROR(__xludf.DUMMYFUNCTION("""COMPUTED_VALUE"""),44846.0)</f>
        <v>44846</v>
      </c>
      <c r="O55" s="5">
        <v>2022.0</v>
      </c>
      <c r="P55" s="5" t="str">
        <f>IFERROR(__xludf.DUMMYFUNCTION("""COMPUTED_VALUE"""),"Available")</f>
        <v>Available</v>
      </c>
      <c r="Q55" s="5" t="s">
        <v>135</v>
      </c>
      <c r="R55" s="5" t="s">
        <v>136</v>
      </c>
      <c r="S55" s="11">
        <v>1475.0</v>
      </c>
    </row>
    <row r="56">
      <c r="A56"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56" s="5" t="str">
        <f>IFERROR(__xludf.DUMMYFUNCTION("""COMPUTED_VALUE"""),"Alvogen")</f>
        <v>Alvogen</v>
      </c>
      <c r="C56" s="5" t="str">
        <f>IFERROR(__xludf.DUMMYFUNCTION("""COMPUTED_VALUE"""),"Amphetamine Aspartate Monohydrate, Amphetamine Sulfate, Dextroamphetamine Saccharate, Dextroamphetamine Sulfate, Tablet, 15mg (NDC 47781-178-01)")</f>
        <v>Amphetamine Aspartate Monohydrate, Amphetamine Sulfate, Dextroamphetamine Saccharate, Dextroamphetamine Sulfate, Tablet, 15mg (NDC 47781-178-01)</v>
      </c>
      <c r="D56" s="5" t="str">
        <f>IFERROR(__xludf.DUMMYFUNCTION("""COMPUTED_VALUE"""),"Reverified")</f>
        <v>Reverified</v>
      </c>
      <c r="E56" s="13">
        <f>IFERROR(__xludf.DUMMYFUNCTION("""COMPUTED_VALUE"""),46311.0)</f>
        <v>46311</v>
      </c>
      <c r="F56" s="5" t="str">
        <f>IFERROR(__xludf.DUMMYFUNCTION("""COMPUTED_VALUE"""),"Available")</f>
        <v>Available</v>
      </c>
      <c r="G56" s="5"/>
      <c r="H56" s="5"/>
      <c r="I56" s="5"/>
      <c r="J56" s="5" t="str">
        <f>IFERROR(__xludf.DUMMYFUNCTION("""COMPUTED_VALUE"""),"Psychiatry")</f>
        <v>Psychiatry</v>
      </c>
      <c r="K56" s="5" t="str">
        <f>IFERROR(__xludf.DUMMYFUNCTION("""COMPUTED_VALUE"""),"Current")</f>
        <v>Current</v>
      </c>
      <c r="L56" s="5"/>
      <c r="M56" s="5"/>
      <c r="N56" s="13">
        <f>IFERROR(__xludf.DUMMYFUNCTION("""COMPUTED_VALUE"""),44846.0)</f>
        <v>44846</v>
      </c>
      <c r="O56" s="5">
        <v>2022.0</v>
      </c>
      <c r="P56" s="5" t="str">
        <f>IFERROR(__xludf.DUMMYFUNCTION("""COMPUTED_VALUE"""),"Available")</f>
        <v>Available</v>
      </c>
      <c r="Q56" s="5" t="s">
        <v>135</v>
      </c>
      <c r="R56" s="5" t="s">
        <v>136</v>
      </c>
      <c r="S56" s="11">
        <v>1475.0</v>
      </c>
    </row>
    <row r="57">
      <c r="A57"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57" s="5" t="str">
        <f>IFERROR(__xludf.DUMMYFUNCTION("""COMPUTED_VALUE"""),"Alvogen")</f>
        <v>Alvogen</v>
      </c>
      <c r="C57" s="5" t="str">
        <f>IFERROR(__xludf.DUMMYFUNCTION("""COMPUTED_VALUE"""),"Amphetamine Aspartate Monohydrate, Amphetamine Sulfate, Dextroamphetamine Saccharate, Dextroamphetamine Sulfate, Tablet, 20mg (NDC 47781-179-01)")</f>
        <v>Amphetamine Aspartate Monohydrate, Amphetamine Sulfate, Dextroamphetamine Saccharate, Dextroamphetamine Sulfate, Tablet, 20mg (NDC 47781-179-01)</v>
      </c>
      <c r="D57" s="5" t="str">
        <f>IFERROR(__xludf.DUMMYFUNCTION("""COMPUTED_VALUE"""),"Reverified")</f>
        <v>Reverified</v>
      </c>
      <c r="E57" s="13">
        <f>IFERROR(__xludf.DUMMYFUNCTION("""COMPUTED_VALUE"""),46311.0)</f>
        <v>46311</v>
      </c>
      <c r="F57" s="5" t="str">
        <f>IFERROR(__xludf.DUMMYFUNCTION("""COMPUTED_VALUE"""),"Available")</f>
        <v>Available</v>
      </c>
      <c r="G57" s="5"/>
      <c r="H57" s="5"/>
      <c r="I57" s="5"/>
      <c r="J57" s="5" t="str">
        <f>IFERROR(__xludf.DUMMYFUNCTION("""COMPUTED_VALUE"""),"Psychiatry")</f>
        <v>Psychiatry</v>
      </c>
      <c r="K57" s="5" t="str">
        <f>IFERROR(__xludf.DUMMYFUNCTION("""COMPUTED_VALUE"""),"Current")</f>
        <v>Current</v>
      </c>
      <c r="L57" s="5"/>
      <c r="M57" s="5"/>
      <c r="N57" s="13">
        <f>IFERROR(__xludf.DUMMYFUNCTION("""COMPUTED_VALUE"""),44846.0)</f>
        <v>44846</v>
      </c>
      <c r="O57" s="5">
        <v>2022.0</v>
      </c>
      <c r="P57" s="5" t="str">
        <f>IFERROR(__xludf.DUMMYFUNCTION("""COMPUTED_VALUE"""),"Available")</f>
        <v>Available</v>
      </c>
      <c r="Q57" s="5" t="s">
        <v>135</v>
      </c>
      <c r="R57" s="5" t="s">
        <v>136</v>
      </c>
      <c r="S57" s="11">
        <v>1475.0</v>
      </c>
    </row>
    <row r="58">
      <c r="A58"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58" s="5" t="str">
        <f>IFERROR(__xludf.DUMMYFUNCTION("""COMPUTED_VALUE"""),"Alvogen")</f>
        <v>Alvogen</v>
      </c>
      <c r="C58" s="5" t="str">
        <f>IFERROR(__xludf.DUMMYFUNCTION("""COMPUTED_VALUE"""),"Amphetamine Aspartate Monohydrate, Amphetamine Sulfate, Dextroamphetamine Saccharate, Dextroamphetamine Sulfate, Tablet, 30mg (NDC 47781-180-01)")</f>
        <v>Amphetamine Aspartate Monohydrate, Amphetamine Sulfate, Dextroamphetamine Saccharate, Dextroamphetamine Sulfate, Tablet, 30mg (NDC 47781-180-01)</v>
      </c>
      <c r="D58" s="5" t="str">
        <f>IFERROR(__xludf.DUMMYFUNCTION("""COMPUTED_VALUE"""),"Reverified")</f>
        <v>Reverified</v>
      </c>
      <c r="E58" s="13">
        <f>IFERROR(__xludf.DUMMYFUNCTION("""COMPUTED_VALUE"""),46311.0)</f>
        <v>46311</v>
      </c>
      <c r="F58" s="5" t="str">
        <f>IFERROR(__xludf.DUMMYFUNCTION("""COMPUTED_VALUE"""),"Available")</f>
        <v>Available</v>
      </c>
      <c r="G58" s="5"/>
      <c r="H58" s="5"/>
      <c r="I58" s="5"/>
      <c r="J58" s="5" t="str">
        <f>IFERROR(__xludf.DUMMYFUNCTION("""COMPUTED_VALUE"""),"Psychiatry")</f>
        <v>Psychiatry</v>
      </c>
      <c r="K58" s="5" t="str">
        <f>IFERROR(__xludf.DUMMYFUNCTION("""COMPUTED_VALUE"""),"Current")</f>
        <v>Current</v>
      </c>
      <c r="L58" s="5"/>
      <c r="M58" s="5"/>
      <c r="N58" s="13">
        <f>IFERROR(__xludf.DUMMYFUNCTION("""COMPUTED_VALUE"""),44846.0)</f>
        <v>44846</v>
      </c>
      <c r="O58" s="5">
        <v>2022.0</v>
      </c>
      <c r="P58" s="5" t="str">
        <f>IFERROR(__xludf.DUMMYFUNCTION("""COMPUTED_VALUE"""),"Available")</f>
        <v>Available</v>
      </c>
      <c r="Q58" s="5" t="s">
        <v>135</v>
      </c>
      <c r="R58" s="5" t="s">
        <v>136</v>
      </c>
      <c r="S58" s="11">
        <v>1475.0</v>
      </c>
    </row>
    <row r="59">
      <c r="A59"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59" s="5" t="str">
        <f>IFERROR(__xludf.DUMMYFUNCTION("""COMPUTED_VALUE"""),"Sunrise Pharmaceutical, Inc.")</f>
        <v>Sunrise Pharmaceutical, Inc.</v>
      </c>
      <c r="C59" s="5" t="str">
        <f>IFERROR(__xludf.DUMMYFUNCTION("""COMPUTED_VALUE"""),"Amphetamine Aspartate Monohydrate, Amphetamine Sulfate, Dextroamphetamine Saccharate, Dextroamphetamine Sulfate, Tablet, 1.25 mg; 1.25 mg; 1.25 mg; 1.25 mg (NDC 11534-190-01)")</f>
        <v>Amphetamine Aspartate Monohydrate, Amphetamine Sulfate, Dextroamphetamine Saccharate, Dextroamphetamine Sulfate, Tablet, 1.25 mg; 1.25 mg; 1.25 mg; 1.25 mg (NDC 11534-190-01)</v>
      </c>
      <c r="D59" s="5" t="str">
        <f>IFERROR(__xludf.DUMMYFUNCTION("""COMPUTED_VALUE"""),"Reverified")</f>
        <v>Reverified</v>
      </c>
      <c r="E59" s="13">
        <f>IFERROR(__xludf.DUMMYFUNCTION("""COMPUTED_VALUE"""),46310.0)</f>
        <v>46310</v>
      </c>
      <c r="F59" s="5" t="str">
        <f>IFERROR(__xludf.DUMMYFUNCTION("""COMPUTED_VALUE"""),"Available")</f>
        <v>Available</v>
      </c>
      <c r="G59" s="5"/>
      <c r="H59" s="5"/>
      <c r="I59" s="5"/>
      <c r="J59" s="5" t="str">
        <f>IFERROR(__xludf.DUMMYFUNCTION("""COMPUTED_VALUE"""),"Psychiatry")</f>
        <v>Psychiatry</v>
      </c>
      <c r="K59" s="5" t="str">
        <f>IFERROR(__xludf.DUMMYFUNCTION("""COMPUTED_VALUE"""),"Current")</f>
        <v>Current</v>
      </c>
      <c r="L59" s="5"/>
      <c r="M59" s="5"/>
      <c r="N59" s="13">
        <f>IFERROR(__xludf.DUMMYFUNCTION("""COMPUTED_VALUE"""),44846.0)</f>
        <v>44846</v>
      </c>
      <c r="O59" s="5">
        <v>2022.0</v>
      </c>
      <c r="P59" s="5" t="str">
        <f>IFERROR(__xludf.DUMMYFUNCTION("""COMPUTED_VALUE"""),"Available")</f>
        <v>Available</v>
      </c>
      <c r="Q59" s="5" t="s">
        <v>135</v>
      </c>
      <c r="R59" s="5" t="s">
        <v>136</v>
      </c>
      <c r="S59" s="11">
        <v>1475.0</v>
      </c>
    </row>
    <row r="60">
      <c r="A60"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60" s="5" t="str">
        <f>IFERROR(__xludf.DUMMYFUNCTION("""COMPUTED_VALUE"""),"Sunrise Pharmaceutical, Inc.")</f>
        <v>Sunrise Pharmaceutical, Inc.</v>
      </c>
      <c r="C60" s="5" t="str">
        <f>IFERROR(__xludf.DUMMYFUNCTION("""COMPUTED_VALUE"""),"Amphetamine Aspartate Monohydrate, Amphetamine Sulfate, Dextroamphetamine Saccharate, Dextroamphetamine Sulfate, Tablet, 2.5 mg; 2.5 mg; 2.5 mg; 2.5 mg (NDC 11534-192-01)")</f>
        <v>Amphetamine Aspartate Monohydrate, Amphetamine Sulfate, Dextroamphetamine Saccharate, Dextroamphetamine Sulfate, Tablet, 2.5 mg; 2.5 mg; 2.5 mg; 2.5 mg (NDC 11534-192-01)</v>
      </c>
      <c r="D60" s="5" t="str">
        <f>IFERROR(__xludf.DUMMYFUNCTION("""COMPUTED_VALUE"""),"Reverified")</f>
        <v>Reverified</v>
      </c>
      <c r="E60" s="13">
        <f>IFERROR(__xludf.DUMMYFUNCTION("""COMPUTED_VALUE"""),46310.0)</f>
        <v>46310</v>
      </c>
      <c r="F60" s="5" t="str">
        <f>IFERROR(__xludf.DUMMYFUNCTION("""COMPUTED_VALUE"""),"Available")</f>
        <v>Available</v>
      </c>
      <c r="G60" s="5"/>
      <c r="H60" s="5"/>
      <c r="I60" s="5"/>
      <c r="J60" s="5" t="str">
        <f>IFERROR(__xludf.DUMMYFUNCTION("""COMPUTED_VALUE"""),"Psychiatry")</f>
        <v>Psychiatry</v>
      </c>
      <c r="K60" s="5" t="str">
        <f>IFERROR(__xludf.DUMMYFUNCTION("""COMPUTED_VALUE"""),"Current")</f>
        <v>Current</v>
      </c>
      <c r="L60" s="5"/>
      <c r="M60" s="5"/>
      <c r="N60" s="13">
        <f>IFERROR(__xludf.DUMMYFUNCTION("""COMPUTED_VALUE"""),44846.0)</f>
        <v>44846</v>
      </c>
      <c r="O60" s="5">
        <v>2022.0</v>
      </c>
      <c r="P60" s="5" t="str">
        <f>IFERROR(__xludf.DUMMYFUNCTION("""COMPUTED_VALUE"""),"Available")</f>
        <v>Available</v>
      </c>
      <c r="Q60" s="5" t="s">
        <v>135</v>
      </c>
      <c r="R60" s="5" t="s">
        <v>136</v>
      </c>
      <c r="S60" s="11">
        <v>1475.0</v>
      </c>
    </row>
    <row r="61">
      <c r="A61"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61" s="5" t="str">
        <f>IFERROR(__xludf.DUMMYFUNCTION("""COMPUTED_VALUE"""),"Sunrise Pharmaceutical, Inc.")</f>
        <v>Sunrise Pharmaceutical, Inc.</v>
      </c>
      <c r="C61" s="5" t="str">
        <f>IFERROR(__xludf.DUMMYFUNCTION("""COMPUTED_VALUE"""),"Amphetamine Aspartate Monohydrate, Amphetamine Sulfate, Dextroamphetamine Saccharate, Dextroamphetamine Sulfate, Tablet, 1.875 mg; 1.875 mg; 1.875 mg; 1.875 mg (NDC 11534-191-01)")</f>
        <v>Amphetamine Aspartate Monohydrate, Amphetamine Sulfate, Dextroamphetamine Saccharate, Dextroamphetamine Sulfate, Tablet, 1.875 mg; 1.875 mg; 1.875 mg; 1.875 mg (NDC 11534-191-01)</v>
      </c>
      <c r="D61" s="5" t="str">
        <f>IFERROR(__xludf.DUMMYFUNCTION("""COMPUTED_VALUE"""),"Reverified")</f>
        <v>Reverified</v>
      </c>
      <c r="E61" s="13">
        <f>IFERROR(__xludf.DUMMYFUNCTION("""COMPUTED_VALUE"""),46310.0)</f>
        <v>46310</v>
      </c>
      <c r="F61" s="5" t="str">
        <f>IFERROR(__xludf.DUMMYFUNCTION("""COMPUTED_VALUE"""),"Available")</f>
        <v>Available</v>
      </c>
      <c r="G61" s="5"/>
      <c r="H61" s="5"/>
      <c r="I61" s="5"/>
      <c r="J61" s="5" t="str">
        <f>IFERROR(__xludf.DUMMYFUNCTION("""COMPUTED_VALUE"""),"Psychiatry")</f>
        <v>Psychiatry</v>
      </c>
      <c r="K61" s="5" t="str">
        <f>IFERROR(__xludf.DUMMYFUNCTION("""COMPUTED_VALUE"""),"Current")</f>
        <v>Current</v>
      </c>
      <c r="L61" s="5"/>
      <c r="M61" s="5"/>
      <c r="N61" s="13">
        <f>IFERROR(__xludf.DUMMYFUNCTION("""COMPUTED_VALUE"""),44846.0)</f>
        <v>44846</v>
      </c>
      <c r="O61" s="5">
        <v>2022.0</v>
      </c>
      <c r="P61" s="5" t="str">
        <f>IFERROR(__xludf.DUMMYFUNCTION("""COMPUTED_VALUE"""),"Available")</f>
        <v>Available</v>
      </c>
      <c r="Q61" s="5" t="s">
        <v>135</v>
      </c>
      <c r="R61" s="5" t="s">
        <v>136</v>
      </c>
      <c r="S61" s="11">
        <v>1475.0</v>
      </c>
    </row>
    <row r="62">
      <c r="A62"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62" s="5" t="str">
        <f>IFERROR(__xludf.DUMMYFUNCTION("""COMPUTED_VALUE"""),"Sunrise Pharmaceutical, Inc.")</f>
        <v>Sunrise Pharmaceutical, Inc.</v>
      </c>
      <c r="C62" s="5" t="str">
        <f>IFERROR(__xludf.DUMMYFUNCTION("""COMPUTED_VALUE"""),"Amphetamine Aspartate Monohydrate, Amphetamine Sulfate, Dextroamphetamine Saccharate, Dextroamphetamine Sulfate, Tablet, 3.125 mg; 3.125 mg; 3.125 mg; 3.125 mg (NDC 11534-193-01)")</f>
        <v>Amphetamine Aspartate Monohydrate, Amphetamine Sulfate, Dextroamphetamine Saccharate, Dextroamphetamine Sulfate, Tablet, 3.125 mg; 3.125 mg; 3.125 mg; 3.125 mg (NDC 11534-193-01)</v>
      </c>
      <c r="D62" s="5" t="str">
        <f>IFERROR(__xludf.DUMMYFUNCTION("""COMPUTED_VALUE"""),"Reverified")</f>
        <v>Reverified</v>
      </c>
      <c r="E62" s="13">
        <f>IFERROR(__xludf.DUMMYFUNCTION("""COMPUTED_VALUE"""),46310.0)</f>
        <v>46310</v>
      </c>
      <c r="F62" s="5" t="str">
        <f>IFERROR(__xludf.DUMMYFUNCTION("""COMPUTED_VALUE"""),"Available")</f>
        <v>Available</v>
      </c>
      <c r="G62" s="5"/>
      <c r="H62" s="5"/>
      <c r="I62" s="5"/>
      <c r="J62" s="5" t="str">
        <f>IFERROR(__xludf.DUMMYFUNCTION("""COMPUTED_VALUE"""),"Psychiatry")</f>
        <v>Psychiatry</v>
      </c>
      <c r="K62" s="5" t="str">
        <f>IFERROR(__xludf.DUMMYFUNCTION("""COMPUTED_VALUE"""),"Current")</f>
        <v>Current</v>
      </c>
      <c r="L62" s="5"/>
      <c r="M62" s="5"/>
      <c r="N62" s="13">
        <f>IFERROR(__xludf.DUMMYFUNCTION("""COMPUTED_VALUE"""),44846.0)</f>
        <v>44846</v>
      </c>
      <c r="O62" s="5">
        <v>2022.0</v>
      </c>
      <c r="P62" s="5" t="str">
        <f>IFERROR(__xludf.DUMMYFUNCTION("""COMPUTED_VALUE"""),"Available")</f>
        <v>Available</v>
      </c>
      <c r="Q62" s="5" t="s">
        <v>135</v>
      </c>
      <c r="R62" s="5" t="s">
        <v>136</v>
      </c>
      <c r="S62" s="11">
        <v>1475.0</v>
      </c>
    </row>
    <row r="63">
      <c r="A63"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63" s="5" t="str">
        <f>IFERROR(__xludf.DUMMYFUNCTION("""COMPUTED_VALUE"""),"Sunrise Pharmaceutical, Inc.")</f>
        <v>Sunrise Pharmaceutical, Inc.</v>
      </c>
      <c r="C63" s="5" t="str">
        <f>IFERROR(__xludf.DUMMYFUNCTION("""COMPUTED_VALUE"""),"Amphetamine Aspartate Monohydrate, Amphetamine Sulfate, Dextroamphetamine Saccharate, Dextroamphetamine Sulfate, Tablet, 3.75 mg; 3.75 mg; 3.75 mg; 3.75 mg (NDC 11534-194-01)")</f>
        <v>Amphetamine Aspartate Monohydrate, Amphetamine Sulfate, Dextroamphetamine Saccharate, Dextroamphetamine Sulfate, Tablet, 3.75 mg; 3.75 mg; 3.75 mg; 3.75 mg (NDC 11534-194-01)</v>
      </c>
      <c r="D63" s="5" t="str">
        <f>IFERROR(__xludf.DUMMYFUNCTION("""COMPUTED_VALUE"""),"Reverified")</f>
        <v>Reverified</v>
      </c>
      <c r="E63" s="13">
        <f>IFERROR(__xludf.DUMMYFUNCTION("""COMPUTED_VALUE"""),46310.0)</f>
        <v>46310</v>
      </c>
      <c r="F63" s="5" t="str">
        <f>IFERROR(__xludf.DUMMYFUNCTION("""COMPUTED_VALUE"""),"Available")</f>
        <v>Available</v>
      </c>
      <c r="G63" s="5"/>
      <c r="H63" s="5"/>
      <c r="I63" s="5"/>
      <c r="J63" s="5" t="str">
        <f>IFERROR(__xludf.DUMMYFUNCTION("""COMPUTED_VALUE"""),"Psychiatry")</f>
        <v>Psychiatry</v>
      </c>
      <c r="K63" s="5" t="str">
        <f>IFERROR(__xludf.DUMMYFUNCTION("""COMPUTED_VALUE"""),"Current")</f>
        <v>Current</v>
      </c>
      <c r="L63" s="5"/>
      <c r="M63" s="5"/>
      <c r="N63" s="13">
        <f>IFERROR(__xludf.DUMMYFUNCTION("""COMPUTED_VALUE"""),44846.0)</f>
        <v>44846</v>
      </c>
      <c r="O63" s="5">
        <v>2022.0</v>
      </c>
      <c r="P63" s="5" t="str">
        <f>IFERROR(__xludf.DUMMYFUNCTION("""COMPUTED_VALUE"""),"Available")</f>
        <v>Available</v>
      </c>
      <c r="Q63" s="5" t="s">
        <v>135</v>
      </c>
      <c r="R63" s="5" t="s">
        <v>136</v>
      </c>
      <c r="S63" s="11">
        <v>1475.0</v>
      </c>
    </row>
    <row r="64">
      <c r="A64"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64" s="5" t="str">
        <f>IFERROR(__xludf.DUMMYFUNCTION("""COMPUTED_VALUE"""),"Sunrise Pharmaceutical, Inc.")</f>
        <v>Sunrise Pharmaceutical, Inc.</v>
      </c>
      <c r="C64" s="5" t="str">
        <f>IFERROR(__xludf.DUMMYFUNCTION("""COMPUTED_VALUE"""),"Amphetamine Aspartate Monohydrate, Amphetamine Sulfate, Dextroamphetamine Saccharate, Dextroamphetamine Sulfate, Tablet, 5 mg; 5 mg; 5 mg; 5 mg (NDC 11534-195-01)")</f>
        <v>Amphetamine Aspartate Monohydrate, Amphetamine Sulfate, Dextroamphetamine Saccharate, Dextroamphetamine Sulfate, Tablet, 5 mg; 5 mg; 5 mg; 5 mg (NDC 11534-195-01)</v>
      </c>
      <c r="D64" s="5" t="str">
        <f>IFERROR(__xludf.DUMMYFUNCTION("""COMPUTED_VALUE"""),"Reverified")</f>
        <v>Reverified</v>
      </c>
      <c r="E64" s="13">
        <f>IFERROR(__xludf.DUMMYFUNCTION("""COMPUTED_VALUE"""),46310.0)</f>
        <v>46310</v>
      </c>
      <c r="F64" s="5" t="str">
        <f>IFERROR(__xludf.DUMMYFUNCTION("""COMPUTED_VALUE"""),"Available")</f>
        <v>Available</v>
      </c>
      <c r="G64" s="5"/>
      <c r="H64" s="5"/>
      <c r="I64" s="5"/>
      <c r="J64" s="5" t="str">
        <f>IFERROR(__xludf.DUMMYFUNCTION("""COMPUTED_VALUE"""),"Psychiatry")</f>
        <v>Psychiatry</v>
      </c>
      <c r="K64" s="5" t="str">
        <f>IFERROR(__xludf.DUMMYFUNCTION("""COMPUTED_VALUE"""),"Current")</f>
        <v>Current</v>
      </c>
      <c r="L64" s="5"/>
      <c r="M64" s="5"/>
      <c r="N64" s="13">
        <f>IFERROR(__xludf.DUMMYFUNCTION("""COMPUTED_VALUE"""),44846.0)</f>
        <v>44846</v>
      </c>
      <c r="O64" s="5">
        <v>2022.0</v>
      </c>
      <c r="P64" s="5" t="str">
        <f>IFERROR(__xludf.DUMMYFUNCTION("""COMPUTED_VALUE"""),"Available")</f>
        <v>Available</v>
      </c>
      <c r="Q64" s="5" t="s">
        <v>135</v>
      </c>
      <c r="R64" s="5" t="s">
        <v>136</v>
      </c>
      <c r="S64" s="11">
        <v>1475.0</v>
      </c>
    </row>
    <row r="65">
      <c r="A65"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65" s="5" t="str">
        <f>IFERROR(__xludf.DUMMYFUNCTION("""COMPUTED_VALUE"""),"Sunrise Pharmaceutical, Inc.")</f>
        <v>Sunrise Pharmaceutical, Inc.</v>
      </c>
      <c r="C65" s="5" t="str">
        <f>IFERROR(__xludf.DUMMYFUNCTION("""COMPUTED_VALUE"""),"Amphetamine Aspartate Monohydrate, Amphetamine Sulfate, Dextroamphetamine Saccharate, Dextroamphetamine Sulfate, Tablet, 7.5 mg; 7.5 mg; 7.5 mg; 7.5 mg (NDC 11534-196-01)")</f>
        <v>Amphetamine Aspartate Monohydrate, Amphetamine Sulfate, Dextroamphetamine Saccharate, Dextroamphetamine Sulfate, Tablet, 7.5 mg; 7.5 mg; 7.5 mg; 7.5 mg (NDC 11534-196-01)</v>
      </c>
      <c r="D65" s="5" t="str">
        <f>IFERROR(__xludf.DUMMYFUNCTION("""COMPUTED_VALUE"""),"Reverified")</f>
        <v>Reverified</v>
      </c>
      <c r="E65" s="13">
        <f>IFERROR(__xludf.DUMMYFUNCTION("""COMPUTED_VALUE"""),46310.0)</f>
        <v>46310</v>
      </c>
      <c r="F65" s="5" t="str">
        <f>IFERROR(__xludf.DUMMYFUNCTION("""COMPUTED_VALUE"""),"Available")</f>
        <v>Available</v>
      </c>
      <c r="G65" s="5"/>
      <c r="H65" s="5"/>
      <c r="I65" s="5"/>
      <c r="J65" s="5" t="str">
        <f>IFERROR(__xludf.DUMMYFUNCTION("""COMPUTED_VALUE"""),"Psychiatry")</f>
        <v>Psychiatry</v>
      </c>
      <c r="K65" s="5" t="str">
        <f>IFERROR(__xludf.DUMMYFUNCTION("""COMPUTED_VALUE"""),"Current")</f>
        <v>Current</v>
      </c>
      <c r="L65" s="5"/>
      <c r="M65" s="5"/>
      <c r="N65" s="13">
        <f>IFERROR(__xludf.DUMMYFUNCTION("""COMPUTED_VALUE"""),44846.0)</f>
        <v>44846</v>
      </c>
      <c r="O65" s="5">
        <v>2022.0</v>
      </c>
      <c r="P65" s="5" t="str">
        <f>IFERROR(__xludf.DUMMYFUNCTION("""COMPUTED_VALUE"""),"Available")</f>
        <v>Available</v>
      </c>
      <c r="Q65" s="5" t="s">
        <v>135</v>
      </c>
      <c r="R65" s="5" t="s">
        <v>136</v>
      </c>
      <c r="S65" s="11">
        <v>1475.0</v>
      </c>
    </row>
    <row r="66">
      <c r="A66"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66" s="5" t="str">
        <f>IFERROR(__xludf.DUMMYFUNCTION("""COMPUTED_VALUE"""),"Lannett Company, Inc.")</f>
        <v>Lannett Company, Inc.</v>
      </c>
      <c r="C66" s="5" t="str">
        <f>IFERROR(__xludf.DUMMYFUNCTION("""COMPUTED_VALUE"""),"Amphetamine Aspartate Monohydrate, Amphetamine Sulfate, Dextroamphetamine Saccharate, Dextroamphetamine Sulfate, Tablet, 1.25 mg; 1.25 mg; 1.25 mg; 1.25 mg (NDC 0527-0760-37)")</f>
        <v>Amphetamine Aspartate Monohydrate, Amphetamine Sulfate, Dextroamphetamine Saccharate, Dextroamphetamine Sulfate, Tablet, 1.25 mg; 1.25 mg; 1.25 mg; 1.25 mg (NDC 0527-0760-37)</v>
      </c>
      <c r="D66" s="5" t="str">
        <f>IFERROR(__xludf.DUMMYFUNCTION("""COMPUTED_VALUE"""),"Reverified")</f>
        <v>Reverified</v>
      </c>
      <c r="E66" s="13">
        <f>IFERROR(__xludf.DUMMYFUNCTION("""COMPUTED_VALUE"""),46310.0)</f>
        <v>46310</v>
      </c>
      <c r="F66" s="5" t="str">
        <f>IFERROR(__xludf.DUMMYFUNCTION("""COMPUTED_VALUE"""),"Available")</f>
        <v>Available</v>
      </c>
      <c r="G66" s="5"/>
      <c r="H66" s="5"/>
      <c r="I66" s="5"/>
      <c r="J66" s="5" t="str">
        <f>IFERROR(__xludf.DUMMYFUNCTION("""COMPUTED_VALUE"""),"Psychiatry")</f>
        <v>Psychiatry</v>
      </c>
      <c r="K66" s="5" t="str">
        <f>IFERROR(__xludf.DUMMYFUNCTION("""COMPUTED_VALUE"""),"Current")</f>
        <v>Current</v>
      </c>
      <c r="L66" s="5"/>
      <c r="M66" s="5"/>
      <c r="N66" s="13">
        <f>IFERROR(__xludf.DUMMYFUNCTION("""COMPUTED_VALUE"""),44846.0)</f>
        <v>44846</v>
      </c>
      <c r="O66" s="5">
        <v>2022.0</v>
      </c>
      <c r="P66" s="5" t="str">
        <f>IFERROR(__xludf.DUMMYFUNCTION("""COMPUTED_VALUE"""),"Available")</f>
        <v>Available</v>
      </c>
      <c r="Q66" s="5" t="s">
        <v>135</v>
      </c>
      <c r="R66" s="5" t="s">
        <v>136</v>
      </c>
      <c r="S66" s="11">
        <v>1475.0</v>
      </c>
    </row>
    <row r="67">
      <c r="A67"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67" s="5" t="str">
        <f>IFERROR(__xludf.DUMMYFUNCTION("""COMPUTED_VALUE"""),"Lannett Company, Inc.")</f>
        <v>Lannett Company, Inc.</v>
      </c>
      <c r="C67" s="5" t="str">
        <f>IFERROR(__xludf.DUMMYFUNCTION("""COMPUTED_VALUE"""),"Amphetamine Aspartate Monohydrate, Amphetamine Sulfate, Dextroamphetamine Saccharate, Dextroamphetamine Sulfate, Tablet, 1.875 mg; 1.875 mg; 1.875 mg; 1.875 mg (NDC 0527-0761-37)")</f>
        <v>Amphetamine Aspartate Monohydrate, Amphetamine Sulfate, Dextroamphetamine Saccharate, Dextroamphetamine Sulfate, Tablet, 1.875 mg; 1.875 mg; 1.875 mg; 1.875 mg (NDC 0527-0761-37)</v>
      </c>
      <c r="D67" s="5" t="str">
        <f>IFERROR(__xludf.DUMMYFUNCTION("""COMPUTED_VALUE"""),"Reverified")</f>
        <v>Reverified</v>
      </c>
      <c r="E67" s="13">
        <f>IFERROR(__xludf.DUMMYFUNCTION("""COMPUTED_VALUE"""),46310.0)</f>
        <v>46310</v>
      </c>
      <c r="F67" s="5" t="str">
        <f>IFERROR(__xludf.DUMMYFUNCTION("""COMPUTED_VALUE"""),"Available")</f>
        <v>Available</v>
      </c>
      <c r="G67" s="5"/>
      <c r="H67" s="5"/>
      <c r="I67" s="5"/>
      <c r="J67" s="5" t="str">
        <f>IFERROR(__xludf.DUMMYFUNCTION("""COMPUTED_VALUE"""),"Psychiatry")</f>
        <v>Psychiatry</v>
      </c>
      <c r="K67" s="5" t="str">
        <f>IFERROR(__xludf.DUMMYFUNCTION("""COMPUTED_VALUE"""),"Current")</f>
        <v>Current</v>
      </c>
      <c r="L67" s="5"/>
      <c r="M67" s="5"/>
      <c r="N67" s="13">
        <f>IFERROR(__xludf.DUMMYFUNCTION("""COMPUTED_VALUE"""),44846.0)</f>
        <v>44846</v>
      </c>
      <c r="O67" s="5">
        <v>2022.0</v>
      </c>
      <c r="P67" s="5" t="str">
        <f>IFERROR(__xludf.DUMMYFUNCTION("""COMPUTED_VALUE"""),"Available")</f>
        <v>Available</v>
      </c>
      <c r="Q67" s="5" t="s">
        <v>135</v>
      </c>
      <c r="R67" s="5" t="s">
        <v>136</v>
      </c>
      <c r="S67" s="11">
        <v>1475.0</v>
      </c>
    </row>
    <row r="68">
      <c r="A68"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68" s="5" t="str">
        <f>IFERROR(__xludf.DUMMYFUNCTION("""COMPUTED_VALUE"""),"Lannett Company, Inc.")</f>
        <v>Lannett Company, Inc.</v>
      </c>
      <c r="C68" s="5" t="str">
        <f>IFERROR(__xludf.DUMMYFUNCTION("""COMPUTED_VALUE"""),"Amphetamine Aspartate Monohydrate, Amphetamine Sulfate, Dextroamphetamine Saccharate, Dextroamphetamine Sulfate, Tablet, 2.5 mg; 2.5 mg; 2.5 mg; 2.5 mg (NDC 0527-1502-37)")</f>
        <v>Amphetamine Aspartate Monohydrate, Amphetamine Sulfate, Dextroamphetamine Saccharate, Dextroamphetamine Sulfate, Tablet, 2.5 mg; 2.5 mg; 2.5 mg; 2.5 mg (NDC 0527-1502-37)</v>
      </c>
      <c r="D68" s="5" t="str">
        <f>IFERROR(__xludf.DUMMYFUNCTION("""COMPUTED_VALUE"""),"Reverified")</f>
        <v>Reverified</v>
      </c>
      <c r="E68" s="13">
        <f>IFERROR(__xludf.DUMMYFUNCTION("""COMPUTED_VALUE"""),46310.0)</f>
        <v>46310</v>
      </c>
      <c r="F68" s="5" t="str">
        <f>IFERROR(__xludf.DUMMYFUNCTION("""COMPUTED_VALUE"""),"Available")</f>
        <v>Available</v>
      </c>
      <c r="G68" s="5"/>
      <c r="H68" s="5"/>
      <c r="I68" s="5"/>
      <c r="J68" s="5" t="str">
        <f>IFERROR(__xludf.DUMMYFUNCTION("""COMPUTED_VALUE"""),"Psychiatry")</f>
        <v>Psychiatry</v>
      </c>
      <c r="K68" s="5" t="str">
        <f>IFERROR(__xludf.DUMMYFUNCTION("""COMPUTED_VALUE"""),"Current")</f>
        <v>Current</v>
      </c>
      <c r="L68" s="5"/>
      <c r="M68" s="5"/>
      <c r="N68" s="13">
        <f>IFERROR(__xludf.DUMMYFUNCTION("""COMPUTED_VALUE"""),44846.0)</f>
        <v>44846</v>
      </c>
      <c r="O68" s="5">
        <v>2022.0</v>
      </c>
      <c r="P68" s="5" t="str">
        <f>IFERROR(__xludf.DUMMYFUNCTION("""COMPUTED_VALUE"""),"Available")</f>
        <v>Available</v>
      </c>
      <c r="Q68" s="5" t="s">
        <v>135</v>
      </c>
      <c r="R68" s="5" t="s">
        <v>136</v>
      </c>
      <c r="S68" s="11">
        <v>1475.0</v>
      </c>
    </row>
    <row r="69">
      <c r="A69"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69" s="5" t="str">
        <f>IFERROR(__xludf.DUMMYFUNCTION("""COMPUTED_VALUE"""),"Lannett Company, Inc.")</f>
        <v>Lannett Company, Inc.</v>
      </c>
      <c r="C69" s="5" t="str">
        <f>IFERROR(__xludf.DUMMYFUNCTION("""COMPUTED_VALUE"""),"Amphetamine Aspartate Monohydrate, Amphetamine Sulfate, Dextroamphetamine Saccharate, Dextroamphetamine Sulfate, Tablet, 3.125 mg; 3.125 mg; 3.125 mg; 3.125 mg (NDC 0527-0763-37)")</f>
        <v>Amphetamine Aspartate Monohydrate, Amphetamine Sulfate, Dextroamphetamine Saccharate, Dextroamphetamine Sulfate, Tablet, 3.125 mg; 3.125 mg; 3.125 mg; 3.125 mg (NDC 0527-0763-37)</v>
      </c>
      <c r="D69" s="5" t="str">
        <f>IFERROR(__xludf.DUMMYFUNCTION("""COMPUTED_VALUE"""),"Reverified")</f>
        <v>Reverified</v>
      </c>
      <c r="E69" s="13">
        <f>IFERROR(__xludf.DUMMYFUNCTION("""COMPUTED_VALUE"""),46310.0)</f>
        <v>46310</v>
      </c>
      <c r="F69" s="5" t="str">
        <f>IFERROR(__xludf.DUMMYFUNCTION("""COMPUTED_VALUE"""),"Available")</f>
        <v>Available</v>
      </c>
      <c r="G69" s="5"/>
      <c r="H69" s="5"/>
      <c r="I69" s="5"/>
      <c r="J69" s="5" t="str">
        <f>IFERROR(__xludf.DUMMYFUNCTION("""COMPUTED_VALUE"""),"Psychiatry")</f>
        <v>Psychiatry</v>
      </c>
      <c r="K69" s="5" t="str">
        <f>IFERROR(__xludf.DUMMYFUNCTION("""COMPUTED_VALUE"""),"Current")</f>
        <v>Current</v>
      </c>
      <c r="L69" s="5"/>
      <c r="M69" s="5"/>
      <c r="N69" s="13">
        <f>IFERROR(__xludf.DUMMYFUNCTION("""COMPUTED_VALUE"""),44846.0)</f>
        <v>44846</v>
      </c>
      <c r="O69" s="5">
        <v>2022.0</v>
      </c>
      <c r="P69" s="5" t="str">
        <f>IFERROR(__xludf.DUMMYFUNCTION("""COMPUTED_VALUE"""),"Available")</f>
        <v>Available</v>
      </c>
      <c r="Q69" s="5" t="s">
        <v>135</v>
      </c>
      <c r="R69" s="5" t="s">
        <v>136</v>
      </c>
      <c r="S69" s="11">
        <v>1475.0</v>
      </c>
    </row>
    <row r="70">
      <c r="A70"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70" s="5" t="str">
        <f>IFERROR(__xludf.DUMMYFUNCTION("""COMPUTED_VALUE"""),"Lannett Company, Inc.")</f>
        <v>Lannett Company, Inc.</v>
      </c>
      <c r="C70" s="5" t="str">
        <f>IFERROR(__xludf.DUMMYFUNCTION("""COMPUTED_VALUE"""),"Amphetamine Aspartate Monohydrate, Amphetamine Sulfate, Dextroamphetamine Saccharate, Dextroamphetamine Sulfate, Tablet, 3.75 mg; 3.75 mg; 3.75 mg; 3.75 mg (NDC 0527-0764-37)")</f>
        <v>Amphetamine Aspartate Monohydrate, Amphetamine Sulfate, Dextroamphetamine Saccharate, Dextroamphetamine Sulfate, Tablet, 3.75 mg; 3.75 mg; 3.75 mg; 3.75 mg (NDC 0527-0764-37)</v>
      </c>
      <c r="D70" s="5" t="str">
        <f>IFERROR(__xludf.DUMMYFUNCTION("""COMPUTED_VALUE"""),"Reverified")</f>
        <v>Reverified</v>
      </c>
      <c r="E70" s="13">
        <f>IFERROR(__xludf.DUMMYFUNCTION("""COMPUTED_VALUE"""),46310.0)</f>
        <v>46310</v>
      </c>
      <c r="F70" s="5" t="str">
        <f>IFERROR(__xludf.DUMMYFUNCTION("""COMPUTED_VALUE"""),"Available")</f>
        <v>Available</v>
      </c>
      <c r="G70" s="5"/>
      <c r="H70" s="5"/>
      <c r="I70" s="5"/>
      <c r="J70" s="5" t="str">
        <f>IFERROR(__xludf.DUMMYFUNCTION("""COMPUTED_VALUE"""),"Psychiatry")</f>
        <v>Psychiatry</v>
      </c>
      <c r="K70" s="5" t="str">
        <f>IFERROR(__xludf.DUMMYFUNCTION("""COMPUTED_VALUE"""),"Current")</f>
        <v>Current</v>
      </c>
      <c r="L70" s="5"/>
      <c r="M70" s="5"/>
      <c r="N70" s="13">
        <f>IFERROR(__xludf.DUMMYFUNCTION("""COMPUTED_VALUE"""),44846.0)</f>
        <v>44846</v>
      </c>
      <c r="O70" s="5">
        <v>2022.0</v>
      </c>
      <c r="P70" s="5" t="str">
        <f>IFERROR(__xludf.DUMMYFUNCTION("""COMPUTED_VALUE"""),"Available")</f>
        <v>Available</v>
      </c>
      <c r="Q70" s="5" t="s">
        <v>135</v>
      </c>
      <c r="R70" s="5" t="s">
        <v>136</v>
      </c>
      <c r="S70" s="11">
        <v>1475.0</v>
      </c>
    </row>
    <row r="71">
      <c r="A71"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71" s="5" t="str">
        <f>IFERROR(__xludf.DUMMYFUNCTION("""COMPUTED_VALUE"""),"Lannett Company, Inc.")</f>
        <v>Lannett Company, Inc.</v>
      </c>
      <c r="C71" s="5" t="str">
        <f>IFERROR(__xludf.DUMMYFUNCTION("""COMPUTED_VALUE"""),"Amphetamine Aspartate Monohydrate, Amphetamine Sulfate, Dextroamphetamine Saccharate, Dextroamphetamine Sulfate, Tablet, 5 mg; 5 mg; 5 mg; 5 mg (NDC 0527-1505-37)")</f>
        <v>Amphetamine Aspartate Monohydrate, Amphetamine Sulfate, Dextroamphetamine Saccharate, Dextroamphetamine Sulfate, Tablet, 5 mg; 5 mg; 5 mg; 5 mg (NDC 0527-1505-37)</v>
      </c>
      <c r="D71" s="5" t="str">
        <f>IFERROR(__xludf.DUMMYFUNCTION("""COMPUTED_VALUE"""),"Reverified")</f>
        <v>Reverified</v>
      </c>
      <c r="E71" s="13">
        <f>IFERROR(__xludf.DUMMYFUNCTION("""COMPUTED_VALUE"""),46310.0)</f>
        <v>46310</v>
      </c>
      <c r="F71" s="5" t="str">
        <f>IFERROR(__xludf.DUMMYFUNCTION("""COMPUTED_VALUE"""),"Available")</f>
        <v>Available</v>
      </c>
      <c r="G71" s="5"/>
      <c r="H71" s="5"/>
      <c r="I71" s="5"/>
      <c r="J71" s="5" t="str">
        <f>IFERROR(__xludf.DUMMYFUNCTION("""COMPUTED_VALUE"""),"Psychiatry")</f>
        <v>Psychiatry</v>
      </c>
      <c r="K71" s="5" t="str">
        <f>IFERROR(__xludf.DUMMYFUNCTION("""COMPUTED_VALUE"""),"Current")</f>
        <v>Current</v>
      </c>
      <c r="L71" s="5"/>
      <c r="M71" s="5"/>
      <c r="N71" s="13">
        <f>IFERROR(__xludf.DUMMYFUNCTION("""COMPUTED_VALUE"""),44846.0)</f>
        <v>44846</v>
      </c>
      <c r="O71" s="5">
        <v>2022.0</v>
      </c>
      <c r="P71" s="5" t="str">
        <f>IFERROR(__xludf.DUMMYFUNCTION("""COMPUTED_VALUE"""),"Available")</f>
        <v>Available</v>
      </c>
      <c r="Q71" s="5" t="s">
        <v>135</v>
      </c>
      <c r="R71" s="5" t="s">
        <v>136</v>
      </c>
      <c r="S71" s="11">
        <v>1475.0</v>
      </c>
    </row>
    <row r="72">
      <c r="A72"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72" s="5" t="str">
        <f>IFERROR(__xludf.DUMMYFUNCTION("""COMPUTED_VALUE"""),"Lannett Company, Inc.")</f>
        <v>Lannett Company, Inc.</v>
      </c>
      <c r="C72" s="5" t="str">
        <f>IFERROR(__xludf.DUMMYFUNCTION("""COMPUTED_VALUE"""),"Amphetamine Aspartate Monohydrate, Amphetamine Sulfate, Dextroamphetamine Saccharate, Dextroamphetamine Sulfate, Tablet, 7.5 mg; 7.5 mg; 7.5 mg; 7.5 mg (NDC 0527-0766-37)")</f>
        <v>Amphetamine Aspartate Monohydrate, Amphetamine Sulfate, Dextroamphetamine Saccharate, Dextroamphetamine Sulfate, Tablet, 7.5 mg; 7.5 mg; 7.5 mg; 7.5 mg (NDC 0527-0766-37)</v>
      </c>
      <c r="D72" s="5" t="str">
        <f>IFERROR(__xludf.DUMMYFUNCTION("""COMPUTED_VALUE"""),"Reverified")</f>
        <v>Reverified</v>
      </c>
      <c r="E72" s="13">
        <f>IFERROR(__xludf.DUMMYFUNCTION("""COMPUTED_VALUE"""),46310.0)</f>
        <v>46310</v>
      </c>
      <c r="F72" s="5" t="str">
        <f>IFERROR(__xludf.DUMMYFUNCTION("""COMPUTED_VALUE"""),"Available")</f>
        <v>Available</v>
      </c>
      <c r="G72" s="5"/>
      <c r="H72" s="5"/>
      <c r="I72" s="5"/>
      <c r="J72" s="5" t="str">
        <f>IFERROR(__xludf.DUMMYFUNCTION("""COMPUTED_VALUE"""),"Psychiatry")</f>
        <v>Psychiatry</v>
      </c>
      <c r="K72" s="5" t="str">
        <f>IFERROR(__xludf.DUMMYFUNCTION("""COMPUTED_VALUE"""),"Current")</f>
        <v>Current</v>
      </c>
      <c r="L72" s="5"/>
      <c r="M72" s="5"/>
      <c r="N72" s="13">
        <f>IFERROR(__xludf.DUMMYFUNCTION("""COMPUTED_VALUE"""),44846.0)</f>
        <v>44846</v>
      </c>
      <c r="O72" s="5">
        <v>2022.0</v>
      </c>
      <c r="P72" s="5" t="str">
        <f>IFERROR(__xludf.DUMMYFUNCTION("""COMPUTED_VALUE"""),"Available")</f>
        <v>Available</v>
      </c>
      <c r="Q72" s="5" t="s">
        <v>135</v>
      </c>
      <c r="R72" s="5" t="s">
        <v>136</v>
      </c>
      <c r="S72" s="11">
        <v>1475.0</v>
      </c>
    </row>
    <row r="73">
      <c r="A73"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73" s="5" t="str">
        <f>IFERROR(__xludf.DUMMYFUNCTION("""COMPUTED_VALUE"""),"Oryza Pharmaceuticals Inc.")</f>
        <v>Oryza Pharmaceuticals Inc.</v>
      </c>
      <c r="C73" s="5" t="str">
        <f>IFERROR(__xludf.DUMMYFUNCTION("""COMPUTED_VALUE"""),"Amphetamine Aspartate Monohydrate, Amphetamine Sulfate, Dextroamphetamine Saccharate, Dextroamphetamine Sulfate, Tablet, 1.25 mg; 1.25 mg; 1.25 mg; 1.25 mg (NDC 72516-016-01)")</f>
        <v>Amphetamine Aspartate Monohydrate, Amphetamine Sulfate, Dextroamphetamine Saccharate, Dextroamphetamine Sulfate, Tablet, 1.25 mg; 1.25 mg; 1.25 mg; 1.25 mg (NDC 72516-016-01)</v>
      </c>
      <c r="D73" s="5" t="str">
        <f>IFERROR(__xludf.DUMMYFUNCTION("""COMPUTED_VALUE"""),"Reverified")</f>
        <v>Reverified</v>
      </c>
      <c r="E73" s="13">
        <f>IFERROR(__xludf.DUMMYFUNCTION("""COMPUTED_VALUE"""),46310.0)</f>
        <v>46310</v>
      </c>
      <c r="F73" s="5" t="str">
        <f>IFERROR(__xludf.DUMMYFUNCTION("""COMPUTED_VALUE"""),"Unavailable")</f>
        <v>Unavailable</v>
      </c>
      <c r="G73" s="5" t="str">
        <f>IFERROR(__xludf.DUMMYFUNCTION("""COMPUTED_VALUE"""),"Estimated recovery: April 2027")</f>
        <v>Estimated recovery: April 2027</v>
      </c>
      <c r="H73" s="5"/>
      <c r="I73" s="5" t="str">
        <f>IFERROR(__xludf.DUMMYFUNCTION("""COMPUTED_VALUE"""),"Shortage of an active ingredient")</f>
        <v>Shortage of an active ingredient</v>
      </c>
      <c r="J73" s="5" t="str">
        <f>IFERROR(__xludf.DUMMYFUNCTION("""COMPUTED_VALUE"""),"Psychiatry")</f>
        <v>Psychiatry</v>
      </c>
      <c r="K73" s="5" t="str">
        <f>IFERROR(__xludf.DUMMYFUNCTION("""COMPUTED_VALUE"""),"Current")</f>
        <v>Current</v>
      </c>
      <c r="L73" s="5"/>
      <c r="M73" s="5"/>
      <c r="N73" s="13">
        <f>IFERROR(__xludf.DUMMYFUNCTION("""COMPUTED_VALUE"""),44846.0)</f>
        <v>44846</v>
      </c>
      <c r="O73" s="5">
        <v>2022.0</v>
      </c>
      <c r="P73" s="5" t="str">
        <f>IFERROR(__xludf.DUMMYFUNCTION("""COMPUTED_VALUE"""),"Unavailable")</f>
        <v>Unavailable</v>
      </c>
      <c r="Q73" s="5" t="s">
        <v>122</v>
      </c>
      <c r="R73" s="5" t="s">
        <v>136</v>
      </c>
      <c r="S73" s="11">
        <v>1475.0</v>
      </c>
    </row>
    <row r="74">
      <c r="A74"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74" s="5" t="str">
        <f>IFERROR(__xludf.DUMMYFUNCTION("""COMPUTED_VALUE"""),"Oryza Pharmaceuticals Inc.")</f>
        <v>Oryza Pharmaceuticals Inc.</v>
      </c>
      <c r="C74" s="5" t="str">
        <f>IFERROR(__xludf.DUMMYFUNCTION("""COMPUTED_VALUE"""),"Amphetamine Aspartate Monohydrate, Amphetamine Sulfate, Dextroamphetamine Saccharate, Dextroamphetamine Sulfate, Tablet, 2.5 mg; 2.5 mg; 2.5 mg; 2.5 mg (NDC 72516-014-01)")</f>
        <v>Amphetamine Aspartate Monohydrate, Amphetamine Sulfate, Dextroamphetamine Saccharate, Dextroamphetamine Sulfate, Tablet, 2.5 mg; 2.5 mg; 2.5 mg; 2.5 mg (NDC 72516-014-01)</v>
      </c>
      <c r="D74" s="5" t="str">
        <f>IFERROR(__xludf.DUMMYFUNCTION("""COMPUTED_VALUE"""),"Reverified")</f>
        <v>Reverified</v>
      </c>
      <c r="E74" s="13">
        <f>IFERROR(__xludf.DUMMYFUNCTION("""COMPUTED_VALUE"""),46310.0)</f>
        <v>46310</v>
      </c>
      <c r="F74" s="5" t="str">
        <f>IFERROR(__xludf.DUMMYFUNCTION("""COMPUTED_VALUE"""),"Unavailable")</f>
        <v>Unavailable</v>
      </c>
      <c r="G74" s="5" t="str">
        <f>IFERROR(__xludf.DUMMYFUNCTION("""COMPUTED_VALUE"""),"Estimated recovery: April 2027")</f>
        <v>Estimated recovery: April 2027</v>
      </c>
      <c r="H74" s="5"/>
      <c r="I74" s="5" t="str">
        <f>IFERROR(__xludf.DUMMYFUNCTION("""COMPUTED_VALUE"""),"Shortage of an active ingredient")</f>
        <v>Shortage of an active ingredient</v>
      </c>
      <c r="J74" s="5" t="str">
        <f>IFERROR(__xludf.DUMMYFUNCTION("""COMPUTED_VALUE"""),"Psychiatry")</f>
        <v>Psychiatry</v>
      </c>
      <c r="K74" s="5" t="str">
        <f>IFERROR(__xludf.DUMMYFUNCTION("""COMPUTED_VALUE"""),"Current")</f>
        <v>Current</v>
      </c>
      <c r="L74" s="5"/>
      <c r="M74" s="5"/>
      <c r="N74" s="13">
        <f>IFERROR(__xludf.DUMMYFUNCTION("""COMPUTED_VALUE"""),44846.0)</f>
        <v>44846</v>
      </c>
      <c r="O74" s="5">
        <v>2022.0</v>
      </c>
      <c r="P74" s="5" t="str">
        <f>IFERROR(__xludf.DUMMYFUNCTION("""COMPUTED_VALUE"""),"Unavailable")</f>
        <v>Unavailable</v>
      </c>
      <c r="Q74" s="5" t="s">
        <v>122</v>
      </c>
      <c r="R74" s="5" t="s">
        <v>136</v>
      </c>
      <c r="S74" s="11">
        <v>1475.0</v>
      </c>
    </row>
    <row r="75">
      <c r="A75"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75" s="5" t="str">
        <f>IFERROR(__xludf.DUMMYFUNCTION("""COMPUTED_VALUE"""),"Oryza Pharmaceuticals Inc.")</f>
        <v>Oryza Pharmaceuticals Inc.</v>
      </c>
      <c r="C75" s="5" t="str">
        <f>IFERROR(__xludf.DUMMYFUNCTION("""COMPUTED_VALUE"""),"Amphetamine Aspartate Monohydrate, Amphetamine Sulfate, Dextroamphetamine Saccharate, Dextroamphetamine Sulfate, Tablet, 3.75 mg; 3.75 mg; 3.75 mg; 3.75 mg (NDC 72516-013-01)")</f>
        <v>Amphetamine Aspartate Monohydrate, Amphetamine Sulfate, Dextroamphetamine Saccharate, Dextroamphetamine Sulfate, Tablet, 3.75 mg; 3.75 mg; 3.75 mg; 3.75 mg (NDC 72516-013-01)</v>
      </c>
      <c r="D75" s="5" t="str">
        <f>IFERROR(__xludf.DUMMYFUNCTION("""COMPUTED_VALUE"""),"Reverified")</f>
        <v>Reverified</v>
      </c>
      <c r="E75" s="13">
        <f>IFERROR(__xludf.DUMMYFUNCTION("""COMPUTED_VALUE"""),46310.0)</f>
        <v>46310</v>
      </c>
      <c r="F75" s="5" t="str">
        <f>IFERROR(__xludf.DUMMYFUNCTION("""COMPUTED_VALUE"""),"Unavailable")</f>
        <v>Unavailable</v>
      </c>
      <c r="G75" s="5" t="str">
        <f>IFERROR(__xludf.DUMMYFUNCTION("""COMPUTED_VALUE"""),"Estimated recovery: April 2027")</f>
        <v>Estimated recovery: April 2027</v>
      </c>
      <c r="H75" s="5"/>
      <c r="I75" s="5" t="str">
        <f>IFERROR(__xludf.DUMMYFUNCTION("""COMPUTED_VALUE"""),"Shortage of an active ingredient")</f>
        <v>Shortage of an active ingredient</v>
      </c>
      <c r="J75" s="5" t="str">
        <f>IFERROR(__xludf.DUMMYFUNCTION("""COMPUTED_VALUE"""),"Psychiatry")</f>
        <v>Psychiatry</v>
      </c>
      <c r="K75" s="5" t="str">
        <f>IFERROR(__xludf.DUMMYFUNCTION("""COMPUTED_VALUE"""),"Current")</f>
        <v>Current</v>
      </c>
      <c r="L75" s="5"/>
      <c r="M75" s="5"/>
      <c r="N75" s="13">
        <f>IFERROR(__xludf.DUMMYFUNCTION("""COMPUTED_VALUE"""),44846.0)</f>
        <v>44846</v>
      </c>
      <c r="O75" s="5">
        <v>2022.0</v>
      </c>
      <c r="P75" s="5" t="str">
        <f>IFERROR(__xludf.DUMMYFUNCTION("""COMPUTED_VALUE"""),"Unavailable")</f>
        <v>Unavailable</v>
      </c>
      <c r="Q75" s="5" t="s">
        <v>122</v>
      </c>
      <c r="R75" s="5" t="s">
        <v>136</v>
      </c>
      <c r="S75" s="11">
        <v>1475.0</v>
      </c>
    </row>
    <row r="76">
      <c r="A76"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76" s="5" t="str">
        <f>IFERROR(__xludf.DUMMYFUNCTION("""COMPUTED_VALUE"""),"Oryza Pharmaceuticals Inc.")</f>
        <v>Oryza Pharmaceuticals Inc.</v>
      </c>
      <c r="C76" s="5" t="str">
        <f>IFERROR(__xludf.DUMMYFUNCTION("""COMPUTED_VALUE"""),"Amphetamine Aspartate Monohydrate, Amphetamine Sulfate, Dextroamphetamine Saccharate, Dextroamphetamine Sulfate, Tablet, 5 mg; 5 mg; 5 mg; 5 mg (NDC 72516-012-01)")</f>
        <v>Amphetamine Aspartate Monohydrate, Amphetamine Sulfate, Dextroamphetamine Saccharate, Dextroamphetamine Sulfate, Tablet, 5 mg; 5 mg; 5 mg; 5 mg (NDC 72516-012-01)</v>
      </c>
      <c r="D76" s="5" t="str">
        <f>IFERROR(__xludf.DUMMYFUNCTION("""COMPUTED_VALUE"""),"Reverified")</f>
        <v>Reverified</v>
      </c>
      <c r="E76" s="13">
        <f>IFERROR(__xludf.DUMMYFUNCTION("""COMPUTED_VALUE"""),46310.0)</f>
        <v>46310</v>
      </c>
      <c r="F76" s="5" t="str">
        <f>IFERROR(__xludf.DUMMYFUNCTION("""COMPUTED_VALUE"""),"Unavailable")</f>
        <v>Unavailable</v>
      </c>
      <c r="G76" s="5" t="str">
        <f>IFERROR(__xludf.DUMMYFUNCTION("""COMPUTED_VALUE"""),"Estimated recovery: April 2027")</f>
        <v>Estimated recovery: April 2027</v>
      </c>
      <c r="H76" s="5"/>
      <c r="I76" s="5" t="str">
        <f>IFERROR(__xludf.DUMMYFUNCTION("""COMPUTED_VALUE"""),"Shortage of an active ingredient")</f>
        <v>Shortage of an active ingredient</v>
      </c>
      <c r="J76" s="5" t="str">
        <f>IFERROR(__xludf.DUMMYFUNCTION("""COMPUTED_VALUE"""),"Psychiatry")</f>
        <v>Psychiatry</v>
      </c>
      <c r="K76" s="5" t="str">
        <f>IFERROR(__xludf.DUMMYFUNCTION("""COMPUTED_VALUE"""),"Current")</f>
        <v>Current</v>
      </c>
      <c r="L76" s="5"/>
      <c r="M76" s="5"/>
      <c r="N76" s="13">
        <f>IFERROR(__xludf.DUMMYFUNCTION("""COMPUTED_VALUE"""),44846.0)</f>
        <v>44846</v>
      </c>
      <c r="O76" s="5">
        <v>2022.0</v>
      </c>
      <c r="P76" s="5" t="str">
        <f>IFERROR(__xludf.DUMMYFUNCTION("""COMPUTED_VALUE"""),"Unavailable")</f>
        <v>Unavailable</v>
      </c>
      <c r="Q76" s="5" t="s">
        <v>122</v>
      </c>
      <c r="R76" s="5" t="s">
        <v>136</v>
      </c>
      <c r="S76" s="11">
        <v>1475.0</v>
      </c>
    </row>
    <row r="77">
      <c r="A77"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77" s="5" t="str">
        <f>IFERROR(__xludf.DUMMYFUNCTION("""COMPUTED_VALUE"""),"Oryza Pharmaceuticals Inc.")</f>
        <v>Oryza Pharmaceuticals Inc.</v>
      </c>
      <c r="C77" s="5" t="str">
        <f>IFERROR(__xludf.DUMMYFUNCTION("""COMPUTED_VALUE"""),"Amphetamine Aspartate Monohydrate, Amphetamine Sulfate, Dextroamphetamine Saccharate, Dextroamphetamine Sulfate, Tablet, 7.5 mg; 7.5 mg; 7.5 mg; 7.5 mg (NDC 72516-011-01)")</f>
        <v>Amphetamine Aspartate Monohydrate, Amphetamine Sulfate, Dextroamphetamine Saccharate, Dextroamphetamine Sulfate, Tablet, 7.5 mg; 7.5 mg; 7.5 mg; 7.5 mg (NDC 72516-011-01)</v>
      </c>
      <c r="D77" s="5" t="str">
        <f>IFERROR(__xludf.DUMMYFUNCTION("""COMPUTED_VALUE"""),"Reverified")</f>
        <v>Reverified</v>
      </c>
      <c r="E77" s="13">
        <f>IFERROR(__xludf.DUMMYFUNCTION("""COMPUTED_VALUE"""),46310.0)</f>
        <v>46310</v>
      </c>
      <c r="F77" s="5" t="str">
        <f>IFERROR(__xludf.DUMMYFUNCTION("""COMPUTED_VALUE"""),"Unavailable")</f>
        <v>Unavailable</v>
      </c>
      <c r="G77" s="5" t="str">
        <f>IFERROR(__xludf.DUMMYFUNCTION("""COMPUTED_VALUE"""),"Estimated recovery: April 2027")</f>
        <v>Estimated recovery: April 2027</v>
      </c>
      <c r="H77" s="5"/>
      <c r="I77" s="5" t="str">
        <f>IFERROR(__xludf.DUMMYFUNCTION("""COMPUTED_VALUE"""),"Shortage of an active ingredient")</f>
        <v>Shortage of an active ingredient</v>
      </c>
      <c r="J77" s="5" t="str">
        <f>IFERROR(__xludf.DUMMYFUNCTION("""COMPUTED_VALUE"""),"Psychiatry")</f>
        <v>Psychiatry</v>
      </c>
      <c r="K77" s="5" t="str">
        <f>IFERROR(__xludf.DUMMYFUNCTION("""COMPUTED_VALUE"""),"Current")</f>
        <v>Current</v>
      </c>
      <c r="L77" s="5"/>
      <c r="M77" s="5"/>
      <c r="N77" s="13">
        <f>IFERROR(__xludf.DUMMYFUNCTION("""COMPUTED_VALUE"""),44846.0)</f>
        <v>44846</v>
      </c>
      <c r="O77" s="5">
        <v>2022.0</v>
      </c>
      <c r="P77" s="5" t="str">
        <f>IFERROR(__xludf.DUMMYFUNCTION("""COMPUTED_VALUE"""),"Unavailable")</f>
        <v>Unavailable</v>
      </c>
      <c r="Q77" s="5" t="s">
        <v>122</v>
      </c>
      <c r="R77" s="5" t="s">
        <v>136</v>
      </c>
      <c r="S77" s="11">
        <v>1475.0</v>
      </c>
    </row>
    <row r="78">
      <c r="A78"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78" s="5" t="str">
        <f>IFERROR(__xludf.DUMMYFUNCTION("""COMPUTED_VALUE"""),"Sandoz Inc.")</f>
        <v>Sandoz Inc.</v>
      </c>
      <c r="C78" s="5" t="str">
        <f>IFERROR(__xludf.DUMMYFUNCTION("""COMPUTED_VALUE"""),"Amphetamine Aspartate Monohydrate, Amphetamine Sulfate, Dextroamphetamine Saccharate, Dextroamphetamine Sulfate, Tablet, 7.5 mg; 7.5 mg; 7.5 mg; 7.5 mg (NDC 0185-2099-01)")</f>
        <v>Amphetamine Aspartate Monohydrate, Amphetamine Sulfate, Dextroamphetamine Saccharate, Dextroamphetamine Sulfate, Tablet, 7.5 mg; 7.5 mg; 7.5 mg; 7.5 mg (NDC 0185-2099-01)</v>
      </c>
      <c r="D78" s="5" t="str">
        <f>IFERROR(__xludf.DUMMYFUNCTION("""COMPUTED_VALUE"""),"Reverified")</f>
        <v>Reverified</v>
      </c>
      <c r="E78" s="13">
        <f>IFERROR(__xludf.DUMMYFUNCTION("""COMPUTED_VALUE"""),46316.0)</f>
        <v>46316</v>
      </c>
      <c r="F78" s="5" t="str">
        <f>IFERROR(__xludf.DUMMYFUNCTION("""COMPUTED_VALUE"""),"Available")</f>
        <v>Available</v>
      </c>
      <c r="G78" s="5"/>
      <c r="H78" s="5"/>
      <c r="I78" s="5"/>
      <c r="J78" s="5" t="str">
        <f>IFERROR(__xludf.DUMMYFUNCTION("""COMPUTED_VALUE"""),"Psychiatry")</f>
        <v>Psychiatry</v>
      </c>
      <c r="K78" s="5" t="str">
        <f>IFERROR(__xludf.DUMMYFUNCTION("""COMPUTED_VALUE"""),"Current")</f>
        <v>Current</v>
      </c>
      <c r="L78" s="5"/>
      <c r="M78" s="5"/>
      <c r="N78" s="13">
        <f>IFERROR(__xludf.DUMMYFUNCTION("""COMPUTED_VALUE"""),44846.0)</f>
        <v>44846</v>
      </c>
      <c r="O78" s="5">
        <v>2022.0</v>
      </c>
      <c r="P78" s="5" t="str">
        <f>IFERROR(__xludf.DUMMYFUNCTION("""COMPUTED_VALUE"""),"Available")</f>
        <v>Available</v>
      </c>
      <c r="Q78" s="5" t="s">
        <v>135</v>
      </c>
      <c r="R78" s="5" t="s">
        <v>136</v>
      </c>
      <c r="S78" s="11">
        <v>1475.0</v>
      </c>
    </row>
    <row r="79">
      <c r="A79"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79" s="5" t="str">
        <f>IFERROR(__xludf.DUMMYFUNCTION("""COMPUTED_VALUE"""),"Sandoz Inc.")</f>
        <v>Sandoz Inc.</v>
      </c>
      <c r="C79" s="5" t="str">
        <f>IFERROR(__xludf.DUMMYFUNCTION("""COMPUTED_VALUE"""),"Amphetamine Aspartate Monohydrate, Amphetamine Sulfate, Dextroamphetamine Saccharate, Dextroamphetamine Sulfate, Tablet, 5 mg; 5 mg; 5 mg; 5 mg (NDC 0185-0853-01)")</f>
        <v>Amphetamine Aspartate Monohydrate, Amphetamine Sulfate, Dextroamphetamine Saccharate, Dextroamphetamine Sulfate, Tablet, 5 mg; 5 mg; 5 mg; 5 mg (NDC 0185-0853-01)</v>
      </c>
      <c r="D79" s="5" t="str">
        <f>IFERROR(__xludf.DUMMYFUNCTION("""COMPUTED_VALUE"""),"Reverified")</f>
        <v>Reverified</v>
      </c>
      <c r="E79" s="13">
        <f>IFERROR(__xludf.DUMMYFUNCTION("""COMPUTED_VALUE"""),46316.0)</f>
        <v>46316</v>
      </c>
      <c r="F79" s="5" t="str">
        <f>IFERROR(__xludf.DUMMYFUNCTION("""COMPUTED_VALUE"""),"Available")</f>
        <v>Available</v>
      </c>
      <c r="G79" s="5"/>
      <c r="H79" s="5"/>
      <c r="I79" s="5"/>
      <c r="J79" s="5" t="str">
        <f>IFERROR(__xludf.DUMMYFUNCTION("""COMPUTED_VALUE"""),"Psychiatry")</f>
        <v>Psychiatry</v>
      </c>
      <c r="K79" s="5" t="str">
        <f>IFERROR(__xludf.DUMMYFUNCTION("""COMPUTED_VALUE"""),"Current")</f>
        <v>Current</v>
      </c>
      <c r="L79" s="5"/>
      <c r="M79" s="5"/>
      <c r="N79" s="13">
        <f>IFERROR(__xludf.DUMMYFUNCTION("""COMPUTED_VALUE"""),44846.0)</f>
        <v>44846</v>
      </c>
      <c r="O79" s="5">
        <v>2022.0</v>
      </c>
      <c r="P79" s="5" t="str">
        <f>IFERROR(__xludf.DUMMYFUNCTION("""COMPUTED_VALUE"""),"Available")</f>
        <v>Available</v>
      </c>
      <c r="Q79" s="5" t="s">
        <v>135</v>
      </c>
      <c r="R79" s="5" t="s">
        <v>136</v>
      </c>
      <c r="S79" s="11">
        <v>1475.0</v>
      </c>
    </row>
    <row r="80">
      <c r="A80"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80" s="5" t="str">
        <f>IFERROR(__xludf.DUMMYFUNCTION("""COMPUTED_VALUE"""),"Sandoz Inc.")</f>
        <v>Sandoz Inc.</v>
      </c>
      <c r="C80" s="5" t="str">
        <f>IFERROR(__xludf.DUMMYFUNCTION("""COMPUTED_VALUE"""),"Amphetamine Aspartate Monohydrate, Amphetamine Sulfate, Dextroamphetamine Saccharate, Dextroamphetamine Sulfate, Tablet, 2.5 mg; 2.5 mg; 2.5 mg; 2.5 mg (NDC 0185-0842-01)")</f>
        <v>Amphetamine Aspartate Monohydrate, Amphetamine Sulfate, Dextroamphetamine Saccharate, Dextroamphetamine Sulfate, Tablet, 2.5 mg; 2.5 mg; 2.5 mg; 2.5 mg (NDC 0185-0842-01)</v>
      </c>
      <c r="D80" s="5" t="str">
        <f>IFERROR(__xludf.DUMMYFUNCTION("""COMPUTED_VALUE"""),"Reverified")</f>
        <v>Reverified</v>
      </c>
      <c r="E80" s="13">
        <f>IFERROR(__xludf.DUMMYFUNCTION("""COMPUTED_VALUE"""),46316.0)</f>
        <v>46316</v>
      </c>
      <c r="F80" s="5" t="str">
        <f>IFERROR(__xludf.DUMMYFUNCTION("""COMPUTED_VALUE"""),"Available")</f>
        <v>Available</v>
      </c>
      <c r="G80" s="5"/>
      <c r="H80" s="5"/>
      <c r="I80" s="5"/>
      <c r="J80" s="5" t="str">
        <f>IFERROR(__xludf.DUMMYFUNCTION("""COMPUTED_VALUE"""),"Psychiatry")</f>
        <v>Psychiatry</v>
      </c>
      <c r="K80" s="5" t="str">
        <f>IFERROR(__xludf.DUMMYFUNCTION("""COMPUTED_VALUE"""),"Current")</f>
        <v>Current</v>
      </c>
      <c r="L80" s="5"/>
      <c r="M80" s="5"/>
      <c r="N80" s="13">
        <f>IFERROR(__xludf.DUMMYFUNCTION("""COMPUTED_VALUE"""),44846.0)</f>
        <v>44846</v>
      </c>
      <c r="O80" s="5">
        <v>2022.0</v>
      </c>
      <c r="P80" s="5" t="str">
        <f>IFERROR(__xludf.DUMMYFUNCTION("""COMPUTED_VALUE"""),"Available")</f>
        <v>Available</v>
      </c>
      <c r="Q80" s="5" t="s">
        <v>135</v>
      </c>
      <c r="R80" s="5" t="s">
        <v>136</v>
      </c>
      <c r="S80" s="11">
        <v>1475.0</v>
      </c>
    </row>
    <row r="81">
      <c r="A81"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81" s="5" t="str">
        <f>IFERROR(__xludf.DUMMYFUNCTION("""COMPUTED_VALUE"""),"Sandoz Inc.")</f>
        <v>Sandoz Inc.</v>
      </c>
      <c r="C81" s="5" t="str">
        <f>IFERROR(__xludf.DUMMYFUNCTION("""COMPUTED_VALUE"""),"Amphetamine Aspartate Monohydrate, Amphetamine Sulfate, Dextroamphetamine Saccharate, Dextroamphetamine Sulfate, Tablet, 1.25 mg; 1.25 mg; 1.25 mg; 1.25 mg (NDC 0185-2098-01)")</f>
        <v>Amphetamine Aspartate Monohydrate, Amphetamine Sulfate, Dextroamphetamine Saccharate, Dextroamphetamine Sulfate, Tablet, 1.25 mg; 1.25 mg; 1.25 mg; 1.25 mg (NDC 0185-2098-01)</v>
      </c>
      <c r="D81" s="5" t="str">
        <f>IFERROR(__xludf.DUMMYFUNCTION("""COMPUTED_VALUE"""),"Reverified")</f>
        <v>Reverified</v>
      </c>
      <c r="E81" s="13">
        <f>IFERROR(__xludf.DUMMYFUNCTION("""COMPUTED_VALUE"""),46316.0)</f>
        <v>46316</v>
      </c>
      <c r="F81" s="5" t="str">
        <f>IFERROR(__xludf.DUMMYFUNCTION("""COMPUTED_VALUE"""),"Available")</f>
        <v>Available</v>
      </c>
      <c r="G81" s="5"/>
      <c r="H81" s="5"/>
      <c r="I81" s="5"/>
      <c r="J81" s="5" t="str">
        <f>IFERROR(__xludf.DUMMYFUNCTION("""COMPUTED_VALUE"""),"Psychiatry")</f>
        <v>Psychiatry</v>
      </c>
      <c r="K81" s="5" t="str">
        <f>IFERROR(__xludf.DUMMYFUNCTION("""COMPUTED_VALUE"""),"Current")</f>
        <v>Current</v>
      </c>
      <c r="L81" s="5"/>
      <c r="M81" s="5"/>
      <c r="N81" s="13">
        <f>IFERROR(__xludf.DUMMYFUNCTION("""COMPUTED_VALUE"""),44846.0)</f>
        <v>44846</v>
      </c>
      <c r="O81" s="5">
        <v>2022.0</v>
      </c>
      <c r="P81" s="5" t="str">
        <f>IFERROR(__xludf.DUMMYFUNCTION("""COMPUTED_VALUE"""),"Available")</f>
        <v>Available</v>
      </c>
      <c r="Q81" s="5" t="s">
        <v>135</v>
      </c>
      <c r="R81" s="5" t="s">
        <v>136</v>
      </c>
      <c r="S81" s="11">
        <v>1475.0</v>
      </c>
    </row>
    <row r="82">
      <c r="A82"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82" s="5" t="str">
        <f>IFERROR(__xludf.DUMMYFUNCTION("""COMPUTED_VALUE"""),"Teva Pharmaceuticals USA, Inc.")</f>
        <v>Teva Pharmaceuticals USA, Inc.</v>
      </c>
      <c r="C82" s="5" t="str">
        <f>IFERROR(__xludf.DUMMYFUNCTION("""COMPUTED_VALUE"""),"Adderall, Tablet, 2.5 mg; 2.5 mg; 2.5 mg; 2.5 mg (NDC 57844-110-01)")</f>
        <v>Adderall, Tablet, 2.5 mg; 2.5 mg; 2.5 mg; 2.5 mg (NDC 57844-110-01)</v>
      </c>
      <c r="D82" s="5" t="str">
        <f>IFERROR(__xludf.DUMMYFUNCTION("""COMPUTED_VALUE"""),"Reverified")</f>
        <v>Reverified</v>
      </c>
      <c r="E82" s="13">
        <f>IFERROR(__xludf.DUMMYFUNCTION("""COMPUTED_VALUE"""),46310.0)</f>
        <v>46310</v>
      </c>
      <c r="F82" s="5" t="str">
        <f>IFERROR(__xludf.DUMMYFUNCTION("""COMPUTED_VALUE"""),"Available")</f>
        <v>Available</v>
      </c>
      <c r="G82" s="5"/>
      <c r="H82" s="5"/>
      <c r="I82" s="5"/>
      <c r="J82" s="5" t="str">
        <f>IFERROR(__xludf.DUMMYFUNCTION("""COMPUTED_VALUE"""),"Psychiatry")</f>
        <v>Psychiatry</v>
      </c>
      <c r="K82" s="5" t="str">
        <f>IFERROR(__xludf.DUMMYFUNCTION("""COMPUTED_VALUE"""),"Current")</f>
        <v>Current</v>
      </c>
      <c r="L82" s="5"/>
      <c r="M82" s="5"/>
      <c r="N82" s="13">
        <f>IFERROR(__xludf.DUMMYFUNCTION("""COMPUTED_VALUE"""),44846.0)</f>
        <v>44846</v>
      </c>
      <c r="O82" s="5">
        <v>2022.0</v>
      </c>
      <c r="P82" s="5" t="str">
        <f>IFERROR(__xludf.DUMMYFUNCTION("""COMPUTED_VALUE"""),"Available")</f>
        <v>Available</v>
      </c>
      <c r="Q82" s="5" t="s">
        <v>135</v>
      </c>
      <c r="R82" s="5" t="s">
        <v>136</v>
      </c>
      <c r="S82" s="11">
        <v>1475.0</v>
      </c>
    </row>
    <row r="83">
      <c r="A83"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83" s="5" t="str">
        <f>IFERROR(__xludf.DUMMYFUNCTION("""COMPUTED_VALUE"""),"Teva Pharmaceuticals USA, Inc.")</f>
        <v>Teva Pharmaceuticals USA, Inc.</v>
      </c>
      <c r="C83" s="5" t="str">
        <f>IFERROR(__xludf.DUMMYFUNCTION("""COMPUTED_VALUE"""),"Adderall, Tablet, 3.125 mg; 3.125 mg; 3.125 mg; 3.125 mg (NDC 57844-112-01)")</f>
        <v>Adderall, Tablet, 3.125 mg; 3.125 mg; 3.125 mg; 3.125 mg (NDC 57844-112-01)</v>
      </c>
      <c r="D83" s="5" t="str">
        <f>IFERROR(__xludf.DUMMYFUNCTION("""COMPUTED_VALUE"""),"Revised")</f>
        <v>Revised</v>
      </c>
      <c r="E83" s="13">
        <f>IFERROR(__xludf.DUMMYFUNCTION("""COMPUTED_VALUE"""),46310.0)</f>
        <v>46310</v>
      </c>
      <c r="F83" s="5" t="str">
        <f>IFERROR(__xludf.DUMMYFUNCTION("""COMPUTED_VALUE"""),"Unavailable")</f>
        <v>Unavailable</v>
      </c>
      <c r="G83" s="5" t="str">
        <f>IFERROR(__xludf.DUMMYFUNCTION("""COMPUTED_VALUE"""),"Estimated recovery: November 2026")</f>
        <v>Estimated recovery: November 2026</v>
      </c>
      <c r="H83" s="5"/>
      <c r="I83" s="5" t="str">
        <f>IFERROR(__xludf.DUMMYFUNCTION("""COMPUTED_VALUE"""),"Other")</f>
        <v>Other</v>
      </c>
      <c r="J83" s="5" t="str">
        <f>IFERROR(__xludf.DUMMYFUNCTION("""COMPUTED_VALUE"""),"Psychiatry")</f>
        <v>Psychiatry</v>
      </c>
      <c r="K83" s="5" t="str">
        <f>IFERROR(__xludf.DUMMYFUNCTION("""COMPUTED_VALUE"""),"Current")</f>
        <v>Current</v>
      </c>
      <c r="L83" s="5"/>
      <c r="M83" s="5"/>
      <c r="N83" s="13">
        <f>IFERROR(__xludf.DUMMYFUNCTION("""COMPUTED_VALUE"""),44846.0)</f>
        <v>44846</v>
      </c>
      <c r="O83" s="5">
        <v>2022.0</v>
      </c>
      <c r="P83" s="5" t="str">
        <f>IFERROR(__xludf.DUMMYFUNCTION("""COMPUTED_VALUE"""),"Unavailable")</f>
        <v>Unavailable</v>
      </c>
      <c r="Q83" s="5" t="s">
        <v>47</v>
      </c>
      <c r="R83" s="5" t="s">
        <v>136</v>
      </c>
      <c r="S83" s="11">
        <v>1475.0</v>
      </c>
    </row>
    <row r="84">
      <c r="A84"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84" s="5" t="str">
        <f>IFERROR(__xludf.DUMMYFUNCTION("""COMPUTED_VALUE"""),"Teva Pharmaceuticals USA, Inc.")</f>
        <v>Teva Pharmaceuticals USA, Inc.</v>
      </c>
      <c r="C84" s="5" t="str">
        <f>IFERROR(__xludf.DUMMYFUNCTION("""COMPUTED_VALUE"""),"Adderall, Tablet, 3.75 mg; 3.75 mg; 3.75 mg; 3.75 mg (NDC 57844-115-01)")</f>
        <v>Adderall, Tablet, 3.75 mg; 3.75 mg; 3.75 mg; 3.75 mg (NDC 57844-115-01)</v>
      </c>
      <c r="D84" s="5" t="str">
        <f>IFERROR(__xludf.DUMMYFUNCTION("""COMPUTED_VALUE"""),"Reverified")</f>
        <v>Reverified</v>
      </c>
      <c r="E84" s="13">
        <f>IFERROR(__xludf.DUMMYFUNCTION("""COMPUTED_VALUE"""),46310.0)</f>
        <v>46310</v>
      </c>
      <c r="F84" s="5" t="str">
        <f>IFERROR(__xludf.DUMMYFUNCTION("""COMPUTED_VALUE"""),"Available")</f>
        <v>Available</v>
      </c>
      <c r="G84" s="5"/>
      <c r="H84" s="5"/>
      <c r="I84" s="5"/>
      <c r="J84" s="5" t="str">
        <f>IFERROR(__xludf.DUMMYFUNCTION("""COMPUTED_VALUE"""),"Psychiatry")</f>
        <v>Psychiatry</v>
      </c>
      <c r="K84" s="5" t="str">
        <f>IFERROR(__xludf.DUMMYFUNCTION("""COMPUTED_VALUE"""),"Current")</f>
        <v>Current</v>
      </c>
      <c r="L84" s="5"/>
      <c r="M84" s="5"/>
      <c r="N84" s="13">
        <f>IFERROR(__xludf.DUMMYFUNCTION("""COMPUTED_VALUE"""),44846.0)</f>
        <v>44846</v>
      </c>
      <c r="O84" s="5">
        <v>2022.0</v>
      </c>
      <c r="P84" s="5" t="str">
        <f>IFERROR(__xludf.DUMMYFUNCTION("""COMPUTED_VALUE"""),"Available")</f>
        <v>Available</v>
      </c>
      <c r="Q84" s="5" t="s">
        <v>135</v>
      </c>
      <c r="R84" s="5" t="s">
        <v>136</v>
      </c>
      <c r="S84" s="11">
        <v>1475.0</v>
      </c>
    </row>
    <row r="85">
      <c r="A85"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85" s="5" t="str">
        <f>IFERROR(__xludf.DUMMYFUNCTION("""COMPUTED_VALUE"""),"Teva Pharmaceuticals USA, Inc.")</f>
        <v>Teva Pharmaceuticals USA, Inc.</v>
      </c>
      <c r="C85" s="5" t="str">
        <f>IFERROR(__xludf.DUMMYFUNCTION("""COMPUTED_VALUE"""),"Adderall, Tablet, 5 mg; 5 mg; 5 mg; 5 mg (NDC 57844-120-01)")</f>
        <v>Adderall, Tablet, 5 mg; 5 mg; 5 mg; 5 mg (NDC 57844-120-01)</v>
      </c>
      <c r="D85" s="5" t="str">
        <f>IFERROR(__xludf.DUMMYFUNCTION("""COMPUTED_VALUE"""),"Reverified")</f>
        <v>Reverified</v>
      </c>
      <c r="E85" s="13">
        <f>IFERROR(__xludf.DUMMYFUNCTION("""COMPUTED_VALUE"""),46310.0)</f>
        <v>46310</v>
      </c>
      <c r="F85" s="5" t="str">
        <f>IFERROR(__xludf.DUMMYFUNCTION("""COMPUTED_VALUE"""),"Available")</f>
        <v>Available</v>
      </c>
      <c r="G85" s="5"/>
      <c r="H85" s="5"/>
      <c r="I85" s="5"/>
      <c r="J85" s="5" t="str">
        <f>IFERROR(__xludf.DUMMYFUNCTION("""COMPUTED_VALUE"""),"Psychiatry")</f>
        <v>Psychiatry</v>
      </c>
      <c r="K85" s="5" t="str">
        <f>IFERROR(__xludf.DUMMYFUNCTION("""COMPUTED_VALUE"""),"Current")</f>
        <v>Current</v>
      </c>
      <c r="L85" s="5"/>
      <c r="M85" s="5"/>
      <c r="N85" s="13">
        <f>IFERROR(__xludf.DUMMYFUNCTION("""COMPUTED_VALUE"""),44846.0)</f>
        <v>44846</v>
      </c>
      <c r="O85" s="5">
        <v>2022.0</v>
      </c>
      <c r="P85" s="5" t="str">
        <f>IFERROR(__xludf.DUMMYFUNCTION("""COMPUTED_VALUE"""),"Available")</f>
        <v>Available</v>
      </c>
      <c r="Q85" s="5" t="s">
        <v>135</v>
      </c>
      <c r="R85" s="5" t="s">
        <v>136</v>
      </c>
      <c r="S85" s="11">
        <v>1475.0</v>
      </c>
    </row>
    <row r="86">
      <c r="A86"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86" s="5" t="str">
        <f>IFERROR(__xludf.DUMMYFUNCTION("""COMPUTED_VALUE"""),"Teva Pharmaceuticals USA, Inc.")</f>
        <v>Teva Pharmaceuticals USA, Inc.</v>
      </c>
      <c r="C86" s="5" t="str">
        <f>IFERROR(__xludf.DUMMYFUNCTION("""COMPUTED_VALUE"""),"Adderall, Tablet, 7.5 mg; 7.5 mg; 7.5 mg; 7.5 mg (NDC 57844-130-01)")</f>
        <v>Adderall, Tablet, 7.5 mg; 7.5 mg; 7.5 mg; 7.5 mg (NDC 57844-130-01)</v>
      </c>
      <c r="D86" s="5" t="str">
        <f>IFERROR(__xludf.DUMMYFUNCTION("""COMPUTED_VALUE"""),"Reverified")</f>
        <v>Reverified</v>
      </c>
      <c r="E86" s="13">
        <f>IFERROR(__xludf.DUMMYFUNCTION("""COMPUTED_VALUE"""),46310.0)</f>
        <v>46310</v>
      </c>
      <c r="F86" s="5" t="str">
        <f>IFERROR(__xludf.DUMMYFUNCTION("""COMPUTED_VALUE"""),"Available")</f>
        <v>Available</v>
      </c>
      <c r="G86" s="5"/>
      <c r="H86" s="5"/>
      <c r="I86" s="5"/>
      <c r="J86" s="5" t="str">
        <f>IFERROR(__xludf.DUMMYFUNCTION("""COMPUTED_VALUE"""),"Psychiatry")</f>
        <v>Psychiatry</v>
      </c>
      <c r="K86" s="5" t="str">
        <f>IFERROR(__xludf.DUMMYFUNCTION("""COMPUTED_VALUE"""),"Current")</f>
        <v>Current</v>
      </c>
      <c r="L86" s="5"/>
      <c r="M86" s="5"/>
      <c r="N86" s="13">
        <f>IFERROR(__xludf.DUMMYFUNCTION("""COMPUTED_VALUE"""),44846.0)</f>
        <v>44846</v>
      </c>
      <c r="O86" s="5">
        <v>2022.0</v>
      </c>
      <c r="P86" s="5" t="str">
        <f>IFERROR(__xludf.DUMMYFUNCTION("""COMPUTED_VALUE"""),"Available")</f>
        <v>Available</v>
      </c>
      <c r="Q86" s="5" t="s">
        <v>135</v>
      </c>
      <c r="R86" s="5" t="s">
        <v>136</v>
      </c>
      <c r="S86" s="11">
        <v>1475.0</v>
      </c>
    </row>
    <row r="87">
      <c r="A87"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87" s="5" t="str">
        <f>IFERROR(__xludf.DUMMYFUNCTION("""COMPUTED_VALUE"""),"Teva Pharmaceuticals USA, Inc.")</f>
        <v>Teva Pharmaceuticals USA, Inc.</v>
      </c>
      <c r="C87" s="5" t="str">
        <f>IFERROR(__xludf.DUMMYFUNCTION("""COMPUTED_VALUE"""),"Adderall, Tablet, 1.25 mg; 1.25 mg; 1.25 mg; 1.25 mg (NDC 57844-105-01)")</f>
        <v>Adderall, Tablet, 1.25 mg; 1.25 mg; 1.25 mg; 1.25 mg (NDC 57844-105-01)</v>
      </c>
      <c r="D87" s="5" t="str">
        <f>IFERROR(__xludf.DUMMYFUNCTION("""COMPUTED_VALUE"""),"Reverified")</f>
        <v>Reverified</v>
      </c>
      <c r="E87" s="13">
        <f>IFERROR(__xludf.DUMMYFUNCTION("""COMPUTED_VALUE"""),46310.0)</f>
        <v>46310</v>
      </c>
      <c r="F87" s="5" t="str">
        <f>IFERROR(__xludf.DUMMYFUNCTION("""COMPUTED_VALUE"""),"Available")</f>
        <v>Available</v>
      </c>
      <c r="G87" s="5"/>
      <c r="H87" s="5"/>
      <c r="I87" s="5"/>
      <c r="J87" s="5" t="str">
        <f>IFERROR(__xludf.DUMMYFUNCTION("""COMPUTED_VALUE"""),"Psychiatry")</f>
        <v>Psychiatry</v>
      </c>
      <c r="K87" s="5" t="str">
        <f>IFERROR(__xludf.DUMMYFUNCTION("""COMPUTED_VALUE"""),"Current")</f>
        <v>Current</v>
      </c>
      <c r="L87" s="5"/>
      <c r="M87" s="5"/>
      <c r="N87" s="13">
        <f>IFERROR(__xludf.DUMMYFUNCTION("""COMPUTED_VALUE"""),44846.0)</f>
        <v>44846</v>
      </c>
      <c r="O87" s="5">
        <v>2022.0</v>
      </c>
      <c r="P87" s="5" t="str">
        <f>IFERROR(__xludf.DUMMYFUNCTION("""COMPUTED_VALUE"""),"Available")</f>
        <v>Available</v>
      </c>
      <c r="Q87" s="5" t="s">
        <v>135</v>
      </c>
      <c r="R87" s="5" t="s">
        <v>136</v>
      </c>
      <c r="S87" s="11">
        <v>1475.0</v>
      </c>
    </row>
    <row r="88">
      <c r="A88"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88" s="5" t="str">
        <f>IFERROR(__xludf.DUMMYFUNCTION("""COMPUTED_VALUE"""),"Teva Pharmaceuticals USA, Inc.")</f>
        <v>Teva Pharmaceuticals USA, Inc.</v>
      </c>
      <c r="C88" s="5" t="str">
        <f>IFERROR(__xludf.DUMMYFUNCTION("""COMPUTED_VALUE"""),"Adderall, Tablet, 1.875 mg; 1.875 mg; 1.875 mg; 1.875 mg (NDC 57844-117-01)")</f>
        <v>Adderall, Tablet, 1.875 mg; 1.875 mg; 1.875 mg; 1.875 mg (NDC 57844-117-01)</v>
      </c>
      <c r="D88" s="5" t="str">
        <f>IFERROR(__xludf.DUMMYFUNCTION("""COMPUTED_VALUE"""),"Reverified")</f>
        <v>Reverified</v>
      </c>
      <c r="E88" s="13">
        <f>IFERROR(__xludf.DUMMYFUNCTION("""COMPUTED_VALUE"""),46310.0)</f>
        <v>46310</v>
      </c>
      <c r="F88" s="5" t="str">
        <f>IFERROR(__xludf.DUMMYFUNCTION("""COMPUTED_VALUE"""),"Available")</f>
        <v>Available</v>
      </c>
      <c r="G88" s="5"/>
      <c r="H88" s="5"/>
      <c r="I88" s="5"/>
      <c r="J88" s="5" t="str">
        <f>IFERROR(__xludf.DUMMYFUNCTION("""COMPUTED_VALUE"""),"Psychiatry")</f>
        <v>Psychiatry</v>
      </c>
      <c r="K88" s="5" t="str">
        <f>IFERROR(__xludf.DUMMYFUNCTION("""COMPUTED_VALUE"""),"Current")</f>
        <v>Current</v>
      </c>
      <c r="L88" s="5"/>
      <c r="M88" s="5"/>
      <c r="N88" s="13">
        <f>IFERROR(__xludf.DUMMYFUNCTION("""COMPUTED_VALUE"""),44846.0)</f>
        <v>44846</v>
      </c>
      <c r="O88" s="5">
        <v>2022.0</v>
      </c>
      <c r="P88" s="5" t="str">
        <f>IFERROR(__xludf.DUMMYFUNCTION("""COMPUTED_VALUE"""),"Available")</f>
        <v>Available</v>
      </c>
      <c r="Q88" s="5" t="s">
        <v>135</v>
      </c>
      <c r="R88" s="5" t="s">
        <v>136</v>
      </c>
      <c r="S88" s="11">
        <v>1475.0</v>
      </c>
    </row>
    <row r="89">
      <c r="A89"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89" s="5" t="str">
        <f>IFERROR(__xludf.DUMMYFUNCTION("""COMPUTED_VALUE"""),"Teva Pharmaceuticals USA, Inc.")</f>
        <v>Teva Pharmaceuticals USA, Inc.</v>
      </c>
      <c r="C89" s="5" t="str">
        <f>IFERROR(__xludf.DUMMYFUNCTION("""COMPUTED_VALUE"""),"Amphetamine Aspartate Monohydrate, Amphetamine Sulfate, Dextroamphetamine Saccharate, Dextroamphetamine Sulfate, Tablet, 3.125 mg; 3.125 mg; 3.125 mg; 3.125 mg (NDC 0555-0776-02)")</f>
        <v>Amphetamine Aspartate Monohydrate, Amphetamine Sulfate, Dextroamphetamine Saccharate, Dextroamphetamine Sulfate, Tablet, 3.125 mg; 3.125 mg; 3.125 mg; 3.125 mg (NDC 0555-0776-02)</v>
      </c>
      <c r="D89" s="5" t="str">
        <f>IFERROR(__xludf.DUMMYFUNCTION("""COMPUTED_VALUE"""),"Reverified")</f>
        <v>Reverified</v>
      </c>
      <c r="E89" s="13">
        <f>IFERROR(__xludf.DUMMYFUNCTION("""COMPUTED_VALUE"""),46310.0)</f>
        <v>46310</v>
      </c>
      <c r="F89" s="5" t="str">
        <f>IFERROR(__xludf.DUMMYFUNCTION("""COMPUTED_VALUE"""),"Available")</f>
        <v>Available</v>
      </c>
      <c r="G89" s="5"/>
      <c r="H89" s="5"/>
      <c r="I89" s="5"/>
      <c r="J89" s="5" t="str">
        <f>IFERROR(__xludf.DUMMYFUNCTION("""COMPUTED_VALUE"""),"Psychiatry")</f>
        <v>Psychiatry</v>
      </c>
      <c r="K89" s="5" t="str">
        <f>IFERROR(__xludf.DUMMYFUNCTION("""COMPUTED_VALUE"""),"Current")</f>
        <v>Current</v>
      </c>
      <c r="L89" s="5"/>
      <c r="M89" s="5"/>
      <c r="N89" s="13">
        <f>IFERROR(__xludf.DUMMYFUNCTION("""COMPUTED_VALUE"""),44846.0)</f>
        <v>44846</v>
      </c>
      <c r="O89" s="5">
        <v>2022.0</v>
      </c>
      <c r="P89" s="5" t="str">
        <f>IFERROR(__xludf.DUMMYFUNCTION("""COMPUTED_VALUE"""),"Available")</f>
        <v>Available</v>
      </c>
      <c r="Q89" s="5" t="s">
        <v>135</v>
      </c>
      <c r="R89" s="5" t="s">
        <v>136</v>
      </c>
      <c r="S89" s="11">
        <v>1475.0</v>
      </c>
    </row>
    <row r="90">
      <c r="A90"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90" s="5" t="str">
        <f>IFERROR(__xludf.DUMMYFUNCTION("""COMPUTED_VALUE"""),"Teva Pharmaceuticals USA, Inc.")</f>
        <v>Teva Pharmaceuticals USA, Inc.</v>
      </c>
      <c r="C90" s="5" t="str">
        <f>IFERROR(__xludf.DUMMYFUNCTION("""COMPUTED_VALUE"""),"Amphetamine Aspartate Monohydrate, Amphetamine Sulfate, Dextroamphetamine Saccharate, Dextroamphetamine Sulfate, Tablet, 3.75 mg; 3.75 mg; 3.75 mg; 3.75 mg (NDC 0555-0777-02)")</f>
        <v>Amphetamine Aspartate Monohydrate, Amphetamine Sulfate, Dextroamphetamine Saccharate, Dextroamphetamine Sulfate, Tablet, 3.75 mg; 3.75 mg; 3.75 mg; 3.75 mg (NDC 0555-0777-02)</v>
      </c>
      <c r="D90" s="5" t="str">
        <f>IFERROR(__xludf.DUMMYFUNCTION("""COMPUTED_VALUE"""),"Revised")</f>
        <v>Revised</v>
      </c>
      <c r="E90" s="13">
        <f>IFERROR(__xludf.DUMMYFUNCTION("""COMPUTED_VALUE"""),46310.0)</f>
        <v>46310</v>
      </c>
      <c r="F90" s="5" t="str">
        <f>IFERROR(__xludf.DUMMYFUNCTION("""COMPUTED_VALUE"""),"Available")</f>
        <v>Available</v>
      </c>
      <c r="G90" s="5"/>
      <c r="H90" s="5"/>
      <c r="I90" s="5"/>
      <c r="J90" s="5" t="str">
        <f>IFERROR(__xludf.DUMMYFUNCTION("""COMPUTED_VALUE"""),"Psychiatry")</f>
        <v>Psychiatry</v>
      </c>
      <c r="K90" s="5" t="str">
        <f>IFERROR(__xludf.DUMMYFUNCTION("""COMPUTED_VALUE"""),"Current")</f>
        <v>Current</v>
      </c>
      <c r="L90" s="5"/>
      <c r="M90" s="5"/>
      <c r="N90" s="13">
        <f>IFERROR(__xludf.DUMMYFUNCTION("""COMPUTED_VALUE"""),44846.0)</f>
        <v>44846</v>
      </c>
      <c r="O90" s="5">
        <v>2022.0</v>
      </c>
      <c r="P90" s="5" t="str">
        <f>IFERROR(__xludf.DUMMYFUNCTION("""COMPUTED_VALUE"""),"Available")</f>
        <v>Available</v>
      </c>
      <c r="Q90" s="5" t="s">
        <v>135</v>
      </c>
      <c r="R90" s="5" t="s">
        <v>136</v>
      </c>
      <c r="S90" s="11">
        <v>1475.0</v>
      </c>
    </row>
    <row r="91">
      <c r="A91"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91" s="5" t="str">
        <f>IFERROR(__xludf.DUMMYFUNCTION("""COMPUTED_VALUE"""),"Teva Pharmaceuticals USA, Inc.")</f>
        <v>Teva Pharmaceuticals USA, Inc.</v>
      </c>
      <c r="C91" s="5" t="str">
        <f>IFERROR(__xludf.DUMMYFUNCTION("""COMPUTED_VALUE"""),"Amphetamine Aspartate Monohydrate, Amphetamine Sulfate, Dextroamphetamine Saccharate, Dextroamphetamine Sulfate, Tablet, 1.875 mg; 1.875 mg; 1.875 mg; 1.875 mg (NDC 0555-0775-02)")</f>
        <v>Amphetamine Aspartate Monohydrate, Amphetamine Sulfate, Dextroamphetamine Saccharate, Dextroamphetamine Sulfate, Tablet, 1.875 mg; 1.875 mg; 1.875 mg; 1.875 mg (NDC 0555-0775-02)</v>
      </c>
      <c r="D91" s="5" t="str">
        <f>IFERROR(__xludf.DUMMYFUNCTION("""COMPUTED_VALUE"""),"Reverified")</f>
        <v>Reverified</v>
      </c>
      <c r="E91" s="13">
        <f>IFERROR(__xludf.DUMMYFUNCTION("""COMPUTED_VALUE"""),46310.0)</f>
        <v>46310</v>
      </c>
      <c r="F91" s="5" t="str">
        <f>IFERROR(__xludf.DUMMYFUNCTION("""COMPUTED_VALUE"""),"Available")</f>
        <v>Available</v>
      </c>
      <c r="G91" s="5"/>
      <c r="H91" s="5"/>
      <c r="I91" s="5"/>
      <c r="J91" s="5" t="str">
        <f>IFERROR(__xludf.DUMMYFUNCTION("""COMPUTED_VALUE"""),"Psychiatry")</f>
        <v>Psychiatry</v>
      </c>
      <c r="K91" s="5" t="str">
        <f>IFERROR(__xludf.DUMMYFUNCTION("""COMPUTED_VALUE"""),"Current")</f>
        <v>Current</v>
      </c>
      <c r="L91" s="5"/>
      <c r="M91" s="5"/>
      <c r="N91" s="13">
        <f>IFERROR(__xludf.DUMMYFUNCTION("""COMPUTED_VALUE"""),44846.0)</f>
        <v>44846</v>
      </c>
      <c r="O91" s="5">
        <v>2022.0</v>
      </c>
      <c r="P91" s="5" t="str">
        <f>IFERROR(__xludf.DUMMYFUNCTION("""COMPUTED_VALUE"""),"Available")</f>
        <v>Available</v>
      </c>
      <c r="Q91" s="5" t="s">
        <v>135</v>
      </c>
      <c r="R91" s="5" t="s">
        <v>136</v>
      </c>
      <c r="S91" s="11">
        <v>1475.0</v>
      </c>
    </row>
    <row r="92">
      <c r="A92"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92" s="5" t="str">
        <f>IFERROR(__xludf.DUMMYFUNCTION("""COMPUTED_VALUE"""),"Teva Pharmaceuticals USA, Inc.")</f>
        <v>Teva Pharmaceuticals USA, Inc.</v>
      </c>
      <c r="C92" s="5" t="str">
        <f>IFERROR(__xludf.DUMMYFUNCTION("""COMPUTED_VALUE"""),"Amphetamine Aspartate Monohydrate, Amphetamine Sulfate, Dextroamphetamine Saccharate, Dextroamphetamine Sulfate, Tablet, 2.5 mg; 2.5 mg; 2.5 mg; 2.5 mg (NDC 0555-0972-02)")</f>
        <v>Amphetamine Aspartate Monohydrate, Amphetamine Sulfate, Dextroamphetamine Saccharate, Dextroamphetamine Sulfate, Tablet, 2.5 mg; 2.5 mg; 2.5 mg; 2.5 mg (NDC 0555-0972-02)</v>
      </c>
      <c r="D92" s="5" t="str">
        <f>IFERROR(__xludf.DUMMYFUNCTION("""COMPUTED_VALUE"""),"Reverified")</f>
        <v>Reverified</v>
      </c>
      <c r="E92" s="13">
        <f>IFERROR(__xludf.DUMMYFUNCTION("""COMPUTED_VALUE"""),46310.0)</f>
        <v>46310</v>
      </c>
      <c r="F92" s="5" t="str">
        <f>IFERROR(__xludf.DUMMYFUNCTION("""COMPUTED_VALUE"""),"Available")</f>
        <v>Available</v>
      </c>
      <c r="G92" s="5"/>
      <c r="H92" s="5"/>
      <c r="I92" s="5"/>
      <c r="J92" s="5" t="str">
        <f>IFERROR(__xludf.DUMMYFUNCTION("""COMPUTED_VALUE"""),"Psychiatry")</f>
        <v>Psychiatry</v>
      </c>
      <c r="K92" s="5" t="str">
        <f>IFERROR(__xludf.DUMMYFUNCTION("""COMPUTED_VALUE"""),"Current")</f>
        <v>Current</v>
      </c>
      <c r="L92" s="5"/>
      <c r="M92" s="5"/>
      <c r="N92" s="13">
        <f>IFERROR(__xludf.DUMMYFUNCTION("""COMPUTED_VALUE"""),44846.0)</f>
        <v>44846</v>
      </c>
      <c r="O92" s="5">
        <v>2022.0</v>
      </c>
      <c r="P92" s="5" t="str">
        <f>IFERROR(__xludf.DUMMYFUNCTION("""COMPUTED_VALUE"""),"Available")</f>
        <v>Available</v>
      </c>
      <c r="Q92" s="5" t="s">
        <v>135</v>
      </c>
      <c r="R92" s="5" t="s">
        <v>136</v>
      </c>
      <c r="S92" s="11">
        <v>1475.0</v>
      </c>
    </row>
    <row r="93">
      <c r="A93"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93" s="5" t="str">
        <f>IFERROR(__xludf.DUMMYFUNCTION("""COMPUTED_VALUE"""),"Teva Pharmaceuticals USA, Inc.")</f>
        <v>Teva Pharmaceuticals USA, Inc.</v>
      </c>
      <c r="C93" s="5" t="str">
        <f>IFERROR(__xludf.DUMMYFUNCTION("""COMPUTED_VALUE"""),"Amphetamine Aspartate Monohydrate, Amphetamine Sulfate, Dextroamphetamine Saccharate, Dextroamphetamine Sulfate, Tablet, 5 mg; 5 mg; 5 mg; 5 mg (NDC 0555-0973-02)")</f>
        <v>Amphetamine Aspartate Monohydrate, Amphetamine Sulfate, Dextroamphetamine Saccharate, Dextroamphetamine Sulfate, Tablet, 5 mg; 5 mg; 5 mg; 5 mg (NDC 0555-0973-02)</v>
      </c>
      <c r="D93" s="5" t="str">
        <f>IFERROR(__xludf.DUMMYFUNCTION("""COMPUTED_VALUE"""),"Reverified")</f>
        <v>Reverified</v>
      </c>
      <c r="E93" s="13">
        <f>IFERROR(__xludf.DUMMYFUNCTION("""COMPUTED_VALUE"""),46310.0)</f>
        <v>46310</v>
      </c>
      <c r="F93" s="5" t="str">
        <f>IFERROR(__xludf.DUMMYFUNCTION("""COMPUTED_VALUE"""),"Available")</f>
        <v>Available</v>
      </c>
      <c r="G93" s="5"/>
      <c r="H93" s="5"/>
      <c r="I93" s="5"/>
      <c r="J93" s="5" t="str">
        <f>IFERROR(__xludf.DUMMYFUNCTION("""COMPUTED_VALUE"""),"Psychiatry")</f>
        <v>Psychiatry</v>
      </c>
      <c r="K93" s="5" t="str">
        <f>IFERROR(__xludf.DUMMYFUNCTION("""COMPUTED_VALUE"""),"Current")</f>
        <v>Current</v>
      </c>
      <c r="L93" s="5"/>
      <c r="M93" s="5"/>
      <c r="N93" s="13">
        <f>IFERROR(__xludf.DUMMYFUNCTION("""COMPUTED_VALUE"""),44846.0)</f>
        <v>44846</v>
      </c>
      <c r="O93" s="5">
        <v>2022.0</v>
      </c>
      <c r="P93" s="5" t="str">
        <f>IFERROR(__xludf.DUMMYFUNCTION("""COMPUTED_VALUE"""),"Available")</f>
        <v>Available</v>
      </c>
      <c r="Q93" s="5" t="s">
        <v>135</v>
      </c>
      <c r="R93" s="5" t="s">
        <v>136</v>
      </c>
      <c r="S93" s="11">
        <v>1475.0</v>
      </c>
    </row>
    <row r="94">
      <c r="A94"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94" s="5" t="str">
        <f>IFERROR(__xludf.DUMMYFUNCTION("""COMPUTED_VALUE"""),"Teva Pharmaceuticals USA, Inc.")</f>
        <v>Teva Pharmaceuticals USA, Inc.</v>
      </c>
      <c r="C94" s="5" t="str">
        <f>IFERROR(__xludf.DUMMYFUNCTION("""COMPUTED_VALUE"""),"Amphetamine Aspartate Monohydrate, Amphetamine Sulfate, Dextroamphetamine Saccharate, Dextroamphetamine Sulfate, Tablet, 7.5 mg; 7.5 mg; 7.5 mg; 7.5 mg (NDC 0555-0974-02)")</f>
        <v>Amphetamine Aspartate Monohydrate, Amphetamine Sulfate, Dextroamphetamine Saccharate, Dextroamphetamine Sulfate, Tablet, 7.5 mg; 7.5 mg; 7.5 mg; 7.5 mg (NDC 0555-0974-02)</v>
      </c>
      <c r="D94" s="5" t="str">
        <f>IFERROR(__xludf.DUMMYFUNCTION("""COMPUTED_VALUE"""),"Revised")</f>
        <v>Revised</v>
      </c>
      <c r="E94" s="13">
        <f>IFERROR(__xludf.DUMMYFUNCTION("""COMPUTED_VALUE"""),46310.0)</f>
        <v>46310</v>
      </c>
      <c r="F94" s="5" t="str">
        <f>IFERROR(__xludf.DUMMYFUNCTION("""COMPUTED_VALUE"""),"Limited Availability")</f>
        <v>Limited Availability</v>
      </c>
      <c r="G94" s="5" t="str">
        <f>IFERROR(__xludf.DUMMYFUNCTION("""COMPUTED_VALUE"""),"Estimated recovery: TBD")</f>
        <v>Estimated recovery: TBD</v>
      </c>
      <c r="H94" s="5"/>
      <c r="I94" s="5" t="str">
        <f>IFERROR(__xludf.DUMMYFUNCTION("""COMPUTED_VALUE"""),"Other")</f>
        <v>Other</v>
      </c>
      <c r="J94" s="5" t="str">
        <f>IFERROR(__xludf.DUMMYFUNCTION("""COMPUTED_VALUE"""),"Psychiatry")</f>
        <v>Psychiatry</v>
      </c>
      <c r="K94" s="5" t="str">
        <f>IFERROR(__xludf.DUMMYFUNCTION("""COMPUTED_VALUE"""),"Current")</f>
        <v>Current</v>
      </c>
      <c r="L94" s="5"/>
      <c r="M94" s="5"/>
      <c r="N94" s="13">
        <f>IFERROR(__xludf.DUMMYFUNCTION("""COMPUTED_VALUE"""),44846.0)</f>
        <v>44846</v>
      </c>
      <c r="O94" s="5">
        <v>2022.0</v>
      </c>
      <c r="P94" s="5" t="str">
        <f>IFERROR(__xludf.DUMMYFUNCTION("""COMPUTED_VALUE"""),"Limited Availability")</f>
        <v>Limited Availability</v>
      </c>
      <c r="Q94" s="5" t="s">
        <v>47</v>
      </c>
      <c r="R94" s="5" t="s">
        <v>136</v>
      </c>
      <c r="S94" s="11">
        <v>1475.0</v>
      </c>
    </row>
    <row r="95">
      <c r="A95"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95" s="5" t="str">
        <f>IFERROR(__xludf.DUMMYFUNCTION("""COMPUTED_VALUE"""),"Teva Pharmaceuticals USA, Inc.")</f>
        <v>Teva Pharmaceuticals USA, Inc.</v>
      </c>
      <c r="C95" s="5" t="str">
        <f>IFERROR(__xludf.DUMMYFUNCTION("""COMPUTED_VALUE"""),"Amphetamine Aspartate Monohydrate, Amphetamine Sulfate, Dextroamphetamine Saccharate, Dextroamphetamine Sulfate, Tablet, 1.25 mg; 1.25 mg; 1.25 mg; 1.25 mg (NDC 0555-0971-02)")</f>
        <v>Amphetamine Aspartate Monohydrate, Amphetamine Sulfate, Dextroamphetamine Saccharate, Dextroamphetamine Sulfate, Tablet, 1.25 mg; 1.25 mg; 1.25 mg; 1.25 mg (NDC 0555-0971-02)</v>
      </c>
      <c r="D95" s="5" t="str">
        <f>IFERROR(__xludf.DUMMYFUNCTION("""COMPUTED_VALUE"""),"Reverified")</f>
        <v>Reverified</v>
      </c>
      <c r="E95" s="13">
        <f>IFERROR(__xludf.DUMMYFUNCTION("""COMPUTED_VALUE"""),46310.0)</f>
        <v>46310</v>
      </c>
      <c r="F95" s="5" t="str">
        <f>IFERROR(__xludf.DUMMYFUNCTION("""COMPUTED_VALUE"""),"Available")</f>
        <v>Available</v>
      </c>
      <c r="G95" s="5"/>
      <c r="H95" s="5"/>
      <c r="I95" s="5"/>
      <c r="J95" s="5" t="str">
        <f>IFERROR(__xludf.DUMMYFUNCTION("""COMPUTED_VALUE"""),"Psychiatry")</f>
        <v>Psychiatry</v>
      </c>
      <c r="K95" s="5" t="str">
        <f>IFERROR(__xludf.DUMMYFUNCTION("""COMPUTED_VALUE"""),"Current")</f>
        <v>Current</v>
      </c>
      <c r="L95" s="5"/>
      <c r="M95" s="5"/>
      <c r="N95" s="13">
        <f>IFERROR(__xludf.DUMMYFUNCTION("""COMPUTED_VALUE"""),44846.0)</f>
        <v>44846</v>
      </c>
      <c r="O95" s="5">
        <v>2022.0</v>
      </c>
      <c r="P95" s="5" t="str">
        <f>IFERROR(__xludf.DUMMYFUNCTION("""COMPUTED_VALUE"""),"Available")</f>
        <v>Available</v>
      </c>
      <c r="Q95" s="5" t="s">
        <v>135</v>
      </c>
      <c r="R95" s="5" t="s">
        <v>136</v>
      </c>
      <c r="S95" s="11">
        <v>1475.0</v>
      </c>
    </row>
    <row r="96">
      <c r="A96"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96" s="5" t="str">
        <f>IFERROR(__xludf.DUMMYFUNCTION("""COMPUTED_VALUE"""),"Elite Laboratories, Inc.")</f>
        <v>Elite Laboratories, Inc.</v>
      </c>
      <c r="C96" s="5" t="str">
        <f>IFERROR(__xludf.DUMMYFUNCTION("""COMPUTED_VALUE"""),"Amphetamine Aspartate Monohydrate, Amphetamine Sulfate, Dextroamphetamine Saccharate, Dextroamphetamine Sulfate, Tablet, 1.25 mg; 1.25 mg; 1.25 mg; 1.25 mg (NDC 64850-500-01)")</f>
        <v>Amphetamine Aspartate Monohydrate, Amphetamine Sulfate, Dextroamphetamine Saccharate, Dextroamphetamine Sulfate, Tablet, 1.25 mg; 1.25 mg; 1.25 mg; 1.25 mg (NDC 64850-500-01)</v>
      </c>
      <c r="D96" s="5" t="str">
        <f>IFERROR(__xludf.DUMMYFUNCTION("""COMPUTED_VALUE"""),"Reverified")</f>
        <v>Reverified</v>
      </c>
      <c r="E96" s="13">
        <f>IFERROR(__xludf.DUMMYFUNCTION("""COMPUTED_VALUE"""),46310.0)</f>
        <v>46310</v>
      </c>
      <c r="F96" s="5" t="str">
        <f>IFERROR(__xludf.DUMMYFUNCTION("""COMPUTED_VALUE"""),"Available")</f>
        <v>Available</v>
      </c>
      <c r="G96" s="5"/>
      <c r="H96" s="5"/>
      <c r="I96" s="5"/>
      <c r="J96" s="5" t="str">
        <f>IFERROR(__xludf.DUMMYFUNCTION("""COMPUTED_VALUE"""),"Psychiatry")</f>
        <v>Psychiatry</v>
      </c>
      <c r="K96" s="5" t="str">
        <f>IFERROR(__xludf.DUMMYFUNCTION("""COMPUTED_VALUE"""),"Current")</f>
        <v>Current</v>
      </c>
      <c r="L96" s="5"/>
      <c r="M96" s="5"/>
      <c r="N96" s="13">
        <f>IFERROR(__xludf.DUMMYFUNCTION("""COMPUTED_VALUE"""),44846.0)</f>
        <v>44846</v>
      </c>
      <c r="O96" s="5">
        <v>2022.0</v>
      </c>
      <c r="P96" s="5" t="str">
        <f>IFERROR(__xludf.DUMMYFUNCTION("""COMPUTED_VALUE"""),"Available")</f>
        <v>Available</v>
      </c>
      <c r="Q96" s="5" t="s">
        <v>135</v>
      </c>
      <c r="R96" s="5" t="s">
        <v>136</v>
      </c>
      <c r="S96" s="11">
        <v>1475.0</v>
      </c>
    </row>
    <row r="97">
      <c r="A97"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97" s="5" t="str">
        <f>IFERROR(__xludf.DUMMYFUNCTION("""COMPUTED_VALUE"""),"Elite Laboratories, Inc.")</f>
        <v>Elite Laboratories, Inc.</v>
      </c>
      <c r="C97" s="5" t="str">
        <f>IFERROR(__xludf.DUMMYFUNCTION("""COMPUTED_VALUE"""),"Amphetamine Aspartate Monohydrate, Amphetamine Sulfate, Dextroamphetamine Saccharate, Dextroamphetamine Sulfate, Tablet, 1.875 mg; 1.875 mg; 1.875 mg; 1.875 mg (NDC 64850-501-01)")</f>
        <v>Amphetamine Aspartate Monohydrate, Amphetamine Sulfate, Dextroamphetamine Saccharate, Dextroamphetamine Sulfate, Tablet, 1.875 mg; 1.875 mg; 1.875 mg; 1.875 mg (NDC 64850-501-01)</v>
      </c>
      <c r="D97" s="5" t="str">
        <f>IFERROR(__xludf.DUMMYFUNCTION("""COMPUTED_VALUE"""),"Reverified")</f>
        <v>Reverified</v>
      </c>
      <c r="E97" s="13">
        <f>IFERROR(__xludf.DUMMYFUNCTION("""COMPUTED_VALUE"""),46310.0)</f>
        <v>46310</v>
      </c>
      <c r="F97" s="5" t="str">
        <f>IFERROR(__xludf.DUMMYFUNCTION("""COMPUTED_VALUE"""),"Available")</f>
        <v>Available</v>
      </c>
      <c r="G97" s="5"/>
      <c r="H97" s="5"/>
      <c r="I97" s="5"/>
      <c r="J97" s="5" t="str">
        <f>IFERROR(__xludf.DUMMYFUNCTION("""COMPUTED_VALUE"""),"Psychiatry")</f>
        <v>Psychiatry</v>
      </c>
      <c r="K97" s="5" t="str">
        <f>IFERROR(__xludf.DUMMYFUNCTION("""COMPUTED_VALUE"""),"Current")</f>
        <v>Current</v>
      </c>
      <c r="L97" s="5"/>
      <c r="M97" s="5"/>
      <c r="N97" s="13">
        <f>IFERROR(__xludf.DUMMYFUNCTION("""COMPUTED_VALUE"""),44846.0)</f>
        <v>44846</v>
      </c>
      <c r="O97" s="5">
        <v>2022.0</v>
      </c>
      <c r="P97" s="5" t="str">
        <f>IFERROR(__xludf.DUMMYFUNCTION("""COMPUTED_VALUE"""),"Available")</f>
        <v>Available</v>
      </c>
      <c r="Q97" s="5" t="s">
        <v>135</v>
      </c>
      <c r="R97" s="5" t="s">
        <v>136</v>
      </c>
      <c r="S97" s="11">
        <v>1475.0</v>
      </c>
    </row>
    <row r="98">
      <c r="A98"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98" s="5" t="str">
        <f>IFERROR(__xludf.DUMMYFUNCTION("""COMPUTED_VALUE"""),"Elite Laboratories, Inc.")</f>
        <v>Elite Laboratories, Inc.</v>
      </c>
      <c r="C98" s="5" t="str">
        <f>IFERROR(__xludf.DUMMYFUNCTION("""COMPUTED_VALUE"""),"Amphetamine Aspartate Monohydrate, Amphetamine Sulfate, Dextroamphetamine Saccharate, Dextroamphetamine Sulfate, Tablet, 2.5 mg; 2.5 mg; 2.5 mg; 2.5 mg (NDC 64850-502-01)")</f>
        <v>Amphetamine Aspartate Monohydrate, Amphetamine Sulfate, Dextroamphetamine Saccharate, Dextroamphetamine Sulfate, Tablet, 2.5 mg; 2.5 mg; 2.5 mg; 2.5 mg (NDC 64850-502-01)</v>
      </c>
      <c r="D98" s="5" t="str">
        <f>IFERROR(__xludf.DUMMYFUNCTION("""COMPUTED_VALUE"""),"Reverified")</f>
        <v>Reverified</v>
      </c>
      <c r="E98" s="13">
        <f>IFERROR(__xludf.DUMMYFUNCTION("""COMPUTED_VALUE"""),46310.0)</f>
        <v>46310</v>
      </c>
      <c r="F98" s="5" t="str">
        <f>IFERROR(__xludf.DUMMYFUNCTION("""COMPUTED_VALUE"""),"Available")</f>
        <v>Available</v>
      </c>
      <c r="G98" s="5"/>
      <c r="H98" s="5"/>
      <c r="I98" s="5"/>
      <c r="J98" s="5" t="str">
        <f>IFERROR(__xludf.DUMMYFUNCTION("""COMPUTED_VALUE"""),"Psychiatry")</f>
        <v>Psychiatry</v>
      </c>
      <c r="K98" s="5" t="str">
        <f>IFERROR(__xludf.DUMMYFUNCTION("""COMPUTED_VALUE"""),"Current")</f>
        <v>Current</v>
      </c>
      <c r="L98" s="5"/>
      <c r="M98" s="5"/>
      <c r="N98" s="13">
        <f>IFERROR(__xludf.DUMMYFUNCTION("""COMPUTED_VALUE"""),44846.0)</f>
        <v>44846</v>
      </c>
      <c r="O98" s="5">
        <v>2022.0</v>
      </c>
      <c r="P98" s="5" t="str">
        <f>IFERROR(__xludf.DUMMYFUNCTION("""COMPUTED_VALUE"""),"Available")</f>
        <v>Available</v>
      </c>
      <c r="Q98" s="5" t="s">
        <v>135</v>
      </c>
      <c r="R98" s="5" t="s">
        <v>136</v>
      </c>
      <c r="S98" s="11">
        <v>1475.0</v>
      </c>
    </row>
    <row r="99">
      <c r="A99"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99" s="5" t="str">
        <f>IFERROR(__xludf.DUMMYFUNCTION("""COMPUTED_VALUE"""),"Elite Laboratories, Inc.")</f>
        <v>Elite Laboratories, Inc.</v>
      </c>
      <c r="C99" s="5" t="str">
        <f>IFERROR(__xludf.DUMMYFUNCTION("""COMPUTED_VALUE"""),"Amphetamine Aspartate Monohydrate, Amphetamine Sulfate, Dextroamphetamine Saccharate, Dextroamphetamine Sulfate, Tablet, 3.125 mg; 3.125 mg; 3.125 mg; 3.125 mg (NDC 64850-503-01)")</f>
        <v>Amphetamine Aspartate Monohydrate, Amphetamine Sulfate, Dextroamphetamine Saccharate, Dextroamphetamine Sulfate, Tablet, 3.125 mg; 3.125 mg; 3.125 mg; 3.125 mg (NDC 64850-503-01)</v>
      </c>
      <c r="D99" s="5" t="str">
        <f>IFERROR(__xludf.DUMMYFUNCTION("""COMPUTED_VALUE"""),"Reverified")</f>
        <v>Reverified</v>
      </c>
      <c r="E99" s="13">
        <f>IFERROR(__xludf.DUMMYFUNCTION("""COMPUTED_VALUE"""),46310.0)</f>
        <v>46310</v>
      </c>
      <c r="F99" s="5" t="str">
        <f>IFERROR(__xludf.DUMMYFUNCTION("""COMPUTED_VALUE"""),"Available")</f>
        <v>Available</v>
      </c>
      <c r="G99" s="5"/>
      <c r="H99" s="5"/>
      <c r="I99" s="5"/>
      <c r="J99" s="5" t="str">
        <f>IFERROR(__xludf.DUMMYFUNCTION("""COMPUTED_VALUE"""),"Psychiatry")</f>
        <v>Psychiatry</v>
      </c>
      <c r="K99" s="5" t="str">
        <f>IFERROR(__xludf.DUMMYFUNCTION("""COMPUTED_VALUE"""),"Current")</f>
        <v>Current</v>
      </c>
      <c r="L99" s="5"/>
      <c r="M99" s="5"/>
      <c r="N99" s="13">
        <f>IFERROR(__xludf.DUMMYFUNCTION("""COMPUTED_VALUE"""),44846.0)</f>
        <v>44846</v>
      </c>
      <c r="O99" s="5">
        <v>2022.0</v>
      </c>
      <c r="P99" s="5" t="str">
        <f>IFERROR(__xludf.DUMMYFUNCTION("""COMPUTED_VALUE"""),"Available")</f>
        <v>Available</v>
      </c>
      <c r="Q99" s="5" t="s">
        <v>135</v>
      </c>
      <c r="R99" s="5" t="s">
        <v>136</v>
      </c>
      <c r="S99" s="11">
        <v>1475.0</v>
      </c>
    </row>
    <row r="100">
      <c r="A100"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00" s="5" t="str">
        <f>IFERROR(__xludf.DUMMYFUNCTION("""COMPUTED_VALUE"""),"Elite Laboratories, Inc.")</f>
        <v>Elite Laboratories, Inc.</v>
      </c>
      <c r="C100" s="5" t="str">
        <f>IFERROR(__xludf.DUMMYFUNCTION("""COMPUTED_VALUE"""),"Amphetamine Aspartate Monohydrate, Amphetamine Sulfate, Dextroamphetamine Saccharate, Dextroamphetamine Sulfate, Tablet, 3.75 mg; 3.75 mg; 3.75 mg; 3.75 mg (NDC 64850-504-01)")</f>
        <v>Amphetamine Aspartate Monohydrate, Amphetamine Sulfate, Dextroamphetamine Saccharate, Dextroamphetamine Sulfate, Tablet, 3.75 mg; 3.75 mg; 3.75 mg; 3.75 mg (NDC 64850-504-01)</v>
      </c>
      <c r="D100" s="5" t="str">
        <f>IFERROR(__xludf.DUMMYFUNCTION("""COMPUTED_VALUE"""),"Reverified")</f>
        <v>Reverified</v>
      </c>
      <c r="E100" s="13">
        <f>IFERROR(__xludf.DUMMYFUNCTION("""COMPUTED_VALUE"""),46310.0)</f>
        <v>46310</v>
      </c>
      <c r="F100" s="5" t="str">
        <f>IFERROR(__xludf.DUMMYFUNCTION("""COMPUTED_VALUE"""),"Available")</f>
        <v>Available</v>
      </c>
      <c r="G100" s="5"/>
      <c r="H100" s="5"/>
      <c r="I100" s="5"/>
      <c r="J100" s="5" t="str">
        <f>IFERROR(__xludf.DUMMYFUNCTION("""COMPUTED_VALUE"""),"Psychiatry")</f>
        <v>Psychiatry</v>
      </c>
      <c r="K100" s="5" t="str">
        <f>IFERROR(__xludf.DUMMYFUNCTION("""COMPUTED_VALUE"""),"Current")</f>
        <v>Current</v>
      </c>
      <c r="L100" s="5"/>
      <c r="M100" s="5"/>
      <c r="N100" s="13">
        <f>IFERROR(__xludf.DUMMYFUNCTION("""COMPUTED_VALUE"""),44846.0)</f>
        <v>44846</v>
      </c>
      <c r="O100" s="5">
        <v>2022.0</v>
      </c>
      <c r="P100" s="5" t="str">
        <f>IFERROR(__xludf.DUMMYFUNCTION("""COMPUTED_VALUE"""),"Available")</f>
        <v>Available</v>
      </c>
      <c r="Q100" s="5" t="s">
        <v>135</v>
      </c>
      <c r="R100" s="5" t="s">
        <v>136</v>
      </c>
      <c r="S100" s="11">
        <v>1475.0</v>
      </c>
    </row>
    <row r="101">
      <c r="A101"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01" s="5" t="str">
        <f>IFERROR(__xludf.DUMMYFUNCTION("""COMPUTED_VALUE"""),"Elite Laboratories, Inc.")</f>
        <v>Elite Laboratories, Inc.</v>
      </c>
      <c r="C101" s="5" t="str">
        <f>IFERROR(__xludf.DUMMYFUNCTION("""COMPUTED_VALUE"""),"Amphetamine Aspartate Monohydrate, Amphetamine Sulfate, Dextroamphetamine Saccharate, Dextroamphetamine Sulfate, Tablet, 5 mg; 5 mg; 5 mg; 5 mg (NDC 64850-505-01)")</f>
        <v>Amphetamine Aspartate Monohydrate, Amphetamine Sulfate, Dextroamphetamine Saccharate, Dextroamphetamine Sulfate, Tablet, 5 mg; 5 mg; 5 mg; 5 mg (NDC 64850-505-01)</v>
      </c>
      <c r="D101" s="5" t="str">
        <f>IFERROR(__xludf.DUMMYFUNCTION("""COMPUTED_VALUE"""),"Reverified")</f>
        <v>Reverified</v>
      </c>
      <c r="E101" s="13">
        <f>IFERROR(__xludf.DUMMYFUNCTION("""COMPUTED_VALUE"""),46310.0)</f>
        <v>46310</v>
      </c>
      <c r="F101" s="5" t="str">
        <f>IFERROR(__xludf.DUMMYFUNCTION("""COMPUTED_VALUE"""),"Available")</f>
        <v>Available</v>
      </c>
      <c r="G101" s="5"/>
      <c r="H101" s="5"/>
      <c r="I101" s="5"/>
      <c r="J101" s="5" t="str">
        <f>IFERROR(__xludf.DUMMYFUNCTION("""COMPUTED_VALUE"""),"Psychiatry")</f>
        <v>Psychiatry</v>
      </c>
      <c r="K101" s="5" t="str">
        <f>IFERROR(__xludf.DUMMYFUNCTION("""COMPUTED_VALUE"""),"Current")</f>
        <v>Current</v>
      </c>
      <c r="L101" s="5"/>
      <c r="M101" s="5"/>
      <c r="N101" s="13">
        <f>IFERROR(__xludf.DUMMYFUNCTION("""COMPUTED_VALUE"""),44846.0)</f>
        <v>44846</v>
      </c>
      <c r="O101" s="5">
        <v>2022.0</v>
      </c>
      <c r="P101" s="5" t="str">
        <f>IFERROR(__xludf.DUMMYFUNCTION("""COMPUTED_VALUE"""),"Available")</f>
        <v>Available</v>
      </c>
      <c r="Q101" s="5" t="s">
        <v>135</v>
      </c>
      <c r="R101" s="5" t="s">
        <v>136</v>
      </c>
      <c r="S101" s="11">
        <v>1475.0</v>
      </c>
    </row>
    <row r="102">
      <c r="A102"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02" s="5" t="str">
        <f>IFERROR(__xludf.DUMMYFUNCTION("""COMPUTED_VALUE"""),"Elite Laboratories, Inc.")</f>
        <v>Elite Laboratories, Inc.</v>
      </c>
      <c r="C102" s="5" t="str">
        <f>IFERROR(__xludf.DUMMYFUNCTION("""COMPUTED_VALUE"""),"Amphetamine Aspartate Monohydrate, Amphetamine Sulfate, Dextroamphetamine Saccharate, Dextroamphetamine Sulfate, Tablet, 7.5 mg; 7.5 mg; 7.5 mg; 7.5 mg (NDC 64850-506-01)")</f>
        <v>Amphetamine Aspartate Monohydrate, Amphetamine Sulfate, Dextroamphetamine Saccharate, Dextroamphetamine Sulfate, Tablet, 7.5 mg; 7.5 mg; 7.5 mg; 7.5 mg (NDC 64850-506-01)</v>
      </c>
      <c r="D102" s="5" t="str">
        <f>IFERROR(__xludf.DUMMYFUNCTION("""COMPUTED_VALUE"""),"Reverified")</f>
        <v>Reverified</v>
      </c>
      <c r="E102" s="13">
        <f>IFERROR(__xludf.DUMMYFUNCTION("""COMPUTED_VALUE"""),46310.0)</f>
        <v>46310</v>
      </c>
      <c r="F102" s="5" t="str">
        <f>IFERROR(__xludf.DUMMYFUNCTION("""COMPUTED_VALUE"""),"Available")</f>
        <v>Available</v>
      </c>
      <c r="G102" s="5"/>
      <c r="H102" s="5"/>
      <c r="I102" s="5"/>
      <c r="J102" s="5" t="str">
        <f>IFERROR(__xludf.DUMMYFUNCTION("""COMPUTED_VALUE"""),"Psychiatry")</f>
        <v>Psychiatry</v>
      </c>
      <c r="K102" s="5" t="str">
        <f>IFERROR(__xludf.DUMMYFUNCTION("""COMPUTED_VALUE"""),"Current")</f>
        <v>Current</v>
      </c>
      <c r="L102" s="5"/>
      <c r="M102" s="5"/>
      <c r="N102" s="10">
        <f>IFERROR(__xludf.DUMMYFUNCTION("""COMPUTED_VALUE"""),45153.0)</f>
        <v>45153</v>
      </c>
      <c r="O102" s="5">
        <v>2023.0</v>
      </c>
      <c r="P102" s="5" t="str">
        <f>IFERROR(__xludf.DUMMYFUNCTION("""COMPUTED_VALUE"""),"Available")</f>
        <v>Available</v>
      </c>
      <c r="Q102" s="5" t="s">
        <v>135</v>
      </c>
      <c r="R102" s="5" t="s">
        <v>136</v>
      </c>
      <c r="S102" s="11">
        <v>1168.0</v>
      </c>
    </row>
    <row r="103">
      <c r="A103"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03" s="5" t="str">
        <f>IFERROR(__xludf.DUMMYFUNCTION("""COMPUTED_VALUE"""),"Aurobindo Pharma USA")</f>
        <v>Aurobindo Pharma USA</v>
      </c>
      <c r="C103" s="5" t="str">
        <f>IFERROR(__xludf.DUMMYFUNCTION("""COMPUTED_VALUE"""),"Amphetamine Aspartate Monohydrate, Amphetamine Sulfate, Dextroamphetamine Saccharate, Dextroamphetamine Sulfate, Tablet, 1.25 mg; 1.25 mg; 1.25 mg; 1.25 mg (NDC 13107-068-01)")</f>
        <v>Amphetamine Aspartate Monohydrate, Amphetamine Sulfate, Dextroamphetamine Saccharate, Dextroamphetamine Sulfate, Tablet, 1.25 mg; 1.25 mg; 1.25 mg; 1.25 mg (NDC 13107-068-01)</v>
      </c>
      <c r="D103" s="5" t="str">
        <f>IFERROR(__xludf.DUMMYFUNCTION("""COMPUTED_VALUE"""),"Revised")</f>
        <v>Revised</v>
      </c>
      <c r="E103" s="10">
        <f>IFERROR(__xludf.DUMMYFUNCTION("""COMPUTED_VALUE"""),46297.0)</f>
        <v>46297</v>
      </c>
      <c r="F103" s="5" t="str">
        <f>IFERROR(__xludf.DUMMYFUNCTION("""COMPUTED_VALUE"""),"Unavailable")</f>
        <v>Unavailable</v>
      </c>
      <c r="G103" s="5" t="str">
        <f>IFERROR(__xludf.DUMMYFUNCTION("""COMPUTED_VALUE"""),"Estimated availability: April 2027")</f>
        <v>Estimated availability: April 2027</v>
      </c>
      <c r="H103" s="5"/>
      <c r="I103" s="5" t="str">
        <f>IFERROR(__xludf.DUMMYFUNCTION("""COMPUTED_VALUE"""),"Shortage of an active ingredient")</f>
        <v>Shortage of an active ingredient</v>
      </c>
      <c r="J103" s="5" t="str">
        <f>IFERROR(__xludf.DUMMYFUNCTION("""COMPUTED_VALUE"""),"Psychiatry")</f>
        <v>Psychiatry</v>
      </c>
      <c r="K103" s="5" t="str">
        <f>IFERROR(__xludf.DUMMYFUNCTION("""COMPUTED_VALUE"""),"Current")</f>
        <v>Current</v>
      </c>
      <c r="L103" s="5"/>
      <c r="M103" s="5"/>
      <c r="N103" s="13">
        <f>IFERROR(__xludf.DUMMYFUNCTION("""COMPUTED_VALUE"""),44846.0)</f>
        <v>44846</v>
      </c>
      <c r="O103" s="5">
        <v>2022.0</v>
      </c>
      <c r="P103" s="5" t="str">
        <f>IFERROR(__xludf.DUMMYFUNCTION("""COMPUTED_VALUE"""),"Unavailable")</f>
        <v>Unavailable</v>
      </c>
      <c r="Q103" s="5" t="s">
        <v>122</v>
      </c>
      <c r="R103" s="5" t="s">
        <v>136</v>
      </c>
      <c r="S103" s="11">
        <v>1475.0</v>
      </c>
    </row>
    <row r="104">
      <c r="A104"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04" s="5" t="str">
        <f>IFERROR(__xludf.DUMMYFUNCTION("""COMPUTED_VALUE"""),"Aurobindo Pharma USA")</f>
        <v>Aurobindo Pharma USA</v>
      </c>
      <c r="C104" s="5" t="str">
        <f>IFERROR(__xludf.DUMMYFUNCTION("""COMPUTED_VALUE"""),"Amphetamine Aspartate Monohydrate, Amphetamine Sulfate, Dextroamphetamine Saccharate, Dextroamphetamine Sulfate, Tablet, 1.875 mg; 1.875 mg; 1.875 mg; 1.875 mg (NDC 13107-069-01)")</f>
        <v>Amphetamine Aspartate Monohydrate, Amphetamine Sulfate, Dextroamphetamine Saccharate, Dextroamphetamine Sulfate, Tablet, 1.875 mg; 1.875 mg; 1.875 mg; 1.875 mg (NDC 13107-069-01)</v>
      </c>
      <c r="D104" s="5" t="str">
        <f>IFERROR(__xludf.DUMMYFUNCTION("""COMPUTED_VALUE"""),"Revised")</f>
        <v>Revised</v>
      </c>
      <c r="E104" s="10">
        <f>IFERROR(__xludf.DUMMYFUNCTION("""COMPUTED_VALUE"""),46297.0)</f>
        <v>46297</v>
      </c>
      <c r="F104" s="5" t="str">
        <f>IFERROR(__xludf.DUMMYFUNCTION("""COMPUTED_VALUE"""),"Unavailable")</f>
        <v>Unavailable</v>
      </c>
      <c r="G104" s="5" t="str">
        <f>IFERROR(__xludf.DUMMYFUNCTION("""COMPUTED_VALUE"""),"Estimated availability: April 2027")</f>
        <v>Estimated availability: April 2027</v>
      </c>
      <c r="H104" s="5"/>
      <c r="I104" s="5" t="str">
        <f>IFERROR(__xludf.DUMMYFUNCTION("""COMPUTED_VALUE"""),"Shortage of an active ingredient")</f>
        <v>Shortage of an active ingredient</v>
      </c>
      <c r="J104" s="5" t="str">
        <f>IFERROR(__xludf.DUMMYFUNCTION("""COMPUTED_VALUE"""),"Psychiatry")</f>
        <v>Psychiatry</v>
      </c>
      <c r="K104" s="5" t="str">
        <f>IFERROR(__xludf.DUMMYFUNCTION("""COMPUTED_VALUE"""),"Current")</f>
        <v>Current</v>
      </c>
      <c r="L104" s="5"/>
      <c r="M104" s="5"/>
      <c r="N104" s="13">
        <f>IFERROR(__xludf.DUMMYFUNCTION("""COMPUTED_VALUE"""),44846.0)</f>
        <v>44846</v>
      </c>
      <c r="O104" s="5">
        <v>2022.0</v>
      </c>
      <c r="P104" s="5" t="str">
        <f>IFERROR(__xludf.DUMMYFUNCTION("""COMPUTED_VALUE"""),"Unavailable")</f>
        <v>Unavailable</v>
      </c>
      <c r="Q104" s="5" t="s">
        <v>122</v>
      </c>
      <c r="R104" s="5" t="s">
        <v>136</v>
      </c>
      <c r="S104" s="11">
        <v>1475.0</v>
      </c>
    </row>
    <row r="105">
      <c r="A105"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05" s="5" t="str">
        <f>IFERROR(__xludf.DUMMYFUNCTION("""COMPUTED_VALUE"""),"Aurobindo Pharma USA")</f>
        <v>Aurobindo Pharma USA</v>
      </c>
      <c r="C105" s="5" t="str">
        <f>IFERROR(__xludf.DUMMYFUNCTION("""COMPUTED_VALUE"""),"Amphetamine Aspartate Monohydrate, Amphetamine Sulfate, Dextroamphetamine Saccharate, Dextroamphetamine Sulfate, Tablet, 2.5 mg; 2.5 mg; 2.5 mg; 2.5 mg (NDC 13107-070-01)")</f>
        <v>Amphetamine Aspartate Monohydrate, Amphetamine Sulfate, Dextroamphetamine Saccharate, Dextroamphetamine Sulfate, Tablet, 2.5 mg; 2.5 mg; 2.5 mg; 2.5 mg (NDC 13107-070-01)</v>
      </c>
      <c r="D105" s="5" t="str">
        <f>IFERROR(__xludf.DUMMYFUNCTION("""COMPUTED_VALUE"""),"Revised")</f>
        <v>Revised</v>
      </c>
      <c r="E105" s="10">
        <f>IFERROR(__xludf.DUMMYFUNCTION("""COMPUTED_VALUE"""),46297.0)</f>
        <v>46297</v>
      </c>
      <c r="F105" s="5" t="str">
        <f>IFERROR(__xludf.DUMMYFUNCTION("""COMPUTED_VALUE"""),"Unavailable")</f>
        <v>Unavailable</v>
      </c>
      <c r="G105" s="5" t="str">
        <f>IFERROR(__xludf.DUMMYFUNCTION("""COMPUTED_VALUE"""),"Estimated availability: April 2027")</f>
        <v>Estimated availability: April 2027</v>
      </c>
      <c r="H105" s="5"/>
      <c r="I105" s="5" t="str">
        <f>IFERROR(__xludf.DUMMYFUNCTION("""COMPUTED_VALUE"""),"Shortage of an active ingredient")</f>
        <v>Shortage of an active ingredient</v>
      </c>
      <c r="J105" s="5" t="str">
        <f>IFERROR(__xludf.DUMMYFUNCTION("""COMPUTED_VALUE"""),"Psychiatry")</f>
        <v>Psychiatry</v>
      </c>
      <c r="K105" s="5" t="str">
        <f>IFERROR(__xludf.DUMMYFUNCTION("""COMPUTED_VALUE"""),"Current")</f>
        <v>Current</v>
      </c>
      <c r="L105" s="5"/>
      <c r="M105" s="5"/>
      <c r="N105" s="13">
        <f>IFERROR(__xludf.DUMMYFUNCTION("""COMPUTED_VALUE"""),44846.0)</f>
        <v>44846</v>
      </c>
      <c r="O105" s="5">
        <v>2022.0</v>
      </c>
      <c r="P105" s="5" t="str">
        <f>IFERROR(__xludf.DUMMYFUNCTION("""COMPUTED_VALUE"""),"Unavailable")</f>
        <v>Unavailable</v>
      </c>
      <c r="Q105" s="5" t="s">
        <v>122</v>
      </c>
      <c r="R105" s="5" t="s">
        <v>136</v>
      </c>
      <c r="S105" s="11">
        <v>1475.0</v>
      </c>
    </row>
    <row r="106">
      <c r="A106"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06" s="5" t="str">
        <f>IFERROR(__xludf.DUMMYFUNCTION("""COMPUTED_VALUE"""),"Aurobindo Pharma USA")</f>
        <v>Aurobindo Pharma USA</v>
      </c>
      <c r="C106" s="5" t="str">
        <f>IFERROR(__xludf.DUMMYFUNCTION("""COMPUTED_VALUE"""),"Amphetamine Aspartate Monohydrate, Amphetamine Sulfate, Dextroamphetamine Saccharate, Dextroamphetamine Sulfate, Tablet, 3.75 mg; 3.75 mg; 3.75 mg; 3.75 mg (NDC 13107-072-01)")</f>
        <v>Amphetamine Aspartate Monohydrate, Amphetamine Sulfate, Dextroamphetamine Saccharate, Dextroamphetamine Sulfate, Tablet, 3.75 mg; 3.75 mg; 3.75 mg; 3.75 mg (NDC 13107-072-01)</v>
      </c>
      <c r="D106" s="5" t="str">
        <f>IFERROR(__xludf.DUMMYFUNCTION("""COMPUTED_VALUE"""),"Revised")</f>
        <v>Revised</v>
      </c>
      <c r="E106" s="10">
        <f>IFERROR(__xludf.DUMMYFUNCTION("""COMPUTED_VALUE"""),46297.0)</f>
        <v>46297</v>
      </c>
      <c r="F106" s="5" t="str">
        <f>IFERROR(__xludf.DUMMYFUNCTION("""COMPUTED_VALUE"""),"Unavailable")</f>
        <v>Unavailable</v>
      </c>
      <c r="G106" s="5" t="str">
        <f>IFERROR(__xludf.DUMMYFUNCTION("""COMPUTED_VALUE"""),"Estimated availability: April 2027")</f>
        <v>Estimated availability: April 2027</v>
      </c>
      <c r="H106" s="5"/>
      <c r="I106" s="5" t="str">
        <f>IFERROR(__xludf.DUMMYFUNCTION("""COMPUTED_VALUE"""),"Shortage of an active ingredient")</f>
        <v>Shortage of an active ingredient</v>
      </c>
      <c r="J106" s="5" t="str">
        <f>IFERROR(__xludf.DUMMYFUNCTION("""COMPUTED_VALUE"""),"Psychiatry")</f>
        <v>Psychiatry</v>
      </c>
      <c r="K106" s="5" t="str">
        <f>IFERROR(__xludf.DUMMYFUNCTION("""COMPUTED_VALUE"""),"Current")</f>
        <v>Current</v>
      </c>
      <c r="L106" s="5"/>
      <c r="M106" s="5"/>
      <c r="N106" s="13">
        <f>IFERROR(__xludf.DUMMYFUNCTION("""COMPUTED_VALUE"""),44846.0)</f>
        <v>44846</v>
      </c>
      <c r="O106" s="5">
        <v>2022.0</v>
      </c>
      <c r="P106" s="5" t="str">
        <f>IFERROR(__xludf.DUMMYFUNCTION("""COMPUTED_VALUE"""),"Unavailable")</f>
        <v>Unavailable</v>
      </c>
      <c r="Q106" s="5" t="s">
        <v>122</v>
      </c>
      <c r="R106" s="5" t="s">
        <v>136</v>
      </c>
      <c r="S106" s="11">
        <v>1475.0</v>
      </c>
    </row>
    <row r="107">
      <c r="A107"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07" s="5" t="str">
        <f>IFERROR(__xludf.DUMMYFUNCTION("""COMPUTED_VALUE"""),"Aurobindo Pharma USA")</f>
        <v>Aurobindo Pharma USA</v>
      </c>
      <c r="C107" s="5" t="str">
        <f>IFERROR(__xludf.DUMMYFUNCTION("""COMPUTED_VALUE"""),"Amphetamine Aspartate Monohydrate, Amphetamine Sulfate, Dextroamphetamine Saccharate, Dextroamphetamine Sulfate, Tablet, 5 mg; 5 mg; 5 mg; 5 mg (NDC 13107-073-01)")</f>
        <v>Amphetamine Aspartate Monohydrate, Amphetamine Sulfate, Dextroamphetamine Saccharate, Dextroamphetamine Sulfate, Tablet, 5 mg; 5 mg; 5 mg; 5 mg (NDC 13107-073-01)</v>
      </c>
      <c r="D107" s="5" t="str">
        <f>IFERROR(__xludf.DUMMYFUNCTION("""COMPUTED_VALUE"""),"Revised")</f>
        <v>Revised</v>
      </c>
      <c r="E107" s="10">
        <f>IFERROR(__xludf.DUMMYFUNCTION("""COMPUTED_VALUE"""),46297.0)</f>
        <v>46297</v>
      </c>
      <c r="F107" s="5" t="str">
        <f>IFERROR(__xludf.DUMMYFUNCTION("""COMPUTED_VALUE"""),"Unavailable")</f>
        <v>Unavailable</v>
      </c>
      <c r="G107" s="5" t="str">
        <f>IFERROR(__xludf.DUMMYFUNCTION("""COMPUTED_VALUE"""),"Estimated availability: April 2027")</f>
        <v>Estimated availability: April 2027</v>
      </c>
      <c r="H107" s="5"/>
      <c r="I107" s="5" t="str">
        <f>IFERROR(__xludf.DUMMYFUNCTION("""COMPUTED_VALUE"""),"Shortage of an active ingredient")</f>
        <v>Shortage of an active ingredient</v>
      </c>
      <c r="J107" s="5" t="str">
        <f>IFERROR(__xludf.DUMMYFUNCTION("""COMPUTED_VALUE"""),"Psychiatry")</f>
        <v>Psychiatry</v>
      </c>
      <c r="K107" s="5" t="str">
        <f>IFERROR(__xludf.DUMMYFUNCTION("""COMPUTED_VALUE"""),"Current")</f>
        <v>Current</v>
      </c>
      <c r="L107" s="5"/>
      <c r="M107" s="5"/>
      <c r="N107" s="13">
        <f>IFERROR(__xludf.DUMMYFUNCTION("""COMPUTED_VALUE"""),44846.0)</f>
        <v>44846</v>
      </c>
      <c r="O107" s="5">
        <v>2022.0</v>
      </c>
      <c r="P107" s="5" t="str">
        <f>IFERROR(__xludf.DUMMYFUNCTION("""COMPUTED_VALUE"""),"Unavailable")</f>
        <v>Unavailable</v>
      </c>
      <c r="Q107" s="5" t="s">
        <v>122</v>
      </c>
      <c r="R107" s="5" t="s">
        <v>136</v>
      </c>
      <c r="S107" s="11">
        <v>1475.0</v>
      </c>
    </row>
    <row r="108">
      <c r="A108"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08" s="5" t="str">
        <f>IFERROR(__xludf.DUMMYFUNCTION("""COMPUTED_VALUE"""),"Aurobindo Pharma USA")</f>
        <v>Aurobindo Pharma USA</v>
      </c>
      <c r="C108" s="5" t="str">
        <f>IFERROR(__xludf.DUMMYFUNCTION("""COMPUTED_VALUE"""),"Amphetamine Aspartate Monohydrate, Amphetamine Sulfate, Dextroamphetamine Saccharate, Dextroamphetamine Sulfate, Tablet, 7.5 mg; 7.5 mg; 7.5 mg; 7.5 mg (NDC 13107-074-01)")</f>
        <v>Amphetamine Aspartate Monohydrate, Amphetamine Sulfate, Dextroamphetamine Saccharate, Dextroamphetamine Sulfate, Tablet, 7.5 mg; 7.5 mg; 7.5 mg; 7.5 mg (NDC 13107-074-01)</v>
      </c>
      <c r="D108" s="5" t="str">
        <f>IFERROR(__xludf.DUMMYFUNCTION("""COMPUTED_VALUE"""),"Revised")</f>
        <v>Revised</v>
      </c>
      <c r="E108" s="10">
        <f>IFERROR(__xludf.DUMMYFUNCTION("""COMPUTED_VALUE"""),46297.0)</f>
        <v>46297</v>
      </c>
      <c r="F108" s="5" t="str">
        <f>IFERROR(__xludf.DUMMYFUNCTION("""COMPUTED_VALUE"""),"Unavailable")</f>
        <v>Unavailable</v>
      </c>
      <c r="G108" s="5" t="str">
        <f>IFERROR(__xludf.DUMMYFUNCTION("""COMPUTED_VALUE"""),"Estimated availability: April 2027")</f>
        <v>Estimated availability: April 2027</v>
      </c>
      <c r="H108" s="5"/>
      <c r="I108" s="5" t="str">
        <f>IFERROR(__xludf.DUMMYFUNCTION("""COMPUTED_VALUE"""),"Shortage of an active ingredient")</f>
        <v>Shortage of an active ingredient</v>
      </c>
      <c r="J108" s="5" t="str">
        <f>IFERROR(__xludf.DUMMYFUNCTION("""COMPUTED_VALUE"""),"Psychiatry")</f>
        <v>Psychiatry</v>
      </c>
      <c r="K108" s="5" t="str">
        <f>IFERROR(__xludf.DUMMYFUNCTION("""COMPUTED_VALUE"""),"Current")</f>
        <v>Current</v>
      </c>
      <c r="L108" s="5"/>
      <c r="M108" s="5"/>
      <c r="N108" s="13">
        <f>IFERROR(__xludf.DUMMYFUNCTION("""COMPUTED_VALUE"""),44846.0)</f>
        <v>44846</v>
      </c>
      <c r="O108" s="5">
        <v>2022.0</v>
      </c>
      <c r="P108" s="5" t="str">
        <f>IFERROR(__xludf.DUMMYFUNCTION("""COMPUTED_VALUE"""),"Unavailable")</f>
        <v>Unavailable</v>
      </c>
      <c r="Q108" s="5" t="s">
        <v>122</v>
      </c>
      <c r="R108" s="5" t="s">
        <v>136</v>
      </c>
      <c r="S108" s="11">
        <v>1475.0</v>
      </c>
    </row>
    <row r="109">
      <c r="A109"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09" s="5" t="str">
        <f>IFERROR(__xludf.DUMMYFUNCTION("""COMPUTED_VALUE"""),"Granules Pharmaceuticals Inc.")</f>
        <v>Granules Pharmaceuticals Inc.</v>
      </c>
      <c r="C109" s="5" t="str">
        <f>IFERROR(__xludf.DUMMYFUNCTION("""COMPUTED_VALUE"""),"Amphetamine Aspartate Monohydrate, Amphetamine Sulfate, Dextroamphetamine Saccharate, Dextroamphetamine Sulfate, Tablet, 1.25 mg; 1.25 mg; 1.25 mg; 1.25 mg (NDC 70010-111-01)")</f>
        <v>Amphetamine Aspartate Monohydrate, Amphetamine Sulfate, Dextroamphetamine Saccharate, Dextroamphetamine Sulfate, Tablet, 1.25 mg; 1.25 mg; 1.25 mg; 1.25 mg (NDC 70010-111-01)</v>
      </c>
      <c r="D109" s="5" t="str">
        <f>IFERROR(__xludf.DUMMYFUNCTION("""COMPUTED_VALUE"""),"Reverified")</f>
        <v>Reverified</v>
      </c>
      <c r="E109" s="13">
        <f>IFERROR(__xludf.DUMMYFUNCTION("""COMPUTED_VALUE"""),46308.0)</f>
        <v>46308</v>
      </c>
      <c r="F109" s="5" t="str">
        <f>IFERROR(__xludf.DUMMYFUNCTION("""COMPUTED_VALUE"""),"Unavailable")</f>
        <v>Unavailable</v>
      </c>
      <c r="G109" s="5" t="str">
        <f>IFERROR(__xludf.DUMMYFUNCTION("""COMPUTED_VALUE"""),"Estimated recovery: October 2026")</f>
        <v>Estimated recovery: October 2026</v>
      </c>
      <c r="H109" s="5"/>
      <c r="I109" s="5" t="str">
        <f>IFERROR(__xludf.DUMMYFUNCTION("""COMPUTED_VALUE"""),"Shortage of an active ingredient")</f>
        <v>Shortage of an active ingredient</v>
      </c>
      <c r="J109" s="5" t="str">
        <f>IFERROR(__xludf.DUMMYFUNCTION("""COMPUTED_VALUE"""),"Psychiatry")</f>
        <v>Psychiatry</v>
      </c>
      <c r="K109" s="5" t="str">
        <f>IFERROR(__xludf.DUMMYFUNCTION("""COMPUTED_VALUE"""),"Current")</f>
        <v>Current</v>
      </c>
      <c r="L109" s="5"/>
      <c r="M109" s="5"/>
      <c r="N109" s="13">
        <f>IFERROR(__xludf.DUMMYFUNCTION("""COMPUTED_VALUE"""),44846.0)</f>
        <v>44846</v>
      </c>
      <c r="O109" s="5">
        <v>2022.0</v>
      </c>
      <c r="P109" s="5" t="str">
        <f>IFERROR(__xludf.DUMMYFUNCTION("""COMPUTED_VALUE"""),"Unavailable")</f>
        <v>Unavailable</v>
      </c>
      <c r="Q109" s="5" t="s">
        <v>122</v>
      </c>
      <c r="R109" s="5" t="s">
        <v>136</v>
      </c>
      <c r="S109" s="11">
        <v>1475.0</v>
      </c>
    </row>
    <row r="110">
      <c r="A110"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10" s="5" t="str">
        <f>IFERROR(__xludf.DUMMYFUNCTION("""COMPUTED_VALUE"""),"Granules Pharmaceuticals Inc.")</f>
        <v>Granules Pharmaceuticals Inc.</v>
      </c>
      <c r="C110" s="5" t="str">
        <f>IFERROR(__xludf.DUMMYFUNCTION("""COMPUTED_VALUE"""),"Amphetamine Aspartate Monohydrate, Amphetamine Sulfate, Dextroamphetamine Saccharate, Dextroamphetamine Sulfate, Tablet, 1.875 mg; 1.875 mg; 1.875 mg; 1.875 mg (NDC 70010-112-01)")</f>
        <v>Amphetamine Aspartate Monohydrate, Amphetamine Sulfate, Dextroamphetamine Saccharate, Dextroamphetamine Sulfate, Tablet, 1.875 mg; 1.875 mg; 1.875 mg; 1.875 mg (NDC 70010-112-01)</v>
      </c>
      <c r="D110" s="5" t="str">
        <f>IFERROR(__xludf.DUMMYFUNCTION("""COMPUTED_VALUE"""),"Reverified")</f>
        <v>Reverified</v>
      </c>
      <c r="E110" s="13">
        <f>IFERROR(__xludf.DUMMYFUNCTION("""COMPUTED_VALUE"""),46308.0)</f>
        <v>46308</v>
      </c>
      <c r="F110" s="5" t="str">
        <f>IFERROR(__xludf.DUMMYFUNCTION("""COMPUTED_VALUE"""),"Unavailable")</f>
        <v>Unavailable</v>
      </c>
      <c r="G110" s="5" t="str">
        <f>IFERROR(__xludf.DUMMYFUNCTION("""COMPUTED_VALUE"""),"Estimated recovery: October 2026")</f>
        <v>Estimated recovery: October 2026</v>
      </c>
      <c r="H110" s="5"/>
      <c r="I110" s="5" t="str">
        <f>IFERROR(__xludf.DUMMYFUNCTION("""COMPUTED_VALUE"""),"Shortage of an active ingredient")</f>
        <v>Shortage of an active ingredient</v>
      </c>
      <c r="J110" s="5" t="str">
        <f>IFERROR(__xludf.DUMMYFUNCTION("""COMPUTED_VALUE"""),"Psychiatry")</f>
        <v>Psychiatry</v>
      </c>
      <c r="K110" s="5" t="str">
        <f>IFERROR(__xludf.DUMMYFUNCTION("""COMPUTED_VALUE"""),"Current")</f>
        <v>Current</v>
      </c>
      <c r="L110" s="5"/>
      <c r="M110" s="5"/>
      <c r="N110" s="13">
        <f>IFERROR(__xludf.DUMMYFUNCTION("""COMPUTED_VALUE"""),44846.0)</f>
        <v>44846</v>
      </c>
      <c r="O110" s="5">
        <v>2022.0</v>
      </c>
      <c r="P110" s="5" t="str">
        <f>IFERROR(__xludf.DUMMYFUNCTION("""COMPUTED_VALUE"""),"Unavailable")</f>
        <v>Unavailable</v>
      </c>
      <c r="Q110" s="5" t="s">
        <v>122</v>
      </c>
      <c r="R110" s="5" t="s">
        <v>136</v>
      </c>
      <c r="S110" s="11">
        <v>1475.0</v>
      </c>
    </row>
    <row r="111">
      <c r="A111"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11" s="5" t="str">
        <f>IFERROR(__xludf.DUMMYFUNCTION("""COMPUTED_VALUE"""),"Granules Pharmaceuticals Inc.")</f>
        <v>Granules Pharmaceuticals Inc.</v>
      </c>
      <c r="C111" s="5" t="str">
        <f>IFERROR(__xludf.DUMMYFUNCTION("""COMPUTED_VALUE"""),"Amphetamine Aspartate Monohydrate, Amphetamine Sulfate, Dextroamphetamine Saccharate, Dextroamphetamine Sulfate, Tablet, 2.5 mg; 2.5 mg; 2.5 mg; 2.5 mg (NDC 70010-113-01)")</f>
        <v>Amphetamine Aspartate Monohydrate, Amphetamine Sulfate, Dextroamphetamine Saccharate, Dextroamphetamine Sulfate, Tablet, 2.5 mg; 2.5 mg; 2.5 mg; 2.5 mg (NDC 70010-113-01)</v>
      </c>
      <c r="D111" s="5" t="str">
        <f>IFERROR(__xludf.DUMMYFUNCTION("""COMPUTED_VALUE"""),"Reverified")</f>
        <v>Reverified</v>
      </c>
      <c r="E111" s="13">
        <f>IFERROR(__xludf.DUMMYFUNCTION("""COMPUTED_VALUE"""),46308.0)</f>
        <v>46308</v>
      </c>
      <c r="F111" s="5" t="str">
        <f>IFERROR(__xludf.DUMMYFUNCTION("""COMPUTED_VALUE"""),"Unavailable")</f>
        <v>Unavailable</v>
      </c>
      <c r="G111" s="5" t="str">
        <f>IFERROR(__xludf.DUMMYFUNCTION("""COMPUTED_VALUE"""),"Estimated recovery: October 2026")</f>
        <v>Estimated recovery: October 2026</v>
      </c>
      <c r="H111" s="5"/>
      <c r="I111" s="5" t="str">
        <f>IFERROR(__xludf.DUMMYFUNCTION("""COMPUTED_VALUE"""),"Shortage of an active ingredient")</f>
        <v>Shortage of an active ingredient</v>
      </c>
      <c r="J111" s="5" t="str">
        <f>IFERROR(__xludf.DUMMYFUNCTION("""COMPUTED_VALUE"""),"Psychiatry")</f>
        <v>Psychiatry</v>
      </c>
      <c r="K111" s="5" t="str">
        <f>IFERROR(__xludf.DUMMYFUNCTION("""COMPUTED_VALUE"""),"Current")</f>
        <v>Current</v>
      </c>
      <c r="L111" s="5"/>
      <c r="M111" s="5"/>
      <c r="N111" s="13">
        <f>IFERROR(__xludf.DUMMYFUNCTION("""COMPUTED_VALUE"""),44846.0)</f>
        <v>44846</v>
      </c>
      <c r="O111" s="5">
        <v>2022.0</v>
      </c>
      <c r="P111" s="5" t="str">
        <f>IFERROR(__xludf.DUMMYFUNCTION("""COMPUTED_VALUE"""),"Unavailable")</f>
        <v>Unavailable</v>
      </c>
      <c r="Q111" s="5" t="s">
        <v>122</v>
      </c>
      <c r="R111" s="5" t="s">
        <v>136</v>
      </c>
      <c r="S111" s="11">
        <v>1475.0</v>
      </c>
    </row>
    <row r="112">
      <c r="A112"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12" s="5" t="str">
        <f>IFERROR(__xludf.DUMMYFUNCTION("""COMPUTED_VALUE"""),"Granules Pharmaceuticals Inc.")</f>
        <v>Granules Pharmaceuticals Inc.</v>
      </c>
      <c r="C112" s="5" t="str">
        <f>IFERROR(__xludf.DUMMYFUNCTION("""COMPUTED_VALUE"""),"Amphetamine Aspartate Monohydrate, Amphetamine Sulfate, Dextroamphetamine Saccharate, Dextroamphetamine Sulfate, Tablet, 3.125 mg; 3.125 mg; 3.125 mg; 3.125 mg (NDC 70010-114-01)")</f>
        <v>Amphetamine Aspartate Monohydrate, Amphetamine Sulfate, Dextroamphetamine Saccharate, Dextroamphetamine Sulfate, Tablet, 3.125 mg; 3.125 mg; 3.125 mg; 3.125 mg (NDC 70010-114-01)</v>
      </c>
      <c r="D112" s="5" t="str">
        <f>IFERROR(__xludf.DUMMYFUNCTION("""COMPUTED_VALUE"""),"Reverified")</f>
        <v>Reverified</v>
      </c>
      <c r="E112" s="13">
        <f>IFERROR(__xludf.DUMMYFUNCTION("""COMPUTED_VALUE"""),46308.0)</f>
        <v>46308</v>
      </c>
      <c r="F112" s="5" t="str">
        <f>IFERROR(__xludf.DUMMYFUNCTION("""COMPUTED_VALUE"""),"Unavailable")</f>
        <v>Unavailable</v>
      </c>
      <c r="G112" s="5" t="str">
        <f>IFERROR(__xludf.DUMMYFUNCTION("""COMPUTED_VALUE"""),"Estimated recovery: October 2026")</f>
        <v>Estimated recovery: October 2026</v>
      </c>
      <c r="H112" s="5"/>
      <c r="I112" s="5" t="str">
        <f>IFERROR(__xludf.DUMMYFUNCTION("""COMPUTED_VALUE"""),"Shortage of an active ingredient")</f>
        <v>Shortage of an active ingredient</v>
      </c>
      <c r="J112" s="5" t="str">
        <f>IFERROR(__xludf.DUMMYFUNCTION("""COMPUTED_VALUE"""),"Psychiatry")</f>
        <v>Psychiatry</v>
      </c>
      <c r="K112" s="5" t="str">
        <f>IFERROR(__xludf.DUMMYFUNCTION("""COMPUTED_VALUE"""),"Current")</f>
        <v>Current</v>
      </c>
      <c r="L112" s="5"/>
      <c r="M112" s="5"/>
      <c r="N112" s="13">
        <f>IFERROR(__xludf.DUMMYFUNCTION("""COMPUTED_VALUE"""),44846.0)</f>
        <v>44846</v>
      </c>
      <c r="O112" s="5">
        <v>2022.0</v>
      </c>
      <c r="P112" s="5" t="str">
        <f>IFERROR(__xludf.DUMMYFUNCTION("""COMPUTED_VALUE"""),"Unavailable")</f>
        <v>Unavailable</v>
      </c>
      <c r="Q112" s="5" t="s">
        <v>122</v>
      </c>
      <c r="R112" s="5" t="s">
        <v>136</v>
      </c>
      <c r="S112" s="11">
        <v>1475.0</v>
      </c>
    </row>
    <row r="113">
      <c r="A113"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13" s="5" t="str">
        <f>IFERROR(__xludf.DUMMYFUNCTION("""COMPUTED_VALUE"""),"Granules Pharmaceuticals Inc.")</f>
        <v>Granules Pharmaceuticals Inc.</v>
      </c>
      <c r="C113" s="5" t="str">
        <f>IFERROR(__xludf.DUMMYFUNCTION("""COMPUTED_VALUE"""),"Amphetamine Aspartate Monohydrate, Amphetamine Sulfate, Dextroamphetamine Saccharate, Dextroamphetamine Sulfate, Tablet, 3.75 mg; 3.75 mg; 3.75 mg; 3.75 mg (NDC 70010-115-01)")</f>
        <v>Amphetamine Aspartate Monohydrate, Amphetamine Sulfate, Dextroamphetamine Saccharate, Dextroamphetamine Sulfate, Tablet, 3.75 mg; 3.75 mg; 3.75 mg; 3.75 mg (NDC 70010-115-01)</v>
      </c>
      <c r="D113" s="5" t="str">
        <f>IFERROR(__xludf.DUMMYFUNCTION("""COMPUTED_VALUE"""),"Reverified")</f>
        <v>Reverified</v>
      </c>
      <c r="E113" s="13">
        <f>IFERROR(__xludf.DUMMYFUNCTION("""COMPUTED_VALUE"""),46308.0)</f>
        <v>46308</v>
      </c>
      <c r="F113" s="5" t="str">
        <f>IFERROR(__xludf.DUMMYFUNCTION("""COMPUTED_VALUE"""),"Unavailable")</f>
        <v>Unavailable</v>
      </c>
      <c r="G113" s="5" t="str">
        <f>IFERROR(__xludf.DUMMYFUNCTION("""COMPUTED_VALUE"""),"Estimated recovery: October 2026")</f>
        <v>Estimated recovery: October 2026</v>
      </c>
      <c r="H113" s="5"/>
      <c r="I113" s="5" t="str">
        <f>IFERROR(__xludf.DUMMYFUNCTION("""COMPUTED_VALUE"""),"Shortage of an active ingredient")</f>
        <v>Shortage of an active ingredient</v>
      </c>
      <c r="J113" s="5" t="str">
        <f>IFERROR(__xludf.DUMMYFUNCTION("""COMPUTED_VALUE"""),"Psychiatry")</f>
        <v>Psychiatry</v>
      </c>
      <c r="K113" s="5" t="str">
        <f>IFERROR(__xludf.DUMMYFUNCTION("""COMPUTED_VALUE"""),"Current")</f>
        <v>Current</v>
      </c>
      <c r="L113" s="5"/>
      <c r="M113" s="5"/>
      <c r="N113" s="13">
        <f>IFERROR(__xludf.DUMMYFUNCTION("""COMPUTED_VALUE"""),44846.0)</f>
        <v>44846</v>
      </c>
      <c r="O113" s="5">
        <v>2022.0</v>
      </c>
      <c r="P113" s="5" t="str">
        <f>IFERROR(__xludf.DUMMYFUNCTION("""COMPUTED_VALUE"""),"Unavailable")</f>
        <v>Unavailable</v>
      </c>
      <c r="Q113" s="5" t="s">
        <v>122</v>
      </c>
      <c r="R113" s="5" t="s">
        <v>136</v>
      </c>
      <c r="S113" s="11">
        <v>1475.0</v>
      </c>
    </row>
    <row r="114">
      <c r="A114"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14" s="5" t="str">
        <f>IFERROR(__xludf.DUMMYFUNCTION("""COMPUTED_VALUE"""),"Granules Pharmaceuticals Inc.")</f>
        <v>Granules Pharmaceuticals Inc.</v>
      </c>
      <c r="C114" s="5" t="str">
        <f>IFERROR(__xludf.DUMMYFUNCTION("""COMPUTED_VALUE"""),"Amphetamine Aspartate Monohydrate, Amphetamine Sulfate, Dextroamphetamine Saccharate, Dextroamphetamine Sulfate, Tablet, 5 mg; 5 mg; 5 mg; 5 mg (NDC 70010-116-01)")</f>
        <v>Amphetamine Aspartate Monohydrate, Amphetamine Sulfate, Dextroamphetamine Saccharate, Dextroamphetamine Sulfate, Tablet, 5 mg; 5 mg; 5 mg; 5 mg (NDC 70010-116-01)</v>
      </c>
      <c r="D114" s="5" t="str">
        <f>IFERROR(__xludf.DUMMYFUNCTION("""COMPUTED_VALUE"""),"Reverified")</f>
        <v>Reverified</v>
      </c>
      <c r="E114" s="13">
        <f>IFERROR(__xludf.DUMMYFUNCTION("""COMPUTED_VALUE"""),46308.0)</f>
        <v>46308</v>
      </c>
      <c r="F114" s="5" t="str">
        <f>IFERROR(__xludf.DUMMYFUNCTION("""COMPUTED_VALUE"""),"Unavailable")</f>
        <v>Unavailable</v>
      </c>
      <c r="G114" s="5" t="str">
        <f>IFERROR(__xludf.DUMMYFUNCTION("""COMPUTED_VALUE"""),"Estimated recovery: October 2026")</f>
        <v>Estimated recovery: October 2026</v>
      </c>
      <c r="H114" s="5"/>
      <c r="I114" s="5" t="str">
        <f>IFERROR(__xludf.DUMMYFUNCTION("""COMPUTED_VALUE"""),"Shortage of an active ingredient")</f>
        <v>Shortage of an active ingredient</v>
      </c>
      <c r="J114" s="5" t="str">
        <f>IFERROR(__xludf.DUMMYFUNCTION("""COMPUTED_VALUE"""),"Psychiatry")</f>
        <v>Psychiatry</v>
      </c>
      <c r="K114" s="5" t="str">
        <f>IFERROR(__xludf.DUMMYFUNCTION("""COMPUTED_VALUE"""),"Current")</f>
        <v>Current</v>
      </c>
      <c r="L114" s="5"/>
      <c r="M114" s="5"/>
      <c r="N114" s="13">
        <f>IFERROR(__xludf.DUMMYFUNCTION("""COMPUTED_VALUE"""),44846.0)</f>
        <v>44846</v>
      </c>
      <c r="O114" s="5">
        <v>2022.0</v>
      </c>
      <c r="P114" s="5" t="str">
        <f>IFERROR(__xludf.DUMMYFUNCTION("""COMPUTED_VALUE"""),"Unavailable")</f>
        <v>Unavailable</v>
      </c>
      <c r="Q114" s="5" t="s">
        <v>122</v>
      </c>
      <c r="R114" s="5" t="s">
        <v>136</v>
      </c>
      <c r="S114" s="11">
        <v>1475.0</v>
      </c>
    </row>
    <row r="115">
      <c r="A115" s="5" t="str">
        <f>IFERROR(__xludf.DUMMYFUNCTION("""COMPUTED_VALUE"""),"Amphetamine Aspartate Monohydrate, Amphetamine Sulfate, Dextroamphetamine Saccharate, Dextroamphetamine Sulfate Tablet")</f>
        <v>Amphetamine Aspartate Monohydrate, Amphetamine Sulfate, Dextroamphetamine Saccharate, Dextroamphetamine Sulfate Tablet</v>
      </c>
      <c r="B115" s="5" t="str">
        <f>IFERROR(__xludf.DUMMYFUNCTION("""COMPUTED_VALUE"""),"Granules Pharmaceuticals Inc.")</f>
        <v>Granules Pharmaceuticals Inc.</v>
      </c>
      <c r="C115" s="5" t="str">
        <f>IFERROR(__xludf.DUMMYFUNCTION("""COMPUTED_VALUE"""),"Amphetamine Aspartate Monohydrate, Amphetamine Sulfate, Dextroamphetamine Saccharate, Dextroamphetamine Sulfate, Tablet, 7.5 mg; 7.5 mg; 7.5 mg; 7.5 mg (NDC 70010-117-01)")</f>
        <v>Amphetamine Aspartate Monohydrate, Amphetamine Sulfate, Dextroamphetamine Saccharate, Dextroamphetamine Sulfate, Tablet, 7.5 mg; 7.5 mg; 7.5 mg; 7.5 mg (NDC 70010-117-01)</v>
      </c>
      <c r="D115" s="5" t="str">
        <f>IFERROR(__xludf.DUMMYFUNCTION("""COMPUTED_VALUE"""),"Reverified")</f>
        <v>Reverified</v>
      </c>
      <c r="E115" s="13">
        <f>IFERROR(__xludf.DUMMYFUNCTION("""COMPUTED_VALUE"""),46308.0)</f>
        <v>46308</v>
      </c>
      <c r="F115" s="5" t="str">
        <f>IFERROR(__xludf.DUMMYFUNCTION("""COMPUTED_VALUE"""),"Unavailable")</f>
        <v>Unavailable</v>
      </c>
      <c r="G115" s="5" t="str">
        <f>IFERROR(__xludf.DUMMYFUNCTION("""COMPUTED_VALUE"""),"Estimated recovery: October 2026")</f>
        <v>Estimated recovery: October 2026</v>
      </c>
      <c r="H115" s="5"/>
      <c r="I115" s="5" t="str">
        <f>IFERROR(__xludf.DUMMYFUNCTION("""COMPUTED_VALUE"""),"Shortage of an active ingredient")</f>
        <v>Shortage of an active ingredient</v>
      </c>
      <c r="J115" s="5" t="str">
        <f>IFERROR(__xludf.DUMMYFUNCTION("""COMPUTED_VALUE"""),"Psychiatry")</f>
        <v>Psychiatry</v>
      </c>
      <c r="K115" s="5" t="str">
        <f>IFERROR(__xludf.DUMMYFUNCTION("""COMPUTED_VALUE"""),"Current")</f>
        <v>Current</v>
      </c>
      <c r="L115" s="5"/>
      <c r="M115" s="5"/>
      <c r="N115" s="13">
        <f>IFERROR(__xludf.DUMMYFUNCTION("""COMPUTED_VALUE"""),44846.0)</f>
        <v>44846</v>
      </c>
      <c r="O115" s="5">
        <v>2022.0</v>
      </c>
      <c r="P115" s="5" t="str">
        <f>IFERROR(__xludf.DUMMYFUNCTION("""COMPUTED_VALUE"""),"Unavailable")</f>
        <v>Unavailable</v>
      </c>
      <c r="Q115" s="5" t="s">
        <v>122</v>
      </c>
      <c r="R115" s="5" t="s">
        <v>136</v>
      </c>
      <c r="S115" s="11">
        <v>1475.0</v>
      </c>
    </row>
    <row r="116">
      <c r="A116" s="5" t="str">
        <f>IFERROR(__xludf.DUMMYFUNCTION("""COMPUTED_VALUE"""),"Ampicillin Sodium Injection")</f>
        <v>Ampicillin Sodium Injection</v>
      </c>
      <c r="B116" s="5" t="str">
        <f>IFERROR(__xludf.DUMMYFUNCTION("""COMPUTED_VALUE"""),"Sandoz Inc.")</f>
        <v>Sandoz Inc.</v>
      </c>
      <c r="C116" s="5" t="str">
        <f>IFERROR(__xludf.DUMMYFUNCTION("""COMPUTED_VALUE"""),"Ampicillin Sodium, Injection, 1 g (NDC 0781-9404-95)")</f>
        <v>Ampicillin Sodium, Injection, 1 g (NDC 0781-9404-95)</v>
      </c>
      <c r="D116" s="5" t="str">
        <f>IFERROR(__xludf.DUMMYFUNCTION("""COMPUTED_VALUE"""),"New")</f>
        <v>New</v>
      </c>
      <c r="E116" s="10">
        <f>IFERROR(__xludf.DUMMYFUNCTION("""COMPUTED_VALUE"""),45999.0)</f>
        <v>45999</v>
      </c>
      <c r="F116" s="5"/>
      <c r="G116" s="5" t="str">
        <f>IFERROR(__xludf.DUMMYFUNCTION("""COMPUTED_VALUE"""),"Discontinuation of private label only")</f>
        <v>Discontinuation of private label only</v>
      </c>
      <c r="H116" s="5"/>
      <c r="I116" s="5"/>
      <c r="J116" s="5" t="str">
        <f>IFERROR(__xludf.DUMMYFUNCTION("""COMPUTED_VALUE"""),"Anti-Infective")</f>
        <v>Anti-Infective</v>
      </c>
      <c r="K116" s="5" t="str">
        <f>IFERROR(__xludf.DUMMYFUNCTION("""COMPUTED_VALUE"""),"To Be Discontinued")</f>
        <v>To Be Discontinued</v>
      </c>
      <c r="L116" s="5"/>
      <c r="M116" s="10">
        <f>IFERROR(__xludf.DUMMYFUNCTION("""COMPUTED_VALUE"""),45999.0)</f>
        <v>45999</v>
      </c>
      <c r="N116" s="10">
        <f>IFERROR(__xludf.DUMMYFUNCTION("""COMPUTED_VALUE"""),45999.0)</f>
        <v>45999</v>
      </c>
      <c r="O116" s="5">
        <v>2025.0</v>
      </c>
      <c r="P116" s="5" t="str">
        <f>IFERROR(__xludf.DUMMYFUNCTION("""COMPUTED_VALUE"""),"Not stated")</f>
        <v>Not stated</v>
      </c>
      <c r="Q116" s="5" t="s">
        <v>135</v>
      </c>
      <c r="R116" s="5" t="s">
        <v>136</v>
      </c>
      <c r="S116" s="11">
        <v>322.0</v>
      </c>
    </row>
    <row r="117">
      <c r="A117" s="5" t="str">
        <f>IFERROR(__xludf.DUMMYFUNCTION("""COMPUTED_VALUE"""),"Ampicillin Sodium Injection")</f>
        <v>Ampicillin Sodium Injection</v>
      </c>
      <c r="B117" s="5" t="str">
        <f>IFERROR(__xludf.DUMMYFUNCTION("""COMPUTED_VALUE"""),"Sandoz Inc.")</f>
        <v>Sandoz Inc.</v>
      </c>
      <c r="C117" s="5" t="str">
        <f>IFERROR(__xludf.DUMMYFUNCTION("""COMPUTED_VALUE"""),"Ampicillin Sodium, Injection, 2 g (NDC 0781-9408-95)")</f>
        <v>Ampicillin Sodium, Injection, 2 g (NDC 0781-9408-95)</v>
      </c>
      <c r="D117" s="5" t="str">
        <f>IFERROR(__xludf.DUMMYFUNCTION("""COMPUTED_VALUE"""),"New")</f>
        <v>New</v>
      </c>
      <c r="E117" s="10">
        <f>IFERROR(__xludf.DUMMYFUNCTION("""COMPUTED_VALUE"""),45999.0)</f>
        <v>45999</v>
      </c>
      <c r="F117" s="5"/>
      <c r="G117" s="5" t="str">
        <f>IFERROR(__xludf.DUMMYFUNCTION("""COMPUTED_VALUE"""),"Discontinuation of private label only")</f>
        <v>Discontinuation of private label only</v>
      </c>
      <c r="H117" s="5"/>
      <c r="I117" s="5"/>
      <c r="J117" s="5" t="str">
        <f>IFERROR(__xludf.DUMMYFUNCTION("""COMPUTED_VALUE"""),"Anti-Infective")</f>
        <v>Anti-Infective</v>
      </c>
      <c r="K117" s="5" t="str">
        <f>IFERROR(__xludf.DUMMYFUNCTION("""COMPUTED_VALUE"""),"To Be Discontinued")</f>
        <v>To Be Discontinued</v>
      </c>
      <c r="L117" s="5"/>
      <c r="M117" s="10">
        <f>IFERROR(__xludf.DUMMYFUNCTION("""COMPUTED_VALUE"""),45999.0)</f>
        <v>45999</v>
      </c>
      <c r="N117" s="10">
        <f>IFERROR(__xludf.DUMMYFUNCTION("""COMPUTED_VALUE"""),45999.0)</f>
        <v>45999</v>
      </c>
      <c r="O117" s="5">
        <v>2025.0</v>
      </c>
      <c r="P117" s="5" t="str">
        <f>IFERROR(__xludf.DUMMYFUNCTION("""COMPUTED_VALUE"""),"Not stated")</f>
        <v>Not stated</v>
      </c>
      <c r="Q117" s="5" t="s">
        <v>135</v>
      </c>
      <c r="R117" s="5" t="s">
        <v>136</v>
      </c>
      <c r="S117" s="11">
        <v>322.0</v>
      </c>
    </row>
    <row r="118">
      <c r="A118" s="5" t="str">
        <f>IFERROR(__xludf.DUMMYFUNCTION("""COMPUTED_VALUE"""),"Ampicillin Sodium Injection")</f>
        <v>Ampicillin Sodium Injection</v>
      </c>
      <c r="B118" s="5" t="str">
        <f>IFERROR(__xludf.DUMMYFUNCTION("""COMPUTED_VALUE"""),"Sandoz Inc.")</f>
        <v>Sandoz Inc.</v>
      </c>
      <c r="C118" s="5" t="str">
        <f>IFERROR(__xludf.DUMMYFUNCTION("""COMPUTED_VALUE"""),"Ampicillin Sodium, Injection, 10 g (NDC 0781-9409-95)")</f>
        <v>Ampicillin Sodium, Injection, 10 g (NDC 0781-9409-95)</v>
      </c>
      <c r="D118" s="5" t="str">
        <f>IFERROR(__xludf.DUMMYFUNCTION("""COMPUTED_VALUE"""),"New")</f>
        <v>New</v>
      </c>
      <c r="E118" s="10">
        <f>IFERROR(__xludf.DUMMYFUNCTION("""COMPUTED_VALUE"""),45999.0)</f>
        <v>45999</v>
      </c>
      <c r="F118" s="5"/>
      <c r="G118" s="5" t="str">
        <f>IFERROR(__xludf.DUMMYFUNCTION("""COMPUTED_VALUE"""),"Discontinuation of private label only")</f>
        <v>Discontinuation of private label only</v>
      </c>
      <c r="H118" s="5"/>
      <c r="I118" s="5"/>
      <c r="J118" s="5" t="str">
        <f>IFERROR(__xludf.DUMMYFUNCTION("""COMPUTED_VALUE"""),"Anti-Infective")</f>
        <v>Anti-Infective</v>
      </c>
      <c r="K118" s="5" t="str">
        <f>IFERROR(__xludf.DUMMYFUNCTION("""COMPUTED_VALUE"""),"To Be Discontinued")</f>
        <v>To Be Discontinued</v>
      </c>
      <c r="L118" s="5"/>
      <c r="M118" s="10">
        <f>IFERROR(__xludf.DUMMYFUNCTION("""COMPUTED_VALUE"""),45999.0)</f>
        <v>45999</v>
      </c>
      <c r="N118" s="10">
        <f>IFERROR(__xludf.DUMMYFUNCTION("""COMPUTED_VALUE"""),45999.0)</f>
        <v>45999</v>
      </c>
      <c r="O118" s="5">
        <v>2025.0</v>
      </c>
      <c r="P118" s="5" t="str">
        <f>IFERROR(__xludf.DUMMYFUNCTION("""COMPUTED_VALUE"""),"Not stated")</f>
        <v>Not stated</v>
      </c>
      <c r="Q118" s="5" t="s">
        <v>135</v>
      </c>
      <c r="R118" s="5" t="s">
        <v>136</v>
      </c>
      <c r="S118" s="11">
        <v>322.0</v>
      </c>
    </row>
    <row r="119">
      <c r="A119" s="5" t="str">
        <f>IFERROR(__xludf.DUMMYFUNCTION("""COMPUTED_VALUE"""),"Ampicillin Sodium Injection")</f>
        <v>Ampicillin Sodium Injection</v>
      </c>
      <c r="B119" s="5" t="str">
        <f>IFERROR(__xludf.DUMMYFUNCTION("""COMPUTED_VALUE"""),"Sandoz Inc.")</f>
        <v>Sandoz Inc.</v>
      </c>
      <c r="C119" s="5" t="str">
        <f>IFERROR(__xludf.DUMMYFUNCTION("""COMPUTED_VALUE"""),"Ampicillin Sodium, Injection, 1 g (NDC 0781-9412-92)")</f>
        <v>Ampicillin Sodium, Injection, 1 g (NDC 0781-9412-92)</v>
      </c>
      <c r="D119" s="5" t="str">
        <f>IFERROR(__xludf.DUMMYFUNCTION("""COMPUTED_VALUE"""),"New")</f>
        <v>New</v>
      </c>
      <c r="E119" s="10">
        <f>IFERROR(__xludf.DUMMYFUNCTION("""COMPUTED_VALUE"""),45999.0)</f>
        <v>45999</v>
      </c>
      <c r="F119" s="5"/>
      <c r="G119" s="5" t="str">
        <f>IFERROR(__xludf.DUMMYFUNCTION("""COMPUTED_VALUE"""),"Discontinuation of private label only")</f>
        <v>Discontinuation of private label only</v>
      </c>
      <c r="H119" s="5"/>
      <c r="I119" s="5"/>
      <c r="J119" s="5" t="str">
        <f>IFERROR(__xludf.DUMMYFUNCTION("""COMPUTED_VALUE"""),"Anti-Infective")</f>
        <v>Anti-Infective</v>
      </c>
      <c r="K119" s="5" t="str">
        <f>IFERROR(__xludf.DUMMYFUNCTION("""COMPUTED_VALUE"""),"To Be Discontinued")</f>
        <v>To Be Discontinued</v>
      </c>
      <c r="L119" s="5"/>
      <c r="M119" s="10">
        <f>IFERROR(__xludf.DUMMYFUNCTION("""COMPUTED_VALUE"""),45999.0)</f>
        <v>45999</v>
      </c>
      <c r="N119" s="10">
        <f>IFERROR(__xludf.DUMMYFUNCTION("""COMPUTED_VALUE"""),45999.0)</f>
        <v>45999</v>
      </c>
      <c r="O119" s="5">
        <v>2025.0</v>
      </c>
      <c r="P119" s="5" t="str">
        <f>IFERROR(__xludf.DUMMYFUNCTION("""COMPUTED_VALUE"""),"Not stated")</f>
        <v>Not stated</v>
      </c>
      <c r="Q119" s="5" t="s">
        <v>135</v>
      </c>
      <c r="R119" s="5" t="s">
        <v>136</v>
      </c>
      <c r="S119" s="11">
        <v>322.0</v>
      </c>
    </row>
    <row r="120">
      <c r="A120" s="5" t="str">
        <f>IFERROR(__xludf.DUMMYFUNCTION("""COMPUTED_VALUE"""),"Ampicillin Sodium Injection")</f>
        <v>Ampicillin Sodium Injection</v>
      </c>
      <c r="B120" s="5" t="str">
        <f>IFERROR(__xludf.DUMMYFUNCTION("""COMPUTED_VALUE"""),"Sandoz Inc.")</f>
        <v>Sandoz Inc.</v>
      </c>
      <c r="C120" s="5" t="str">
        <f>IFERROR(__xludf.DUMMYFUNCTION("""COMPUTED_VALUE"""),"Ampicillin Sodium, Injection, 2 g (NDC 0781-9413-92)")</f>
        <v>Ampicillin Sodium, Injection, 2 g (NDC 0781-9413-92)</v>
      </c>
      <c r="D120" s="5" t="str">
        <f>IFERROR(__xludf.DUMMYFUNCTION("""COMPUTED_VALUE"""),"New")</f>
        <v>New</v>
      </c>
      <c r="E120" s="10">
        <f>IFERROR(__xludf.DUMMYFUNCTION("""COMPUTED_VALUE"""),45999.0)</f>
        <v>45999</v>
      </c>
      <c r="F120" s="5"/>
      <c r="G120" s="5" t="str">
        <f>IFERROR(__xludf.DUMMYFUNCTION("""COMPUTED_VALUE"""),"Discontinuation of private label only")</f>
        <v>Discontinuation of private label only</v>
      </c>
      <c r="H120" s="5"/>
      <c r="I120" s="5"/>
      <c r="J120" s="5" t="str">
        <f>IFERROR(__xludf.DUMMYFUNCTION("""COMPUTED_VALUE"""),"Anti-Infective")</f>
        <v>Anti-Infective</v>
      </c>
      <c r="K120" s="5" t="str">
        <f>IFERROR(__xludf.DUMMYFUNCTION("""COMPUTED_VALUE"""),"To Be Discontinued")</f>
        <v>To Be Discontinued</v>
      </c>
      <c r="L120" s="5"/>
      <c r="M120" s="10">
        <f>IFERROR(__xludf.DUMMYFUNCTION("""COMPUTED_VALUE"""),45999.0)</f>
        <v>45999</v>
      </c>
      <c r="N120" s="10">
        <f>IFERROR(__xludf.DUMMYFUNCTION("""COMPUTED_VALUE"""),45999.0)</f>
        <v>45999</v>
      </c>
      <c r="O120" s="5">
        <v>2025.0</v>
      </c>
      <c r="P120" s="5" t="str">
        <f>IFERROR(__xludf.DUMMYFUNCTION("""COMPUTED_VALUE"""),"Not stated")</f>
        <v>Not stated</v>
      </c>
      <c r="Q120" s="5" t="s">
        <v>135</v>
      </c>
      <c r="R120" s="5" t="s">
        <v>136</v>
      </c>
      <c r="S120" s="11">
        <v>322.0</v>
      </c>
    </row>
    <row r="121">
      <c r="A121" s="5" t="str">
        <f>IFERROR(__xludf.DUMMYFUNCTION("""COMPUTED_VALUE"""),"Anagrelide Hydrochloride Capsule")</f>
        <v>Anagrelide Hydrochloride Capsule</v>
      </c>
      <c r="B121" s="5" t="str">
        <f>IFERROR(__xludf.DUMMYFUNCTION("""COMPUTED_VALUE"""),"Teva Pharmaceuticals USA, Inc.")</f>
        <v>Teva Pharmaceuticals USA, Inc.</v>
      </c>
      <c r="C121" s="5" t="str">
        <f>IFERROR(__xludf.DUMMYFUNCTION("""COMPUTED_VALUE"""),"Anagrelide Hydrochloride, Capsule, 1 mg (NDC 0172-5240-60)")</f>
        <v>Anagrelide Hydrochloride, Capsule, 1 mg (NDC 0172-5240-60)</v>
      </c>
      <c r="D121" s="5" t="str">
        <f>IFERROR(__xludf.DUMMYFUNCTION("""COMPUTED_VALUE"""),"New")</f>
        <v>New</v>
      </c>
      <c r="E121" s="13">
        <f>IFERROR(__xludf.DUMMYFUNCTION("""COMPUTED_VALUE"""),45980.0)</f>
        <v>45980</v>
      </c>
      <c r="F121" s="5"/>
      <c r="G121" s="5" t="str">
        <f>IFERROR(__xludf.DUMMYFUNCTION("""COMPUTED_VALUE"""),"A business decision was made to discontinue manufacture of the drug.")</f>
        <v>A business decision was made to discontinue manufacture of the drug.</v>
      </c>
      <c r="H121" s="5"/>
      <c r="I121" s="5"/>
      <c r="J121" s="5" t="str">
        <f>IFERROR(__xludf.DUMMYFUNCTION("""COMPUTED_VALUE"""),"Hematology")</f>
        <v>Hematology</v>
      </c>
      <c r="K121" s="5" t="str">
        <f>IFERROR(__xludf.DUMMYFUNCTION("""COMPUTED_VALUE"""),"To Be Discontinued")</f>
        <v>To Be Discontinued</v>
      </c>
      <c r="L121" s="5"/>
      <c r="M121" s="13">
        <f>IFERROR(__xludf.DUMMYFUNCTION("""COMPUTED_VALUE"""),45980.0)</f>
        <v>45980</v>
      </c>
      <c r="N121" s="13">
        <f>IFERROR(__xludf.DUMMYFUNCTION("""COMPUTED_VALUE"""),45980.0)</f>
        <v>45980</v>
      </c>
      <c r="O121" s="5">
        <v>2025.0</v>
      </c>
      <c r="P121" s="5" t="str">
        <f>IFERROR(__xludf.DUMMYFUNCTION("""COMPUTED_VALUE"""),"Not stated")</f>
        <v>Not stated</v>
      </c>
      <c r="Q121" s="5" t="s">
        <v>135</v>
      </c>
      <c r="R121" s="5" t="s">
        <v>136</v>
      </c>
      <c r="S121" s="11">
        <v>341.0</v>
      </c>
    </row>
    <row r="122">
      <c r="A122" s="5" t="str">
        <f>IFERROR(__xludf.DUMMYFUNCTION("""COMPUTED_VALUE"""),"Anagrelide Hydrochloride Capsule")</f>
        <v>Anagrelide Hydrochloride Capsule</v>
      </c>
      <c r="B122" s="5" t="str">
        <f>IFERROR(__xludf.DUMMYFUNCTION("""COMPUTED_VALUE"""),"Teva Pharmaceuticals USA, Inc.")</f>
        <v>Teva Pharmaceuticals USA, Inc.</v>
      </c>
      <c r="C122" s="5" t="str">
        <f>IFERROR(__xludf.DUMMYFUNCTION("""COMPUTED_VALUE"""),"Anagrelide Hydrochloride, Capsule, 0.5 mg (NDC 0172-5241-60)")</f>
        <v>Anagrelide Hydrochloride, Capsule, 0.5 mg (NDC 0172-5241-60)</v>
      </c>
      <c r="D122" s="5" t="str">
        <f>IFERROR(__xludf.DUMMYFUNCTION("""COMPUTED_VALUE"""),"New")</f>
        <v>New</v>
      </c>
      <c r="E122" s="13">
        <f>IFERROR(__xludf.DUMMYFUNCTION("""COMPUTED_VALUE"""),45980.0)</f>
        <v>45980</v>
      </c>
      <c r="F122" s="5"/>
      <c r="G122" s="5" t="str">
        <f>IFERROR(__xludf.DUMMYFUNCTION("""COMPUTED_VALUE"""),"A business decision was made to discontinue manufacture of the drug.")</f>
        <v>A business decision was made to discontinue manufacture of the drug.</v>
      </c>
      <c r="H122" s="5"/>
      <c r="I122" s="5"/>
      <c r="J122" s="5" t="str">
        <f>IFERROR(__xludf.DUMMYFUNCTION("""COMPUTED_VALUE"""),"Hematology")</f>
        <v>Hematology</v>
      </c>
      <c r="K122" s="5" t="str">
        <f>IFERROR(__xludf.DUMMYFUNCTION("""COMPUTED_VALUE"""),"To Be Discontinued")</f>
        <v>To Be Discontinued</v>
      </c>
      <c r="L122" s="5"/>
      <c r="M122" s="13">
        <f>IFERROR(__xludf.DUMMYFUNCTION("""COMPUTED_VALUE"""),45980.0)</f>
        <v>45980</v>
      </c>
      <c r="N122" s="13">
        <f>IFERROR(__xludf.DUMMYFUNCTION("""COMPUTED_VALUE"""),45980.0)</f>
        <v>45980</v>
      </c>
      <c r="O122" s="5">
        <v>2025.0</v>
      </c>
      <c r="P122" s="5" t="str">
        <f>IFERROR(__xludf.DUMMYFUNCTION("""COMPUTED_VALUE"""),"Not stated")</f>
        <v>Not stated</v>
      </c>
      <c r="Q122" s="5" t="s">
        <v>135</v>
      </c>
      <c r="R122" s="5" t="s">
        <v>136</v>
      </c>
      <c r="S122" s="11">
        <v>341.0</v>
      </c>
    </row>
    <row r="123">
      <c r="A123" s="5" t="str">
        <f>IFERROR(__xludf.DUMMYFUNCTION("""COMPUTED_VALUE"""),"Aprepitant Oral Powder for Suspension")</f>
        <v>Aprepitant Oral Powder for Suspension</v>
      </c>
      <c r="B123" s="5" t="str">
        <f>IFERROR(__xludf.DUMMYFUNCTION("""COMPUTED_VALUE"""),"Merck Sharp &amp; Dohme LLC")</f>
        <v>Merck Sharp &amp; Dohme LLC</v>
      </c>
      <c r="C123" s="5" t="str">
        <f>IFERROR(__xludf.DUMMYFUNCTION("""COMPUTED_VALUE"""),"Emend, Oral Powder for Suspension, 125 mg (NDC 0006-3066-03)")</f>
        <v>Emend, Oral Powder for Suspension, 125 mg (NDC 0006-3066-03)</v>
      </c>
      <c r="D123" s="5" t="str">
        <f>IFERROR(__xludf.DUMMYFUNCTION("""COMPUTED_VALUE"""),"New")</f>
        <v>New</v>
      </c>
      <c r="E123" s="10">
        <f>IFERROR(__xludf.DUMMYFUNCTION("""COMPUTED_VALUE"""),46120.0)</f>
        <v>46120</v>
      </c>
      <c r="F123" s="5"/>
      <c r="G123" s="5" t="str">
        <f>IFERROR(__xludf.DUMMYFUNCTION("""COMPUTED_VALUE"""),"To be discontinued in approximately early-September 2026.")</f>
        <v>To be discontinued in approximately early-September 2026.</v>
      </c>
      <c r="H123" s="5"/>
      <c r="I123" s="5"/>
      <c r="J123" s="5" t="str">
        <f>IFERROR(__xludf.DUMMYFUNCTION("""COMPUTED_VALUE"""),"Gastroenterology")</f>
        <v>Gastroenterology</v>
      </c>
      <c r="K123" s="5" t="str">
        <f>IFERROR(__xludf.DUMMYFUNCTION("""COMPUTED_VALUE"""),"To Be Discontinued")</f>
        <v>To Be Discontinued</v>
      </c>
      <c r="L123" s="5"/>
      <c r="M123" s="10">
        <f>IFERROR(__xludf.DUMMYFUNCTION("""COMPUTED_VALUE"""),46120.0)</f>
        <v>46120</v>
      </c>
      <c r="N123" s="10">
        <f>IFERROR(__xludf.DUMMYFUNCTION("""COMPUTED_VALUE"""),46120.0)</f>
        <v>46120</v>
      </c>
      <c r="O123" s="5">
        <v>2026.0</v>
      </c>
      <c r="P123" s="5" t="str">
        <f>IFERROR(__xludf.DUMMYFUNCTION("""COMPUTED_VALUE"""),"Not stated")</f>
        <v>Not stated</v>
      </c>
      <c r="Q123" s="5" t="s">
        <v>135</v>
      </c>
      <c r="R123" s="5" t="s">
        <v>136</v>
      </c>
      <c r="S123" s="11">
        <v>201.0</v>
      </c>
    </row>
    <row r="124">
      <c r="A124" s="5" t="str">
        <f>IFERROR(__xludf.DUMMYFUNCTION("""COMPUTED_VALUE"""),"Arsenic Trioxide Injection")</f>
        <v>Arsenic Trioxide Injection</v>
      </c>
      <c r="B124" s="5" t="str">
        <f>IFERROR(__xludf.DUMMYFUNCTION("""COMPUTED_VALUE"""),"Ingenus Pharmaceuticals LLC")</f>
        <v>Ingenus Pharmaceuticals LLC</v>
      </c>
      <c r="C124" s="5" t="str">
        <f>IFERROR(__xludf.DUMMYFUNCTION("""COMPUTED_VALUE"""),"Arsenic Trioxide, Injection, 1 mg/1 mL (NDC 50742-438-10)")</f>
        <v>Arsenic Trioxide, Injection, 1 mg/1 mL (NDC 50742-438-10)</v>
      </c>
      <c r="D124" s="5" t="str">
        <f>IFERROR(__xludf.DUMMYFUNCTION("""COMPUTED_VALUE"""),"New")</f>
        <v>New</v>
      </c>
      <c r="E124" s="10">
        <f>IFERROR(__xludf.DUMMYFUNCTION("""COMPUTED_VALUE"""),46077.0)</f>
        <v>46077</v>
      </c>
      <c r="F124" s="5"/>
      <c r="G124" s="5" t="str">
        <f>IFERROR(__xludf.DUMMYFUNCTION("""COMPUTED_VALUE"""),"A business decision was made to discontinue manufacture of the drug.")</f>
        <v>A business decision was made to discontinue manufacture of the drug.</v>
      </c>
      <c r="H124" s="5"/>
      <c r="I124" s="5"/>
      <c r="J124" s="5" t="str">
        <f>IFERROR(__xludf.DUMMYFUNCTION("""COMPUTED_VALUE"""),"Oncology")</f>
        <v>Oncology</v>
      </c>
      <c r="K124" s="5" t="str">
        <f>IFERROR(__xludf.DUMMYFUNCTION("""COMPUTED_VALUE"""),"To Be Discontinued")</f>
        <v>To Be Discontinued</v>
      </c>
      <c r="L124" s="5"/>
      <c r="M124" s="10">
        <f>IFERROR(__xludf.DUMMYFUNCTION("""COMPUTED_VALUE"""),46077.0)</f>
        <v>46077</v>
      </c>
      <c r="N124" s="10">
        <f>IFERROR(__xludf.DUMMYFUNCTION("""COMPUTED_VALUE"""),46077.0)</f>
        <v>46077</v>
      </c>
      <c r="O124" s="5">
        <v>2026.0</v>
      </c>
      <c r="P124" s="5" t="str">
        <f>IFERROR(__xludf.DUMMYFUNCTION("""COMPUTED_VALUE"""),"Not stated")</f>
        <v>Not stated</v>
      </c>
      <c r="Q124" s="5" t="s">
        <v>135</v>
      </c>
      <c r="R124" s="5" t="s">
        <v>136</v>
      </c>
      <c r="S124" s="11">
        <v>244.0</v>
      </c>
    </row>
    <row r="125">
      <c r="A125" s="5" t="str">
        <f>IFERROR(__xludf.DUMMYFUNCTION("""COMPUTED_VALUE"""),"Arsenic Trioxide Injection")</f>
        <v>Arsenic Trioxide Injection</v>
      </c>
      <c r="B125" s="5" t="str">
        <f>IFERROR(__xludf.DUMMYFUNCTION("""COMPUTED_VALUE"""),"Fresenius Kabi USA, LLC")</f>
        <v>Fresenius Kabi USA, LLC</v>
      </c>
      <c r="C125" s="5" t="str">
        <f>IFERROR(__xludf.DUMMYFUNCTION("""COMPUTED_VALUE"""),"Arsenic Trioxide, Injection, 1 mg/1 mL (NDC 63323-637-10)")</f>
        <v>Arsenic Trioxide, Injection, 1 mg/1 mL (NDC 63323-637-10)</v>
      </c>
      <c r="D125" s="5" t="str">
        <f>IFERROR(__xludf.DUMMYFUNCTION("""COMPUTED_VALUE"""),"New")</f>
        <v>New</v>
      </c>
      <c r="E125" s="10">
        <f>IFERROR(__xludf.DUMMYFUNCTION("""COMPUTED_VALUE"""),46286.0)</f>
        <v>46286</v>
      </c>
      <c r="F125" s="5"/>
      <c r="G125" s="5" t="str">
        <f>IFERROR(__xludf.DUMMYFUNCTION("""COMPUTED_VALUE"""),"Discontinuation of the manufacture of the drug")</f>
        <v>Discontinuation of the manufacture of the drug</v>
      </c>
      <c r="H125" s="5"/>
      <c r="I125" s="5"/>
      <c r="J125" s="5" t="str">
        <f>IFERROR(__xludf.DUMMYFUNCTION("""COMPUTED_VALUE"""),"Oncology")</f>
        <v>Oncology</v>
      </c>
      <c r="K125" s="5" t="str">
        <f>IFERROR(__xludf.DUMMYFUNCTION("""COMPUTED_VALUE"""),"To Be Discontinued")</f>
        <v>To Be Discontinued</v>
      </c>
      <c r="L125" s="5"/>
      <c r="M125" s="10">
        <f>IFERROR(__xludf.DUMMYFUNCTION("""COMPUTED_VALUE"""),46286.0)</f>
        <v>46286</v>
      </c>
      <c r="N125" s="10">
        <f>IFERROR(__xludf.DUMMYFUNCTION("""COMPUTED_VALUE"""),46286.0)</f>
        <v>46286</v>
      </c>
      <c r="O125" s="5">
        <v>2026.0</v>
      </c>
      <c r="P125" s="5" t="str">
        <f>IFERROR(__xludf.DUMMYFUNCTION("""COMPUTED_VALUE"""),"Not stated")</f>
        <v>Not stated</v>
      </c>
      <c r="Q125" s="5" t="s">
        <v>135</v>
      </c>
      <c r="R125" s="5" t="s">
        <v>136</v>
      </c>
      <c r="S125" s="11">
        <v>35.0</v>
      </c>
    </row>
    <row r="126">
      <c r="A126" s="5" t="str">
        <f>IFERROR(__xludf.DUMMYFUNCTION("""COMPUTED_VALUE"""),"Aspirin Suppository")</f>
        <v>Aspirin Suppository</v>
      </c>
      <c r="B126" s="5" t="str">
        <f>IFERROR(__xludf.DUMMYFUNCTION("""COMPUTED_VALUE"""),"Padagis US LLC")</f>
        <v>Padagis US LLC</v>
      </c>
      <c r="C126" s="5" t="str">
        <f>IFERROR(__xludf.DUMMYFUNCTION("""COMPUTED_VALUE"""),"Aspirin, Suppository, 300 mg (NDC 0574-7034-12)")</f>
        <v>Aspirin, Suppository, 300 mg (NDC 0574-7034-12)</v>
      </c>
      <c r="D126" s="5" t="str">
        <f>IFERROR(__xludf.DUMMYFUNCTION("""COMPUTED_VALUE"""),"New")</f>
        <v>New</v>
      </c>
      <c r="E126" s="10">
        <f>IFERROR(__xludf.DUMMYFUNCTION("""COMPUTED_VALUE"""),46226.0)</f>
        <v>46226</v>
      </c>
      <c r="F126" s="5"/>
      <c r="G126" s="5" t="str">
        <f>IFERROR(__xludf.DUMMYFUNCTION("""COMPUTED_VALUE"""),"Discontinuation of the manufacture of the drug")</f>
        <v>Discontinuation of the manufacture of the drug</v>
      </c>
      <c r="H126" s="5"/>
      <c r="I126" s="5"/>
      <c r="J126" s="5" t="str">
        <f>IFERROR(__xludf.DUMMYFUNCTION("""COMPUTED_VALUE"""),"Analgesia/Addiction; Cardiovascular")</f>
        <v>Analgesia/Addiction; Cardiovascular</v>
      </c>
      <c r="K126" s="5" t="str">
        <f>IFERROR(__xludf.DUMMYFUNCTION("""COMPUTED_VALUE"""),"To Be Discontinued")</f>
        <v>To Be Discontinued</v>
      </c>
      <c r="L126" s="5"/>
      <c r="M126" s="10">
        <f>IFERROR(__xludf.DUMMYFUNCTION("""COMPUTED_VALUE"""),46226.0)</f>
        <v>46226</v>
      </c>
      <c r="N126" s="10">
        <f>IFERROR(__xludf.DUMMYFUNCTION("""COMPUTED_VALUE"""),46226.0)</f>
        <v>46226</v>
      </c>
      <c r="O126" s="5">
        <v>2026.0</v>
      </c>
      <c r="P126" s="5" t="str">
        <f>IFERROR(__xludf.DUMMYFUNCTION("""COMPUTED_VALUE"""),"Not stated")</f>
        <v>Not stated</v>
      </c>
      <c r="Q126" s="5" t="s">
        <v>135</v>
      </c>
      <c r="R126" s="5" t="s">
        <v>136</v>
      </c>
      <c r="S126" s="11">
        <v>95.0</v>
      </c>
    </row>
    <row r="127">
      <c r="A127" s="5" t="str">
        <f>IFERROR(__xludf.DUMMYFUNCTION("""COMPUTED_VALUE"""),"Atazanavir Sulfate; Cobicistat Tablet")</f>
        <v>Atazanavir Sulfate; Cobicistat Tablet</v>
      </c>
      <c r="B127" s="5" t="str">
        <f>IFERROR(__xludf.DUMMYFUNCTION("""COMPUTED_VALUE"""),"Bristol Myers Squibb Co.")</f>
        <v>Bristol Myers Squibb Co.</v>
      </c>
      <c r="C127" s="5" t="str">
        <f>IFERROR(__xludf.DUMMYFUNCTION("""COMPUTED_VALUE"""),"Evotaz, Tablet, 300 mg; 150 mg (NDC 0003-3641-11)")</f>
        <v>Evotaz, Tablet, 300 mg; 150 mg (NDC 0003-3641-11)</v>
      </c>
      <c r="D127" s="5" t="str">
        <f>IFERROR(__xludf.DUMMYFUNCTION("""COMPUTED_VALUE"""),"New")</f>
        <v>New</v>
      </c>
      <c r="E127" s="10">
        <f>IFERROR(__xludf.DUMMYFUNCTION("""COMPUTED_VALUE"""),45964.0)</f>
        <v>45964</v>
      </c>
      <c r="F127" s="5"/>
      <c r="G127" s="5" t="str">
        <f>IFERROR(__xludf.DUMMYFUNCTION("""COMPUTED_VALUE"""),"The global Cease Manufacture date for EVOTAZ® currently is estimated to begin April 2026.")</f>
        <v>The global Cease Manufacture date for EVOTAZ® currently is estimated to begin April 2026.</v>
      </c>
      <c r="H127" s="5"/>
      <c r="I127" s="5"/>
      <c r="J127" s="5" t="str">
        <f>IFERROR(__xludf.DUMMYFUNCTION("""COMPUTED_VALUE"""),"Antiviral")</f>
        <v>Antiviral</v>
      </c>
      <c r="K127" s="5" t="str">
        <f>IFERROR(__xludf.DUMMYFUNCTION("""COMPUTED_VALUE"""),"To Be Discontinued")</f>
        <v>To Be Discontinued</v>
      </c>
      <c r="L127" s="5"/>
      <c r="M127" s="10">
        <f>IFERROR(__xludf.DUMMYFUNCTION("""COMPUTED_VALUE"""),45964.0)</f>
        <v>45964</v>
      </c>
      <c r="N127" s="10">
        <f>IFERROR(__xludf.DUMMYFUNCTION("""COMPUTED_VALUE"""),45964.0)</f>
        <v>45964</v>
      </c>
      <c r="O127" s="5">
        <v>2025.0</v>
      </c>
      <c r="P127" s="5" t="str">
        <f>IFERROR(__xludf.DUMMYFUNCTION("""COMPUTED_VALUE"""),"Not stated")</f>
        <v>Not stated</v>
      </c>
      <c r="Q127" s="5" t="s">
        <v>135</v>
      </c>
      <c r="R127" s="5" t="s">
        <v>136</v>
      </c>
      <c r="S127" s="11">
        <v>357.0</v>
      </c>
    </row>
    <row r="128">
      <c r="A128" s="5" t="str">
        <f>IFERROR(__xludf.DUMMYFUNCTION("""COMPUTED_VALUE"""),"Atropine Sulfate Injection")</f>
        <v>Atropine Sulfate Injection</v>
      </c>
      <c r="B128" s="5" t="str">
        <f>IFERROR(__xludf.DUMMYFUNCTION("""COMPUTED_VALUE"""),"Hospira, Inc., a Pfizer Company")</f>
        <v>Hospira, Inc., a Pfizer Company</v>
      </c>
      <c r="C128" s="5" t="str">
        <f>IFERROR(__xludf.DUMMYFUNCTION("""COMPUTED_VALUE"""),"Atropine Sulfate, Injection, (Adult) 0.5 mg/5 mL (0.1 mg/mL) LifeShield® ABBOJECT® Glass Syringe (20 G x 1 1/2) (NDC 0409-4910-34)""")</f>
        <v>Atropine Sulfate, Injection, (Adult) 0.5 mg/5 mL (0.1 mg/mL) LifeShield® ABBOJECT® Glass Syringe (20 G x 1 1/2) (NDC 0409-4910-34)"</v>
      </c>
      <c r="D128" s="5" t="str">
        <f>IFERROR(__xludf.DUMMYFUNCTION("""COMPUTED_VALUE"""),"New")</f>
        <v>New</v>
      </c>
      <c r="E128" s="10">
        <f>IFERROR(__xludf.DUMMYFUNCTION("""COMPUTED_VALUE"""),45968.0)</f>
        <v>45968</v>
      </c>
      <c r="F128" s="5"/>
      <c r="G128" s="5" t="str">
        <f>IFERROR(__xludf.DUMMYFUNCTION("""COMPUTED_VALUE"""),"Discontinuation of the manufacture of the drug")</f>
        <v>Discontinuation of the manufacture of the drug</v>
      </c>
      <c r="H128" s="5"/>
      <c r="I128" s="5"/>
      <c r="J128" s="5" t="str">
        <f>IFERROR(__xludf.DUMMYFUNCTION("""COMPUTED_VALUE"""),"Anesthesia; Neurology; Pediatric")</f>
        <v>Anesthesia; Neurology; Pediatric</v>
      </c>
      <c r="K128" s="5" t="str">
        <f>IFERROR(__xludf.DUMMYFUNCTION("""COMPUTED_VALUE"""),"To Be Discontinued")</f>
        <v>To Be Discontinued</v>
      </c>
      <c r="L128" s="5"/>
      <c r="M128" s="10">
        <f>IFERROR(__xludf.DUMMYFUNCTION("""COMPUTED_VALUE"""),45968.0)</f>
        <v>45968</v>
      </c>
      <c r="N128" s="10">
        <f>IFERROR(__xludf.DUMMYFUNCTION("""COMPUTED_VALUE"""),45968.0)</f>
        <v>45968</v>
      </c>
      <c r="O128" s="5">
        <v>2025.0</v>
      </c>
      <c r="P128" s="5" t="str">
        <f>IFERROR(__xludf.DUMMYFUNCTION("""COMPUTED_VALUE"""),"Not stated")</f>
        <v>Not stated</v>
      </c>
      <c r="Q128" s="5" t="s">
        <v>135</v>
      </c>
      <c r="R128" s="5" t="s">
        <v>136</v>
      </c>
      <c r="S128" s="11">
        <v>353.0</v>
      </c>
    </row>
    <row r="129">
      <c r="A129" s="5" t="str">
        <f>IFERROR(__xludf.DUMMYFUNCTION("""COMPUTED_VALUE"""),"Atropine Sulfate Injection")</f>
        <v>Atropine Sulfate Injection</v>
      </c>
      <c r="B129" s="5" t="str">
        <f>IFERROR(__xludf.DUMMYFUNCTION("""COMPUTED_VALUE"""),"Hospira, Inc., a Pfizer Company")</f>
        <v>Hospira, Inc., a Pfizer Company</v>
      </c>
      <c r="C129" s="5" t="str">
        <f>IFERROR(__xludf.DUMMYFUNCTION("""COMPUTED_VALUE"""),"Atropine Sulfate, Injection, (Adult)1 mg/10 mL (0.1 mg/mL) LifeShield® ABBOJECT® Glass Syringe (20 G x 1 1/2)  (NDC 0409-4911-34)""")</f>
        <v>Atropine Sulfate, Injection, (Adult)1 mg/10 mL (0.1 mg/mL) LifeShield® ABBOJECT® Glass Syringe (20 G x 1 1/2)  (NDC 0409-4911-34)"</v>
      </c>
      <c r="D129" s="5" t="str">
        <f>IFERROR(__xludf.DUMMYFUNCTION("""COMPUTED_VALUE"""),"New")</f>
        <v>New</v>
      </c>
      <c r="E129" s="10">
        <f>IFERROR(__xludf.DUMMYFUNCTION("""COMPUTED_VALUE"""),45968.0)</f>
        <v>45968</v>
      </c>
      <c r="F129" s="5"/>
      <c r="G129" s="5" t="str">
        <f>IFERROR(__xludf.DUMMYFUNCTION("""COMPUTED_VALUE"""),"Discontinuation of the manufacture of the drug")</f>
        <v>Discontinuation of the manufacture of the drug</v>
      </c>
      <c r="H129" s="5"/>
      <c r="I129" s="5"/>
      <c r="J129" s="5" t="str">
        <f>IFERROR(__xludf.DUMMYFUNCTION("""COMPUTED_VALUE"""),"Anesthesia; Neurology; Pediatric")</f>
        <v>Anesthesia; Neurology; Pediatric</v>
      </c>
      <c r="K129" s="5" t="str">
        <f>IFERROR(__xludf.DUMMYFUNCTION("""COMPUTED_VALUE"""),"To Be Discontinued")</f>
        <v>To Be Discontinued</v>
      </c>
      <c r="L129" s="5"/>
      <c r="M129" s="10">
        <f>IFERROR(__xludf.DUMMYFUNCTION("""COMPUTED_VALUE"""),45968.0)</f>
        <v>45968</v>
      </c>
      <c r="N129" s="10">
        <f>IFERROR(__xludf.DUMMYFUNCTION("""COMPUTED_VALUE"""),45968.0)</f>
        <v>45968</v>
      </c>
      <c r="O129" s="5">
        <v>2025.0</v>
      </c>
      <c r="P129" s="5" t="str">
        <f>IFERROR(__xludf.DUMMYFUNCTION("""COMPUTED_VALUE"""),"Not stated")</f>
        <v>Not stated</v>
      </c>
      <c r="Q129" s="5" t="s">
        <v>135</v>
      </c>
      <c r="R129" s="5" t="s">
        <v>136</v>
      </c>
      <c r="S129" s="11">
        <v>353.0</v>
      </c>
    </row>
    <row r="130">
      <c r="A130" s="5" t="str">
        <f>IFERROR(__xludf.DUMMYFUNCTION("""COMPUTED_VALUE"""),"Atropine Sulfate Injection")</f>
        <v>Atropine Sulfate Injection</v>
      </c>
      <c r="B130" s="5" t="str">
        <f>IFERROR(__xludf.DUMMYFUNCTION("""COMPUTED_VALUE"""),"Medefil, Inc.")</f>
        <v>Medefil, Inc.</v>
      </c>
      <c r="C130" s="5" t="str">
        <f>IFERROR(__xludf.DUMMYFUNCTION("""COMPUTED_VALUE"""),"Atropine Sulfate, Injection, 1 mg/10 mL (0.1 mg/mL) Syringes (NDC 64253-400-91)")</f>
        <v>Atropine Sulfate, Injection, 1 mg/10 mL (0.1 mg/mL) Syringes (NDC 64253-400-91)</v>
      </c>
      <c r="D130" s="5" t="str">
        <f>IFERROR(__xludf.DUMMYFUNCTION("""COMPUTED_VALUE"""),"Reverified")</f>
        <v>Reverified</v>
      </c>
      <c r="E130" s="13">
        <f>IFERROR(__xludf.DUMMYFUNCTION("""COMPUTED_VALUE"""),46310.0)</f>
        <v>46310</v>
      </c>
      <c r="F130" s="5" t="str">
        <f>IFERROR(__xludf.DUMMYFUNCTION("""COMPUTED_VALUE"""),"Available")</f>
        <v>Available</v>
      </c>
      <c r="G130" s="5"/>
      <c r="H130" s="5"/>
      <c r="I130" s="5"/>
      <c r="J130" s="5" t="str">
        <f>IFERROR(__xludf.DUMMYFUNCTION("""COMPUTED_VALUE"""),"Anesthesia; Neurology; Pediatric")</f>
        <v>Anesthesia; Neurology; Pediatric</v>
      </c>
      <c r="K130" s="5" t="str">
        <f>IFERROR(__xludf.DUMMYFUNCTION("""COMPUTED_VALUE"""),"Current")</f>
        <v>Current</v>
      </c>
      <c r="L130" s="5"/>
      <c r="M130" s="5"/>
      <c r="N130" s="10">
        <f>IFERROR(__xludf.DUMMYFUNCTION("""COMPUTED_VALUE"""),40909.0)</f>
        <v>40909</v>
      </c>
      <c r="O130" s="5">
        <v>2012.0</v>
      </c>
      <c r="P130" s="5" t="str">
        <f>IFERROR(__xludf.DUMMYFUNCTION("""COMPUTED_VALUE"""),"Available")</f>
        <v>Available</v>
      </c>
      <c r="Q130" s="5" t="s">
        <v>135</v>
      </c>
      <c r="R130" s="5" t="s">
        <v>136</v>
      </c>
      <c r="S130" s="11">
        <v>5412.0</v>
      </c>
    </row>
    <row r="131">
      <c r="A131" s="5" t="str">
        <f>IFERROR(__xludf.DUMMYFUNCTION("""COMPUTED_VALUE"""),"Atropine Sulfate Injection")</f>
        <v>Atropine Sulfate Injection</v>
      </c>
      <c r="B131" s="5" t="str">
        <f>IFERROR(__xludf.DUMMYFUNCTION("""COMPUTED_VALUE"""),"Fresenius Kabi USA, LLC")</f>
        <v>Fresenius Kabi USA, LLC</v>
      </c>
      <c r="C131" s="5" t="str">
        <f>IFERROR(__xludf.DUMMYFUNCTION("""COMPUTED_VALUE"""),"Atropine Sulfate, Injection, .4 mg/1 mL (NDC 63323-580-20)")</f>
        <v>Atropine Sulfate, Injection, .4 mg/1 mL (NDC 63323-580-20)</v>
      </c>
      <c r="D131" s="5" t="str">
        <f>IFERROR(__xludf.DUMMYFUNCTION("""COMPUTED_VALUE"""),"Reverified")</f>
        <v>Reverified</v>
      </c>
      <c r="E131" s="13">
        <f>IFERROR(__xludf.DUMMYFUNCTION("""COMPUTED_VALUE"""),46310.0)</f>
        <v>46310</v>
      </c>
      <c r="F131" s="5" t="str">
        <f>IFERROR(__xludf.DUMMYFUNCTION("""COMPUTED_VALUE"""),"Unavailable")</f>
        <v>Unavailable</v>
      </c>
      <c r="G131" s="5" t="str">
        <f>IFERROR(__xludf.DUMMYFUNCTION("""COMPUTED_VALUE"""),"Next release October 2026. Check wholesalers for inventory.")</f>
        <v>Next release October 2026. Check wholesalers for inventory.</v>
      </c>
      <c r="H131" s="5"/>
      <c r="I131" s="5" t="str">
        <f>IFERROR(__xludf.DUMMYFUNCTION("""COMPUTED_VALUE"""),"Other")</f>
        <v>Other</v>
      </c>
      <c r="J131" s="5" t="str">
        <f>IFERROR(__xludf.DUMMYFUNCTION("""COMPUTED_VALUE"""),"Anesthesia; Neurology; Pediatric")</f>
        <v>Anesthesia; Neurology; Pediatric</v>
      </c>
      <c r="K131" s="5" t="str">
        <f>IFERROR(__xludf.DUMMYFUNCTION("""COMPUTED_VALUE"""),"Current")</f>
        <v>Current</v>
      </c>
      <c r="L131" s="5"/>
      <c r="M131" s="5"/>
      <c r="N131" s="10">
        <f>IFERROR(__xludf.DUMMYFUNCTION("""COMPUTED_VALUE"""),40909.0)</f>
        <v>40909</v>
      </c>
      <c r="O131" s="5">
        <v>2012.0</v>
      </c>
      <c r="P131" s="5" t="str">
        <f>IFERROR(__xludf.DUMMYFUNCTION("""COMPUTED_VALUE"""),"Unavailable")</f>
        <v>Unavailable</v>
      </c>
      <c r="Q131" s="5" t="s">
        <v>47</v>
      </c>
      <c r="R131" s="5" t="s">
        <v>136</v>
      </c>
      <c r="S131" s="11">
        <v>5412.0</v>
      </c>
    </row>
    <row r="132">
      <c r="A132" s="5" t="str">
        <f>IFERROR(__xludf.DUMMYFUNCTION("""COMPUTED_VALUE"""),"Atropine Sulfate Injection")</f>
        <v>Atropine Sulfate Injection</v>
      </c>
      <c r="B132" s="5" t="str">
        <f>IFERROR(__xludf.DUMMYFUNCTION("""COMPUTED_VALUE"""),"Amphastar Pharmaceuticals, Inc.")</f>
        <v>Amphastar Pharmaceuticals, Inc.</v>
      </c>
      <c r="C132" s="5" t="str">
        <f>IFERROR(__xludf.DUMMYFUNCTION("""COMPUTED_VALUE"""),"Atropine Sulfate, Injection, .1 mg/1 mL (NDC 76329-3340-1)")</f>
        <v>Atropine Sulfate, Injection, .1 mg/1 mL (NDC 76329-3340-1)</v>
      </c>
      <c r="D132" s="5" t="str">
        <f>IFERROR(__xludf.DUMMYFUNCTION("""COMPUTED_VALUE"""),"Reverified")</f>
        <v>Reverified</v>
      </c>
      <c r="E132" s="13">
        <f>IFERROR(__xludf.DUMMYFUNCTION("""COMPUTED_VALUE"""),46311.0)</f>
        <v>46311</v>
      </c>
      <c r="F132" s="5" t="str">
        <f>IFERROR(__xludf.DUMMYFUNCTION("""COMPUTED_VALUE"""),"Available")</f>
        <v>Available</v>
      </c>
      <c r="G132" s="5"/>
      <c r="H132" s="5"/>
      <c r="I132" s="5"/>
      <c r="J132" s="5" t="str">
        <f>IFERROR(__xludf.DUMMYFUNCTION("""COMPUTED_VALUE"""),"Anesthesia; Neurology; Pediatric")</f>
        <v>Anesthesia; Neurology; Pediatric</v>
      </c>
      <c r="K132" s="5" t="str">
        <f>IFERROR(__xludf.DUMMYFUNCTION("""COMPUTED_VALUE"""),"Current")</f>
        <v>Current</v>
      </c>
      <c r="L132" s="5"/>
      <c r="M132" s="5"/>
      <c r="N132" s="10">
        <f>IFERROR(__xludf.DUMMYFUNCTION("""COMPUTED_VALUE"""),43831.0)</f>
        <v>43831</v>
      </c>
      <c r="O132" s="5">
        <v>2020.0</v>
      </c>
      <c r="P132" s="5" t="str">
        <f>IFERROR(__xludf.DUMMYFUNCTION("""COMPUTED_VALUE"""),"Available")</f>
        <v>Available</v>
      </c>
      <c r="Q132" s="5" t="s">
        <v>135</v>
      </c>
      <c r="R132" s="5" t="s">
        <v>136</v>
      </c>
      <c r="S132" s="11">
        <v>2490.0</v>
      </c>
    </row>
    <row r="133">
      <c r="A133" s="5" t="str">
        <f>IFERROR(__xludf.DUMMYFUNCTION("""COMPUTED_VALUE"""),"Atropine Sulfate Injection")</f>
        <v>Atropine Sulfate Injection</v>
      </c>
      <c r="B133" s="5" t="str">
        <f>IFERROR(__xludf.DUMMYFUNCTION("""COMPUTED_VALUE"""),"Hospira, Inc., a Pfizer Company")</f>
        <v>Hospira, Inc., a Pfizer Company</v>
      </c>
      <c r="C133" s="5" t="str">
        <f>IFERROR(__xludf.DUMMYFUNCTION("""COMPUTED_VALUE"""),"Atropine Sulfate, Injection, 1 mg/10 mL (0.1 mg/mL) Syringes (NDC 0409-1630-10)")</f>
        <v>Atropine Sulfate, Injection, 1 mg/10 mL (0.1 mg/mL) Syringes (NDC 0409-1630-10)</v>
      </c>
      <c r="D133" s="5" t="str">
        <f>IFERROR(__xludf.DUMMYFUNCTION("""COMPUTED_VALUE"""),"Revised")</f>
        <v>Revised</v>
      </c>
      <c r="E133" s="13">
        <f>IFERROR(__xludf.DUMMYFUNCTION("""COMPUTED_VALUE"""),46316.0)</f>
        <v>46316</v>
      </c>
      <c r="F133" s="5" t="str">
        <f>IFERROR(__xludf.DUMMYFUNCTION("""COMPUTED_VALUE"""),"Limited Availability")</f>
        <v>Limited Availability</v>
      </c>
      <c r="G133" s="5" t="str">
        <f>IFERROR(__xludf.DUMMYFUNCTION("""COMPUTED_VALUE"""),"Next Delivery: November 2026; Estimated Recovery: December 2026; Shortage per Manufacturer: Manufacturing Delay")</f>
        <v>Next Delivery: November 2026; Estimated Recovery: December 2026; Shortage per Manufacturer: Manufacturing Delay</v>
      </c>
      <c r="H133" s="5"/>
      <c r="I133" s="5" t="str">
        <f>IFERROR(__xludf.DUMMYFUNCTION("""COMPUTED_VALUE"""),"Other")</f>
        <v>Other</v>
      </c>
      <c r="J133" s="5" t="str">
        <f>IFERROR(__xludf.DUMMYFUNCTION("""COMPUTED_VALUE"""),"Anesthesia; Neurology; Pediatric")</f>
        <v>Anesthesia; Neurology; Pediatric</v>
      </c>
      <c r="K133" s="5" t="str">
        <f>IFERROR(__xludf.DUMMYFUNCTION("""COMPUTED_VALUE"""),"Current")</f>
        <v>Current</v>
      </c>
      <c r="L133" s="5"/>
      <c r="M133" s="5"/>
      <c r="N133" s="10">
        <f>IFERROR(__xludf.DUMMYFUNCTION("""COMPUTED_VALUE"""),40909.0)</f>
        <v>40909</v>
      </c>
      <c r="O133" s="5">
        <v>2012.0</v>
      </c>
      <c r="P133" s="5" t="str">
        <f>IFERROR(__xludf.DUMMYFUNCTION("""COMPUTED_VALUE"""),"Limited Availability")</f>
        <v>Limited Availability</v>
      </c>
      <c r="Q133" s="5" t="s">
        <v>47</v>
      </c>
      <c r="R133" s="5" t="s">
        <v>136</v>
      </c>
      <c r="S133" s="11">
        <v>5412.0</v>
      </c>
    </row>
    <row r="134">
      <c r="A134" s="5" t="str">
        <f>IFERROR(__xludf.DUMMYFUNCTION("""COMPUTED_VALUE"""),"Atropine Sulfate Injection")</f>
        <v>Atropine Sulfate Injection</v>
      </c>
      <c r="B134" s="5" t="str">
        <f>IFERROR(__xludf.DUMMYFUNCTION("""COMPUTED_VALUE"""),"Hospira, Inc., a Pfizer Company")</f>
        <v>Hospira, Inc., a Pfizer Company</v>
      </c>
      <c r="C134" s="5" t="str">
        <f>IFERROR(__xludf.DUMMYFUNCTION("""COMPUTED_VALUE"""),"Atropine Sulfate, Injection, 0.25 mg/5 mL (0.05 mg/mL) Syringes (NDC 0409-9630-05)")</f>
        <v>Atropine Sulfate, Injection, 0.25 mg/5 mL (0.05 mg/mL) Syringes (NDC 0409-9630-05)</v>
      </c>
      <c r="D134" s="5" t="str">
        <f>IFERROR(__xludf.DUMMYFUNCTION("""COMPUTED_VALUE"""),"Reverified")</f>
        <v>Reverified</v>
      </c>
      <c r="E134" s="13">
        <f>IFERROR(__xludf.DUMMYFUNCTION("""COMPUTED_VALUE"""),46316.0)</f>
        <v>46316</v>
      </c>
      <c r="F134" s="5" t="str">
        <f>IFERROR(__xludf.DUMMYFUNCTION("""COMPUTED_VALUE"""),"Available")</f>
        <v>Available</v>
      </c>
      <c r="G134" s="5"/>
      <c r="H134" s="5"/>
      <c r="I134" s="5"/>
      <c r="J134" s="5" t="str">
        <f>IFERROR(__xludf.DUMMYFUNCTION("""COMPUTED_VALUE"""),"Anesthesia; Neurology; Pediatric")</f>
        <v>Anesthesia; Neurology; Pediatric</v>
      </c>
      <c r="K134" s="5" t="str">
        <f>IFERROR(__xludf.DUMMYFUNCTION("""COMPUTED_VALUE"""),"Current")</f>
        <v>Current</v>
      </c>
      <c r="L134" s="5"/>
      <c r="M134" s="5"/>
      <c r="N134" s="10">
        <f>IFERROR(__xludf.DUMMYFUNCTION("""COMPUTED_VALUE"""),40909.0)</f>
        <v>40909</v>
      </c>
      <c r="O134" s="5">
        <v>2012.0</v>
      </c>
      <c r="P134" s="5" t="str">
        <f>IFERROR(__xludf.DUMMYFUNCTION("""COMPUTED_VALUE"""),"Available")</f>
        <v>Available</v>
      </c>
      <c r="Q134" s="5" t="s">
        <v>135</v>
      </c>
      <c r="R134" s="5" t="s">
        <v>136</v>
      </c>
      <c r="S134" s="11">
        <v>5412.0</v>
      </c>
    </row>
    <row r="135">
      <c r="A135" s="5" t="str">
        <f>IFERROR(__xludf.DUMMYFUNCTION("""COMPUTED_VALUE"""),"Atropine Sulfate Injection")</f>
        <v>Atropine Sulfate Injection</v>
      </c>
      <c r="B135" s="5" t="str">
        <f>IFERROR(__xludf.DUMMYFUNCTION("""COMPUTED_VALUE"""),"American Regent, Inc.")</f>
        <v>American Regent, Inc.</v>
      </c>
      <c r="C135" s="5" t="str">
        <f>IFERROR(__xludf.DUMMYFUNCTION("""COMPUTED_VALUE"""),"Atropine Sulfate, Injection, 1 mg/1 mL (NDC 0517-1001-25)")</f>
        <v>Atropine Sulfate, Injection, 1 mg/1 mL (NDC 0517-1001-25)</v>
      </c>
      <c r="D135" s="5" t="str">
        <f>IFERROR(__xludf.DUMMYFUNCTION("""COMPUTED_VALUE"""),"Reverified")</f>
        <v>Reverified</v>
      </c>
      <c r="E135" s="13">
        <f>IFERROR(__xludf.DUMMYFUNCTION("""COMPUTED_VALUE"""),46310.0)</f>
        <v>46310</v>
      </c>
      <c r="F135" s="5" t="str">
        <f>IFERROR(__xludf.DUMMYFUNCTION("""COMPUTED_VALUE"""),"Available")</f>
        <v>Available</v>
      </c>
      <c r="G135" s="5"/>
      <c r="H135" s="5"/>
      <c r="I135" s="5"/>
      <c r="J135" s="5" t="str">
        <f>IFERROR(__xludf.DUMMYFUNCTION("""COMPUTED_VALUE"""),"Anesthesia; Neurology; Pediatric")</f>
        <v>Anesthesia; Neurology; Pediatric</v>
      </c>
      <c r="K135" s="5" t="str">
        <f>IFERROR(__xludf.DUMMYFUNCTION("""COMPUTED_VALUE"""),"Current")</f>
        <v>Current</v>
      </c>
      <c r="L135" s="5"/>
      <c r="M135" s="5"/>
      <c r="N135" s="10">
        <f>IFERROR(__xludf.DUMMYFUNCTION("""COMPUTED_VALUE"""),40909.0)</f>
        <v>40909</v>
      </c>
      <c r="O135" s="5">
        <v>2012.0</v>
      </c>
      <c r="P135" s="5" t="str">
        <f>IFERROR(__xludf.DUMMYFUNCTION("""COMPUTED_VALUE"""),"Available")</f>
        <v>Available</v>
      </c>
      <c r="Q135" s="5" t="s">
        <v>135</v>
      </c>
      <c r="R135" s="5" t="s">
        <v>136</v>
      </c>
      <c r="S135" s="11">
        <v>5412.0</v>
      </c>
    </row>
    <row r="136">
      <c r="A136" s="5" t="str">
        <f>IFERROR(__xludf.DUMMYFUNCTION("""COMPUTED_VALUE"""),"Atropine Sulfate Injection")</f>
        <v>Atropine Sulfate Injection</v>
      </c>
      <c r="B136" s="5" t="str">
        <f>IFERROR(__xludf.DUMMYFUNCTION("""COMPUTED_VALUE"""),"Hikma Pharmaceuticals USA, Inc.")</f>
        <v>Hikma Pharmaceuticals USA, Inc.</v>
      </c>
      <c r="C136" s="5" t="str">
        <f>IFERROR(__xludf.DUMMYFUNCTION("""COMPUTED_VALUE"""),"Atropine Sulfate, Injection, 0.4 mg/1 mL (NDC 0641-6251-10)")</f>
        <v>Atropine Sulfate, Injection, 0.4 mg/1 mL (NDC 0641-6251-10)</v>
      </c>
      <c r="D136" s="5" t="str">
        <f>IFERROR(__xludf.DUMMYFUNCTION("""COMPUTED_VALUE"""),"Reverified")</f>
        <v>Reverified</v>
      </c>
      <c r="E136" s="13">
        <f>IFERROR(__xludf.DUMMYFUNCTION("""COMPUTED_VALUE"""),46309.0)</f>
        <v>46309</v>
      </c>
      <c r="F136" s="5" t="str">
        <f>IFERROR(__xludf.DUMMYFUNCTION("""COMPUTED_VALUE"""),"Available")</f>
        <v>Available</v>
      </c>
      <c r="G136" s="5"/>
      <c r="H136" s="5"/>
      <c r="I136" s="5"/>
      <c r="J136" s="5" t="str">
        <f>IFERROR(__xludf.DUMMYFUNCTION("""COMPUTED_VALUE"""),"Anesthesia; Neurology; Pediatric")</f>
        <v>Anesthesia; Neurology; Pediatric</v>
      </c>
      <c r="K136" s="5" t="str">
        <f>IFERROR(__xludf.DUMMYFUNCTION("""COMPUTED_VALUE"""),"Current")</f>
        <v>Current</v>
      </c>
      <c r="L136" s="5"/>
      <c r="M136" s="5"/>
      <c r="N136" s="13">
        <f>IFERROR(__xludf.DUMMYFUNCTION("""COMPUTED_VALUE"""),45280.0)</f>
        <v>45280</v>
      </c>
      <c r="O136" s="5">
        <v>2023.0</v>
      </c>
      <c r="P136" s="5" t="str">
        <f>IFERROR(__xludf.DUMMYFUNCTION("""COMPUTED_VALUE"""),"Available")</f>
        <v>Available</v>
      </c>
      <c r="Q136" s="5" t="s">
        <v>135</v>
      </c>
      <c r="R136" s="5" t="s">
        <v>136</v>
      </c>
      <c r="S136" s="11">
        <v>1041.0</v>
      </c>
    </row>
    <row r="137">
      <c r="A137" s="5" t="str">
        <f>IFERROR(__xludf.DUMMYFUNCTION("""COMPUTED_VALUE"""),"Atropine Sulfate Injection")</f>
        <v>Atropine Sulfate Injection</v>
      </c>
      <c r="B137" s="5" t="str">
        <f>IFERROR(__xludf.DUMMYFUNCTION("""COMPUTED_VALUE"""),"Accord Healthcare Inc.")</f>
        <v>Accord Healthcare Inc.</v>
      </c>
      <c r="C137" s="5" t="str">
        <f>IFERROR(__xludf.DUMMYFUNCTION("""COMPUTED_VALUE"""),"Atropine Sulfate, Injection, .4 mg/1 mL (NDC 16729-525-08)")</f>
        <v>Atropine Sulfate, Injection, .4 mg/1 mL (NDC 16729-525-08)</v>
      </c>
      <c r="D137" s="5" t="str">
        <f>IFERROR(__xludf.DUMMYFUNCTION("""COMPUTED_VALUE"""),"Revised")</f>
        <v>Revised</v>
      </c>
      <c r="E137" s="10">
        <f>IFERROR(__xludf.DUMMYFUNCTION("""COMPUTED_VALUE"""),46266.0)</f>
        <v>46266</v>
      </c>
      <c r="F137" s="5" t="str">
        <f>IFERROR(__xludf.DUMMYFUNCTION("""COMPUTED_VALUE"""),"Unavailable")</f>
        <v>Unavailable</v>
      </c>
      <c r="G137" s="5" t="str">
        <f>IFERROR(__xludf.DUMMYFUNCTION("""COMPUTED_VALUE"""),"Estimated recovery: mid-September 2026")</f>
        <v>Estimated recovery: mid-September 2026</v>
      </c>
      <c r="H137" s="5"/>
      <c r="I137" s="5" t="str">
        <f>IFERROR(__xludf.DUMMYFUNCTION("""COMPUTED_VALUE"""),"Requirements related to complying with good manufacturing practices")</f>
        <v>Requirements related to complying with good manufacturing practices</v>
      </c>
      <c r="J137" s="5" t="str">
        <f>IFERROR(__xludf.DUMMYFUNCTION("""COMPUTED_VALUE"""),"Anesthesia; Neurology; Pediatric")</f>
        <v>Anesthesia; Neurology; Pediatric</v>
      </c>
      <c r="K137" s="5" t="str">
        <f>IFERROR(__xludf.DUMMYFUNCTION("""COMPUTED_VALUE"""),"Current")</f>
        <v>Current</v>
      </c>
      <c r="L137" s="5"/>
      <c r="M137" s="5"/>
      <c r="N137" s="10">
        <f>IFERROR(__xludf.DUMMYFUNCTION("""COMPUTED_VALUE"""),40909.0)</f>
        <v>40909</v>
      </c>
      <c r="O137" s="5">
        <v>2012.0</v>
      </c>
      <c r="P137" s="5" t="str">
        <f>IFERROR(__xludf.DUMMYFUNCTION("""COMPUTED_VALUE"""),"Unavailable")</f>
        <v>Unavailable</v>
      </c>
      <c r="Q137" s="5" t="s">
        <v>295</v>
      </c>
      <c r="R137" s="5" t="s">
        <v>136</v>
      </c>
      <c r="S137" s="11">
        <v>5412.0</v>
      </c>
    </row>
    <row r="138">
      <c r="A138" s="5" t="str">
        <f>IFERROR(__xludf.DUMMYFUNCTION("""COMPUTED_VALUE"""),"Atropine Sulfate Injection")</f>
        <v>Atropine Sulfate Injection</v>
      </c>
      <c r="B138" s="5" t="str">
        <f>IFERROR(__xludf.DUMMYFUNCTION("""COMPUTED_VALUE"""),"Accord Healthcare Inc.")</f>
        <v>Accord Healthcare Inc.</v>
      </c>
      <c r="C138" s="5" t="str">
        <f>IFERROR(__xludf.DUMMYFUNCTION("""COMPUTED_VALUE"""),"Atropine Sulfate, Injection, .4 mg/1 mL (NDC 16729-512-43)")</f>
        <v>Atropine Sulfate, Injection, .4 mg/1 mL (NDC 16729-512-43)</v>
      </c>
      <c r="D138" s="5" t="str">
        <f>IFERROR(__xludf.DUMMYFUNCTION("""COMPUTED_VALUE"""),"Reverified")</f>
        <v>Reverified</v>
      </c>
      <c r="E138" s="10">
        <f>IFERROR(__xludf.DUMMYFUNCTION("""COMPUTED_VALUE"""),46298.0)</f>
        <v>46298</v>
      </c>
      <c r="F138" s="5" t="str">
        <f>IFERROR(__xludf.DUMMYFUNCTION("""COMPUTED_VALUE"""),"Unavailable")</f>
        <v>Unavailable</v>
      </c>
      <c r="G138" s="5" t="str">
        <f>IFERROR(__xludf.DUMMYFUNCTION("""COMPUTED_VALUE"""),"Estimated recovery: TBD")</f>
        <v>Estimated recovery: TBD</v>
      </c>
      <c r="H138" s="5"/>
      <c r="I138" s="5" t="str">
        <f>IFERROR(__xludf.DUMMYFUNCTION("""COMPUTED_VALUE"""),"Requirements related to complying with good manufacturing practices")</f>
        <v>Requirements related to complying with good manufacturing practices</v>
      </c>
      <c r="J138" s="5" t="str">
        <f>IFERROR(__xludf.DUMMYFUNCTION("""COMPUTED_VALUE"""),"Anesthesia; Neurology; Pediatric")</f>
        <v>Anesthesia; Neurology; Pediatric</v>
      </c>
      <c r="K138" s="5" t="str">
        <f>IFERROR(__xludf.DUMMYFUNCTION("""COMPUTED_VALUE"""),"Current")</f>
        <v>Current</v>
      </c>
      <c r="L138" s="5"/>
      <c r="M138" s="5"/>
      <c r="N138" s="10">
        <f>IFERROR(__xludf.DUMMYFUNCTION("""COMPUTED_VALUE"""),40909.0)</f>
        <v>40909</v>
      </c>
      <c r="O138" s="5">
        <v>2012.0</v>
      </c>
      <c r="P138" s="5" t="str">
        <f>IFERROR(__xludf.DUMMYFUNCTION("""COMPUTED_VALUE"""),"Unavailable")</f>
        <v>Unavailable</v>
      </c>
      <c r="Q138" s="5" t="s">
        <v>295</v>
      </c>
      <c r="R138" s="5" t="s">
        <v>136</v>
      </c>
      <c r="S138" s="11">
        <v>5412.0</v>
      </c>
    </row>
    <row r="139">
      <c r="A139" s="5" t="str">
        <f>IFERROR(__xludf.DUMMYFUNCTION("""COMPUTED_VALUE"""),"Atropine Sulfate Injection")</f>
        <v>Atropine Sulfate Injection</v>
      </c>
      <c r="B139" s="5" t="str">
        <f>IFERROR(__xludf.DUMMYFUNCTION("""COMPUTED_VALUE"""),"Accord Healthcare Inc.")</f>
        <v>Accord Healthcare Inc.</v>
      </c>
      <c r="C139" s="5" t="str">
        <f>IFERROR(__xludf.DUMMYFUNCTION("""COMPUTED_VALUE"""),"Atropine Sulfate, Injection, 1 mg/1 mL (NDC 16729-526-08)")</f>
        <v>Atropine Sulfate, Injection, 1 mg/1 mL (NDC 16729-526-08)</v>
      </c>
      <c r="D139" s="5" t="str">
        <f>IFERROR(__xludf.DUMMYFUNCTION("""COMPUTED_VALUE"""),"Revised")</f>
        <v>Revised</v>
      </c>
      <c r="E139" s="13">
        <f>IFERROR(__xludf.DUMMYFUNCTION("""COMPUTED_VALUE"""),46312.0)</f>
        <v>46312</v>
      </c>
      <c r="F139" s="5" t="str">
        <f>IFERROR(__xludf.DUMMYFUNCTION("""COMPUTED_VALUE"""),"Unavailable")</f>
        <v>Unavailable</v>
      </c>
      <c r="G139" s="5" t="str">
        <f>IFERROR(__xludf.DUMMYFUNCTION("""COMPUTED_VALUE"""),"Estimated availability: November/December 2026")</f>
        <v>Estimated availability: November/December 2026</v>
      </c>
      <c r="H139" s="5"/>
      <c r="I139" s="5" t="str">
        <f>IFERROR(__xludf.DUMMYFUNCTION("""COMPUTED_VALUE"""),"Requirements related to complying with good manufacturing practices")</f>
        <v>Requirements related to complying with good manufacturing practices</v>
      </c>
      <c r="J139" s="5" t="str">
        <f>IFERROR(__xludf.DUMMYFUNCTION("""COMPUTED_VALUE"""),"Anesthesia; Neurology; Pediatric")</f>
        <v>Anesthesia; Neurology; Pediatric</v>
      </c>
      <c r="K139" s="5" t="str">
        <f>IFERROR(__xludf.DUMMYFUNCTION("""COMPUTED_VALUE"""),"Current")</f>
        <v>Current</v>
      </c>
      <c r="L139" s="5"/>
      <c r="M139" s="5"/>
      <c r="N139" s="10">
        <f>IFERROR(__xludf.DUMMYFUNCTION("""COMPUTED_VALUE"""),40909.0)</f>
        <v>40909</v>
      </c>
      <c r="O139" s="5">
        <v>2012.0</v>
      </c>
      <c r="P139" s="5" t="str">
        <f>IFERROR(__xludf.DUMMYFUNCTION("""COMPUTED_VALUE"""),"Unavailable")</f>
        <v>Unavailable</v>
      </c>
      <c r="Q139" s="5" t="s">
        <v>295</v>
      </c>
      <c r="R139" s="5" t="s">
        <v>136</v>
      </c>
      <c r="S139" s="11">
        <v>5412.0</v>
      </c>
    </row>
    <row r="140">
      <c r="A140" s="5" t="str">
        <f>IFERROR(__xludf.DUMMYFUNCTION("""COMPUTED_VALUE"""),"Atropine Sulfate Injection")</f>
        <v>Atropine Sulfate Injection</v>
      </c>
      <c r="B140" s="5" t="str">
        <f>IFERROR(__xludf.DUMMYFUNCTION("""COMPUTED_VALUE"""),"Accord Healthcare Inc.")</f>
        <v>Accord Healthcare Inc.</v>
      </c>
      <c r="C140" s="5" t="str">
        <f>IFERROR(__xludf.DUMMYFUNCTION("""COMPUTED_VALUE"""),"Atropine Sulfate, Injection, .05 mg/1 mL (NDC 16729-483-03)")</f>
        <v>Atropine Sulfate, Injection, .05 mg/1 mL (NDC 16729-483-03)</v>
      </c>
      <c r="D140" s="5" t="str">
        <f>IFERROR(__xludf.DUMMYFUNCTION("""COMPUTED_VALUE"""),"Reverified")</f>
        <v>Reverified</v>
      </c>
      <c r="E140" s="13">
        <f>IFERROR(__xludf.DUMMYFUNCTION("""COMPUTED_VALUE"""),46312.0)</f>
        <v>46312</v>
      </c>
      <c r="F140" s="5" t="str">
        <f>IFERROR(__xludf.DUMMYFUNCTION("""COMPUTED_VALUE"""),"Unavailable")</f>
        <v>Unavailable</v>
      </c>
      <c r="G140" s="5" t="str">
        <f>IFERROR(__xludf.DUMMYFUNCTION("""COMPUTED_VALUE"""),"Discontinuation of the manufacture of the drug")</f>
        <v>Discontinuation of the manufacture of the drug</v>
      </c>
      <c r="H140" s="5"/>
      <c r="I140" s="5" t="str">
        <f>IFERROR(__xludf.DUMMYFUNCTION("""COMPUTED_VALUE"""),"Discontinuation of the manufacture of the drug")</f>
        <v>Discontinuation of the manufacture of the drug</v>
      </c>
      <c r="J140" s="5" t="str">
        <f>IFERROR(__xludf.DUMMYFUNCTION("""COMPUTED_VALUE"""),"Anesthesia; Neurology; Pediatric")</f>
        <v>Anesthesia; Neurology; Pediatric</v>
      </c>
      <c r="K140" s="5" t="str">
        <f>IFERROR(__xludf.DUMMYFUNCTION("""COMPUTED_VALUE"""),"Current")</f>
        <v>Current</v>
      </c>
      <c r="L140" s="5"/>
      <c r="M140" s="5"/>
      <c r="N140" s="10">
        <f>IFERROR(__xludf.DUMMYFUNCTION("""COMPUTED_VALUE"""),43831.0)</f>
        <v>43831</v>
      </c>
      <c r="O140" s="5">
        <v>2020.0</v>
      </c>
      <c r="P140" s="5" t="str">
        <f>IFERROR(__xludf.DUMMYFUNCTION("""COMPUTED_VALUE"""),"Unavailable")</f>
        <v>Unavailable</v>
      </c>
      <c r="Q140" s="5" t="s">
        <v>33</v>
      </c>
      <c r="R140" s="5" t="s">
        <v>136</v>
      </c>
      <c r="S140" s="11">
        <v>2490.0</v>
      </c>
    </row>
    <row r="141">
      <c r="A141" s="5" t="str">
        <f>IFERROR(__xludf.DUMMYFUNCTION("""COMPUTED_VALUE"""),"Atropine Sulfate Injection")</f>
        <v>Atropine Sulfate Injection</v>
      </c>
      <c r="B141" s="5" t="str">
        <f>IFERROR(__xludf.DUMMYFUNCTION("""COMPUTED_VALUE"""),"Accord Healthcare Inc.")</f>
        <v>Accord Healthcare Inc.</v>
      </c>
      <c r="C141" s="5" t="str">
        <f>IFERROR(__xludf.DUMMYFUNCTION("""COMPUTED_VALUE"""),"Atropine Sulfate, Injection, 0.1 mg/1 mL (NDC 16729-484-45)")</f>
        <v>Atropine Sulfate, Injection, 0.1 mg/1 mL (NDC 16729-484-45)</v>
      </c>
      <c r="D141" s="5" t="str">
        <f>IFERROR(__xludf.DUMMYFUNCTION("""COMPUTED_VALUE"""),"Reverified")</f>
        <v>Reverified</v>
      </c>
      <c r="E141" s="13">
        <f>IFERROR(__xludf.DUMMYFUNCTION("""COMPUTED_VALUE"""),46312.0)</f>
        <v>46312</v>
      </c>
      <c r="F141" s="5" t="str">
        <f>IFERROR(__xludf.DUMMYFUNCTION("""COMPUTED_VALUE"""),"Available")</f>
        <v>Available</v>
      </c>
      <c r="G141" s="5"/>
      <c r="H141" s="5"/>
      <c r="I141" s="5"/>
      <c r="J141" s="5" t="str">
        <f>IFERROR(__xludf.DUMMYFUNCTION("""COMPUTED_VALUE"""),"Anesthesia; Neurology; Pediatric")</f>
        <v>Anesthesia; Neurology; Pediatric</v>
      </c>
      <c r="K141" s="5" t="str">
        <f>IFERROR(__xludf.DUMMYFUNCTION("""COMPUTED_VALUE"""),"Current")</f>
        <v>Current</v>
      </c>
      <c r="L141" s="5"/>
      <c r="M141" s="5"/>
      <c r="N141" s="10">
        <f>IFERROR(__xludf.DUMMYFUNCTION("""COMPUTED_VALUE"""),43831.0)</f>
        <v>43831</v>
      </c>
      <c r="O141" s="5">
        <v>2020.0</v>
      </c>
      <c r="P141" s="5" t="str">
        <f>IFERROR(__xludf.DUMMYFUNCTION("""COMPUTED_VALUE"""),"Available")</f>
        <v>Available</v>
      </c>
      <c r="Q141" s="5" t="s">
        <v>135</v>
      </c>
      <c r="R141" s="5" t="s">
        <v>136</v>
      </c>
      <c r="S141" s="11">
        <v>2490.0</v>
      </c>
    </row>
    <row r="142">
      <c r="A142" s="5" t="str">
        <f>IFERROR(__xludf.DUMMYFUNCTION("""COMPUTED_VALUE"""),"Atropine Sulfate Injection")</f>
        <v>Atropine Sulfate Injection</v>
      </c>
      <c r="B142" s="5" t="str">
        <f>IFERROR(__xludf.DUMMYFUNCTION("""COMPUTED_VALUE"""),"Accord Healthcare Inc.")</f>
        <v>Accord Healthcare Inc.</v>
      </c>
      <c r="C142" s="5" t="str">
        <f>IFERROR(__xludf.DUMMYFUNCTION("""COMPUTED_VALUE"""),"Atropine Sulfate, Injection, .1 mg/1 mL (NDC 16729-484-90)")</f>
        <v>Atropine Sulfate, Injection, .1 mg/1 mL (NDC 16729-484-90)</v>
      </c>
      <c r="D142" s="5" t="str">
        <f>IFERROR(__xludf.DUMMYFUNCTION("""COMPUTED_VALUE"""),"Reverified")</f>
        <v>Reverified</v>
      </c>
      <c r="E142" s="13">
        <f>IFERROR(__xludf.DUMMYFUNCTION("""COMPUTED_VALUE"""),46312.0)</f>
        <v>46312</v>
      </c>
      <c r="F142" s="5" t="str">
        <f>IFERROR(__xludf.DUMMYFUNCTION("""COMPUTED_VALUE"""),"Unavailable")</f>
        <v>Unavailable</v>
      </c>
      <c r="G142" s="5" t="str">
        <f>IFERROR(__xludf.DUMMYFUNCTION("""COMPUTED_VALUE"""),"Discontinuation of the manufacture of the drug")</f>
        <v>Discontinuation of the manufacture of the drug</v>
      </c>
      <c r="H142" s="5"/>
      <c r="I142" s="5" t="str">
        <f>IFERROR(__xludf.DUMMYFUNCTION("""COMPUTED_VALUE"""),"Discontinuation of the manufacture of the drug")</f>
        <v>Discontinuation of the manufacture of the drug</v>
      </c>
      <c r="J142" s="5" t="str">
        <f>IFERROR(__xludf.DUMMYFUNCTION("""COMPUTED_VALUE"""),"Anesthesia; Neurology; Pediatric")</f>
        <v>Anesthesia; Neurology; Pediatric</v>
      </c>
      <c r="K142" s="5" t="str">
        <f>IFERROR(__xludf.DUMMYFUNCTION("""COMPUTED_VALUE"""),"Current")</f>
        <v>Current</v>
      </c>
      <c r="L142" s="5"/>
      <c r="M142" s="5"/>
      <c r="N142" s="10">
        <f>IFERROR(__xludf.DUMMYFUNCTION("""COMPUTED_VALUE"""),43831.0)</f>
        <v>43831</v>
      </c>
      <c r="O142" s="5">
        <v>2020.0</v>
      </c>
      <c r="P142" s="5" t="str">
        <f>IFERROR(__xludf.DUMMYFUNCTION("""COMPUTED_VALUE"""),"Unavailable")</f>
        <v>Unavailable</v>
      </c>
      <c r="Q142" s="5" t="s">
        <v>33</v>
      </c>
      <c r="R142" s="5" t="s">
        <v>136</v>
      </c>
      <c r="S142" s="11">
        <v>2490.0</v>
      </c>
    </row>
    <row r="143">
      <c r="A143" s="5" t="str">
        <f>IFERROR(__xludf.DUMMYFUNCTION("""COMPUTED_VALUE"""),"Atropine Sulfate Injection")</f>
        <v>Atropine Sulfate Injection</v>
      </c>
      <c r="B143" s="5" t="str">
        <f>IFERROR(__xludf.DUMMYFUNCTION("""COMPUTED_VALUE"""),"American Regent, Inc.")</f>
        <v>American Regent, Inc.</v>
      </c>
      <c r="C143" s="5" t="str">
        <f>IFERROR(__xludf.DUMMYFUNCTION("""COMPUTED_VALUE"""),"Atropine Sulfate, Injection, .4 mg/1 mL (NDC 0517-1004-25)")</f>
        <v>Atropine Sulfate, Injection, .4 mg/1 mL (NDC 0517-1004-25)</v>
      </c>
      <c r="D143" s="5" t="str">
        <f>IFERROR(__xludf.DUMMYFUNCTION("""COMPUTED_VALUE"""),"Reverified")</f>
        <v>Reverified</v>
      </c>
      <c r="E143" s="13">
        <f>IFERROR(__xludf.DUMMYFUNCTION("""COMPUTED_VALUE"""),46310.0)</f>
        <v>46310</v>
      </c>
      <c r="F143" s="5" t="str">
        <f>IFERROR(__xludf.DUMMYFUNCTION("""COMPUTED_VALUE"""),"Available")</f>
        <v>Available</v>
      </c>
      <c r="G143" s="5"/>
      <c r="H143" s="5"/>
      <c r="I143" s="5"/>
      <c r="J143" s="5" t="str">
        <f>IFERROR(__xludf.DUMMYFUNCTION("""COMPUTED_VALUE"""),"Anesthesia; Neurology; Pediatric")</f>
        <v>Anesthesia; Neurology; Pediatric</v>
      </c>
      <c r="K143" s="5" t="str">
        <f>IFERROR(__xludf.DUMMYFUNCTION("""COMPUTED_VALUE"""),"Current")</f>
        <v>Current</v>
      </c>
      <c r="L143" s="5"/>
      <c r="M143" s="5"/>
      <c r="N143" s="10">
        <f>IFERROR(__xludf.DUMMYFUNCTION("""COMPUTED_VALUE"""),40909.0)</f>
        <v>40909</v>
      </c>
      <c r="O143" s="5">
        <v>2012.0</v>
      </c>
      <c r="P143" s="5" t="str">
        <f>IFERROR(__xludf.DUMMYFUNCTION("""COMPUTED_VALUE"""),"Available")</f>
        <v>Available</v>
      </c>
      <c r="Q143" s="5" t="s">
        <v>135</v>
      </c>
      <c r="R143" s="5" t="s">
        <v>136</v>
      </c>
      <c r="S143" s="11">
        <v>5412.0</v>
      </c>
    </row>
    <row r="144">
      <c r="A144" s="5" t="str">
        <f>IFERROR(__xludf.DUMMYFUNCTION("""COMPUTED_VALUE"""),"Atropine Sulfate Injection")</f>
        <v>Atropine Sulfate Injection</v>
      </c>
      <c r="B144" s="5" t="str">
        <f>IFERROR(__xludf.DUMMYFUNCTION("""COMPUTED_VALUE"""),"Somerset Therapeutics, LLC")</f>
        <v>Somerset Therapeutics, LLC</v>
      </c>
      <c r="C144" s="5" t="str">
        <f>IFERROR(__xludf.DUMMYFUNCTION("""COMPUTED_VALUE"""),"Atropine Sulfate, Injection, .4 mg/1 mL (NDC 70069-631-25)")</f>
        <v>Atropine Sulfate, Injection, .4 mg/1 mL (NDC 70069-631-25)</v>
      </c>
      <c r="D144" s="5" t="str">
        <f>IFERROR(__xludf.DUMMYFUNCTION("""COMPUTED_VALUE"""),"Reverified")</f>
        <v>Reverified</v>
      </c>
      <c r="E144" s="10">
        <f>IFERROR(__xludf.DUMMYFUNCTION("""COMPUTED_VALUE"""),46276.0)</f>
        <v>46276</v>
      </c>
      <c r="F144" s="5" t="str">
        <f>IFERROR(__xludf.DUMMYFUNCTION("""COMPUTED_VALUE"""),"Available")</f>
        <v>Available</v>
      </c>
      <c r="G144" s="5"/>
      <c r="H144" s="5"/>
      <c r="I144" s="5"/>
      <c r="J144" s="5" t="str">
        <f>IFERROR(__xludf.DUMMYFUNCTION("""COMPUTED_VALUE"""),"Anesthesia; Neurology; Pediatric")</f>
        <v>Anesthesia; Neurology; Pediatric</v>
      </c>
      <c r="K144" s="5" t="str">
        <f>IFERROR(__xludf.DUMMYFUNCTION("""COMPUTED_VALUE"""),"Current")</f>
        <v>Current</v>
      </c>
      <c r="L144" s="5"/>
      <c r="M144" s="5"/>
      <c r="N144" s="10">
        <f>IFERROR(__xludf.DUMMYFUNCTION("""COMPUTED_VALUE"""),40909.0)</f>
        <v>40909</v>
      </c>
      <c r="O144" s="5">
        <v>2012.0</v>
      </c>
      <c r="P144" s="5" t="str">
        <f>IFERROR(__xludf.DUMMYFUNCTION("""COMPUTED_VALUE"""),"Available")</f>
        <v>Available</v>
      </c>
      <c r="Q144" s="5" t="s">
        <v>135</v>
      </c>
      <c r="R144" s="5" t="s">
        <v>136</v>
      </c>
      <c r="S144" s="11">
        <v>5412.0</v>
      </c>
    </row>
    <row r="145">
      <c r="A145" s="5" t="str">
        <f>IFERROR(__xludf.DUMMYFUNCTION("""COMPUTED_VALUE"""),"Atropine Sulfate Injection")</f>
        <v>Atropine Sulfate Injection</v>
      </c>
      <c r="B145" s="5" t="str">
        <f>IFERROR(__xludf.DUMMYFUNCTION("""COMPUTED_VALUE"""),"Somerset Therapeutics, LLC")</f>
        <v>Somerset Therapeutics, LLC</v>
      </c>
      <c r="C145" s="5" t="str">
        <f>IFERROR(__xludf.DUMMYFUNCTION("""COMPUTED_VALUE"""),"Atropine Sulfate, Injection, 1 mg/1 mL (NDC 70069-641-25)")</f>
        <v>Atropine Sulfate, Injection, 1 mg/1 mL (NDC 70069-641-25)</v>
      </c>
      <c r="D145" s="5" t="str">
        <f>IFERROR(__xludf.DUMMYFUNCTION("""COMPUTED_VALUE"""),"Reverified")</f>
        <v>Reverified</v>
      </c>
      <c r="E145" s="10">
        <f>IFERROR(__xludf.DUMMYFUNCTION("""COMPUTED_VALUE"""),46276.0)</f>
        <v>46276</v>
      </c>
      <c r="F145" s="5" t="str">
        <f>IFERROR(__xludf.DUMMYFUNCTION("""COMPUTED_VALUE"""),"Available")</f>
        <v>Available</v>
      </c>
      <c r="G145" s="5"/>
      <c r="H145" s="5"/>
      <c r="I145" s="5"/>
      <c r="J145" s="5" t="str">
        <f>IFERROR(__xludf.DUMMYFUNCTION("""COMPUTED_VALUE"""),"Anesthesia; Neurology; Pediatric")</f>
        <v>Anesthesia; Neurology; Pediatric</v>
      </c>
      <c r="K145" s="5" t="str">
        <f>IFERROR(__xludf.DUMMYFUNCTION("""COMPUTED_VALUE"""),"Current")</f>
        <v>Current</v>
      </c>
      <c r="L145" s="5"/>
      <c r="M145" s="5"/>
      <c r="N145" s="10">
        <f>IFERROR(__xludf.DUMMYFUNCTION("""COMPUTED_VALUE"""),40909.0)</f>
        <v>40909</v>
      </c>
      <c r="O145" s="5">
        <v>2012.0</v>
      </c>
      <c r="P145" s="5" t="str">
        <f>IFERROR(__xludf.DUMMYFUNCTION("""COMPUTED_VALUE"""),"Available")</f>
        <v>Available</v>
      </c>
      <c r="Q145" s="5" t="s">
        <v>135</v>
      </c>
      <c r="R145" s="5" t="s">
        <v>136</v>
      </c>
      <c r="S145" s="11">
        <v>5412.0</v>
      </c>
    </row>
    <row r="146">
      <c r="A146" s="5" t="str">
        <f>IFERROR(__xludf.DUMMYFUNCTION("""COMPUTED_VALUE"""),"Atropine Sulfate Injection")</f>
        <v>Atropine Sulfate Injection</v>
      </c>
      <c r="B146" s="5" t="str">
        <f>IFERROR(__xludf.DUMMYFUNCTION("""COMPUTED_VALUE"""),"Somerset Therapeutics, LLC")</f>
        <v>Somerset Therapeutics, LLC</v>
      </c>
      <c r="C146" s="5" t="str">
        <f>IFERROR(__xludf.DUMMYFUNCTION("""COMPUTED_VALUE"""),"Atropine Sulfate, Injection, .4 mg/1 mL (NDC 70069-481-10)")</f>
        <v>Atropine Sulfate, Injection, .4 mg/1 mL (NDC 70069-481-10)</v>
      </c>
      <c r="D146" s="5" t="str">
        <f>IFERROR(__xludf.DUMMYFUNCTION("""COMPUTED_VALUE"""),"Reverified")</f>
        <v>Reverified</v>
      </c>
      <c r="E146" s="10">
        <f>IFERROR(__xludf.DUMMYFUNCTION("""COMPUTED_VALUE"""),46276.0)</f>
        <v>46276</v>
      </c>
      <c r="F146" s="5" t="str">
        <f>IFERROR(__xludf.DUMMYFUNCTION("""COMPUTED_VALUE"""),"Available")</f>
        <v>Available</v>
      </c>
      <c r="G146" s="5"/>
      <c r="H146" s="5"/>
      <c r="I146" s="5"/>
      <c r="J146" s="5" t="str">
        <f>IFERROR(__xludf.DUMMYFUNCTION("""COMPUTED_VALUE"""),"Anesthesia; Neurology; Pediatric")</f>
        <v>Anesthesia; Neurology; Pediatric</v>
      </c>
      <c r="K146" s="5" t="str">
        <f>IFERROR(__xludf.DUMMYFUNCTION("""COMPUTED_VALUE"""),"Current")</f>
        <v>Current</v>
      </c>
      <c r="L146" s="5"/>
      <c r="M146" s="5"/>
      <c r="N146" s="10">
        <f>IFERROR(__xludf.DUMMYFUNCTION("""COMPUTED_VALUE"""),40909.0)</f>
        <v>40909</v>
      </c>
      <c r="O146" s="5">
        <v>2012.0</v>
      </c>
      <c r="P146" s="5" t="str">
        <f>IFERROR(__xludf.DUMMYFUNCTION("""COMPUTED_VALUE"""),"Available")</f>
        <v>Available</v>
      </c>
      <c r="Q146" s="5" t="s">
        <v>135</v>
      </c>
      <c r="R146" s="5" t="s">
        <v>136</v>
      </c>
      <c r="S146" s="11">
        <v>5412.0</v>
      </c>
    </row>
    <row r="147">
      <c r="A147" s="5" t="str">
        <f>IFERROR(__xludf.DUMMYFUNCTION("""COMPUTED_VALUE"""),"Azacitidine Injection")</f>
        <v>Azacitidine Injection</v>
      </c>
      <c r="B147" s="5" t="str">
        <f>IFERROR(__xludf.DUMMYFUNCTION("""COMPUTED_VALUE"""),"Bristol Myers Squibb Co.")</f>
        <v>Bristol Myers Squibb Co.</v>
      </c>
      <c r="C147" s="5" t="str">
        <f>IFERROR(__xludf.DUMMYFUNCTION("""COMPUTED_VALUE"""),"Vidaza, Injection, 100 mg (NDC 59572-102-01)")</f>
        <v>Vidaza, Injection, 100 mg (NDC 59572-102-01)</v>
      </c>
      <c r="D147" s="5" t="str">
        <f>IFERROR(__xludf.DUMMYFUNCTION("""COMPUTED_VALUE"""),"Reverified")</f>
        <v>Reverified</v>
      </c>
      <c r="E147" s="13">
        <f>IFERROR(__xludf.DUMMYFUNCTION("""COMPUTED_VALUE"""),46310.0)</f>
        <v>46310</v>
      </c>
      <c r="F147" s="5" t="str">
        <f>IFERROR(__xludf.DUMMYFUNCTION("""COMPUTED_VALUE"""),"Available")</f>
        <v>Available</v>
      </c>
      <c r="G147" s="5"/>
      <c r="H147" s="5"/>
      <c r="I147" s="5"/>
      <c r="J147" s="5" t="str">
        <f>IFERROR(__xludf.DUMMYFUNCTION("""COMPUTED_VALUE"""),"Oncology")</f>
        <v>Oncology</v>
      </c>
      <c r="K147" s="5" t="str">
        <f>IFERROR(__xludf.DUMMYFUNCTION("""COMPUTED_VALUE"""),"Current")</f>
        <v>Current</v>
      </c>
      <c r="L147" s="5"/>
      <c r="M147" s="5"/>
      <c r="N147" s="13">
        <f>IFERROR(__xludf.DUMMYFUNCTION("""COMPUTED_VALUE"""),44183.0)</f>
        <v>44183</v>
      </c>
      <c r="O147" s="5">
        <v>2020.0</v>
      </c>
      <c r="P147" s="5" t="str">
        <f>IFERROR(__xludf.DUMMYFUNCTION("""COMPUTED_VALUE"""),"Available")</f>
        <v>Available</v>
      </c>
      <c r="Q147" s="5" t="s">
        <v>135</v>
      </c>
      <c r="R147" s="5" t="s">
        <v>136</v>
      </c>
      <c r="S147" s="11">
        <v>2138.0</v>
      </c>
    </row>
    <row r="148">
      <c r="A148" s="5" t="str">
        <f>IFERROR(__xludf.DUMMYFUNCTION("""COMPUTED_VALUE"""),"Azacitidine Injection")</f>
        <v>Azacitidine Injection</v>
      </c>
      <c r="B148" s="5" t="str">
        <f>IFERROR(__xludf.DUMMYFUNCTION("""COMPUTED_VALUE"""),"Fresenius Kabi USA, LLC")</f>
        <v>Fresenius Kabi USA, LLC</v>
      </c>
      <c r="C148" s="5" t="str">
        <f>IFERROR(__xludf.DUMMYFUNCTION("""COMPUTED_VALUE"""),"Azacitidine, Injection, 100 mg/30 mL (NDC 63323-771-39)")</f>
        <v>Azacitidine, Injection, 100 mg/30 mL (NDC 63323-771-39)</v>
      </c>
      <c r="D148" s="5" t="str">
        <f>IFERROR(__xludf.DUMMYFUNCTION("""COMPUTED_VALUE"""),"Reverified")</f>
        <v>Reverified</v>
      </c>
      <c r="E148" s="13">
        <f>IFERROR(__xludf.DUMMYFUNCTION("""COMPUTED_VALUE"""),46310.0)</f>
        <v>46310</v>
      </c>
      <c r="F148" s="5" t="str">
        <f>IFERROR(__xludf.DUMMYFUNCTION("""COMPUTED_VALUE"""),"Unavailable")</f>
        <v>Unavailable</v>
      </c>
      <c r="G148" s="5" t="str">
        <f>IFERROR(__xludf.DUMMYFUNCTION("""COMPUTED_VALUE"""),"Discontinuation of the manufacture of the drug")</f>
        <v>Discontinuation of the manufacture of the drug</v>
      </c>
      <c r="H148" s="5"/>
      <c r="I148" s="5" t="str">
        <f>IFERROR(__xludf.DUMMYFUNCTION("""COMPUTED_VALUE"""),"Discontinuation of the manufacture of the drug")</f>
        <v>Discontinuation of the manufacture of the drug</v>
      </c>
      <c r="J148" s="5" t="str">
        <f>IFERROR(__xludf.DUMMYFUNCTION("""COMPUTED_VALUE"""),"Oncology")</f>
        <v>Oncology</v>
      </c>
      <c r="K148" s="5" t="str">
        <f>IFERROR(__xludf.DUMMYFUNCTION("""COMPUTED_VALUE"""),"Current")</f>
        <v>Current</v>
      </c>
      <c r="L148" s="5"/>
      <c r="M148" s="5"/>
      <c r="N148" s="13">
        <f>IFERROR(__xludf.DUMMYFUNCTION("""COMPUTED_VALUE"""),44183.0)</f>
        <v>44183</v>
      </c>
      <c r="O148" s="5">
        <v>2020.0</v>
      </c>
      <c r="P148" s="5" t="str">
        <f>IFERROR(__xludf.DUMMYFUNCTION("""COMPUTED_VALUE"""),"Unavailable")</f>
        <v>Unavailable</v>
      </c>
      <c r="Q148" s="5" t="s">
        <v>33</v>
      </c>
      <c r="R148" s="5" t="s">
        <v>136</v>
      </c>
      <c r="S148" s="11">
        <v>2138.0</v>
      </c>
    </row>
    <row r="149">
      <c r="A149" s="5" t="str">
        <f>IFERROR(__xludf.DUMMYFUNCTION("""COMPUTED_VALUE"""),"Azacitidine Injection")</f>
        <v>Azacitidine Injection</v>
      </c>
      <c r="B149" s="5" t="str">
        <f>IFERROR(__xludf.DUMMYFUNCTION("""COMPUTED_VALUE"""),"Hikma Pharmaceuticals USA, Inc.")</f>
        <v>Hikma Pharmaceuticals USA, Inc.</v>
      </c>
      <c r="C149" s="5" t="str">
        <f>IFERROR(__xludf.DUMMYFUNCTION("""COMPUTED_VALUE"""),"Azacitidine, Injection, 100 mg/ Vial (NDC 0143-9606-01)")</f>
        <v>Azacitidine, Injection, 100 mg/ Vial (NDC 0143-9606-01)</v>
      </c>
      <c r="D149" s="5" t="str">
        <f>IFERROR(__xludf.DUMMYFUNCTION("""COMPUTED_VALUE"""),"Revised")</f>
        <v>Revised</v>
      </c>
      <c r="E149" s="13">
        <f>IFERROR(__xludf.DUMMYFUNCTION("""COMPUTED_VALUE"""),46309.0)</f>
        <v>46309</v>
      </c>
      <c r="F149" s="5" t="str">
        <f>IFERROR(__xludf.DUMMYFUNCTION("""COMPUTED_VALUE"""),"Unavailable")</f>
        <v>Unavailable</v>
      </c>
      <c r="G149" s="5" t="str">
        <f>IFERROR(__xludf.DUMMYFUNCTION("""COMPUTED_VALUE"""),"Product temporarily on backorder.  Additional lots will be available the end of October 2026.")</f>
        <v>Product temporarily on backorder.  Additional lots will be available the end of October 2026.</v>
      </c>
      <c r="H149" s="5"/>
      <c r="I149" s="5" t="str">
        <f>IFERROR(__xludf.DUMMYFUNCTION("""COMPUTED_VALUE"""),"Demand increase for the drug")</f>
        <v>Demand increase for the drug</v>
      </c>
      <c r="J149" s="5" t="str">
        <f>IFERROR(__xludf.DUMMYFUNCTION("""COMPUTED_VALUE"""),"Oncology")</f>
        <v>Oncology</v>
      </c>
      <c r="K149" s="5" t="str">
        <f>IFERROR(__xludf.DUMMYFUNCTION("""COMPUTED_VALUE"""),"Current")</f>
        <v>Current</v>
      </c>
      <c r="L149" s="5"/>
      <c r="M149" s="5"/>
      <c r="N149" s="13">
        <f>IFERROR(__xludf.DUMMYFUNCTION("""COMPUTED_VALUE"""),44183.0)</f>
        <v>44183</v>
      </c>
      <c r="O149" s="5">
        <v>2020.0</v>
      </c>
      <c r="P149" s="5" t="str">
        <f>IFERROR(__xludf.DUMMYFUNCTION("""COMPUTED_VALUE"""),"Unavailable")</f>
        <v>Unavailable</v>
      </c>
      <c r="Q149" s="5" t="s">
        <v>134</v>
      </c>
      <c r="R149" s="5" t="s">
        <v>136</v>
      </c>
      <c r="S149" s="11">
        <v>2138.0</v>
      </c>
    </row>
    <row r="150">
      <c r="A150" s="5" t="str">
        <f>IFERROR(__xludf.DUMMYFUNCTION("""COMPUTED_VALUE"""),"Azacitidine Injection")</f>
        <v>Azacitidine Injection</v>
      </c>
      <c r="B150" s="5" t="str">
        <f>IFERROR(__xludf.DUMMYFUNCTION("""COMPUTED_VALUE"""),"Dr. Reddy's Laboratories, Inc.")</f>
        <v>Dr. Reddy's Laboratories, Inc.</v>
      </c>
      <c r="C150" s="5" t="str">
        <f>IFERROR(__xludf.DUMMYFUNCTION("""COMPUTED_VALUE"""),"Azacitidine, Injection, 100 mg (NDC 43598-305-62)")</f>
        <v>Azacitidine, Injection, 100 mg (NDC 43598-305-62)</v>
      </c>
      <c r="D150" s="5" t="str">
        <f>IFERROR(__xludf.DUMMYFUNCTION("""COMPUTED_VALUE"""),"Reverified")</f>
        <v>Reverified</v>
      </c>
      <c r="E150" s="13">
        <f>IFERROR(__xludf.DUMMYFUNCTION("""COMPUTED_VALUE"""),46315.0)</f>
        <v>46315</v>
      </c>
      <c r="F150" s="5" t="str">
        <f>IFERROR(__xludf.DUMMYFUNCTION("""COMPUTED_VALUE"""),"Available")</f>
        <v>Available</v>
      </c>
      <c r="G150" s="5" t="str">
        <f>IFERROR(__xludf.DUMMYFUNCTION("""COMPUTED_VALUE"""),"Available to existing customers")</f>
        <v>Available to existing customers</v>
      </c>
      <c r="H150" s="5"/>
      <c r="I150" s="5"/>
      <c r="J150" s="5" t="str">
        <f>IFERROR(__xludf.DUMMYFUNCTION("""COMPUTED_VALUE"""),"Oncology")</f>
        <v>Oncology</v>
      </c>
      <c r="K150" s="5" t="str">
        <f>IFERROR(__xludf.DUMMYFUNCTION("""COMPUTED_VALUE"""),"Current")</f>
        <v>Current</v>
      </c>
      <c r="L150" s="5"/>
      <c r="M150" s="5"/>
      <c r="N150" s="13">
        <f>IFERROR(__xludf.DUMMYFUNCTION("""COMPUTED_VALUE"""),44183.0)</f>
        <v>44183</v>
      </c>
      <c r="O150" s="5">
        <v>2020.0</v>
      </c>
      <c r="P150" s="5" t="str">
        <f>IFERROR(__xludf.DUMMYFUNCTION("""COMPUTED_VALUE"""),"Available")</f>
        <v>Available</v>
      </c>
      <c r="Q150" s="5" t="s">
        <v>135</v>
      </c>
      <c r="R150" s="5" t="s">
        <v>136</v>
      </c>
      <c r="S150" s="11">
        <v>2138.0</v>
      </c>
    </row>
    <row r="151">
      <c r="A151" s="5" t="str">
        <f>IFERROR(__xludf.DUMMYFUNCTION("""COMPUTED_VALUE"""),"Azacitidine Injection")</f>
        <v>Azacitidine Injection</v>
      </c>
      <c r="B151" s="5" t="str">
        <f>IFERROR(__xludf.DUMMYFUNCTION("""COMPUTED_VALUE"""),"Armas Pharmaceuticals Inc")</f>
        <v>Armas Pharmaceuticals Inc</v>
      </c>
      <c r="C151" s="5" t="str">
        <f>IFERROR(__xludf.DUMMYFUNCTION("""COMPUTED_VALUE"""),"Azacitidine, Injection, 100 mg (NDC 72485-201-01)")</f>
        <v>Azacitidine, Injection, 100 mg (NDC 72485-201-01)</v>
      </c>
      <c r="D151" s="5" t="str">
        <f>IFERROR(__xludf.DUMMYFUNCTION("""COMPUTED_VALUE"""),"Revised")</f>
        <v>Revised</v>
      </c>
      <c r="E151" s="10">
        <f>IFERROR(__xludf.DUMMYFUNCTION("""COMPUTED_VALUE"""),46181.0)</f>
        <v>46181</v>
      </c>
      <c r="F151" s="5" t="str">
        <f>IFERROR(__xludf.DUMMYFUNCTION("""COMPUTED_VALUE"""),"Limited Availability")</f>
        <v>Limited Availability</v>
      </c>
      <c r="G151" s="5" t="str">
        <f>IFERROR(__xludf.DUMMYFUNCTION("""COMPUTED_VALUE"""),"Estimated recovery: TBD")</f>
        <v>Estimated recovery: TBD</v>
      </c>
      <c r="H151" s="5"/>
      <c r="I151" s="5" t="str">
        <f>IFERROR(__xludf.DUMMYFUNCTION("""COMPUTED_VALUE"""),"Other")</f>
        <v>Other</v>
      </c>
      <c r="J151" s="5" t="str">
        <f>IFERROR(__xludf.DUMMYFUNCTION("""COMPUTED_VALUE"""),"Oncology")</f>
        <v>Oncology</v>
      </c>
      <c r="K151" s="5" t="str">
        <f>IFERROR(__xludf.DUMMYFUNCTION("""COMPUTED_VALUE"""),"Current")</f>
        <v>Current</v>
      </c>
      <c r="L151" s="5"/>
      <c r="M151" s="5"/>
      <c r="N151" s="13">
        <f>IFERROR(__xludf.DUMMYFUNCTION("""COMPUTED_VALUE"""),44183.0)</f>
        <v>44183</v>
      </c>
      <c r="O151" s="5">
        <v>2020.0</v>
      </c>
      <c r="P151" s="5" t="str">
        <f>IFERROR(__xludf.DUMMYFUNCTION("""COMPUTED_VALUE"""),"Limited Availability")</f>
        <v>Limited Availability</v>
      </c>
      <c r="Q151" s="5" t="s">
        <v>47</v>
      </c>
      <c r="R151" s="5" t="s">
        <v>136</v>
      </c>
      <c r="S151" s="11">
        <v>2138.0</v>
      </c>
    </row>
    <row r="152">
      <c r="A152" s="5" t="str">
        <f>IFERROR(__xludf.DUMMYFUNCTION("""COMPUTED_VALUE"""),"Azacitidine Injection")</f>
        <v>Azacitidine Injection</v>
      </c>
      <c r="B152" s="5" t="str">
        <f>IFERROR(__xludf.DUMMYFUNCTION("""COMPUTED_VALUE"""),"Accord Healthcare Inc.")</f>
        <v>Accord Healthcare Inc.</v>
      </c>
      <c r="C152" s="5" t="str">
        <f>IFERROR(__xludf.DUMMYFUNCTION("""COMPUTED_VALUE"""),"Azacitidine, Injection, 100 mg (NDC 16729-306-10)")</f>
        <v>Azacitidine, Injection, 100 mg (NDC 16729-306-10)</v>
      </c>
      <c r="D152" s="5" t="str">
        <f>IFERROR(__xludf.DUMMYFUNCTION("""COMPUTED_VALUE"""),"Reverified")</f>
        <v>Reverified</v>
      </c>
      <c r="E152" s="13">
        <f>IFERROR(__xludf.DUMMYFUNCTION("""COMPUTED_VALUE"""),46312.0)</f>
        <v>46312</v>
      </c>
      <c r="F152" s="5" t="str">
        <f>IFERROR(__xludf.DUMMYFUNCTION("""COMPUTED_VALUE"""),"Available")</f>
        <v>Available</v>
      </c>
      <c r="G152" s="5"/>
      <c r="H152" s="5"/>
      <c r="I152" s="5"/>
      <c r="J152" s="5" t="str">
        <f>IFERROR(__xludf.DUMMYFUNCTION("""COMPUTED_VALUE"""),"Oncology")</f>
        <v>Oncology</v>
      </c>
      <c r="K152" s="5" t="str">
        <f>IFERROR(__xludf.DUMMYFUNCTION("""COMPUTED_VALUE"""),"Current")</f>
        <v>Current</v>
      </c>
      <c r="L152" s="5"/>
      <c r="M152" s="5"/>
      <c r="N152" s="13">
        <f>IFERROR(__xludf.DUMMYFUNCTION("""COMPUTED_VALUE"""),44186.0)</f>
        <v>44186</v>
      </c>
      <c r="O152" s="5">
        <v>2020.0</v>
      </c>
      <c r="P152" s="5" t="str">
        <f>IFERROR(__xludf.DUMMYFUNCTION("""COMPUTED_VALUE"""),"Available")</f>
        <v>Available</v>
      </c>
      <c r="Q152" s="5" t="s">
        <v>135</v>
      </c>
      <c r="R152" s="5" t="s">
        <v>136</v>
      </c>
      <c r="S152" s="11">
        <v>2135.0</v>
      </c>
    </row>
    <row r="153">
      <c r="A153" s="5" t="str">
        <f>IFERROR(__xludf.DUMMYFUNCTION("""COMPUTED_VALUE"""),"Azacitidine Injection")</f>
        <v>Azacitidine Injection</v>
      </c>
      <c r="B153" s="5" t="str">
        <f>IFERROR(__xludf.DUMMYFUNCTION("""COMPUTED_VALUE"""),"Teva Pharmaceuticals USA, Inc.")</f>
        <v>Teva Pharmaceuticals USA, Inc.</v>
      </c>
      <c r="C153" s="5" t="str">
        <f>IFERROR(__xludf.DUMMYFUNCTION("""COMPUTED_VALUE"""),"Azacitidine, Injection, 100 mg (NDC 68001-313-56)")</f>
        <v>Azacitidine, Injection, 100 mg (NDC 68001-313-56)</v>
      </c>
      <c r="D153" s="5" t="str">
        <f>IFERROR(__xludf.DUMMYFUNCTION("""COMPUTED_VALUE"""),"Reverified")</f>
        <v>Reverified</v>
      </c>
      <c r="E153" s="13">
        <f>IFERROR(__xludf.DUMMYFUNCTION("""COMPUTED_VALUE"""),46310.0)</f>
        <v>46310</v>
      </c>
      <c r="F153" s="5" t="str">
        <f>IFERROR(__xludf.DUMMYFUNCTION("""COMPUTED_VALUE"""),"Unavailable")</f>
        <v>Unavailable</v>
      </c>
      <c r="G153" s="5" t="str">
        <f>IFERROR(__xludf.DUMMYFUNCTION("""COMPUTED_VALUE"""),"Estimated recovery: TBD")</f>
        <v>Estimated recovery: TBD</v>
      </c>
      <c r="H153" s="5"/>
      <c r="I153" s="5" t="str">
        <f>IFERROR(__xludf.DUMMYFUNCTION("""COMPUTED_VALUE"""),"Other")</f>
        <v>Other</v>
      </c>
      <c r="J153" s="5" t="str">
        <f>IFERROR(__xludf.DUMMYFUNCTION("""COMPUTED_VALUE"""),"Oncology")</f>
        <v>Oncology</v>
      </c>
      <c r="K153" s="5" t="str">
        <f>IFERROR(__xludf.DUMMYFUNCTION("""COMPUTED_VALUE"""),"Current")</f>
        <v>Current</v>
      </c>
      <c r="L153" s="5"/>
      <c r="M153" s="5"/>
      <c r="N153" s="13">
        <f>IFERROR(__xludf.DUMMYFUNCTION("""COMPUTED_VALUE"""),44187.0)</f>
        <v>44187</v>
      </c>
      <c r="O153" s="5">
        <v>2020.0</v>
      </c>
      <c r="P153" s="5" t="str">
        <f>IFERROR(__xludf.DUMMYFUNCTION("""COMPUTED_VALUE"""),"Unavailable")</f>
        <v>Unavailable</v>
      </c>
      <c r="Q153" s="5" t="s">
        <v>47</v>
      </c>
      <c r="R153" s="5" t="s">
        <v>136</v>
      </c>
      <c r="S153" s="11">
        <v>2134.0</v>
      </c>
    </row>
    <row r="154">
      <c r="A154" s="5" t="str">
        <f>IFERROR(__xludf.DUMMYFUNCTION("""COMPUTED_VALUE"""),"Azacitidine Injection")</f>
        <v>Azacitidine Injection</v>
      </c>
      <c r="B154" s="5" t="str">
        <f>IFERROR(__xludf.DUMMYFUNCTION("""COMPUTED_VALUE"""),"Meitheal Pharmaceuticals, Inc.")</f>
        <v>Meitheal Pharmaceuticals, Inc.</v>
      </c>
      <c r="C154" s="5" t="str">
        <f>IFERROR(__xludf.DUMMYFUNCTION("""COMPUTED_VALUE"""),"Azacitidine, Injection, 100 mg/30 mL (NDC 71288-115-30)")</f>
        <v>Azacitidine, Injection, 100 mg/30 mL (NDC 71288-115-30)</v>
      </c>
      <c r="D154" s="5" t="str">
        <f>IFERROR(__xludf.DUMMYFUNCTION("""COMPUTED_VALUE"""),"Reverified")</f>
        <v>Reverified</v>
      </c>
      <c r="E154" s="10">
        <f>IFERROR(__xludf.DUMMYFUNCTION("""COMPUTED_VALUE"""),46261.0)</f>
        <v>46261</v>
      </c>
      <c r="F154" s="5" t="str">
        <f>IFERROR(__xludf.DUMMYFUNCTION("""COMPUTED_VALUE"""),"Available")</f>
        <v>Available</v>
      </c>
      <c r="G154" s="5"/>
      <c r="H154" s="5"/>
      <c r="I154" s="5"/>
      <c r="J154" s="5" t="str">
        <f>IFERROR(__xludf.DUMMYFUNCTION("""COMPUTED_VALUE"""),"Oncology")</f>
        <v>Oncology</v>
      </c>
      <c r="K154" s="5" t="str">
        <f>IFERROR(__xludf.DUMMYFUNCTION("""COMPUTED_VALUE"""),"Current")</f>
        <v>Current</v>
      </c>
      <c r="L154" s="5"/>
      <c r="M154" s="5"/>
      <c r="N154" s="13">
        <f>IFERROR(__xludf.DUMMYFUNCTION("""COMPUTED_VALUE"""),44183.0)</f>
        <v>44183</v>
      </c>
      <c r="O154" s="5">
        <v>2020.0</v>
      </c>
      <c r="P154" s="5" t="str">
        <f>IFERROR(__xludf.DUMMYFUNCTION("""COMPUTED_VALUE"""),"Available")</f>
        <v>Available</v>
      </c>
      <c r="Q154" s="5" t="s">
        <v>135</v>
      </c>
      <c r="R154" s="5" t="s">
        <v>136</v>
      </c>
      <c r="S154" s="11">
        <v>2138.0</v>
      </c>
    </row>
    <row r="155">
      <c r="A155" s="5" t="str">
        <f>IFERROR(__xludf.DUMMYFUNCTION("""COMPUTED_VALUE"""),"Azacitidine Injection")</f>
        <v>Azacitidine Injection</v>
      </c>
      <c r="B155" s="5" t="str">
        <f>IFERROR(__xludf.DUMMYFUNCTION("""COMPUTED_VALUE"""),"Eugia US LLC")</f>
        <v>Eugia US LLC</v>
      </c>
      <c r="C155" s="5" t="str">
        <f>IFERROR(__xludf.DUMMYFUNCTION("""COMPUTED_VALUE"""),"Azacitidine, Injection, 100 mg/4 mL (NDC 55150-393-01)")</f>
        <v>Azacitidine, Injection, 100 mg/4 mL (NDC 55150-393-01)</v>
      </c>
      <c r="D155" s="5" t="str">
        <f>IFERROR(__xludf.DUMMYFUNCTION("""COMPUTED_VALUE"""),"Reverified")</f>
        <v>Reverified</v>
      </c>
      <c r="E155" s="13">
        <f>IFERROR(__xludf.DUMMYFUNCTION("""COMPUTED_VALUE"""),46314.0)</f>
        <v>46314</v>
      </c>
      <c r="F155" s="5" t="str">
        <f>IFERROR(__xludf.DUMMYFUNCTION("""COMPUTED_VALUE"""),"Unavailable")</f>
        <v>Unavailable</v>
      </c>
      <c r="G155" s="5" t="str">
        <f>IFERROR(__xludf.DUMMYFUNCTION("""COMPUTED_VALUE"""),"On backorder. Recovery: TBD. Check wholesalers for inventory")</f>
        <v>On backorder. Recovery: TBD. Check wholesalers for inventory</v>
      </c>
      <c r="H155" s="5"/>
      <c r="I155" s="5" t="str">
        <f>IFERROR(__xludf.DUMMYFUNCTION("""COMPUTED_VALUE"""),"Demand increase for the drug")</f>
        <v>Demand increase for the drug</v>
      </c>
      <c r="J155" s="5" t="str">
        <f>IFERROR(__xludf.DUMMYFUNCTION("""COMPUTED_VALUE"""),"Oncology")</f>
        <v>Oncology</v>
      </c>
      <c r="K155" s="5" t="str">
        <f>IFERROR(__xludf.DUMMYFUNCTION("""COMPUTED_VALUE"""),"Current")</f>
        <v>Current</v>
      </c>
      <c r="L155" s="5"/>
      <c r="M155" s="5"/>
      <c r="N155" s="13">
        <f>IFERROR(__xludf.DUMMYFUNCTION("""COMPUTED_VALUE"""),44187.0)</f>
        <v>44187</v>
      </c>
      <c r="O155" s="5">
        <v>2020.0</v>
      </c>
      <c r="P155" s="5" t="str">
        <f>IFERROR(__xludf.DUMMYFUNCTION("""COMPUTED_VALUE"""),"Unavailable")</f>
        <v>Unavailable</v>
      </c>
      <c r="Q155" s="5" t="s">
        <v>134</v>
      </c>
      <c r="R155" s="5" t="s">
        <v>136</v>
      </c>
      <c r="S155" s="11">
        <v>2134.0</v>
      </c>
    </row>
    <row r="156">
      <c r="A156" s="5" t="str">
        <f>IFERROR(__xludf.DUMMYFUNCTION("""COMPUTED_VALUE"""),"Azithromycin Injection")</f>
        <v>Azithromycin Injection</v>
      </c>
      <c r="B156" s="5" t="str">
        <f>IFERROR(__xludf.DUMMYFUNCTION("""COMPUTED_VALUE"""),"Pfizer Inc.")</f>
        <v>Pfizer Inc.</v>
      </c>
      <c r="C156" s="5" t="str">
        <f>IFERROR(__xludf.DUMMYFUNCTION("""COMPUTED_VALUE"""),"Zithromax IV, Injection, 500 mg/5 mL (NDC 0069-3150-83)")</f>
        <v>Zithromax IV, Injection, 500 mg/5 mL (NDC 0069-3150-83)</v>
      </c>
      <c r="D156" s="5" t="str">
        <f>IFERROR(__xludf.DUMMYFUNCTION("""COMPUTED_VALUE"""),"New")</f>
        <v>New</v>
      </c>
      <c r="E156" s="10">
        <f>IFERROR(__xludf.DUMMYFUNCTION("""COMPUTED_VALUE"""),46042.0)</f>
        <v>46042</v>
      </c>
      <c r="F156" s="5"/>
      <c r="G156" s="5" t="str">
        <f>IFERROR(__xludf.DUMMYFUNCTION("""COMPUTED_VALUE"""),"Discontinuation of the manufacture of the drug.")</f>
        <v>Discontinuation of the manufacture of the drug.</v>
      </c>
      <c r="H156" s="5"/>
      <c r="I156" s="5"/>
      <c r="J156" s="5" t="str">
        <f>IFERROR(__xludf.DUMMYFUNCTION("""COMPUTED_VALUE"""),"Anti-Infective")</f>
        <v>Anti-Infective</v>
      </c>
      <c r="K156" s="5" t="str">
        <f>IFERROR(__xludf.DUMMYFUNCTION("""COMPUTED_VALUE"""),"To Be Discontinued")</f>
        <v>To Be Discontinued</v>
      </c>
      <c r="L156" s="5"/>
      <c r="M156" s="10">
        <f>IFERROR(__xludf.DUMMYFUNCTION("""COMPUTED_VALUE"""),46042.0)</f>
        <v>46042</v>
      </c>
      <c r="N156" s="10">
        <f>IFERROR(__xludf.DUMMYFUNCTION("""COMPUTED_VALUE"""),46042.0)</f>
        <v>46042</v>
      </c>
      <c r="O156" s="5">
        <v>2026.0</v>
      </c>
      <c r="P156" s="5" t="str">
        <f>IFERROR(__xludf.DUMMYFUNCTION("""COMPUTED_VALUE"""),"Not stated")</f>
        <v>Not stated</v>
      </c>
      <c r="Q156" s="5" t="s">
        <v>135</v>
      </c>
      <c r="R156" s="5" t="s">
        <v>136</v>
      </c>
      <c r="S156" s="11">
        <v>279.0</v>
      </c>
    </row>
    <row r="157">
      <c r="A157" s="5" t="str">
        <f>IFERROR(__xludf.DUMMYFUNCTION("""COMPUTED_VALUE"""),"Azithromycin Tablet")</f>
        <v>Azithromycin Tablet</v>
      </c>
      <c r="B157" s="5" t="str">
        <f>IFERROR(__xludf.DUMMYFUNCTION("""COMPUTED_VALUE"""),"Pfizer Inc.")</f>
        <v>Pfizer Inc.</v>
      </c>
      <c r="C157" s="5" t="str">
        <f>IFERROR(__xludf.DUMMYFUNCTION("""COMPUTED_VALUE"""),"Zithromax, Tablet, 500 mg (NDC 0069-3070-30)")</f>
        <v>Zithromax, Tablet, 500 mg (NDC 0069-3070-30)</v>
      </c>
      <c r="D157" s="5" t="str">
        <f>IFERROR(__xludf.DUMMYFUNCTION("""COMPUTED_VALUE"""),"New")</f>
        <v>New</v>
      </c>
      <c r="E157" s="10">
        <f>IFERROR(__xludf.DUMMYFUNCTION("""COMPUTED_VALUE"""),46121.0)</f>
        <v>46121</v>
      </c>
      <c r="F157" s="5"/>
      <c r="G157" s="5" t="str">
        <f>IFERROR(__xludf.DUMMYFUNCTION("""COMPUTED_VALUE"""),"Discontinuation of the manufacture of the drug")</f>
        <v>Discontinuation of the manufacture of the drug</v>
      </c>
      <c r="H157" s="5"/>
      <c r="I157" s="5"/>
      <c r="J157" s="5" t="str">
        <f>IFERROR(__xludf.DUMMYFUNCTION("""COMPUTED_VALUE"""),"Anti-Infective")</f>
        <v>Anti-Infective</v>
      </c>
      <c r="K157" s="5" t="str">
        <f>IFERROR(__xludf.DUMMYFUNCTION("""COMPUTED_VALUE"""),"To Be Discontinued")</f>
        <v>To Be Discontinued</v>
      </c>
      <c r="L157" s="5"/>
      <c r="M157" s="10">
        <f>IFERROR(__xludf.DUMMYFUNCTION("""COMPUTED_VALUE"""),46121.0)</f>
        <v>46121</v>
      </c>
      <c r="N157" s="10">
        <f>IFERROR(__xludf.DUMMYFUNCTION("""COMPUTED_VALUE"""),46121.0)</f>
        <v>46121</v>
      </c>
      <c r="O157" s="5">
        <v>2026.0</v>
      </c>
      <c r="P157" s="5" t="str">
        <f>IFERROR(__xludf.DUMMYFUNCTION("""COMPUTED_VALUE"""),"Not stated")</f>
        <v>Not stated</v>
      </c>
      <c r="Q157" s="5" t="s">
        <v>135</v>
      </c>
      <c r="R157" s="5" t="s">
        <v>136</v>
      </c>
      <c r="S157" s="11">
        <v>200.0</v>
      </c>
    </row>
    <row r="158">
      <c r="A158" s="5" t="str">
        <f>IFERROR(__xludf.DUMMYFUNCTION("""COMPUTED_VALUE"""),"Azithromycin Tablet")</f>
        <v>Azithromycin Tablet</v>
      </c>
      <c r="B158" s="5" t="str">
        <f>IFERROR(__xludf.DUMMYFUNCTION("""COMPUTED_VALUE"""),"Pfizer Inc.")</f>
        <v>Pfizer Inc.</v>
      </c>
      <c r="C158" s="5" t="str">
        <f>IFERROR(__xludf.DUMMYFUNCTION("""COMPUTED_VALUE"""),"Zithromax, Tablet, 250 mg (NDC 0069-4061-01)")</f>
        <v>Zithromax, Tablet, 250 mg (NDC 0069-4061-01)</v>
      </c>
      <c r="D158" s="5" t="str">
        <f>IFERROR(__xludf.DUMMYFUNCTION("""COMPUTED_VALUE"""),"New")</f>
        <v>New</v>
      </c>
      <c r="E158" s="10">
        <f>IFERROR(__xludf.DUMMYFUNCTION("""COMPUTED_VALUE"""),46121.0)</f>
        <v>46121</v>
      </c>
      <c r="F158" s="5"/>
      <c r="G158" s="5" t="str">
        <f>IFERROR(__xludf.DUMMYFUNCTION("""COMPUTED_VALUE"""),"Discontinuation of the manufacture of the drug")</f>
        <v>Discontinuation of the manufacture of the drug</v>
      </c>
      <c r="H158" s="5"/>
      <c r="I158" s="5"/>
      <c r="J158" s="5" t="str">
        <f>IFERROR(__xludf.DUMMYFUNCTION("""COMPUTED_VALUE"""),"Anti-Infective")</f>
        <v>Anti-Infective</v>
      </c>
      <c r="K158" s="5" t="str">
        <f>IFERROR(__xludf.DUMMYFUNCTION("""COMPUTED_VALUE"""),"To Be Discontinued")</f>
        <v>To Be Discontinued</v>
      </c>
      <c r="L158" s="5"/>
      <c r="M158" s="10">
        <f>IFERROR(__xludf.DUMMYFUNCTION("""COMPUTED_VALUE"""),46121.0)</f>
        <v>46121</v>
      </c>
      <c r="N158" s="10">
        <f>IFERROR(__xludf.DUMMYFUNCTION("""COMPUTED_VALUE"""),46121.0)</f>
        <v>46121</v>
      </c>
      <c r="O158" s="5">
        <v>2026.0</v>
      </c>
      <c r="P158" s="5" t="str">
        <f>IFERROR(__xludf.DUMMYFUNCTION("""COMPUTED_VALUE"""),"Not stated")</f>
        <v>Not stated</v>
      </c>
      <c r="Q158" s="5" t="s">
        <v>135</v>
      </c>
      <c r="R158" s="5" t="s">
        <v>136</v>
      </c>
      <c r="S158" s="11">
        <v>200.0</v>
      </c>
    </row>
    <row r="159">
      <c r="A159" s="5" t="str">
        <f>IFERROR(__xludf.DUMMYFUNCTION("""COMPUTED_VALUE"""),"Bacitracin Ophthalmic Ointment")</f>
        <v>Bacitracin Ophthalmic Ointment</v>
      </c>
      <c r="B159" s="5" t="str">
        <f>IFERROR(__xludf.DUMMYFUNCTION("""COMPUTED_VALUE"""),"Padagis US LLC")</f>
        <v>Padagis US LLC</v>
      </c>
      <c r="C159" s="5" t="str">
        <f>IFERROR(__xludf.DUMMYFUNCTION("""COMPUTED_VALUE"""),"Bacitracin, Ophthalmic Ointment, 3.5 g (NDC 0574-4022-35)")</f>
        <v>Bacitracin, Ophthalmic Ointment, 3.5 g (NDC 0574-4022-35)</v>
      </c>
      <c r="D159" s="5" t="str">
        <f>IFERROR(__xludf.DUMMYFUNCTION("""COMPUTED_VALUE"""),"Revised")</f>
        <v>Revised</v>
      </c>
      <c r="E159" s="10">
        <f>IFERROR(__xludf.DUMMYFUNCTION("""COMPUTED_VALUE"""),46174.0)</f>
        <v>46174</v>
      </c>
      <c r="F159" s="5" t="str">
        <f>IFERROR(__xludf.DUMMYFUNCTION("""COMPUTED_VALUE"""),"Unavailable")</f>
        <v>Unavailable</v>
      </c>
      <c r="G159" s="5" t="str">
        <f>IFERROR(__xludf.DUMMYFUNCTION("""COMPUTED_VALUE"""),"Shortage is estimated for 24 months")</f>
        <v>Shortage is estimated for 24 months</v>
      </c>
      <c r="H159" s="5"/>
      <c r="I159" s="5" t="str">
        <f>IFERROR(__xludf.DUMMYFUNCTION("""COMPUTED_VALUE"""),"Discontinuation of the manufacture of the drug")</f>
        <v>Discontinuation of the manufacture of the drug</v>
      </c>
      <c r="J159" s="5" t="str">
        <f>IFERROR(__xludf.DUMMYFUNCTION("""COMPUTED_VALUE"""),"Anti-Infective; Ophthalmology")</f>
        <v>Anti-Infective; Ophthalmology</v>
      </c>
      <c r="K159" s="5" t="str">
        <f>IFERROR(__xludf.DUMMYFUNCTION("""COMPUTED_VALUE"""),"Current")</f>
        <v>Current</v>
      </c>
      <c r="L159" s="5"/>
      <c r="M159" s="5"/>
      <c r="N159" s="10">
        <f>IFERROR(__xludf.DUMMYFUNCTION("""COMPUTED_VALUE"""),45719.0)</f>
        <v>45719</v>
      </c>
      <c r="O159" s="5">
        <v>2025.0</v>
      </c>
      <c r="P159" s="5" t="str">
        <f>IFERROR(__xludf.DUMMYFUNCTION("""COMPUTED_VALUE"""),"Unavailable")</f>
        <v>Unavailable</v>
      </c>
      <c r="Q159" s="5" t="s">
        <v>33</v>
      </c>
      <c r="R159" s="5" t="s">
        <v>136</v>
      </c>
      <c r="S159" s="11">
        <v>602.0</v>
      </c>
    </row>
    <row r="160">
      <c r="A160" s="5" t="str">
        <f>IFERROR(__xludf.DUMMYFUNCTION("""COMPUTED_VALUE"""),"Belladonna and Opium Suppository")</f>
        <v>Belladonna and Opium Suppository</v>
      </c>
      <c r="B160" s="5" t="str">
        <f>IFERROR(__xludf.DUMMYFUNCTION("""COMPUTED_VALUE"""),"Padagis US LLC")</f>
        <v>Padagis US LLC</v>
      </c>
      <c r="C160" s="5" t="str">
        <f>IFERROR(__xludf.DUMMYFUNCTION("""COMPUTED_VALUE"""),"Belladonna and Opium, Suppository, 16.2 mg; 60 mg (NDC 0574-7040-04)")</f>
        <v>Belladonna and Opium, Suppository, 16.2 mg; 60 mg (NDC 0574-7040-04)</v>
      </c>
      <c r="D160" s="5" t="str">
        <f>IFERROR(__xludf.DUMMYFUNCTION("""COMPUTED_VALUE"""),"New")</f>
        <v>New</v>
      </c>
      <c r="E160" s="10">
        <f>IFERROR(__xludf.DUMMYFUNCTION("""COMPUTED_VALUE"""),46226.0)</f>
        <v>46226</v>
      </c>
      <c r="F160" s="5"/>
      <c r="G160" s="5" t="str">
        <f>IFERROR(__xludf.DUMMYFUNCTION("""COMPUTED_VALUE"""),"Discontinuation of the manufacture of the drug")</f>
        <v>Discontinuation of the manufacture of the drug</v>
      </c>
      <c r="H160" s="5"/>
      <c r="I160" s="5"/>
      <c r="J160" s="5" t="str">
        <f>IFERROR(__xludf.DUMMYFUNCTION("""COMPUTED_VALUE"""),"Analgesia/Addiction")</f>
        <v>Analgesia/Addiction</v>
      </c>
      <c r="K160" s="5" t="str">
        <f>IFERROR(__xludf.DUMMYFUNCTION("""COMPUTED_VALUE"""),"To Be Discontinued")</f>
        <v>To Be Discontinued</v>
      </c>
      <c r="L160" s="5"/>
      <c r="M160" s="10">
        <f>IFERROR(__xludf.DUMMYFUNCTION("""COMPUTED_VALUE"""),46226.0)</f>
        <v>46226</v>
      </c>
      <c r="N160" s="10">
        <f>IFERROR(__xludf.DUMMYFUNCTION("""COMPUTED_VALUE"""),46226.0)</f>
        <v>46226</v>
      </c>
      <c r="O160" s="5">
        <v>2026.0</v>
      </c>
      <c r="P160" s="5" t="str">
        <f>IFERROR(__xludf.DUMMYFUNCTION("""COMPUTED_VALUE"""),"Not stated")</f>
        <v>Not stated</v>
      </c>
      <c r="Q160" s="5" t="s">
        <v>135</v>
      </c>
      <c r="R160" s="5" t="s">
        <v>136</v>
      </c>
      <c r="S160" s="11">
        <v>95.0</v>
      </c>
    </row>
    <row r="161">
      <c r="A161" s="5" t="str">
        <f>IFERROR(__xludf.DUMMYFUNCTION("""COMPUTED_VALUE"""),"Belladonna and Opium Suppository")</f>
        <v>Belladonna and Opium Suppository</v>
      </c>
      <c r="B161" s="5" t="str">
        <f>IFERROR(__xludf.DUMMYFUNCTION("""COMPUTED_VALUE"""),"Padagis US LLC")</f>
        <v>Padagis US LLC</v>
      </c>
      <c r="C161" s="5" t="str">
        <f>IFERROR(__xludf.DUMMYFUNCTION("""COMPUTED_VALUE"""),"Belladonna and Opium, Suppository, 16.2 mg; 60 mg (NDC 0574-7040-12)")</f>
        <v>Belladonna and Opium, Suppository, 16.2 mg; 60 mg (NDC 0574-7040-12)</v>
      </c>
      <c r="D161" s="5" t="str">
        <f>IFERROR(__xludf.DUMMYFUNCTION("""COMPUTED_VALUE"""),"New")</f>
        <v>New</v>
      </c>
      <c r="E161" s="10">
        <f>IFERROR(__xludf.DUMMYFUNCTION("""COMPUTED_VALUE"""),46226.0)</f>
        <v>46226</v>
      </c>
      <c r="F161" s="5"/>
      <c r="G161" s="5" t="str">
        <f>IFERROR(__xludf.DUMMYFUNCTION("""COMPUTED_VALUE"""),"Discontinuation of the manufacture of the drug")</f>
        <v>Discontinuation of the manufacture of the drug</v>
      </c>
      <c r="H161" s="5"/>
      <c r="I161" s="5"/>
      <c r="J161" s="5" t="str">
        <f>IFERROR(__xludf.DUMMYFUNCTION("""COMPUTED_VALUE"""),"Analgesia/Addiction")</f>
        <v>Analgesia/Addiction</v>
      </c>
      <c r="K161" s="5" t="str">
        <f>IFERROR(__xludf.DUMMYFUNCTION("""COMPUTED_VALUE"""),"To Be Discontinued")</f>
        <v>To Be Discontinued</v>
      </c>
      <c r="L161" s="5"/>
      <c r="M161" s="10">
        <f>IFERROR(__xludf.DUMMYFUNCTION("""COMPUTED_VALUE"""),46226.0)</f>
        <v>46226</v>
      </c>
      <c r="N161" s="10">
        <f>IFERROR(__xludf.DUMMYFUNCTION("""COMPUTED_VALUE"""),46226.0)</f>
        <v>46226</v>
      </c>
      <c r="O161" s="5">
        <v>2026.0</v>
      </c>
      <c r="P161" s="5" t="str">
        <f>IFERROR(__xludf.DUMMYFUNCTION("""COMPUTED_VALUE"""),"Not stated")</f>
        <v>Not stated</v>
      </c>
      <c r="Q161" s="5" t="s">
        <v>135</v>
      </c>
      <c r="R161" s="5" t="s">
        <v>136</v>
      </c>
      <c r="S161" s="11">
        <v>95.0</v>
      </c>
    </row>
    <row r="162">
      <c r="A162" s="5" t="str">
        <f>IFERROR(__xludf.DUMMYFUNCTION("""COMPUTED_VALUE"""),"Belladonna and Opium Suppository")</f>
        <v>Belladonna and Opium Suppository</v>
      </c>
      <c r="B162" s="5" t="str">
        <f>IFERROR(__xludf.DUMMYFUNCTION("""COMPUTED_VALUE"""),"Padagis US LLC")</f>
        <v>Padagis US LLC</v>
      </c>
      <c r="C162" s="5" t="str">
        <f>IFERROR(__xludf.DUMMYFUNCTION("""COMPUTED_VALUE"""),"Belladonna and Opium, Suppository, 16.2 mg; 30 mg (NDC 0574-7045-04)")</f>
        <v>Belladonna and Opium, Suppository, 16.2 mg; 30 mg (NDC 0574-7045-04)</v>
      </c>
      <c r="D162" s="5" t="str">
        <f>IFERROR(__xludf.DUMMYFUNCTION("""COMPUTED_VALUE"""),"New")</f>
        <v>New</v>
      </c>
      <c r="E162" s="10">
        <f>IFERROR(__xludf.DUMMYFUNCTION("""COMPUTED_VALUE"""),46226.0)</f>
        <v>46226</v>
      </c>
      <c r="F162" s="5"/>
      <c r="G162" s="5" t="str">
        <f>IFERROR(__xludf.DUMMYFUNCTION("""COMPUTED_VALUE"""),"Discontinuation of the manufacture of the drug")</f>
        <v>Discontinuation of the manufacture of the drug</v>
      </c>
      <c r="H162" s="5"/>
      <c r="I162" s="5"/>
      <c r="J162" s="5" t="str">
        <f>IFERROR(__xludf.DUMMYFUNCTION("""COMPUTED_VALUE"""),"Analgesia/Addiction")</f>
        <v>Analgesia/Addiction</v>
      </c>
      <c r="K162" s="5" t="str">
        <f>IFERROR(__xludf.DUMMYFUNCTION("""COMPUTED_VALUE"""),"To Be Discontinued")</f>
        <v>To Be Discontinued</v>
      </c>
      <c r="L162" s="5"/>
      <c r="M162" s="10">
        <f>IFERROR(__xludf.DUMMYFUNCTION("""COMPUTED_VALUE"""),46226.0)</f>
        <v>46226</v>
      </c>
      <c r="N162" s="10">
        <f>IFERROR(__xludf.DUMMYFUNCTION("""COMPUTED_VALUE"""),46226.0)</f>
        <v>46226</v>
      </c>
      <c r="O162" s="5">
        <v>2026.0</v>
      </c>
      <c r="P162" s="5" t="str">
        <f>IFERROR(__xludf.DUMMYFUNCTION("""COMPUTED_VALUE"""),"Not stated")</f>
        <v>Not stated</v>
      </c>
      <c r="Q162" s="5" t="s">
        <v>135</v>
      </c>
      <c r="R162" s="5" t="s">
        <v>136</v>
      </c>
      <c r="S162" s="11">
        <v>95.0</v>
      </c>
    </row>
    <row r="163">
      <c r="A163" s="5" t="str">
        <f>IFERROR(__xludf.DUMMYFUNCTION("""COMPUTED_VALUE"""),"Belladonna and Opium Suppository")</f>
        <v>Belladonna and Opium Suppository</v>
      </c>
      <c r="B163" s="5" t="str">
        <f>IFERROR(__xludf.DUMMYFUNCTION("""COMPUTED_VALUE"""),"Padagis US LLC")</f>
        <v>Padagis US LLC</v>
      </c>
      <c r="C163" s="5" t="str">
        <f>IFERROR(__xludf.DUMMYFUNCTION("""COMPUTED_VALUE"""),"Belladonna and Opium, Suppository, 16.2 mg; 30 mg (NDC 0574-7045-12)")</f>
        <v>Belladonna and Opium, Suppository, 16.2 mg; 30 mg (NDC 0574-7045-12)</v>
      </c>
      <c r="D163" s="5" t="str">
        <f>IFERROR(__xludf.DUMMYFUNCTION("""COMPUTED_VALUE"""),"New")</f>
        <v>New</v>
      </c>
      <c r="E163" s="10">
        <f>IFERROR(__xludf.DUMMYFUNCTION("""COMPUTED_VALUE"""),46226.0)</f>
        <v>46226</v>
      </c>
      <c r="F163" s="5"/>
      <c r="G163" s="5" t="str">
        <f>IFERROR(__xludf.DUMMYFUNCTION("""COMPUTED_VALUE"""),"Discontinuation of the manufacture of the drug")</f>
        <v>Discontinuation of the manufacture of the drug</v>
      </c>
      <c r="H163" s="5"/>
      <c r="I163" s="5"/>
      <c r="J163" s="5" t="str">
        <f>IFERROR(__xludf.DUMMYFUNCTION("""COMPUTED_VALUE"""),"Analgesia/Addiction")</f>
        <v>Analgesia/Addiction</v>
      </c>
      <c r="K163" s="5" t="str">
        <f>IFERROR(__xludf.DUMMYFUNCTION("""COMPUTED_VALUE"""),"To Be Discontinued")</f>
        <v>To Be Discontinued</v>
      </c>
      <c r="L163" s="5"/>
      <c r="M163" s="10">
        <f>IFERROR(__xludf.DUMMYFUNCTION("""COMPUTED_VALUE"""),46226.0)</f>
        <v>46226</v>
      </c>
      <c r="N163" s="10">
        <f>IFERROR(__xludf.DUMMYFUNCTION("""COMPUTED_VALUE"""),46226.0)</f>
        <v>46226</v>
      </c>
      <c r="O163" s="5">
        <v>2026.0</v>
      </c>
      <c r="P163" s="5" t="str">
        <f>IFERROR(__xludf.DUMMYFUNCTION("""COMPUTED_VALUE"""),"Not stated")</f>
        <v>Not stated</v>
      </c>
      <c r="Q163" s="5" t="s">
        <v>135</v>
      </c>
      <c r="R163" s="5" t="s">
        <v>136</v>
      </c>
      <c r="S163" s="11">
        <v>95.0</v>
      </c>
    </row>
    <row r="164">
      <c r="A164" s="5" t="str">
        <f>IFERROR(__xludf.DUMMYFUNCTION("""COMPUTED_VALUE"""),"Bendamustine Hydrochloride Injection, Solution")</f>
        <v>Bendamustine Hydrochloride Injection, Solution</v>
      </c>
      <c r="B164" s="5" t="str">
        <f>IFERROR(__xludf.DUMMYFUNCTION("""COMPUTED_VALUE"""),"Cephalon, LLC (a wholly owned subsidiary of Teva Pharmaceutical Industries, Ltd.)")</f>
        <v>Cephalon, LLC (a wholly owned subsidiary of Teva Pharmaceutical Industries, Ltd.)</v>
      </c>
      <c r="C164" s="5" t="str">
        <f>IFERROR(__xludf.DUMMYFUNCTION("""COMPUTED_VALUE"""),"Treanda, Injection, Solution, 25 mg/5 mL, 1 vial, Single-Dose in 1 carton (NDC 63459-390-08)")</f>
        <v>Treanda, Injection, Solution, 25 mg/5 mL, 1 vial, Single-Dose in 1 carton (NDC 63459-390-08)</v>
      </c>
      <c r="D164" s="5" t="str">
        <f>IFERROR(__xludf.DUMMYFUNCTION("""COMPUTED_VALUE"""),"New")</f>
        <v>New</v>
      </c>
      <c r="E164" s="10">
        <f>IFERROR(__xludf.DUMMYFUNCTION("""COMPUTED_VALUE"""),46226.0)</f>
        <v>46226</v>
      </c>
      <c r="F164" s="5"/>
      <c r="G164" s="5" t="str">
        <f>IFERROR(__xludf.DUMMYFUNCTION("""COMPUTED_VALUE"""),"A business decision has been made to discontinue manufacture of the drug.")</f>
        <v>A business decision has been made to discontinue manufacture of the drug.</v>
      </c>
      <c r="H164" s="5"/>
      <c r="I164" s="5"/>
      <c r="J164" s="5" t="str">
        <f>IFERROR(__xludf.DUMMYFUNCTION("""COMPUTED_VALUE"""),"Oncology")</f>
        <v>Oncology</v>
      </c>
      <c r="K164" s="5" t="str">
        <f>IFERROR(__xludf.DUMMYFUNCTION("""COMPUTED_VALUE"""),"To Be Discontinued")</f>
        <v>To Be Discontinued</v>
      </c>
      <c r="L164" s="5"/>
      <c r="M164" s="10">
        <f>IFERROR(__xludf.DUMMYFUNCTION("""COMPUTED_VALUE"""),46226.0)</f>
        <v>46226</v>
      </c>
      <c r="N164" s="10">
        <f>IFERROR(__xludf.DUMMYFUNCTION("""COMPUTED_VALUE"""),46226.0)</f>
        <v>46226</v>
      </c>
      <c r="O164" s="5">
        <v>2026.0</v>
      </c>
      <c r="P164" s="5" t="str">
        <f>IFERROR(__xludf.DUMMYFUNCTION("""COMPUTED_VALUE"""),"Not stated")</f>
        <v>Not stated</v>
      </c>
      <c r="Q164" s="5" t="s">
        <v>135</v>
      </c>
      <c r="R164" s="5" t="s">
        <v>136</v>
      </c>
      <c r="S164" s="11">
        <v>95.0</v>
      </c>
    </row>
    <row r="165">
      <c r="A165" s="5" t="str">
        <f>IFERROR(__xludf.DUMMYFUNCTION("""COMPUTED_VALUE"""),"Benztropine Mesylate Injection")</f>
        <v>Benztropine Mesylate Injection</v>
      </c>
      <c r="B165" s="5" t="str">
        <f>IFERROR(__xludf.DUMMYFUNCTION("""COMPUTED_VALUE"""),"Fresenius Kabi USA, LLC")</f>
        <v>Fresenius Kabi USA, LLC</v>
      </c>
      <c r="C165" s="5" t="str">
        <f>IFERROR(__xludf.DUMMYFUNCTION("""COMPUTED_VALUE"""),"Benztropine Mesylate, Injection, 1 mg/1 mL (NDC 63323-970-02)")</f>
        <v>Benztropine Mesylate, Injection, 1 mg/1 mL (NDC 63323-970-02)</v>
      </c>
      <c r="D165" s="5" t="str">
        <f>IFERROR(__xludf.DUMMYFUNCTION("""COMPUTED_VALUE"""),"New")</f>
        <v>New</v>
      </c>
      <c r="E165" s="10">
        <f>IFERROR(__xludf.DUMMYFUNCTION("""COMPUTED_VALUE"""),46049.0)</f>
        <v>46049</v>
      </c>
      <c r="F165" s="5"/>
      <c r="G165" s="5" t="str">
        <f>IFERROR(__xludf.DUMMYFUNCTION("""COMPUTED_VALUE"""),"Discontinuation of the manufacture of the drug")</f>
        <v>Discontinuation of the manufacture of the drug</v>
      </c>
      <c r="H165" s="5"/>
      <c r="I165" s="5"/>
      <c r="J165" s="5" t="str">
        <f>IFERROR(__xludf.DUMMYFUNCTION("""COMPUTED_VALUE"""),"Neurology")</f>
        <v>Neurology</v>
      </c>
      <c r="K165" s="5" t="str">
        <f>IFERROR(__xludf.DUMMYFUNCTION("""COMPUTED_VALUE"""),"To Be Discontinued")</f>
        <v>To Be Discontinued</v>
      </c>
      <c r="L165" s="5"/>
      <c r="M165" s="10">
        <f>IFERROR(__xludf.DUMMYFUNCTION("""COMPUTED_VALUE"""),46049.0)</f>
        <v>46049</v>
      </c>
      <c r="N165" s="10">
        <f>IFERROR(__xludf.DUMMYFUNCTION("""COMPUTED_VALUE"""),46049.0)</f>
        <v>46049</v>
      </c>
      <c r="O165" s="5">
        <v>2026.0</v>
      </c>
      <c r="P165" s="5" t="str">
        <f>IFERROR(__xludf.DUMMYFUNCTION("""COMPUTED_VALUE"""),"Not stated")</f>
        <v>Not stated</v>
      </c>
      <c r="Q165" s="5" t="s">
        <v>135</v>
      </c>
      <c r="R165" s="5" t="s">
        <v>136</v>
      </c>
      <c r="S165" s="11">
        <v>272.0</v>
      </c>
    </row>
    <row r="166">
      <c r="A166" s="5" t="str">
        <f>IFERROR(__xludf.DUMMYFUNCTION("""COMPUTED_VALUE"""),"Bumetanide Injection")</f>
        <v>Bumetanide Injection</v>
      </c>
      <c r="B166" s="5" t="str">
        <f>IFERROR(__xludf.DUMMYFUNCTION("""COMPUTED_VALUE"""),"Mullan Pharmaceutical Inc.")</f>
        <v>Mullan Pharmaceutical Inc.</v>
      </c>
      <c r="C166" s="5" t="str">
        <f>IFERROR(__xludf.DUMMYFUNCTION("""COMPUTED_VALUE"""),"Bumetanide, Injection, 1 mg/4 mL (0.25 mg/mL) (NDC 83301-0080-2)")</f>
        <v>Bumetanide, Injection, 1 mg/4 mL (0.25 mg/mL) (NDC 83301-0080-2)</v>
      </c>
      <c r="D166" s="5" t="str">
        <f>IFERROR(__xludf.DUMMYFUNCTION("""COMPUTED_VALUE"""),"Revised")</f>
        <v>Revised</v>
      </c>
      <c r="E166" s="10">
        <f>IFERROR(__xludf.DUMMYFUNCTION("""COMPUTED_VALUE"""),46295.0)</f>
        <v>46295</v>
      </c>
      <c r="F166" s="5"/>
      <c r="G166" s="5"/>
      <c r="H166" s="5" t="str">
        <f>IFERROR(__xludf.DUMMYFUNCTION("""COMPUTED_VALUE"""),"Available")</f>
        <v>Available</v>
      </c>
      <c r="I166" s="5"/>
      <c r="J166" s="5" t="str">
        <f>IFERROR(__xludf.DUMMYFUNCTION("""COMPUTED_VALUE"""),"Cardiovascular")</f>
        <v>Cardiovascular</v>
      </c>
      <c r="K166" s="5" t="str">
        <f>IFERROR(__xludf.DUMMYFUNCTION("""COMPUTED_VALUE"""),"Resolved")</f>
        <v>Resolved</v>
      </c>
      <c r="L166" s="10">
        <f>IFERROR(__xludf.DUMMYFUNCTION("""COMPUTED_VALUE"""),46295.0)</f>
        <v>46295</v>
      </c>
      <c r="M166" s="5"/>
      <c r="N166" s="13">
        <f>IFERROR(__xludf.DUMMYFUNCTION("""COMPUTED_VALUE"""),43082.0)</f>
        <v>43082</v>
      </c>
      <c r="O166" s="5">
        <v>2017.0</v>
      </c>
      <c r="P166" s="5" t="str">
        <f>IFERROR(__xludf.DUMMYFUNCTION("""COMPUTED_VALUE"""),"Not stated")</f>
        <v>Not stated</v>
      </c>
      <c r="Q166" s="5" t="s">
        <v>135</v>
      </c>
      <c r="R166" s="5" t="s">
        <v>136</v>
      </c>
      <c r="S166" s="11">
        <v>3239.0</v>
      </c>
    </row>
    <row r="167">
      <c r="A167" s="5" t="str">
        <f>IFERROR(__xludf.DUMMYFUNCTION("""COMPUTED_VALUE"""),"Bumetanide Injection")</f>
        <v>Bumetanide Injection</v>
      </c>
      <c r="B167" s="5" t="str">
        <f>IFERROR(__xludf.DUMMYFUNCTION("""COMPUTED_VALUE"""),"Mullan Pharmaceutical Inc.")</f>
        <v>Mullan Pharmaceutical Inc.</v>
      </c>
      <c r="C167" s="5" t="str">
        <f>IFERROR(__xludf.DUMMYFUNCTION("""COMPUTED_VALUE"""),"Bumetanide, Injection, 2.5 mg/10 mL (0.25 mg/mL) (NDC 83301-0081-2)")</f>
        <v>Bumetanide, Injection, 2.5 mg/10 mL (0.25 mg/mL) (NDC 83301-0081-2)</v>
      </c>
      <c r="D167" s="5" t="str">
        <f>IFERROR(__xludf.DUMMYFUNCTION("""COMPUTED_VALUE"""),"Revised")</f>
        <v>Revised</v>
      </c>
      <c r="E167" s="10">
        <f>IFERROR(__xludf.DUMMYFUNCTION("""COMPUTED_VALUE"""),46295.0)</f>
        <v>46295</v>
      </c>
      <c r="F167" s="5"/>
      <c r="G167" s="5"/>
      <c r="H167" s="5" t="str">
        <f>IFERROR(__xludf.DUMMYFUNCTION("""COMPUTED_VALUE"""),"Available")</f>
        <v>Available</v>
      </c>
      <c r="I167" s="5"/>
      <c r="J167" s="5" t="str">
        <f>IFERROR(__xludf.DUMMYFUNCTION("""COMPUTED_VALUE"""),"Cardiovascular")</f>
        <v>Cardiovascular</v>
      </c>
      <c r="K167" s="5" t="str">
        <f>IFERROR(__xludf.DUMMYFUNCTION("""COMPUTED_VALUE"""),"Resolved")</f>
        <v>Resolved</v>
      </c>
      <c r="L167" s="10">
        <f>IFERROR(__xludf.DUMMYFUNCTION("""COMPUTED_VALUE"""),46295.0)</f>
        <v>46295</v>
      </c>
      <c r="M167" s="5"/>
      <c r="N167" s="13">
        <f>IFERROR(__xludf.DUMMYFUNCTION("""COMPUTED_VALUE"""),43082.0)</f>
        <v>43082</v>
      </c>
      <c r="O167" s="5">
        <v>2017.0</v>
      </c>
      <c r="P167" s="5" t="str">
        <f>IFERROR(__xludf.DUMMYFUNCTION("""COMPUTED_VALUE"""),"Not stated")</f>
        <v>Not stated</v>
      </c>
      <c r="Q167" s="5" t="s">
        <v>135</v>
      </c>
      <c r="R167" s="5" t="s">
        <v>136</v>
      </c>
      <c r="S167" s="11">
        <v>3239.0</v>
      </c>
    </row>
    <row r="168">
      <c r="A168" s="5" t="str">
        <f>IFERROR(__xludf.DUMMYFUNCTION("""COMPUTED_VALUE"""),"Bumetanide Injection")</f>
        <v>Bumetanide Injection</v>
      </c>
      <c r="B168" s="5" t="str">
        <f>IFERROR(__xludf.DUMMYFUNCTION("""COMPUTED_VALUE"""),"Sagent Pharmaceuticals")</f>
        <v>Sagent Pharmaceuticals</v>
      </c>
      <c r="C168" s="5" t="str">
        <f>IFERROR(__xludf.DUMMYFUNCTION("""COMPUTED_VALUE"""),"Bumetanide, Injection, .25 mg/1 mL (NDC 25021-321-04)")</f>
        <v>Bumetanide, Injection, .25 mg/1 mL (NDC 25021-321-04)</v>
      </c>
      <c r="D168" s="5" t="str">
        <f>IFERROR(__xludf.DUMMYFUNCTION("""COMPUTED_VALUE"""),"Revised")</f>
        <v>Revised</v>
      </c>
      <c r="E168" s="10">
        <f>IFERROR(__xludf.DUMMYFUNCTION("""COMPUTED_VALUE"""),46295.0)</f>
        <v>46295</v>
      </c>
      <c r="F168" s="5"/>
      <c r="G168" s="5"/>
      <c r="H168" s="5" t="str">
        <f>IFERROR(__xludf.DUMMYFUNCTION("""COMPUTED_VALUE"""),"Available")</f>
        <v>Available</v>
      </c>
      <c r="I168" s="5"/>
      <c r="J168" s="5" t="str">
        <f>IFERROR(__xludf.DUMMYFUNCTION("""COMPUTED_VALUE"""),"Cardiovascular")</f>
        <v>Cardiovascular</v>
      </c>
      <c r="K168" s="5" t="str">
        <f>IFERROR(__xludf.DUMMYFUNCTION("""COMPUTED_VALUE"""),"Resolved")</f>
        <v>Resolved</v>
      </c>
      <c r="L168" s="10">
        <f>IFERROR(__xludf.DUMMYFUNCTION("""COMPUTED_VALUE"""),46295.0)</f>
        <v>46295</v>
      </c>
      <c r="M168" s="5"/>
      <c r="N168" s="10">
        <f>IFERROR(__xludf.DUMMYFUNCTION("""COMPUTED_VALUE"""),43131.0)</f>
        <v>43131</v>
      </c>
      <c r="O168" s="5">
        <v>2018.0</v>
      </c>
      <c r="P168" s="5" t="str">
        <f>IFERROR(__xludf.DUMMYFUNCTION("""COMPUTED_VALUE"""),"Not stated")</f>
        <v>Not stated</v>
      </c>
      <c r="Q168" s="5" t="s">
        <v>135</v>
      </c>
      <c r="R168" s="5" t="s">
        <v>136</v>
      </c>
      <c r="S168" s="11">
        <v>3190.0</v>
      </c>
    </row>
    <row r="169">
      <c r="A169" s="5" t="str">
        <f>IFERROR(__xludf.DUMMYFUNCTION("""COMPUTED_VALUE"""),"Bumetanide Injection")</f>
        <v>Bumetanide Injection</v>
      </c>
      <c r="B169" s="5" t="str">
        <f>IFERROR(__xludf.DUMMYFUNCTION("""COMPUTED_VALUE"""),"Sagent Pharmaceuticals")</f>
        <v>Sagent Pharmaceuticals</v>
      </c>
      <c r="C169" s="5" t="str">
        <f>IFERROR(__xludf.DUMMYFUNCTION("""COMPUTED_VALUE"""),"Bumetanide, Injection, .25 mg/1 mL (NDC 25021-321-10)")</f>
        <v>Bumetanide, Injection, .25 mg/1 mL (NDC 25021-321-10)</v>
      </c>
      <c r="D169" s="5" t="str">
        <f>IFERROR(__xludf.DUMMYFUNCTION("""COMPUTED_VALUE"""),"Revised")</f>
        <v>Revised</v>
      </c>
      <c r="E169" s="10">
        <f>IFERROR(__xludf.DUMMYFUNCTION("""COMPUTED_VALUE"""),46295.0)</f>
        <v>46295</v>
      </c>
      <c r="F169" s="5"/>
      <c r="G169" s="5"/>
      <c r="H169" s="5" t="str">
        <f>IFERROR(__xludf.DUMMYFUNCTION("""COMPUTED_VALUE"""),"Available")</f>
        <v>Available</v>
      </c>
      <c r="I169" s="5"/>
      <c r="J169" s="5" t="str">
        <f>IFERROR(__xludf.DUMMYFUNCTION("""COMPUTED_VALUE"""),"Cardiovascular")</f>
        <v>Cardiovascular</v>
      </c>
      <c r="K169" s="5" t="str">
        <f>IFERROR(__xludf.DUMMYFUNCTION("""COMPUTED_VALUE"""),"Resolved")</f>
        <v>Resolved</v>
      </c>
      <c r="L169" s="10">
        <f>IFERROR(__xludf.DUMMYFUNCTION("""COMPUTED_VALUE"""),46295.0)</f>
        <v>46295</v>
      </c>
      <c r="M169" s="5"/>
      <c r="N169" s="10">
        <f>IFERROR(__xludf.DUMMYFUNCTION("""COMPUTED_VALUE"""),43131.0)</f>
        <v>43131</v>
      </c>
      <c r="O169" s="5">
        <v>2018.0</v>
      </c>
      <c r="P169" s="5" t="str">
        <f>IFERROR(__xludf.DUMMYFUNCTION("""COMPUTED_VALUE"""),"Not stated")</f>
        <v>Not stated</v>
      </c>
      <c r="Q169" s="5" t="s">
        <v>135</v>
      </c>
      <c r="R169" s="5" t="s">
        <v>136</v>
      </c>
      <c r="S169" s="11">
        <v>3190.0</v>
      </c>
    </row>
    <row r="170">
      <c r="A170" s="5" t="str">
        <f>IFERROR(__xludf.DUMMYFUNCTION("""COMPUTED_VALUE"""),"Bumetanide Injection")</f>
        <v>Bumetanide Injection</v>
      </c>
      <c r="B170" s="5" t="str">
        <f>IFERROR(__xludf.DUMMYFUNCTION("""COMPUTED_VALUE"""),"Fresenius Kabi USA, LLC")</f>
        <v>Fresenius Kabi USA, LLC</v>
      </c>
      <c r="C170" s="5" t="str">
        <f>IFERROR(__xludf.DUMMYFUNCTION("""COMPUTED_VALUE"""),"Bumetanide, Injection, .25 mg/1 mL (NDC 65219-570-04)")</f>
        <v>Bumetanide, Injection, .25 mg/1 mL (NDC 65219-570-04)</v>
      </c>
      <c r="D170" s="5" t="str">
        <f>IFERROR(__xludf.DUMMYFUNCTION("""COMPUTED_VALUE"""),"Revised")</f>
        <v>Revised</v>
      </c>
      <c r="E170" s="10">
        <f>IFERROR(__xludf.DUMMYFUNCTION("""COMPUTED_VALUE"""),46295.0)</f>
        <v>46295</v>
      </c>
      <c r="F170" s="5"/>
      <c r="G170" s="5"/>
      <c r="H170" s="5" t="str">
        <f>IFERROR(__xludf.DUMMYFUNCTION("""COMPUTED_VALUE"""),"Available")</f>
        <v>Available</v>
      </c>
      <c r="I170" s="5"/>
      <c r="J170" s="5" t="str">
        <f>IFERROR(__xludf.DUMMYFUNCTION("""COMPUTED_VALUE"""),"Cardiovascular")</f>
        <v>Cardiovascular</v>
      </c>
      <c r="K170" s="5" t="str">
        <f>IFERROR(__xludf.DUMMYFUNCTION("""COMPUTED_VALUE"""),"Resolved")</f>
        <v>Resolved</v>
      </c>
      <c r="L170" s="10">
        <f>IFERROR(__xludf.DUMMYFUNCTION("""COMPUTED_VALUE"""),46295.0)</f>
        <v>46295</v>
      </c>
      <c r="M170" s="5"/>
      <c r="N170" s="10">
        <f>IFERROR(__xludf.DUMMYFUNCTION("""COMPUTED_VALUE"""),43131.0)</f>
        <v>43131</v>
      </c>
      <c r="O170" s="5">
        <v>2018.0</v>
      </c>
      <c r="P170" s="5" t="str">
        <f>IFERROR(__xludf.DUMMYFUNCTION("""COMPUTED_VALUE"""),"Not stated")</f>
        <v>Not stated</v>
      </c>
      <c r="Q170" s="5" t="s">
        <v>135</v>
      </c>
      <c r="R170" s="5" t="s">
        <v>136</v>
      </c>
      <c r="S170" s="11">
        <v>3190.0</v>
      </c>
    </row>
    <row r="171">
      <c r="A171" s="5" t="str">
        <f>IFERROR(__xludf.DUMMYFUNCTION("""COMPUTED_VALUE"""),"Bumetanide Injection")</f>
        <v>Bumetanide Injection</v>
      </c>
      <c r="B171" s="5" t="str">
        <f>IFERROR(__xludf.DUMMYFUNCTION("""COMPUTED_VALUE"""),"Fresenius Kabi USA, LLC")</f>
        <v>Fresenius Kabi USA, LLC</v>
      </c>
      <c r="C171" s="5" t="str">
        <f>IFERROR(__xludf.DUMMYFUNCTION("""COMPUTED_VALUE"""),"Bumetanide, Injection, .25 mg/1 mL (NDC 65219-572-10)")</f>
        <v>Bumetanide, Injection, .25 mg/1 mL (NDC 65219-572-10)</v>
      </c>
      <c r="D171" s="5" t="str">
        <f>IFERROR(__xludf.DUMMYFUNCTION("""COMPUTED_VALUE"""),"Revised")</f>
        <v>Revised</v>
      </c>
      <c r="E171" s="10">
        <f>IFERROR(__xludf.DUMMYFUNCTION("""COMPUTED_VALUE"""),46295.0)</f>
        <v>46295</v>
      </c>
      <c r="F171" s="5"/>
      <c r="G171" s="5"/>
      <c r="H171" s="5" t="str">
        <f>IFERROR(__xludf.DUMMYFUNCTION("""COMPUTED_VALUE"""),"Available")</f>
        <v>Available</v>
      </c>
      <c r="I171" s="5"/>
      <c r="J171" s="5" t="str">
        <f>IFERROR(__xludf.DUMMYFUNCTION("""COMPUTED_VALUE"""),"Cardiovascular")</f>
        <v>Cardiovascular</v>
      </c>
      <c r="K171" s="5" t="str">
        <f>IFERROR(__xludf.DUMMYFUNCTION("""COMPUTED_VALUE"""),"Resolved")</f>
        <v>Resolved</v>
      </c>
      <c r="L171" s="10">
        <f>IFERROR(__xludf.DUMMYFUNCTION("""COMPUTED_VALUE"""),46295.0)</f>
        <v>46295</v>
      </c>
      <c r="M171" s="5"/>
      <c r="N171" s="10">
        <f>IFERROR(__xludf.DUMMYFUNCTION("""COMPUTED_VALUE"""),43131.0)</f>
        <v>43131</v>
      </c>
      <c r="O171" s="5">
        <v>2018.0</v>
      </c>
      <c r="P171" s="5" t="str">
        <f>IFERROR(__xludf.DUMMYFUNCTION("""COMPUTED_VALUE"""),"Not stated")</f>
        <v>Not stated</v>
      </c>
      <c r="Q171" s="5" t="s">
        <v>135</v>
      </c>
      <c r="R171" s="5" t="s">
        <v>136</v>
      </c>
      <c r="S171" s="11">
        <v>3190.0</v>
      </c>
    </row>
    <row r="172">
      <c r="A172" s="5" t="str">
        <f>IFERROR(__xludf.DUMMYFUNCTION("""COMPUTED_VALUE"""),"Bumetanide Injection")</f>
        <v>Bumetanide Injection</v>
      </c>
      <c r="B172" s="5" t="str">
        <f>IFERROR(__xludf.DUMMYFUNCTION("""COMPUTED_VALUE"""),"MSN Laboratories Private Limited")</f>
        <v>MSN Laboratories Private Limited</v>
      </c>
      <c r="C172" s="5" t="str">
        <f>IFERROR(__xludf.DUMMYFUNCTION("""COMPUTED_VALUE"""),"Bumetanide, Injection, 0.25 mg/mL, 4mL (NDC 72205-101-01)")</f>
        <v>Bumetanide, Injection, 0.25 mg/mL, 4mL (NDC 72205-101-01)</v>
      </c>
      <c r="D172" s="5" t="str">
        <f>IFERROR(__xludf.DUMMYFUNCTION("""COMPUTED_VALUE"""),"Revised")</f>
        <v>Revised</v>
      </c>
      <c r="E172" s="10">
        <f>IFERROR(__xludf.DUMMYFUNCTION("""COMPUTED_VALUE"""),46295.0)</f>
        <v>46295</v>
      </c>
      <c r="F172" s="5"/>
      <c r="G172" s="5"/>
      <c r="H172" s="5" t="str">
        <f>IFERROR(__xludf.DUMMYFUNCTION("""COMPUTED_VALUE"""),"Available")</f>
        <v>Available</v>
      </c>
      <c r="I172" s="5"/>
      <c r="J172" s="5" t="str">
        <f>IFERROR(__xludf.DUMMYFUNCTION("""COMPUTED_VALUE"""),"Cardiovascular")</f>
        <v>Cardiovascular</v>
      </c>
      <c r="K172" s="5" t="str">
        <f>IFERROR(__xludf.DUMMYFUNCTION("""COMPUTED_VALUE"""),"Resolved")</f>
        <v>Resolved</v>
      </c>
      <c r="L172" s="10">
        <f>IFERROR(__xludf.DUMMYFUNCTION("""COMPUTED_VALUE"""),46295.0)</f>
        <v>46295</v>
      </c>
      <c r="M172" s="5"/>
      <c r="N172" s="13">
        <f>IFERROR(__xludf.DUMMYFUNCTION("""COMPUTED_VALUE"""),43082.0)</f>
        <v>43082</v>
      </c>
      <c r="O172" s="5">
        <v>2017.0</v>
      </c>
      <c r="P172" s="5" t="str">
        <f>IFERROR(__xludf.DUMMYFUNCTION("""COMPUTED_VALUE"""),"Not stated")</f>
        <v>Not stated</v>
      </c>
      <c r="Q172" s="5" t="s">
        <v>135</v>
      </c>
      <c r="R172" s="5" t="s">
        <v>136</v>
      </c>
      <c r="S172" s="11">
        <v>3239.0</v>
      </c>
    </row>
    <row r="173">
      <c r="A173" s="5" t="str">
        <f>IFERROR(__xludf.DUMMYFUNCTION("""COMPUTED_VALUE"""),"Bumetanide Injection")</f>
        <v>Bumetanide Injection</v>
      </c>
      <c r="B173" s="5" t="str">
        <f>IFERROR(__xludf.DUMMYFUNCTION("""COMPUTED_VALUE"""),"MSN Laboratories Private Limited")</f>
        <v>MSN Laboratories Private Limited</v>
      </c>
      <c r="C173" s="5" t="str">
        <f>IFERROR(__xludf.DUMMYFUNCTION("""COMPUTED_VALUE"""),"Bumetanide, Injection, 0.25 mg/1 mL (NDC 72205-101-07)")</f>
        <v>Bumetanide, Injection, 0.25 mg/1 mL (NDC 72205-101-07)</v>
      </c>
      <c r="D173" s="5" t="str">
        <f>IFERROR(__xludf.DUMMYFUNCTION("""COMPUTED_VALUE"""),"Revised")</f>
        <v>Revised</v>
      </c>
      <c r="E173" s="10">
        <f>IFERROR(__xludf.DUMMYFUNCTION("""COMPUTED_VALUE"""),46295.0)</f>
        <v>46295</v>
      </c>
      <c r="F173" s="5"/>
      <c r="G173" s="5"/>
      <c r="H173" s="5" t="str">
        <f>IFERROR(__xludf.DUMMYFUNCTION("""COMPUTED_VALUE"""),"Available")</f>
        <v>Available</v>
      </c>
      <c r="I173" s="5"/>
      <c r="J173" s="5" t="str">
        <f>IFERROR(__xludf.DUMMYFUNCTION("""COMPUTED_VALUE"""),"Cardiovascular")</f>
        <v>Cardiovascular</v>
      </c>
      <c r="K173" s="5" t="str">
        <f>IFERROR(__xludf.DUMMYFUNCTION("""COMPUTED_VALUE"""),"Resolved")</f>
        <v>Resolved</v>
      </c>
      <c r="L173" s="10">
        <f>IFERROR(__xludf.DUMMYFUNCTION("""COMPUTED_VALUE"""),46295.0)</f>
        <v>46295</v>
      </c>
      <c r="M173" s="5"/>
      <c r="N173" s="13">
        <f>IFERROR(__xludf.DUMMYFUNCTION("""COMPUTED_VALUE"""),43082.0)</f>
        <v>43082</v>
      </c>
      <c r="O173" s="5">
        <v>2017.0</v>
      </c>
      <c r="P173" s="5" t="str">
        <f>IFERROR(__xludf.DUMMYFUNCTION("""COMPUTED_VALUE"""),"Not stated")</f>
        <v>Not stated</v>
      </c>
      <c r="Q173" s="5" t="s">
        <v>135</v>
      </c>
      <c r="R173" s="5" t="s">
        <v>136</v>
      </c>
      <c r="S173" s="11">
        <v>3239.0</v>
      </c>
    </row>
    <row r="174">
      <c r="A174" s="5" t="str">
        <f>IFERROR(__xludf.DUMMYFUNCTION("""COMPUTED_VALUE"""),"Bumetanide Injection")</f>
        <v>Bumetanide Injection</v>
      </c>
      <c r="B174" s="5" t="str">
        <f>IFERROR(__xludf.DUMMYFUNCTION("""COMPUTED_VALUE"""),"MSN Laboratories Private Limited")</f>
        <v>MSN Laboratories Private Limited</v>
      </c>
      <c r="C174" s="5" t="str">
        <f>IFERROR(__xludf.DUMMYFUNCTION("""COMPUTED_VALUE"""),"Bumetanide, Injection, 0.25 mg/mL, 10 mL (NDC 72205-102-01)")</f>
        <v>Bumetanide, Injection, 0.25 mg/mL, 10 mL (NDC 72205-102-01)</v>
      </c>
      <c r="D174" s="5" t="str">
        <f>IFERROR(__xludf.DUMMYFUNCTION("""COMPUTED_VALUE"""),"Revised")</f>
        <v>Revised</v>
      </c>
      <c r="E174" s="10">
        <f>IFERROR(__xludf.DUMMYFUNCTION("""COMPUTED_VALUE"""),46295.0)</f>
        <v>46295</v>
      </c>
      <c r="F174" s="5"/>
      <c r="G174" s="5"/>
      <c r="H174" s="5" t="str">
        <f>IFERROR(__xludf.DUMMYFUNCTION("""COMPUTED_VALUE"""),"Available")</f>
        <v>Available</v>
      </c>
      <c r="I174" s="5"/>
      <c r="J174" s="5" t="str">
        <f>IFERROR(__xludf.DUMMYFUNCTION("""COMPUTED_VALUE"""),"Cardiovascular")</f>
        <v>Cardiovascular</v>
      </c>
      <c r="K174" s="5" t="str">
        <f>IFERROR(__xludf.DUMMYFUNCTION("""COMPUTED_VALUE"""),"Resolved")</f>
        <v>Resolved</v>
      </c>
      <c r="L174" s="10">
        <f>IFERROR(__xludf.DUMMYFUNCTION("""COMPUTED_VALUE"""),46295.0)</f>
        <v>46295</v>
      </c>
      <c r="M174" s="5"/>
      <c r="N174" s="13">
        <f>IFERROR(__xludf.DUMMYFUNCTION("""COMPUTED_VALUE"""),43082.0)</f>
        <v>43082</v>
      </c>
      <c r="O174" s="5">
        <v>2017.0</v>
      </c>
      <c r="P174" s="5" t="str">
        <f>IFERROR(__xludf.DUMMYFUNCTION("""COMPUTED_VALUE"""),"Not stated")</f>
        <v>Not stated</v>
      </c>
      <c r="Q174" s="5" t="s">
        <v>135</v>
      </c>
      <c r="R174" s="5" t="s">
        <v>136</v>
      </c>
      <c r="S174" s="11">
        <v>3239.0</v>
      </c>
    </row>
    <row r="175">
      <c r="A175" s="5" t="str">
        <f>IFERROR(__xludf.DUMMYFUNCTION("""COMPUTED_VALUE"""),"Bumetanide Injection")</f>
        <v>Bumetanide Injection</v>
      </c>
      <c r="B175" s="5" t="str">
        <f>IFERROR(__xludf.DUMMYFUNCTION("""COMPUTED_VALUE"""),"MSN Laboratories Private Limited")</f>
        <v>MSN Laboratories Private Limited</v>
      </c>
      <c r="C175" s="5" t="str">
        <f>IFERROR(__xludf.DUMMYFUNCTION("""COMPUTED_VALUE"""),"Bumetanide, Injection, 0.25 mg/1 mL (NDC 72205-102-07)")</f>
        <v>Bumetanide, Injection, 0.25 mg/1 mL (NDC 72205-102-07)</v>
      </c>
      <c r="D175" s="5" t="str">
        <f>IFERROR(__xludf.DUMMYFUNCTION("""COMPUTED_VALUE"""),"Revised")</f>
        <v>Revised</v>
      </c>
      <c r="E175" s="10">
        <f>IFERROR(__xludf.DUMMYFUNCTION("""COMPUTED_VALUE"""),46295.0)</f>
        <v>46295</v>
      </c>
      <c r="F175" s="5"/>
      <c r="G175" s="5"/>
      <c r="H175" s="5" t="str">
        <f>IFERROR(__xludf.DUMMYFUNCTION("""COMPUTED_VALUE"""),"Available")</f>
        <v>Available</v>
      </c>
      <c r="I175" s="5"/>
      <c r="J175" s="5" t="str">
        <f>IFERROR(__xludf.DUMMYFUNCTION("""COMPUTED_VALUE"""),"Cardiovascular")</f>
        <v>Cardiovascular</v>
      </c>
      <c r="K175" s="5" t="str">
        <f>IFERROR(__xludf.DUMMYFUNCTION("""COMPUTED_VALUE"""),"Resolved")</f>
        <v>Resolved</v>
      </c>
      <c r="L175" s="10">
        <f>IFERROR(__xludf.DUMMYFUNCTION("""COMPUTED_VALUE"""),46295.0)</f>
        <v>46295</v>
      </c>
      <c r="M175" s="5"/>
      <c r="N175" s="13">
        <f>IFERROR(__xludf.DUMMYFUNCTION("""COMPUTED_VALUE"""),43082.0)</f>
        <v>43082</v>
      </c>
      <c r="O175" s="5">
        <v>2017.0</v>
      </c>
      <c r="P175" s="5" t="str">
        <f>IFERROR(__xludf.DUMMYFUNCTION("""COMPUTED_VALUE"""),"Not stated")</f>
        <v>Not stated</v>
      </c>
      <c r="Q175" s="5" t="s">
        <v>135</v>
      </c>
      <c r="R175" s="5" t="s">
        <v>136</v>
      </c>
      <c r="S175" s="11">
        <v>3239.0</v>
      </c>
    </row>
    <row r="176">
      <c r="A176" s="5" t="str">
        <f>IFERROR(__xludf.DUMMYFUNCTION("""COMPUTED_VALUE"""),"Bumetanide Injection")</f>
        <v>Bumetanide Injection</v>
      </c>
      <c r="B176" s="5" t="str">
        <f>IFERROR(__xludf.DUMMYFUNCTION("""COMPUTED_VALUE"""),"Hikma Pharmaceuticals USA, Inc.")</f>
        <v>Hikma Pharmaceuticals USA, Inc.</v>
      </c>
      <c r="C176" s="5" t="str">
        <f>IFERROR(__xludf.DUMMYFUNCTION("""COMPUTED_VALUE"""),"Bumetanide, Injection, .25 mg/1 mL (NDC 0641-6008-10)")</f>
        <v>Bumetanide, Injection, .25 mg/1 mL (NDC 0641-6008-10)</v>
      </c>
      <c r="D176" s="5" t="str">
        <f>IFERROR(__xludf.DUMMYFUNCTION("""COMPUTED_VALUE"""),"Revised")</f>
        <v>Revised</v>
      </c>
      <c r="E176" s="10">
        <f>IFERROR(__xludf.DUMMYFUNCTION("""COMPUTED_VALUE"""),46295.0)</f>
        <v>46295</v>
      </c>
      <c r="F176" s="5"/>
      <c r="G176" s="5"/>
      <c r="H176" s="5" t="str">
        <f>IFERROR(__xludf.DUMMYFUNCTION("""COMPUTED_VALUE"""),"Available")</f>
        <v>Available</v>
      </c>
      <c r="I176" s="5"/>
      <c r="J176" s="5" t="str">
        <f>IFERROR(__xludf.DUMMYFUNCTION("""COMPUTED_VALUE"""),"Cardiovascular")</f>
        <v>Cardiovascular</v>
      </c>
      <c r="K176" s="5" t="str">
        <f>IFERROR(__xludf.DUMMYFUNCTION("""COMPUTED_VALUE"""),"Resolved")</f>
        <v>Resolved</v>
      </c>
      <c r="L176" s="10">
        <f>IFERROR(__xludf.DUMMYFUNCTION("""COMPUTED_VALUE"""),46295.0)</f>
        <v>46295</v>
      </c>
      <c r="M176" s="5"/>
      <c r="N176" s="10">
        <f>IFERROR(__xludf.DUMMYFUNCTION("""COMPUTED_VALUE"""),43131.0)</f>
        <v>43131</v>
      </c>
      <c r="O176" s="5">
        <v>2018.0</v>
      </c>
      <c r="P176" s="5" t="str">
        <f>IFERROR(__xludf.DUMMYFUNCTION("""COMPUTED_VALUE"""),"Not stated")</f>
        <v>Not stated</v>
      </c>
      <c r="Q176" s="5" t="s">
        <v>135</v>
      </c>
      <c r="R176" s="5" t="s">
        <v>136</v>
      </c>
      <c r="S176" s="11">
        <v>3190.0</v>
      </c>
    </row>
    <row r="177">
      <c r="A177" s="5" t="str">
        <f>IFERROR(__xludf.DUMMYFUNCTION("""COMPUTED_VALUE"""),"Bumetanide Injection")</f>
        <v>Bumetanide Injection</v>
      </c>
      <c r="B177" s="5" t="str">
        <f>IFERROR(__xludf.DUMMYFUNCTION("""COMPUTED_VALUE"""),"Hikma Pharmaceuticals USA, Inc.")</f>
        <v>Hikma Pharmaceuticals USA, Inc.</v>
      </c>
      <c r="C177" s="5" t="str">
        <f>IFERROR(__xludf.DUMMYFUNCTION("""COMPUTED_VALUE"""),"Bumetanide, Injection, .25 mg/1 mL (NDC 0641-6007-10)")</f>
        <v>Bumetanide, Injection, .25 mg/1 mL (NDC 0641-6007-10)</v>
      </c>
      <c r="D177" s="5" t="str">
        <f>IFERROR(__xludf.DUMMYFUNCTION("""COMPUTED_VALUE"""),"Revised")</f>
        <v>Revised</v>
      </c>
      <c r="E177" s="10">
        <f>IFERROR(__xludf.DUMMYFUNCTION("""COMPUTED_VALUE"""),46295.0)</f>
        <v>46295</v>
      </c>
      <c r="F177" s="5"/>
      <c r="G177" s="5"/>
      <c r="H177" s="5" t="str">
        <f>IFERROR(__xludf.DUMMYFUNCTION("""COMPUTED_VALUE"""),"Available")</f>
        <v>Available</v>
      </c>
      <c r="I177" s="5"/>
      <c r="J177" s="5" t="str">
        <f>IFERROR(__xludf.DUMMYFUNCTION("""COMPUTED_VALUE"""),"Cardiovascular")</f>
        <v>Cardiovascular</v>
      </c>
      <c r="K177" s="5" t="str">
        <f>IFERROR(__xludf.DUMMYFUNCTION("""COMPUTED_VALUE"""),"Resolved")</f>
        <v>Resolved</v>
      </c>
      <c r="L177" s="10">
        <f>IFERROR(__xludf.DUMMYFUNCTION("""COMPUTED_VALUE"""),46295.0)</f>
        <v>46295</v>
      </c>
      <c r="M177" s="5"/>
      <c r="N177" s="10">
        <f>IFERROR(__xludf.DUMMYFUNCTION("""COMPUTED_VALUE"""),43131.0)</f>
        <v>43131</v>
      </c>
      <c r="O177" s="5">
        <v>2018.0</v>
      </c>
      <c r="P177" s="5" t="str">
        <f>IFERROR(__xludf.DUMMYFUNCTION("""COMPUTED_VALUE"""),"Not stated")</f>
        <v>Not stated</v>
      </c>
      <c r="Q177" s="5" t="s">
        <v>135</v>
      </c>
      <c r="R177" s="5" t="s">
        <v>136</v>
      </c>
      <c r="S177" s="11">
        <v>3190.0</v>
      </c>
    </row>
    <row r="178">
      <c r="A178" s="5" t="str">
        <f>IFERROR(__xludf.DUMMYFUNCTION("""COMPUTED_VALUE"""),"Bupivacaine Hydrochloride Injection")</f>
        <v>Bupivacaine Hydrochloride Injection</v>
      </c>
      <c r="B178" s="5" t="str">
        <f>IFERROR(__xludf.DUMMYFUNCTION("""COMPUTED_VALUE"""),"Fresenius Kabi USA, LLC")</f>
        <v>Fresenius Kabi USA, LLC</v>
      </c>
      <c r="C178" s="5" t="str">
        <f>IFERROR(__xludf.DUMMYFUNCTION("""COMPUTED_VALUE"""),"Sensorcaine, Injection, 2.5 mg/1 mL (NDC 63323-465-57)")</f>
        <v>Sensorcaine, Injection, 2.5 mg/1 mL (NDC 63323-465-57)</v>
      </c>
      <c r="D178" s="5" t="str">
        <f>IFERROR(__xludf.DUMMYFUNCTION("""COMPUTED_VALUE"""),"Reverified")</f>
        <v>Reverified</v>
      </c>
      <c r="E178" s="13">
        <f>IFERROR(__xludf.DUMMYFUNCTION("""COMPUTED_VALUE"""),46310.0)</f>
        <v>46310</v>
      </c>
      <c r="F178" s="5" t="str">
        <f>IFERROR(__xludf.DUMMYFUNCTION("""COMPUTED_VALUE"""),"Available")</f>
        <v>Available</v>
      </c>
      <c r="G178" s="5" t="str">
        <f>IFERROR(__xludf.DUMMYFUNCTION("""COMPUTED_VALUE"""),"Check wholesalers for inventory")</f>
        <v>Check wholesalers for inventory</v>
      </c>
      <c r="H178" s="5"/>
      <c r="I178" s="5"/>
      <c r="J178" s="5" t="str">
        <f>IFERROR(__xludf.DUMMYFUNCTION("""COMPUTED_VALUE"""),"Anesthesia")</f>
        <v>Anesthesia</v>
      </c>
      <c r="K178" s="5" t="str">
        <f>IFERROR(__xludf.DUMMYFUNCTION("""COMPUTED_VALUE"""),"Current")</f>
        <v>Current</v>
      </c>
      <c r="L178" s="5"/>
      <c r="M178" s="5"/>
      <c r="N178" s="10">
        <f>IFERROR(__xludf.DUMMYFUNCTION("""COMPUTED_VALUE"""),43151.0)</f>
        <v>43151</v>
      </c>
      <c r="O178" s="5">
        <v>2018.0</v>
      </c>
      <c r="P178" s="5" t="str">
        <f>IFERROR(__xludf.DUMMYFUNCTION("""COMPUTED_VALUE"""),"Available")</f>
        <v>Available</v>
      </c>
      <c r="Q178" s="5" t="s">
        <v>135</v>
      </c>
      <c r="R178" s="5" t="s">
        <v>136</v>
      </c>
      <c r="S178" s="11">
        <v>3170.0</v>
      </c>
    </row>
    <row r="179">
      <c r="A179" s="5" t="str">
        <f>IFERROR(__xludf.DUMMYFUNCTION("""COMPUTED_VALUE"""),"Bupivacaine Hydrochloride Injection")</f>
        <v>Bupivacaine Hydrochloride Injection</v>
      </c>
      <c r="B179" s="5" t="str">
        <f>IFERROR(__xludf.DUMMYFUNCTION("""COMPUTED_VALUE"""),"Fresenius Kabi USA, LLC")</f>
        <v>Fresenius Kabi USA, LLC</v>
      </c>
      <c r="C179" s="5" t="str">
        <f>IFERROR(__xludf.DUMMYFUNCTION("""COMPUTED_VALUE"""),"Sensorcaine, Injection, 5 mg/1 mL (NDC 63323-467-57)")</f>
        <v>Sensorcaine, Injection, 5 mg/1 mL (NDC 63323-467-57)</v>
      </c>
      <c r="D179" s="5" t="str">
        <f>IFERROR(__xludf.DUMMYFUNCTION("""COMPUTED_VALUE"""),"Reverified")</f>
        <v>Reverified</v>
      </c>
      <c r="E179" s="13">
        <f>IFERROR(__xludf.DUMMYFUNCTION("""COMPUTED_VALUE"""),46310.0)</f>
        <v>46310</v>
      </c>
      <c r="F179" s="5" t="str">
        <f>IFERROR(__xludf.DUMMYFUNCTION("""COMPUTED_VALUE"""),"Available")</f>
        <v>Available</v>
      </c>
      <c r="G179" s="5" t="str">
        <f>IFERROR(__xludf.DUMMYFUNCTION("""COMPUTED_VALUE"""),"Check wholesalers for inventory")</f>
        <v>Check wholesalers for inventory</v>
      </c>
      <c r="H179" s="5"/>
      <c r="I179" s="5"/>
      <c r="J179" s="5" t="str">
        <f>IFERROR(__xludf.DUMMYFUNCTION("""COMPUTED_VALUE"""),"Anesthesia")</f>
        <v>Anesthesia</v>
      </c>
      <c r="K179" s="5" t="str">
        <f>IFERROR(__xludf.DUMMYFUNCTION("""COMPUTED_VALUE"""),"Current")</f>
        <v>Current</v>
      </c>
      <c r="L179" s="5"/>
      <c r="M179" s="5"/>
      <c r="N179" s="10">
        <f>IFERROR(__xludf.DUMMYFUNCTION("""COMPUTED_VALUE"""),43151.0)</f>
        <v>43151</v>
      </c>
      <c r="O179" s="5">
        <v>2018.0</v>
      </c>
      <c r="P179" s="5" t="str">
        <f>IFERROR(__xludf.DUMMYFUNCTION("""COMPUTED_VALUE"""),"Available")</f>
        <v>Available</v>
      </c>
      <c r="Q179" s="5" t="s">
        <v>135</v>
      </c>
      <c r="R179" s="5" t="s">
        <v>136</v>
      </c>
      <c r="S179" s="11">
        <v>3170.0</v>
      </c>
    </row>
    <row r="180">
      <c r="A180" s="5" t="str">
        <f>IFERROR(__xludf.DUMMYFUNCTION("""COMPUTED_VALUE"""),"Bupivacaine Hydrochloride Injection")</f>
        <v>Bupivacaine Hydrochloride Injection</v>
      </c>
      <c r="B180" s="5" t="str">
        <f>IFERROR(__xludf.DUMMYFUNCTION("""COMPUTED_VALUE"""),"Fresenius Kabi USA, LLC")</f>
        <v>Fresenius Kabi USA, LLC</v>
      </c>
      <c r="C180" s="5" t="str">
        <f>IFERROR(__xludf.DUMMYFUNCTION("""COMPUTED_VALUE"""),"Sensorcaine, Injection, 2.5 mg/1 mL (NDC 63323-464-17)")</f>
        <v>Sensorcaine, Injection, 2.5 mg/1 mL (NDC 63323-464-17)</v>
      </c>
      <c r="D180" s="5" t="str">
        <f>IFERROR(__xludf.DUMMYFUNCTION("""COMPUTED_VALUE"""),"Reverified")</f>
        <v>Reverified</v>
      </c>
      <c r="E180" s="13">
        <f>IFERROR(__xludf.DUMMYFUNCTION("""COMPUTED_VALUE"""),46310.0)</f>
        <v>46310</v>
      </c>
      <c r="F180" s="5" t="str">
        <f>IFERROR(__xludf.DUMMYFUNCTION("""COMPUTED_VALUE"""),"Available")</f>
        <v>Available</v>
      </c>
      <c r="G180" s="5" t="str">
        <f>IFERROR(__xludf.DUMMYFUNCTION("""COMPUTED_VALUE"""),"Check wholesalers for inventory")</f>
        <v>Check wholesalers for inventory</v>
      </c>
      <c r="H180" s="5"/>
      <c r="I180" s="5"/>
      <c r="J180" s="5" t="str">
        <f>IFERROR(__xludf.DUMMYFUNCTION("""COMPUTED_VALUE"""),"Anesthesia")</f>
        <v>Anesthesia</v>
      </c>
      <c r="K180" s="5" t="str">
        <f>IFERROR(__xludf.DUMMYFUNCTION("""COMPUTED_VALUE"""),"Current")</f>
        <v>Current</v>
      </c>
      <c r="L180" s="5"/>
      <c r="M180" s="5"/>
      <c r="N180" s="10">
        <f>IFERROR(__xludf.DUMMYFUNCTION("""COMPUTED_VALUE"""),43151.0)</f>
        <v>43151</v>
      </c>
      <c r="O180" s="5">
        <v>2018.0</v>
      </c>
      <c r="P180" s="5" t="str">
        <f>IFERROR(__xludf.DUMMYFUNCTION("""COMPUTED_VALUE"""),"Available")</f>
        <v>Available</v>
      </c>
      <c r="Q180" s="5" t="s">
        <v>135</v>
      </c>
      <c r="R180" s="5" t="s">
        <v>136</v>
      </c>
      <c r="S180" s="11">
        <v>3170.0</v>
      </c>
    </row>
    <row r="181">
      <c r="A181" s="5" t="str">
        <f>IFERROR(__xludf.DUMMYFUNCTION("""COMPUTED_VALUE"""),"Bupivacaine Hydrochloride Injection")</f>
        <v>Bupivacaine Hydrochloride Injection</v>
      </c>
      <c r="B181" s="5" t="str">
        <f>IFERROR(__xludf.DUMMYFUNCTION("""COMPUTED_VALUE"""),"Fresenius Kabi USA, LLC")</f>
        <v>Fresenius Kabi USA, LLC</v>
      </c>
      <c r="C181" s="5" t="str">
        <f>IFERROR(__xludf.DUMMYFUNCTION("""COMPUTED_VALUE"""),"Sensorcaine, Injection, 2.5 mg/1 mL (NDC 63323-464-37)")</f>
        <v>Sensorcaine, Injection, 2.5 mg/1 mL (NDC 63323-464-37)</v>
      </c>
      <c r="D181" s="5" t="str">
        <f>IFERROR(__xludf.DUMMYFUNCTION("""COMPUTED_VALUE"""),"Reverified")</f>
        <v>Reverified</v>
      </c>
      <c r="E181" s="13">
        <f>IFERROR(__xludf.DUMMYFUNCTION("""COMPUTED_VALUE"""),46310.0)</f>
        <v>46310</v>
      </c>
      <c r="F181" s="5" t="str">
        <f>IFERROR(__xludf.DUMMYFUNCTION("""COMPUTED_VALUE"""),"Available")</f>
        <v>Available</v>
      </c>
      <c r="G181" s="5" t="str">
        <f>IFERROR(__xludf.DUMMYFUNCTION("""COMPUTED_VALUE"""),"Check wholesalers for inventory")</f>
        <v>Check wholesalers for inventory</v>
      </c>
      <c r="H181" s="5"/>
      <c r="I181" s="5"/>
      <c r="J181" s="5" t="str">
        <f>IFERROR(__xludf.DUMMYFUNCTION("""COMPUTED_VALUE"""),"Anesthesia")</f>
        <v>Anesthesia</v>
      </c>
      <c r="K181" s="5" t="str">
        <f>IFERROR(__xludf.DUMMYFUNCTION("""COMPUTED_VALUE"""),"Current")</f>
        <v>Current</v>
      </c>
      <c r="L181" s="5"/>
      <c r="M181" s="5"/>
      <c r="N181" s="10">
        <f>IFERROR(__xludf.DUMMYFUNCTION("""COMPUTED_VALUE"""),43151.0)</f>
        <v>43151</v>
      </c>
      <c r="O181" s="5">
        <v>2018.0</v>
      </c>
      <c r="P181" s="5" t="str">
        <f>IFERROR(__xludf.DUMMYFUNCTION("""COMPUTED_VALUE"""),"Available")</f>
        <v>Available</v>
      </c>
      <c r="Q181" s="5" t="s">
        <v>135</v>
      </c>
      <c r="R181" s="5" t="s">
        <v>136</v>
      </c>
      <c r="S181" s="11">
        <v>3170.0</v>
      </c>
    </row>
    <row r="182">
      <c r="A182" s="5" t="str">
        <f>IFERROR(__xludf.DUMMYFUNCTION("""COMPUTED_VALUE"""),"Bupivacaine Hydrochloride Injection")</f>
        <v>Bupivacaine Hydrochloride Injection</v>
      </c>
      <c r="B182" s="5" t="str">
        <f>IFERROR(__xludf.DUMMYFUNCTION("""COMPUTED_VALUE"""),"Fresenius Kabi USA, LLC")</f>
        <v>Fresenius Kabi USA, LLC</v>
      </c>
      <c r="C182" s="5" t="str">
        <f>IFERROR(__xludf.DUMMYFUNCTION("""COMPUTED_VALUE"""),"Sensorcaine, Injection, 2.5 mg/1 mL (NDC 63323-464-31)")</f>
        <v>Sensorcaine, Injection, 2.5 mg/1 mL (NDC 63323-464-31)</v>
      </c>
      <c r="D182" s="5" t="str">
        <f>IFERROR(__xludf.DUMMYFUNCTION("""COMPUTED_VALUE"""),"Reverified")</f>
        <v>Reverified</v>
      </c>
      <c r="E182" s="13">
        <f>IFERROR(__xludf.DUMMYFUNCTION("""COMPUTED_VALUE"""),46310.0)</f>
        <v>46310</v>
      </c>
      <c r="F182" s="5" t="str">
        <f>IFERROR(__xludf.DUMMYFUNCTION("""COMPUTED_VALUE"""),"Unavailable")</f>
        <v>Unavailable</v>
      </c>
      <c r="G182" s="5" t="str">
        <f>IFERROR(__xludf.DUMMYFUNCTION("""COMPUTED_VALUE"""),"Estimated recovery: TBD")</f>
        <v>Estimated recovery: TBD</v>
      </c>
      <c r="H182" s="5"/>
      <c r="I182" s="5" t="str">
        <f>IFERROR(__xludf.DUMMYFUNCTION("""COMPUTED_VALUE"""),"Demand increase for the drug")</f>
        <v>Demand increase for the drug</v>
      </c>
      <c r="J182" s="5" t="str">
        <f>IFERROR(__xludf.DUMMYFUNCTION("""COMPUTED_VALUE"""),"Anesthesia")</f>
        <v>Anesthesia</v>
      </c>
      <c r="K182" s="5" t="str">
        <f>IFERROR(__xludf.DUMMYFUNCTION("""COMPUTED_VALUE"""),"Current")</f>
        <v>Current</v>
      </c>
      <c r="L182" s="5"/>
      <c r="M182" s="5"/>
      <c r="N182" s="10">
        <f>IFERROR(__xludf.DUMMYFUNCTION("""COMPUTED_VALUE"""),43151.0)</f>
        <v>43151</v>
      </c>
      <c r="O182" s="5">
        <v>2018.0</v>
      </c>
      <c r="P182" s="5" t="str">
        <f>IFERROR(__xludf.DUMMYFUNCTION("""COMPUTED_VALUE"""),"Unavailable")</f>
        <v>Unavailable</v>
      </c>
      <c r="Q182" s="5" t="s">
        <v>134</v>
      </c>
      <c r="R182" s="5" t="s">
        <v>136</v>
      </c>
      <c r="S182" s="11">
        <v>3170.0</v>
      </c>
    </row>
    <row r="183">
      <c r="A183" s="5" t="str">
        <f>IFERROR(__xludf.DUMMYFUNCTION("""COMPUTED_VALUE"""),"Bupivacaine Hydrochloride Injection")</f>
        <v>Bupivacaine Hydrochloride Injection</v>
      </c>
      <c r="B183" s="5" t="str">
        <f>IFERROR(__xludf.DUMMYFUNCTION("""COMPUTED_VALUE"""),"Fresenius Kabi USA, LLC")</f>
        <v>Fresenius Kabi USA, LLC</v>
      </c>
      <c r="C183" s="5" t="str">
        <f>IFERROR(__xludf.DUMMYFUNCTION("""COMPUTED_VALUE"""),"Sensorcaine, Injection, 5 mg/1 mL (NDC 63323-466-17)")</f>
        <v>Sensorcaine, Injection, 5 mg/1 mL (NDC 63323-466-17)</v>
      </c>
      <c r="D183" s="5" t="str">
        <f>IFERROR(__xludf.DUMMYFUNCTION("""COMPUTED_VALUE"""),"Reverified")</f>
        <v>Reverified</v>
      </c>
      <c r="E183" s="13">
        <f>IFERROR(__xludf.DUMMYFUNCTION("""COMPUTED_VALUE"""),46310.0)</f>
        <v>46310</v>
      </c>
      <c r="F183" s="5" t="str">
        <f>IFERROR(__xludf.DUMMYFUNCTION("""COMPUTED_VALUE"""),"Available")</f>
        <v>Available</v>
      </c>
      <c r="G183" s="5" t="str">
        <f>IFERROR(__xludf.DUMMYFUNCTION("""COMPUTED_VALUE"""),"Check wholesalers for inventory")</f>
        <v>Check wholesalers for inventory</v>
      </c>
      <c r="H183" s="5"/>
      <c r="I183" s="5"/>
      <c r="J183" s="5" t="str">
        <f>IFERROR(__xludf.DUMMYFUNCTION("""COMPUTED_VALUE"""),"Anesthesia")</f>
        <v>Anesthesia</v>
      </c>
      <c r="K183" s="5" t="str">
        <f>IFERROR(__xludf.DUMMYFUNCTION("""COMPUTED_VALUE"""),"Current")</f>
        <v>Current</v>
      </c>
      <c r="L183" s="5"/>
      <c r="M183" s="5"/>
      <c r="N183" s="10">
        <f>IFERROR(__xludf.DUMMYFUNCTION("""COMPUTED_VALUE"""),43151.0)</f>
        <v>43151</v>
      </c>
      <c r="O183" s="5">
        <v>2018.0</v>
      </c>
      <c r="P183" s="5" t="str">
        <f>IFERROR(__xludf.DUMMYFUNCTION("""COMPUTED_VALUE"""),"Available")</f>
        <v>Available</v>
      </c>
      <c r="Q183" s="5" t="s">
        <v>135</v>
      </c>
      <c r="R183" s="5" t="s">
        <v>136</v>
      </c>
      <c r="S183" s="11">
        <v>3170.0</v>
      </c>
    </row>
    <row r="184">
      <c r="A184" s="5" t="str">
        <f>IFERROR(__xludf.DUMMYFUNCTION("""COMPUTED_VALUE"""),"Bupivacaine Hydrochloride Injection")</f>
        <v>Bupivacaine Hydrochloride Injection</v>
      </c>
      <c r="B184" s="5" t="str">
        <f>IFERROR(__xludf.DUMMYFUNCTION("""COMPUTED_VALUE"""),"Fresenius Kabi USA, LLC")</f>
        <v>Fresenius Kabi USA, LLC</v>
      </c>
      <c r="C184" s="5" t="str">
        <f>IFERROR(__xludf.DUMMYFUNCTION("""COMPUTED_VALUE"""),"Sensorcaine, Injection, 5 mg/1 mL (NDC 63323-466-37)")</f>
        <v>Sensorcaine, Injection, 5 mg/1 mL (NDC 63323-466-37)</v>
      </c>
      <c r="D184" s="5" t="str">
        <f>IFERROR(__xludf.DUMMYFUNCTION("""COMPUTED_VALUE"""),"Reverified")</f>
        <v>Reverified</v>
      </c>
      <c r="E184" s="13">
        <f>IFERROR(__xludf.DUMMYFUNCTION("""COMPUTED_VALUE"""),46310.0)</f>
        <v>46310</v>
      </c>
      <c r="F184" s="5" t="str">
        <f>IFERROR(__xludf.DUMMYFUNCTION("""COMPUTED_VALUE"""),"Available")</f>
        <v>Available</v>
      </c>
      <c r="G184" s="5" t="str">
        <f>IFERROR(__xludf.DUMMYFUNCTION("""COMPUTED_VALUE"""),"Check wholesalers for inventory")</f>
        <v>Check wholesalers for inventory</v>
      </c>
      <c r="H184" s="5"/>
      <c r="I184" s="5"/>
      <c r="J184" s="5" t="str">
        <f>IFERROR(__xludf.DUMMYFUNCTION("""COMPUTED_VALUE"""),"Anesthesia")</f>
        <v>Anesthesia</v>
      </c>
      <c r="K184" s="5" t="str">
        <f>IFERROR(__xludf.DUMMYFUNCTION("""COMPUTED_VALUE"""),"Current")</f>
        <v>Current</v>
      </c>
      <c r="L184" s="5"/>
      <c r="M184" s="5"/>
      <c r="N184" s="10">
        <f>IFERROR(__xludf.DUMMYFUNCTION("""COMPUTED_VALUE"""),43151.0)</f>
        <v>43151</v>
      </c>
      <c r="O184" s="5">
        <v>2018.0</v>
      </c>
      <c r="P184" s="5" t="str">
        <f>IFERROR(__xludf.DUMMYFUNCTION("""COMPUTED_VALUE"""),"Available")</f>
        <v>Available</v>
      </c>
      <c r="Q184" s="5" t="s">
        <v>135</v>
      </c>
      <c r="R184" s="5" t="s">
        <v>136</v>
      </c>
      <c r="S184" s="11">
        <v>3170.0</v>
      </c>
    </row>
    <row r="185">
      <c r="A185" s="5" t="str">
        <f>IFERROR(__xludf.DUMMYFUNCTION("""COMPUTED_VALUE"""),"Bupivacaine Hydrochloride Injection")</f>
        <v>Bupivacaine Hydrochloride Injection</v>
      </c>
      <c r="B185" s="5" t="str">
        <f>IFERROR(__xludf.DUMMYFUNCTION("""COMPUTED_VALUE"""),"Fresenius Kabi USA, LLC")</f>
        <v>Fresenius Kabi USA, LLC</v>
      </c>
      <c r="C185" s="5" t="str">
        <f>IFERROR(__xludf.DUMMYFUNCTION("""COMPUTED_VALUE"""),"Sensorcaine, Injection, 5 mg/1 mL (NDC 63323-466-31)")</f>
        <v>Sensorcaine, Injection, 5 mg/1 mL (NDC 63323-466-31)</v>
      </c>
      <c r="D185" s="5" t="str">
        <f>IFERROR(__xludf.DUMMYFUNCTION("""COMPUTED_VALUE"""),"Reverified")</f>
        <v>Reverified</v>
      </c>
      <c r="E185" s="13">
        <f>IFERROR(__xludf.DUMMYFUNCTION("""COMPUTED_VALUE"""),46310.0)</f>
        <v>46310</v>
      </c>
      <c r="F185" s="5" t="str">
        <f>IFERROR(__xludf.DUMMYFUNCTION("""COMPUTED_VALUE"""),"Unavailable")</f>
        <v>Unavailable</v>
      </c>
      <c r="G185" s="5" t="str">
        <f>IFERROR(__xludf.DUMMYFUNCTION("""COMPUTED_VALUE"""),"Estimated recovery: TBD")</f>
        <v>Estimated recovery: TBD</v>
      </c>
      <c r="H185" s="5"/>
      <c r="I185" s="5" t="str">
        <f>IFERROR(__xludf.DUMMYFUNCTION("""COMPUTED_VALUE"""),"Delay in shipping of the drug")</f>
        <v>Delay in shipping of the drug</v>
      </c>
      <c r="J185" s="5" t="str">
        <f>IFERROR(__xludf.DUMMYFUNCTION("""COMPUTED_VALUE"""),"Anesthesia")</f>
        <v>Anesthesia</v>
      </c>
      <c r="K185" s="5" t="str">
        <f>IFERROR(__xludf.DUMMYFUNCTION("""COMPUTED_VALUE"""),"Current")</f>
        <v>Current</v>
      </c>
      <c r="L185" s="5"/>
      <c r="M185" s="5"/>
      <c r="N185" s="10">
        <f>IFERROR(__xludf.DUMMYFUNCTION("""COMPUTED_VALUE"""),43151.0)</f>
        <v>43151</v>
      </c>
      <c r="O185" s="5">
        <v>2018.0</v>
      </c>
      <c r="P185" s="5" t="str">
        <f>IFERROR(__xludf.DUMMYFUNCTION("""COMPUTED_VALUE"""),"Unavailable")</f>
        <v>Unavailable</v>
      </c>
      <c r="Q185" s="5" t="s">
        <v>562</v>
      </c>
      <c r="R185" s="5" t="s">
        <v>136</v>
      </c>
      <c r="S185" s="11">
        <v>3170.0</v>
      </c>
    </row>
    <row r="186">
      <c r="A186" s="5" t="str">
        <f>IFERROR(__xludf.DUMMYFUNCTION("""COMPUTED_VALUE"""),"Bupivacaine Hydrochloride Injection")</f>
        <v>Bupivacaine Hydrochloride Injection</v>
      </c>
      <c r="B186" s="5" t="str">
        <f>IFERROR(__xludf.DUMMYFUNCTION("""COMPUTED_VALUE"""),"Fresenius Kabi USA, LLC")</f>
        <v>Fresenius Kabi USA, LLC</v>
      </c>
      <c r="C186" s="5" t="str">
        <f>IFERROR(__xludf.DUMMYFUNCTION("""COMPUTED_VALUE"""),"Sensorcaine, Injection, 7.5 mg/1 mL (NDC 63323-472-17)")</f>
        <v>Sensorcaine, Injection, 7.5 mg/1 mL (NDC 63323-472-17)</v>
      </c>
      <c r="D186" s="5" t="str">
        <f>IFERROR(__xludf.DUMMYFUNCTION("""COMPUTED_VALUE"""),"Reverified")</f>
        <v>Reverified</v>
      </c>
      <c r="E186" s="13">
        <f>IFERROR(__xludf.DUMMYFUNCTION("""COMPUTED_VALUE"""),46310.0)</f>
        <v>46310</v>
      </c>
      <c r="F186" s="5" t="str">
        <f>IFERROR(__xludf.DUMMYFUNCTION("""COMPUTED_VALUE"""),"Available")</f>
        <v>Available</v>
      </c>
      <c r="G186" s="5" t="str">
        <f>IFERROR(__xludf.DUMMYFUNCTION("""COMPUTED_VALUE"""),"Check wholesalers for inventory")</f>
        <v>Check wholesalers for inventory</v>
      </c>
      <c r="H186" s="5"/>
      <c r="I186" s="5"/>
      <c r="J186" s="5" t="str">
        <f>IFERROR(__xludf.DUMMYFUNCTION("""COMPUTED_VALUE"""),"Anesthesia")</f>
        <v>Anesthesia</v>
      </c>
      <c r="K186" s="5" t="str">
        <f>IFERROR(__xludf.DUMMYFUNCTION("""COMPUTED_VALUE"""),"Current")</f>
        <v>Current</v>
      </c>
      <c r="L186" s="5"/>
      <c r="M186" s="5"/>
      <c r="N186" s="10">
        <f>IFERROR(__xludf.DUMMYFUNCTION("""COMPUTED_VALUE"""),43151.0)</f>
        <v>43151</v>
      </c>
      <c r="O186" s="5">
        <v>2018.0</v>
      </c>
      <c r="P186" s="5" t="str">
        <f>IFERROR(__xludf.DUMMYFUNCTION("""COMPUTED_VALUE"""),"Available")</f>
        <v>Available</v>
      </c>
      <c r="Q186" s="5" t="s">
        <v>135</v>
      </c>
      <c r="R186" s="5" t="s">
        <v>136</v>
      </c>
      <c r="S186" s="11">
        <v>3170.0</v>
      </c>
    </row>
    <row r="187">
      <c r="A187" s="5" t="str">
        <f>IFERROR(__xludf.DUMMYFUNCTION("""COMPUTED_VALUE"""),"Bupivacaine Hydrochloride Injection")</f>
        <v>Bupivacaine Hydrochloride Injection</v>
      </c>
      <c r="B187" s="5" t="str">
        <f>IFERROR(__xludf.DUMMYFUNCTION("""COMPUTED_VALUE"""),"Fresenius Kabi USA, LLC")</f>
        <v>Fresenius Kabi USA, LLC</v>
      </c>
      <c r="C187" s="5" t="str">
        <f>IFERROR(__xludf.DUMMYFUNCTION("""COMPUTED_VALUE"""),"Sensorcaine, Injection, 7.5 mg/1 mL (NDC 63323-472-37)")</f>
        <v>Sensorcaine, Injection, 7.5 mg/1 mL (NDC 63323-472-37)</v>
      </c>
      <c r="D187" s="5" t="str">
        <f>IFERROR(__xludf.DUMMYFUNCTION("""COMPUTED_VALUE"""),"Reverified")</f>
        <v>Reverified</v>
      </c>
      <c r="E187" s="13">
        <f>IFERROR(__xludf.DUMMYFUNCTION("""COMPUTED_VALUE"""),46310.0)</f>
        <v>46310</v>
      </c>
      <c r="F187" s="5" t="str">
        <f>IFERROR(__xludf.DUMMYFUNCTION("""COMPUTED_VALUE"""),"Available")</f>
        <v>Available</v>
      </c>
      <c r="G187" s="5" t="str">
        <f>IFERROR(__xludf.DUMMYFUNCTION("""COMPUTED_VALUE"""),"Check wholesalers for inventory")</f>
        <v>Check wholesalers for inventory</v>
      </c>
      <c r="H187" s="5"/>
      <c r="I187" s="5"/>
      <c r="J187" s="5" t="str">
        <f>IFERROR(__xludf.DUMMYFUNCTION("""COMPUTED_VALUE"""),"Anesthesia")</f>
        <v>Anesthesia</v>
      </c>
      <c r="K187" s="5" t="str">
        <f>IFERROR(__xludf.DUMMYFUNCTION("""COMPUTED_VALUE"""),"Current")</f>
        <v>Current</v>
      </c>
      <c r="L187" s="5"/>
      <c r="M187" s="5"/>
      <c r="N187" s="10">
        <f>IFERROR(__xludf.DUMMYFUNCTION("""COMPUTED_VALUE"""),43151.0)</f>
        <v>43151</v>
      </c>
      <c r="O187" s="5">
        <v>2018.0</v>
      </c>
      <c r="P187" s="5" t="str">
        <f>IFERROR(__xludf.DUMMYFUNCTION("""COMPUTED_VALUE"""),"Available")</f>
        <v>Available</v>
      </c>
      <c r="Q187" s="5" t="s">
        <v>135</v>
      </c>
      <c r="R187" s="5" t="s">
        <v>136</v>
      </c>
      <c r="S187" s="11">
        <v>3170.0</v>
      </c>
    </row>
    <row r="188">
      <c r="A188" s="5" t="str">
        <f>IFERROR(__xludf.DUMMYFUNCTION("""COMPUTED_VALUE"""),"Bupivacaine Hydrochloride Injection")</f>
        <v>Bupivacaine Hydrochloride Injection</v>
      </c>
      <c r="B188" s="5" t="str">
        <f>IFERROR(__xludf.DUMMYFUNCTION("""COMPUTED_VALUE"""),"Eugia US LLC")</f>
        <v>Eugia US LLC</v>
      </c>
      <c r="C188" s="5" t="str">
        <f>IFERROR(__xludf.DUMMYFUNCTION("""COMPUTED_VALUE"""),"Bupivacaine Hydrochloride, Injection, 2.5 mg/1 mL (NDC 55150-167-10)")</f>
        <v>Bupivacaine Hydrochloride, Injection, 2.5 mg/1 mL (NDC 55150-167-10)</v>
      </c>
      <c r="D188" s="5" t="str">
        <f>IFERROR(__xludf.DUMMYFUNCTION("""COMPUTED_VALUE"""),"Reverified")</f>
        <v>Reverified</v>
      </c>
      <c r="E188" s="13">
        <f>IFERROR(__xludf.DUMMYFUNCTION("""COMPUTED_VALUE"""),46314.0)</f>
        <v>46314</v>
      </c>
      <c r="F188" s="5" t="str">
        <f>IFERROR(__xludf.DUMMYFUNCTION("""COMPUTED_VALUE"""),"Available")</f>
        <v>Available</v>
      </c>
      <c r="G188" s="5" t="str">
        <f>IFERROR(__xludf.DUMMYFUNCTION("""COMPUTED_VALUE"""),"Check wholesalers for inventory")</f>
        <v>Check wholesalers for inventory</v>
      </c>
      <c r="H188" s="5"/>
      <c r="I188" s="5"/>
      <c r="J188" s="5" t="str">
        <f>IFERROR(__xludf.DUMMYFUNCTION("""COMPUTED_VALUE"""),"Anesthesia")</f>
        <v>Anesthesia</v>
      </c>
      <c r="K188" s="5" t="str">
        <f>IFERROR(__xludf.DUMMYFUNCTION("""COMPUTED_VALUE"""),"Current")</f>
        <v>Current</v>
      </c>
      <c r="L188" s="5"/>
      <c r="M188" s="5"/>
      <c r="N188" s="10">
        <f>IFERROR(__xludf.DUMMYFUNCTION("""COMPUTED_VALUE"""),43151.0)</f>
        <v>43151</v>
      </c>
      <c r="O188" s="5">
        <v>2018.0</v>
      </c>
      <c r="P188" s="5" t="str">
        <f>IFERROR(__xludf.DUMMYFUNCTION("""COMPUTED_VALUE"""),"Available")</f>
        <v>Available</v>
      </c>
      <c r="Q188" s="5" t="s">
        <v>135</v>
      </c>
      <c r="R188" s="5" t="s">
        <v>136</v>
      </c>
      <c r="S188" s="11">
        <v>3170.0</v>
      </c>
    </row>
    <row r="189">
      <c r="A189" s="5" t="str">
        <f>IFERROR(__xludf.DUMMYFUNCTION("""COMPUTED_VALUE"""),"Bupivacaine Hydrochloride Injection")</f>
        <v>Bupivacaine Hydrochloride Injection</v>
      </c>
      <c r="B189" s="5" t="str">
        <f>IFERROR(__xludf.DUMMYFUNCTION("""COMPUTED_VALUE"""),"Eugia US LLC")</f>
        <v>Eugia US LLC</v>
      </c>
      <c r="C189" s="5" t="str">
        <f>IFERROR(__xludf.DUMMYFUNCTION("""COMPUTED_VALUE"""),"Bupivacaine Hydrochloride, Injection, 2.5 mg/1 mL (NDC 55150-168-30)")</f>
        <v>Bupivacaine Hydrochloride, Injection, 2.5 mg/1 mL (NDC 55150-168-30)</v>
      </c>
      <c r="D189" s="5" t="str">
        <f>IFERROR(__xludf.DUMMYFUNCTION("""COMPUTED_VALUE"""),"Reverified")</f>
        <v>Reverified</v>
      </c>
      <c r="E189" s="13">
        <f>IFERROR(__xludf.DUMMYFUNCTION("""COMPUTED_VALUE"""),46314.0)</f>
        <v>46314</v>
      </c>
      <c r="F189" s="5" t="str">
        <f>IFERROR(__xludf.DUMMYFUNCTION("""COMPUTED_VALUE"""),"Available")</f>
        <v>Available</v>
      </c>
      <c r="G189" s="5" t="str">
        <f>IFERROR(__xludf.DUMMYFUNCTION("""COMPUTED_VALUE"""),"Check wholesalers for inventory")</f>
        <v>Check wholesalers for inventory</v>
      </c>
      <c r="H189" s="5"/>
      <c r="I189" s="5"/>
      <c r="J189" s="5" t="str">
        <f>IFERROR(__xludf.DUMMYFUNCTION("""COMPUTED_VALUE"""),"Anesthesia")</f>
        <v>Anesthesia</v>
      </c>
      <c r="K189" s="5" t="str">
        <f>IFERROR(__xludf.DUMMYFUNCTION("""COMPUTED_VALUE"""),"Current")</f>
        <v>Current</v>
      </c>
      <c r="L189" s="5"/>
      <c r="M189" s="5"/>
      <c r="N189" s="10">
        <f>IFERROR(__xludf.DUMMYFUNCTION("""COMPUTED_VALUE"""),43151.0)</f>
        <v>43151</v>
      </c>
      <c r="O189" s="5">
        <v>2018.0</v>
      </c>
      <c r="P189" s="5" t="str">
        <f>IFERROR(__xludf.DUMMYFUNCTION("""COMPUTED_VALUE"""),"Available")</f>
        <v>Available</v>
      </c>
      <c r="Q189" s="5" t="s">
        <v>135</v>
      </c>
      <c r="R189" s="5" t="s">
        <v>136</v>
      </c>
      <c r="S189" s="11">
        <v>3170.0</v>
      </c>
    </row>
    <row r="190">
      <c r="A190" s="5" t="str">
        <f>IFERROR(__xludf.DUMMYFUNCTION("""COMPUTED_VALUE"""),"Bupivacaine Hydrochloride Injection")</f>
        <v>Bupivacaine Hydrochloride Injection</v>
      </c>
      <c r="B190" s="5" t="str">
        <f>IFERROR(__xludf.DUMMYFUNCTION("""COMPUTED_VALUE"""),"Eugia US LLC")</f>
        <v>Eugia US LLC</v>
      </c>
      <c r="C190" s="5" t="str">
        <f>IFERROR(__xludf.DUMMYFUNCTION("""COMPUTED_VALUE"""),"Bupivacaine Hydrochloride, Injection, 5 mg/1 mL (NDC 55150-169-10)")</f>
        <v>Bupivacaine Hydrochloride, Injection, 5 mg/1 mL (NDC 55150-169-10)</v>
      </c>
      <c r="D190" s="5" t="str">
        <f>IFERROR(__xludf.DUMMYFUNCTION("""COMPUTED_VALUE"""),"Reverified")</f>
        <v>Reverified</v>
      </c>
      <c r="E190" s="13">
        <f>IFERROR(__xludf.DUMMYFUNCTION("""COMPUTED_VALUE"""),46314.0)</f>
        <v>46314</v>
      </c>
      <c r="F190" s="5" t="str">
        <f>IFERROR(__xludf.DUMMYFUNCTION("""COMPUTED_VALUE"""),"Available")</f>
        <v>Available</v>
      </c>
      <c r="G190" s="5" t="str">
        <f>IFERROR(__xludf.DUMMYFUNCTION("""COMPUTED_VALUE"""),"Check wholesalers for inventory")</f>
        <v>Check wholesalers for inventory</v>
      </c>
      <c r="H190" s="5"/>
      <c r="I190" s="5"/>
      <c r="J190" s="5" t="str">
        <f>IFERROR(__xludf.DUMMYFUNCTION("""COMPUTED_VALUE"""),"Anesthesia")</f>
        <v>Anesthesia</v>
      </c>
      <c r="K190" s="5" t="str">
        <f>IFERROR(__xludf.DUMMYFUNCTION("""COMPUTED_VALUE"""),"Current")</f>
        <v>Current</v>
      </c>
      <c r="L190" s="5"/>
      <c r="M190" s="5"/>
      <c r="N190" s="10">
        <f>IFERROR(__xludf.DUMMYFUNCTION("""COMPUTED_VALUE"""),43151.0)</f>
        <v>43151</v>
      </c>
      <c r="O190" s="5">
        <v>2018.0</v>
      </c>
      <c r="P190" s="5" t="str">
        <f>IFERROR(__xludf.DUMMYFUNCTION("""COMPUTED_VALUE"""),"Available")</f>
        <v>Available</v>
      </c>
      <c r="Q190" s="5" t="s">
        <v>135</v>
      </c>
      <c r="R190" s="5" t="s">
        <v>136</v>
      </c>
      <c r="S190" s="11">
        <v>3170.0</v>
      </c>
    </row>
    <row r="191">
      <c r="A191" s="5" t="str">
        <f>IFERROR(__xludf.DUMMYFUNCTION("""COMPUTED_VALUE"""),"Bupivacaine Hydrochloride Injection")</f>
        <v>Bupivacaine Hydrochloride Injection</v>
      </c>
      <c r="B191" s="5" t="str">
        <f>IFERROR(__xludf.DUMMYFUNCTION("""COMPUTED_VALUE"""),"Eugia US LLC")</f>
        <v>Eugia US LLC</v>
      </c>
      <c r="C191" s="5" t="str">
        <f>IFERROR(__xludf.DUMMYFUNCTION("""COMPUTED_VALUE"""),"Bupivacaine Hydrochloride, Injection, 5 mg/1 mL (NDC 55150-170-30)")</f>
        <v>Bupivacaine Hydrochloride, Injection, 5 mg/1 mL (NDC 55150-170-30)</v>
      </c>
      <c r="D191" s="5" t="str">
        <f>IFERROR(__xludf.DUMMYFUNCTION("""COMPUTED_VALUE"""),"Reverified")</f>
        <v>Reverified</v>
      </c>
      <c r="E191" s="13">
        <f>IFERROR(__xludf.DUMMYFUNCTION("""COMPUTED_VALUE"""),46314.0)</f>
        <v>46314</v>
      </c>
      <c r="F191" s="5" t="str">
        <f>IFERROR(__xludf.DUMMYFUNCTION("""COMPUTED_VALUE"""),"Available")</f>
        <v>Available</v>
      </c>
      <c r="G191" s="5" t="str">
        <f>IFERROR(__xludf.DUMMYFUNCTION("""COMPUTED_VALUE"""),"Check wholesalers for inventory")</f>
        <v>Check wholesalers for inventory</v>
      </c>
      <c r="H191" s="5"/>
      <c r="I191" s="5"/>
      <c r="J191" s="5" t="str">
        <f>IFERROR(__xludf.DUMMYFUNCTION("""COMPUTED_VALUE"""),"Anesthesia")</f>
        <v>Anesthesia</v>
      </c>
      <c r="K191" s="5" t="str">
        <f>IFERROR(__xludf.DUMMYFUNCTION("""COMPUTED_VALUE"""),"Current")</f>
        <v>Current</v>
      </c>
      <c r="L191" s="5"/>
      <c r="M191" s="5"/>
      <c r="N191" s="10">
        <f>IFERROR(__xludf.DUMMYFUNCTION("""COMPUTED_VALUE"""),43151.0)</f>
        <v>43151</v>
      </c>
      <c r="O191" s="5">
        <v>2018.0</v>
      </c>
      <c r="P191" s="5" t="str">
        <f>IFERROR(__xludf.DUMMYFUNCTION("""COMPUTED_VALUE"""),"Available")</f>
        <v>Available</v>
      </c>
      <c r="Q191" s="5" t="s">
        <v>135</v>
      </c>
      <c r="R191" s="5" t="s">
        <v>136</v>
      </c>
      <c r="S191" s="11">
        <v>3170.0</v>
      </c>
    </row>
    <row r="192">
      <c r="A192" s="5" t="str">
        <f>IFERROR(__xludf.DUMMYFUNCTION("""COMPUTED_VALUE"""),"Bupivacaine Hydrochloride Injection")</f>
        <v>Bupivacaine Hydrochloride Injection</v>
      </c>
      <c r="B192" s="5" t="str">
        <f>IFERROR(__xludf.DUMMYFUNCTION("""COMPUTED_VALUE"""),"Eugia US LLC")</f>
        <v>Eugia US LLC</v>
      </c>
      <c r="C192" s="5" t="str">
        <f>IFERROR(__xludf.DUMMYFUNCTION("""COMPUTED_VALUE"""),"Bupivacaine Hydrochloride, Injection, 7.5 mg/1 mL (NDC 55150-171-10)")</f>
        <v>Bupivacaine Hydrochloride, Injection, 7.5 mg/1 mL (NDC 55150-171-10)</v>
      </c>
      <c r="D192" s="5" t="str">
        <f>IFERROR(__xludf.DUMMYFUNCTION("""COMPUTED_VALUE"""),"Reverified")</f>
        <v>Reverified</v>
      </c>
      <c r="E192" s="13">
        <f>IFERROR(__xludf.DUMMYFUNCTION("""COMPUTED_VALUE"""),46314.0)</f>
        <v>46314</v>
      </c>
      <c r="F192" s="5" t="str">
        <f>IFERROR(__xludf.DUMMYFUNCTION("""COMPUTED_VALUE"""),"Available")</f>
        <v>Available</v>
      </c>
      <c r="G192" s="5" t="str">
        <f>IFERROR(__xludf.DUMMYFUNCTION("""COMPUTED_VALUE"""),"Check wholesalers for inventory")</f>
        <v>Check wholesalers for inventory</v>
      </c>
      <c r="H192" s="5"/>
      <c r="I192" s="5"/>
      <c r="J192" s="5" t="str">
        <f>IFERROR(__xludf.DUMMYFUNCTION("""COMPUTED_VALUE"""),"Anesthesia")</f>
        <v>Anesthesia</v>
      </c>
      <c r="K192" s="5" t="str">
        <f>IFERROR(__xludf.DUMMYFUNCTION("""COMPUTED_VALUE"""),"Current")</f>
        <v>Current</v>
      </c>
      <c r="L192" s="5"/>
      <c r="M192" s="5"/>
      <c r="N192" s="10">
        <f>IFERROR(__xludf.DUMMYFUNCTION("""COMPUTED_VALUE"""),43151.0)</f>
        <v>43151</v>
      </c>
      <c r="O192" s="5">
        <v>2018.0</v>
      </c>
      <c r="P192" s="5" t="str">
        <f>IFERROR(__xludf.DUMMYFUNCTION("""COMPUTED_VALUE"""),"Available")</f>
        <v>Available</v>
      </c>
      <c r="Q192" s="5" t="s">
        <v>135</v>
      </c>
      <c r="R192" s="5" t="s">
        <v>136</v>
      </c>
      <c r="S192" s="11">
        <v>3170.0</v>
      </c>
    </row>
    <row r="193">
      <c r="A193" s="5" t="str">
        <f>IFERROR(__xludf.DUMMYFUNCTION("""COMPUTED_VALUE"""),"Bupivacaine Hydrochloride Injection")</f>
        <v>Bupivacaine Hydrochloride Injection</v>
      </c>
      <c r="B193" s="5" t="str">
        <f>IFERROR(__xludf.DUMMYFUNCTION("""COMPUTED_VALUE"""),"Eugia US LLC")</f>
        <v>Eugia US LLC</v>
      </c>
      <c r="C193" s="5" t="str">
        <f>IFERROR(__xludf.DUMMYFUNCTION("""COMPUTED_VALUE"""),"Bupivacaine Hydrochloride, Injection, 7.5 mg/1 mL (NDC 55150-172-30)")</f>
        <v>Bupivacaine Hydrochloride, Injection, 7.5 mg/1 mL (NDC 55150-172-30)</v>
      </c>
      <c r="D193" s="5" t="str">
        <f>IFERROR(__xludf.DUMMYFUNCTION("""COMPUTED_VALUE"""),"Reverified")</f>
        <v>Reverified</v>
      </c>
      <c r="E193" s="13">
        <f>IFERROR(__xludf.DUMMYFUNCTION("""COMPUTED_VALUE"""),46314.0)</f>
        <v>46314</v>
      </c>
      <c r="F193" s="5" t="str">
        <f>IFERROR(__xludf.DUMMYFUNCTION("""COMPUTED_VALUE"""),"Available")</f>
        <v>Available</v>
      </c>
      <c r="G193" s="5" t="str">
        <f>IFERROR(__xludf.DUMMYFUNCTION("""COMPUTED_VALUE"""),"Check wholesalers for inventory")</f>
        <v>Check wholesalers for inventory</v>
      </c>
      <c r="H193" s="5"/>
      <c r="I193" s="5"/>
      <c r="J193" s="5" t="str">
        <f>IFERROR(__xludf.DUMMYFUNCTION("""COMPUTED_VALUE"""),"Anesthesia")</f>
        <v>Anesthesia</v>
      </c>
      <c r="K193" s="5" t="str">
        <f>IFERROR(__xludf.DUMMYFUNCTION("""COMPUTED_VALUE"""),"Current")</f>
        <v>Current</v>
      </c>
      <c r="L193" s="5"/>
      <c r="M193" s="5"/>
      <c r="N193" s="10">
        <f>IFERROR(__xludf.DUMMYFUNCTION("""COMPUTED_VALUE"""),43151.0)</f>
        <v>43151</v>
      </c>
      <c r="O193" s="5">
        <v>2018.0</v>
      </c>
      <c r="P193" s="5" t="str">
        <f>IFERROR(__xludf.DUMMYFUNCTION("""COMPUTED_VALUE"""),"Available")</f>
        <v>Available</v>
      </c>
      <c r="Q193" s="5" t="s">
        <v>135</v>
      </c>
      <c r="R193" s="5" t="s">
        <v>136</v>
      </c>
      <c r="S193" s="11">
        <v>3170.0</v>
      </c>
    </row>
    <row r="194">
      <c r="A194" s="5" t="str">
        <f>IFERROR(__xludf.DUMMYFUNCTION("""COMPUTED_VALUE"""),"Bupivacaine Hydrochloride Injection")</f>
        <v>Bupivacaine Hydrochloride Injection</v>
      </c>
      <c r="B194" s="5" t="str">
        <f>IFERROR(__xludf.DUMMYFUNCTION("""COMPUTED_VALUE"""),"Eugia US LLC")</f>
        <v>Eugia US LLC</v>
      </c>
      <c r="C194" s="5" t="str">
        <f>IFERROR(__xludf.DUMMYFUNCTION("""COMPUTED_VALUE"""),"Bupivacaine Hydrochloride, Injection, 2.5 mg/1 mL (NDC 55150-249-50)")</f>
        <v>Bupivacaine Hydrochloride, Injection, 2.5 mg/1 mL (NDC 55150-249-50)</v>
      </c>
      <c r="D194" s="5" t="str">
        <f>IFERROR(__xludf.DUMMYFUNCTION("""COMPUTED_VALUE"""),"Reverified")</f>
        <v>Reverified</v>
      </c>
      <c r="E194" s="13">
        <f>IFERROR(__xludf.DUMMYFUNCTION("""COMPUTED_VALUE"""),46314.0)</f>
        <v>46314</v>
      </c>
      <c r="F194" s="5" t="str">
        <f>IFERROR(__xludf.DUMMYFUNCTION("""COMPUTED_VALUE"""),"Available")</f>
        <v>Available</v>
      </c>
      <c r="G194" s="5" t="str">
        <f>IFERROR(__xludf.DUMMYFUNCTION("""COMPUTED_VALUE"""),"Check wholesalers for inventory")</f>
        <v>Check wholesalers for inventory</v>
      </c>
      <c r="H194" s="5"/>
      <c r="I194" s="5"/>
      <c r="J194" s="5" t="str">
        <f>IFERROR(__xludf.DUMMYFUNCTION("""COMPUTED_VALUE"""),"Anesthesia")</f>
        <v>Anesthesia</v>
      </c>
      <c r="K194" s="5" t="str">
        <f>IFERROR(__xludf.DUMMYFUNCTION("""COMPUTED_VALUE"""),"Current")</f>
        <v>Current</v>
      </c>
      <c r="L194" s="5"/>
      <c r="M194" s="5"/>
      <c r="N194" s="10">
        <f>IFERROR(__xludf.DUMMYFUNCTION("""COMPUTED_VALUE"""),43151.0)</f>
        <v>43151</v>
      </c>
      <c r="O194" s="5">
        <v>2018.0</v>
      </c>
      <c r="P194" s="5" t="str">
        <f>IFERROR(__xludf.DUMMYFUNCTION("""COMPUTED_VALUE"""),"Available")</f>
        <v>Available</v>
      </c>
      <c r="Q194" s="5" t="s">
        <v>135</v>
      </c>
      <c r="R194" s="5" t="s">
        <v>136</v>
      </c>
      <c r="S194" s="11">
        <v>3170.0</v>
      </c>
    </row>
    <row r="195">
      <c r="A195" s="5" t="str">
        <f>IFERROR(__xludf.DUMMYFUNCTION("""COMPUTED_VALUE"""),"Bupivacaine Hydrochloride Injection")</f>
        <v>Bupivacaine Hydrochloride Injection</v>
      </c>
      <c r="B195" s="5" t="str">
        <f>IFERROR(__xludf.DUMMYFUNCTION("""COMPUTED_VALUE"""),"Eugia US LLC")</f>
        <v>Eugia US LLC</v>
      </c>
      <c r="C195" s="5" t="str">
        <f>IFERROR(__xludf.DUMMYFUNCTION("""COMPUTED_VALUE"""),"Bupivacaine Hydrochloride, Injection, 5 mg/1 mL (NDC 55150-250-50)")</f>
        <v>Bupivacaine Hydrochloride, Injection, 5 mg/1 mL (NDC 55150-250-50)</v>
      </c>
      <c r="D195" s="5" t="str">
        <f>IFERROR(__xludf.DUMMYFUNCTION("""COMPUTED_VALUE"""),"Reverified")</f>
        <v>Reverified</v>
      </c>
      <c r="E195" s="13">
        <f>IFERROR(__xludf.DUMMYFUNCTION("""COMPUTED_VALUE"""),46314.0)</f>
        <v>46314</v>
      </c>
      <c r="F195" s="5" t="str">
        <f>IFERROR(__xludf.DUMMYFUNCTION("""COMPUTED_VALUE"""),"Available")</f>
        <v>Available</v>
      </c>
      <c r="G195" s="5" t="str">
        <f>IFERROR(__xludf.DUMMYFUNCTION("""COMPUTED_VALUE"""),"Check wholesalers for inventory")</f>
        <v>Check wholesalers for inventory</v>
      </c>
      <c r="H195" s="5"/>
      <c r="I195" s="5"/>
      <c r="J195" s="5" t="str">
        <f>IFERROR(__xludf.DUMMYFUNCTION("""COMPUTED_VALUE"""),"Anesthesia")</f>
        <v>Anesthesia</v>
      </c>
      <c r="K195" s="5" t="str">
        <f>IFERROR(__xludf.DUMMYFUNCTION("""COMPUTED_VALUE"""),"Current")</f>
        <v>Current</v>
      </c>
      <c r="L195" s="5"/>
      <c r="M195" s="5"/>
      <c r="N195" s="10">
        <f>IFERROR(__xludf.DUMMYFUNCTION("""COMPUTED_VALUE"""),43151.0)</f>
        <v>43151</v>
      </c>
      <c r="O195" s="5">
        <v>2018.0</v>
      </c>
      <c r="P195" s="5" t="str">
        <f>IFERROR(__xludf.DUMMYFUNCTION("""COMPUTED_VALUE"""),"Available")</f>
        <v>Available</v>
      </c>
      <c r="Q195" s="5" t="s">
        <v>135</v>
      </c>
      <c r="R195" s="5" t="s">
        <v>136</v>
      </c>
      <c r="S195" s="11">
        <v>3170.0</v>
      </c>
    </row>
    <row r="196">
      <c r="A196" s="5" t="str">
        <f>IFERROR(__xludf.DUMMYFUNCTION("""COMPUTED_VALUE"""),"Bupivacaine Hydrochloride Injection")</f>
        <v>Bupivacaine Hydrochloride Injection</v>
      </c>
      <c r="B196" s="5" t="str">
        <f>IFERROR(__xludf.DUMMYFUNCTION("""COMPUTED_VALUE"""),"Hospira, Inc., a Pfizer Company")</f>
        <v>Hospira, Inc., a Pfizer Company</v>
      </c>
      <c r="C196" s="5" t="str">
        <f>IFERROR(__xludf.DUMMYFUNCTION("""COMPUTED_VALUE"""),"Bupivacaine Hydrochloride, Injection, 25 mg/10 mL (2.5 mg/mL) (NDC 0409-1159-01)")</f>
        <v>Bupivacaine Hydrochloride, Injection, 25 mg/10 mL (2.5 mg/mL) (NDC 0409-1159-01)</v>
      </c>
      <c r="D196" s="5" t="str">
        <f>IFERROR(__xludf.DUMMYFUNCTION("""COMPUTED_VALUE"""),"Reverified")</f>
        <v>Reverified</v>
      </c>
      <c r="E196" s="13">
        <f>IFERROR(__xludf.DUMMYFUNCTION("""COMPUTED_VALUE"""),46316.0)</f>
        <v>46316</v>
      </c>
      <c r="F196" s="5" t="str">
        <f>IFERROR(__xludf.DUMMYFUNCTION("""COMPUTED_VALUE"""),"Available")</f>
        <v>Available</v>
      </c>
      <c r="G196" s="5"/>
      <c r="H196" s="5"/>
      <c r="I196" s="5"/>
      <c r="J196" s="5" t="str">
        <f>IFERROR(__xludf.DUMMYFUNCTION("""COMPUTED_VALUE"""),"Anesthesia")</f>
        <v>Anesthesia</v>
      </c>
      <c r="K196" s="5" t="str">
        <f>IFERROR(__xludf.DUMMYFUNCTION("""COMPUTED_VALUE"""),"Current")</f>
        <v>Current</v>
      </c>
      <c r="L196" s="5"/>
      <c r="M196" s="5"/>
      <c r="N196" s="10">
        <f>IFERROR(__xludf.DUMMYFUNCTION("""COMPUTED_VALUE"""),43151.0)</f>
        <v>43151</v>
      </c>
      <c r="O196" s="5">
        <v>2018.0</v>
      </c>
      <c r="P196" s="5" t="str">
        <f>IFERROR(__xludf.DUMMYFUNCTION("""COMPUTED_VALUE"""),"Available")</f>
        <v>Available</v>
      </c>
      <c r="Q196" s="5" t="s">
        <v>135</v>
      </c>
      <c r="R196" s="5" t="s">
        <v>136</v>
      </c>
      <c r="S196" s="11">
        <v>3170.0</v>
      </c>
    </row>
    <row r="197">
      <c r="A197" s="5" t="str">
        <f>IFERROR(__xludf.DUMMYFUNCTION("""COMPUTED_VALUE"""),"Bupivacaine Hydrochloride Injection")</f>
        <v>Bupivacaine Hydrochloride Injection</v>
      </c>
      <c r="B197" s="5" t="str">
        <f>IFERROR(__xludf.DUMMYFUNCTION("""COMPUTED_VALUE"""),"Hospira, Inc., a Pfizer Company")</f>
        <v>Hospira, Inc., a Pfizer Company</v>
      </c>
      <c r="C197" s="5" t="str">
        <f>IFERROR(__xludf.DUMMYFUNCTION("""COMPUTED_VALUE"""),"Bupivacaine Hydrochloride, Injection, 75 mg/30 mL (2.5 mg/mL) (NDC 0409-1159-02)")</f>
        <v>Bupivacaine Hydrochloride, Injection, 75 mg/30 mL (2.5 mg/mL) (NDC 0409-1159-02)</v>
      </c>
      <c r="D197" s="5" t="str">
        <f>IFERROR(__xludf.DUMMYFUNCTION("""COMPUTED_VALUE"""),"Reverified")</f>
        <v>Reverified</v>
      </c>
      <c r="E197" s="13">
        <f>IFERROR(__xludf.DUMMYFUNCTION("""COMPUTED_VALUE"""),46316.0)</f>
        <v>46316</v>
      </c>
      <c r="F197" s="5" t="str">
        <f>IFERROR(__xludf.DUMMYFUNCTION("""COMPUTED_VALUE"""),"Available")</f>
        <v>Available</v>
      </c>
      <c r="G197" s="5"/>
      <c r="H197" s="5"/>
      <c r="I197" s="5"/>
      <c r="J197" s="5" t="str">
        <f>IFERROR(__xludf.DUMMYFUNCTION("""COMPUTED_VALUE"""),"Anesthesia")</f>
        <v>Anesthesia</v>
      </c>
      <c r="K197" s="5" t="str">
        <f>IFERROR(__xludf.DUMMYFUNCTION("""COMPUTED_VALUE"""),"Current")</f>
        <v>Current</v>
      </c>
      <c r="L197" s="5"/>
      <c r="M197" s="5"/>
      <c r="N197" s="10">
        <f>IFERROR(__xludf.DUMMYFUNCTION("""COMPUTED_VALUE"""),43151.0)</f>
        <v>43151</v>
      </c>
      <c r="O197" s="5">
        <v>2018.0</v>
      </c>
      <c r="P197" s="5" t="str">
        <f>IFERROR(__xludf.DUMMYFUNCTION("""COMPUTED_VALUE"""),"Available")</f>
        <v>Available</v>
      </c>
      <c r="Q197" s="5" t="s">
        <v>135</v>
      </c>
      <c r="R197" s="5" t="s">
        <v>136</v>
      </c>
      <c r="S197" s="11">
        <v>3170.0</v>
      </c>
    </row>
    <row r="198">
      <c r="A198" s="5" t="str">
        <f>IFERROR(__xludf.DUMMYFUNCTION("""COMPUTED_VALUE"""),"Bupivacaine Hydrochloride Injection")</f>
        <v>Bupivacaine Hydrochloride Injection</v>
      </c>
      <c r="B198" s="5" t="str">
        <f>IFERROR(__xludf.DUMMYFUNCTION("""COMPUTED_VALUE"""),"Hospira, Inc., a Pfizer Company")</f>
        <v>Hospira, Inc., a Pfizer Company</v>
      </c>
      <c r="C198" s="5" t="str">
        <f>IFERROR(__xludf.DUMMYFUNCTION("""COMPUTED_VALUE"""),"Bupivacaine Hydrochloride, Injection, 125 mg/50 mL (2.5 mg/mL) (NDC 0409-1160-01)")</f>
        <v>Bupivacaine Hydrochloride, Injection, 125 mg/50 mL (2.5 mg/mL) (NDC 0409-1160-01)</v>
      </c>
      <c r="D198" s="5" t="str">
        <f>IFERROR(__xludf.DUMMYFUNCTION("""COMPUTED_VALUE"""),"Revised")</f>
        <v>Revised</v>
      </c>
      <c r="E198" s="13">
        <f>IFERROR(__xludf.DUMMYFUNCTION("""COMPUTED_VALUE"""),46316.0)</f>
        <v>46316</v>
      </c>
      <c r="F198" s="5" t="str">
        <f>IFERROR(__xludf.DUMMYFUNCTION("""COMPUTED_VALUE"""),"Available")</f>
        <v>Available</v>
      </c>
      <c r="G198" s="5"/>
      <c r="H198" s="5"/>
      <c r="I198" s="5"/>
      <c r="J198" s="5" t="str">
        <f>IFERROR(__xludf.DUMMYFUNCTION("""COMPUTED_VALUE"""),"Anesthesia")</f>
        <v>Anesthesia</v>
      </c>
      <c r="K198" s="5" t="str">
        <f>IFERROR(__xludf.DUMMYFUNCTION("""COMPUTED_VALUE"""),"Current")</f>
        <v>Current</v>
      </c>
      <c r="L198" s="5"/>
      <c r="M198" s="5"/>
      <c r="N198" s="10">
        <f>IFERROR(__xludf.DUMMYFUNCTION("""COMPUTED_VALUE"""),43151.0)</f>
        <v>43151</v>
      </c>
      <c r="O198" s="5">
        <v>2018.0</v>
      </c>
      <c r="P198" s="5" t="str">
        <f>IFERROR(__xludf.DUMMYFUNCTION("""COMPUTED_VALUE"""),"Available")</f>
        <v>Available</v>
      </c>
      <c r="Q198" s="5" t="s">
        <v>135</v>
      </c>
      <c r="R198" s="5" t="s">
        <v>136</v>
      </c>
      <c r="S198" s="11">
        <v>3170.0</v>
      </c>
    </row>
    <row r="199">
      <c r="A199" s="5" t="str">
        <f>IFERROR(__xludf.DUMMYFUNCTION("""COMPUTED_VALUE"""),"Bupivacaine Hydrochloride Injection")</f>
        <v>Bupivacaine Hydrochloride Injection</v>
      </c>
      <c r="B199" s="5" t="str">
        <f>IFERROR(__xludf.DUMMYFUNCTION("""COMPUTED_VALUE"""),"Hospira, Inc., a Pfizer Company")</f>
        <v>Hospira, Inc., a Pfizer Company</v>
      </c>
      <c r="C199" s="5" t="str">
        <f>IFERROR(__xludf.DUMMYFUNCTION("""COMPUTED_VALUE"""),"Bupivacaine Hydrochloride, Injection, 50 mg/10 mL (5 mg/mL) (NDC 0409-1162-01)")</f>
        <v>Bupivacaine Hydrochloride, Injection, 50 mg/10 mL (5 mg/mL) (NDC 0409-1162-01)</v>
      </c>
      <c r="D199" s="5" t="str">
        <f>IFERROR(__xludf.DUMMYFUNCTION("""COMPUTED_VALUE"""),"Reverified")</f>
        <v>Reverified</v>
      </c>
      <c r="E199" s="13">
        <f>IFERROR(__xludf.DUMMYFUNCTION("""COMPUTED_VALUE"""),46316.0)</f>
        <v>46316</v>
      </c>
      <c r="F199" s="5" t="str">
        <f>IFERROR(__xludf.DUMMYFUNCTION("""COMPUTED_VALUE"""),"Available")</f>
        <v>Available</v>
      </c>
      <c r="G199" s="5"/>
      <c r="H199" s="5"/>
      <c r="I199" s="5"/>
      <c r="J199" s="5" t="str">
        <f>IFERROR(__xludf.DUMMYFUNCTION("""COMPUTED_VALUE"""),"Anesthesia")</f>
        <v>Anesthesia</v>
      </c>
      <c r="K199" s="5" t="str">
        <f>IFERROR(__xludf.DUMMYFUNCTION("""COMPUTED_VALUE"""),"Current")</f>
        <v>Current</v>
      </c>
      <c r="L199" s="5"/>
      <c r="M199" s="5"/>
      <c r="N199" s="10">
        <f>IFERROR(__xludf.DUMMYFUNCTION("""COMPUTED_VALUE"""),43151.0)</f>
        <v>43151</v>
      </c>
      <c r="O199" s="5">
        <v>2018.0</v>
      </c>
      <c r="P199" s="5" t="str">
        <f>IFERROR(__xludf.DUMMYFUNCTION("""COMPUTED_VALUE"""),"Available")</f>
        <v>Available</v>
      </c>
      <c r="Q199" s="5" t="s">
        <v>135</v>
      </c>
      <c r="R199" s="5" t="s">
        <v>136</v>
      </c>
      <c r="S199" s="11">
        <v>3170.0</v>
      </c>
    </row>
    <row r="200">
      <c r="A200" s="5" t="str">
        <f>IFERROR(__xludf.DUMMYFUNCTION("""COMPUTED_VALUE"""),"Bupivacaine Hydrochloride Injection")</f>
        <v>Bupivacaine Hydrochloride Injection</v>
      </c>
      <c r="B200" s="5" t="str">
        <f>IFERROR(__xludf.DUMMYFUNCTION("""COMPUTED_VALUE"""),"Hospira, Inc., a Pfizer Company")</f>
        <v>Hospira, Inc., a Pfizer Company</v>
      </c>
      <c r="C200" s="5" t="str">
        <f>IFERROR(__xludf.DUMMYFUNCTION("""COMPUTED_VALUE"""),"Bupivacaine Hydrochloride, Injection, 150 mg/30 mL (5 mg/mL) (NDC 0409-1162-02)")</f>
        <v>Bupivacaine Hydrochloride, Injection, 150 mg/30 mL (5 mg/mL) (NDC 0409-1162-02)</v>
      </c>
      <c r="D200" s="5" t="str">
        <f>IFERROR(__xludf.DUMMYFUNCTION("""COMPUTED_VALUE"""),"Reverified")</f>
        <v>Reverified</v>
      </c>
      <c r="E200" s="13">
        <f>IFERROR(__xludf.DUMMYFUNCTION("""COMPUTED_VALUE"""),46316.0)</f>
        <v>46316</v>
      </c>
      <c r="F200" s="5" t="str">
        <f>IFERROR(__xludf.DUMMYFUNCTION("""COMPUTED_VALUE"""),"Available")</f>
        <v>Available</v>
      </c>
      <c r="G200" s="5"/>
      <c r="H200" s="5"/>
      <c r="I200" s="5"/>
      <c r="J200" s="5" t="str">
        <f>IFERROR(__xludf.DUMMYFUNCTION("""COMPUTED_VALUE"""),"Anesthesia")</f>
        <v>Anesthesia</v>
      </c>
      <c r="K200" s="5" t="str">
        <f>IFERROR(__xludf.DUMMYFUNCTION("""COMPUTED_VALUE"""),"Current")</f>
        <v>Current</v>
      </c>
      <c r="L200" s="5"/>
      <c r="M200" s="5"/>
      <c r="N200" s="10">
        <f>IFERROR(__xludf.DUMMYFUNCTION("""COMPUTED_VALUE"""),43151.0)</f>
        <v>43151</v>
      </c>
      <c r="O200" s="5">
        <v>2018.0</v>
      </c>
      <c r="P200" s="5" t="str">
        <f>IFERROR(__xludf.DUMMYFUNCTION("""COMPUTED_VALUE"""),"Available")</f>
        <v>Available</v>
      </c>
      <c r="Q200" s="5" t="s">
        <v>135</v>
      </c>
      <c r="R200" s="5" t="s">
        <v>136</v>
      </c>
      <c r="S200" s="11">
        <v>3170.0</v>
      </c>
    </row>
    <row r="201">
      <c r="A201" s="5" t="str">
        <f>IFERROR(__xludf.DUMMYFUNCTION("""COMPUTED_VALUE"""),"Bupivacaine Hydrochloride Injection")</f>
        <v>Bupivacaine Hydrochloride Injection</v>
      </c>
      <c r="B201" s="5" t="str">
        <f>IFERROR(__xludf.DUMMYFUNCTION("""COMPUTED_VALUE"""),"Hospira, Inc., a Pfizer Company")</f>
        <v>Hospira, Inc., a Pfizer Company</v>
      </c>
      <c r="C201" s="5" t="str">
        <f>IFERROR(__xludf.DUMMYFUNCTION("""COMPUTED_VALUE"""),"Bupivacaine Hydrochloride, Injection, 250 mg/50 mL (5 mg/mL) (NDC 0409-1163-01)")</f>
        <v>Bupivacaine Hydrochloride, Injection, 250 mg/50 mL (5 mg/mL) (NDC 0409-1163-01)</v>
      </c>
      <c r="D201" s="5" t="str">
        <f>IFERROR(__xludf.DUMMYFUNCTION("""COMPUTED_VALUE"""),"Reverified")</f>
        <v>Reverified</v>
      </c>
      <c r="E201" s="13">
        <f>IFERROR(__xludf.DUMMYFUNCTION("""COMPUTED_VALUE"""),46316.0)</f>
        <v>46316</v>
      </c>
      <c r="F201" s="5" t="str">
        <f>IFERROR(__xludf.DUMMYFUNCTION("""COMPUTED_VALUE"""),"Available")</f>
        <v>Available</v>
      </c>
      <c r="G201" s="5"/>
      <c r="H201" s="5"/>
      <c r="I201" s="5"/>
      <c r="J201" s="5" t="str">
        <f>IFERROR(__xludf.DUMMYFUNCTION("""COMPUTED_VALUE"""),"Anesthesia")</f>
        <v>Anesthesia</v>
      </c>
      <c r="K201" s="5" t="str">
        <f>IFERROR(__xludf.DUMMYFUNCTION("""COMPUTED_VALUE"""),"Current")</f>
        <v>Current</v>
      </c>
      <c r="L201" s="5"/>
      <c r="M201" s="5"/>
      <c r="N201" s="10">
        <f>IFERROR(__xludf.DUMMYFUNCTION("""COMPUTED_VALUE"""),43151.0)</f>
        <v>43151</v>
      </c>
      <c r="O201" s="5">
        <v>2018.0</v>
      </c>
      <c r="P201" s="5" t="str">
        <f>IFERROR(__xludf.DUMMYFUNCTION("""COMPUTED_VALUE"""),"Available")</f>
        <v>Available</v>
      </c>
      <c r="Q201" s="5" t="s">
        <v>135</v>
      </c>
      <c r="R201" s="5" t="s">
        <v>136</v>
      </c>
      <c r="S201" s="11">
        <v>3170.0</v>
      </c>
    </row>
    <row r="202">
      <c r="A202" s="5" t="str">
        <f>IFERROR(__xludf.DUMMYFUNCTION("""COMPUTED_VALUE"""),"Bupivacaine Hydrochloride Injection")</f>
        <v>Bupivacaine Hydrochloride Injection</v>
      </c>
      <c r="B202" s="5" t="str">
        <f>IFERROR(__xludf.DUMMYFUNCTION("""COMPUTED_VALUE"""),"Hospira, Inc., a Pfizer Company")</f>
        <v>Hospira, Inc., a Pfizer Company</v>
      </c>
      <c r="C202" s="5" t="str">
        <f>IFERROR(__xludf.DUMMYFUNCTION("""COMPUTED_VALUE"""),"Bupivacaine Hydrochloride, Injection, 7.5 mg/1 mL (NDC 0409-1165-01)")</f>
        <v>Bupivacaine Hydrochloride, Injection, 7.5 mg/1 mL (NDC 0409-1165-01)</v>
      </c>
      <c r="D202" s="5" t="str">
        <f>IFERROR(__xludf.DUMMYFUNCTION("""COMPUTED_VALUE"""),"Reverified")</f>
        <v>Reverified</v>
      </c>
      <c r="E202" s="13">
        <f>IFERROR(__xludf.DUMMYFUNCTION("""COMPUTED_VALUE"""),46316.0)</f>
        <v>46316</v>
      </c>
      <c r="F202" s="5" t="str">
        <f>IFERROR(__xludf.DUMMYFUNCTION("""COMPUTED_VALUE"""),"Available")</f>
        <v>Available</v>
      </c>
      <c r="G202" s="5"/>
      <c r="H202" s="5"/>
      <c r="I202" s="5"/>
      <c r="J202" s="5" t="str">
        <f>IFERROR(__xludf.DUMMYFUNCTION("""COMPUTED_VALUE"""),"Anesthesia")</f>
        <v>Anesthesia</v>
      </c>
      <c r="K202" s="5" t="str">
        <f>IFERROR(__xludf.DUMMYFUNCTION("""COMPUTED_VALUE"""),"Current")</f>
        <v>Current</v>
      </c>
      <c r="L202" s="5"/>
      <c r="M202" s="5"/>
      <c r="N202" s="10">
        <f>IFERROR(__xludf.DUMMYFUNCTION("""COMPUTED_VALUE"""),43151.0)</f>
        <v>43151</v>
      </c>
      <c r="O202" s="5">
        <v>2018.0</v>
      </c>
      <c r="P202" s="5" t="str">
        <f>IFERROR(__xludf.DUMMYFUNCTION("""COMPUTED_VALUE"""),"Available")</f>
        <v>Available</v>
      </c>
      <c r="Q202" s="5" t="s">
        <v>135</v>
      </c>
      <c r="R202" s="5" t="s">
        <v>136</v>
      </c>
      <c r="S202" s="11">
        <v>3170.0</v>
      </c>
    </row>
    <row r="203">
      <c r="A203" s="5" t="str">
        <f>IFERROR(__xludf.DUMMYFUNCTION("""COMPUTED_VALUE"""),"Bupivacaine Hydrochloride Injection")</f>
        <v>Bupivacaine Hydrochloride Injection</v>
      </c>
      <c r="B203" s="5" t="str">
        <f>IFERROR(__xludf.DUMMYFUNCTION("""COMPUTED_VALUE"""),"Hospira, Inc., a Pfizer Company")</f>
        <v>Hospira, Inc., a Pfizer Company</v>
      </c>
      <c r="C203" s="5" t="str">
        <f>IFERROR(__xludf.DUMMYFUNCTION("""COMPUTED_VALUE"""),"Bupivacaine Hydrochloride, Injection, 225 mg/30 mL (7.5 mg/mL) (NDC 0409-1165-02)")</f>
        <v>Bupivacaine Hydrochloride, Injection, 225 mg/30 mL (7.5 mg/mL) (NDC 0409-1165-02)</v>
      </c>
      <c r="D203" s="5" t="str">
        <f>IFERROR(__xludf.DUMMYFUNCTION("""COMPUTED_VALUE"""),"Reverified")</f>
        <v>Reverified</v>
      </c>
      <c r="E203" s="13">
        <f>IFERROR(__xludf.DUMMYFUNCTION("""COMPUTED_VALUE"""),46316.0)</f>
        <v>46316</v>
      </c>
      <c r="F203" s="5" t="str">
        <f>IFERROR(__xludf.DUMMYFUNCTION("""COMPUTED_VALUE"""),"Available")</f>
        <v>Available</v>
      </c>
      <c r="G203" s="5"/>
      <c r="H203" s="5"/>
      <c r="I203" s="5"/>
      <c r="J203" s="5" t="str">
        <f>IFERROR(__xludf.DUMMYFUNCTION("""COMPUTED_VALUE"""),"Anesthesia")</f>
        <v>Anesthesia</v>
      </c>
      <c r="K203" s="5" t="str">
        <f>IFERROR(__xludf.DUMMYFUNCTION("""COMPUTED_VALUE"""),"Current")</f>
        <v>Current</v>
      </c>
      <c r="L203" s="5"/>
      <c r="M203" s="5"/>
      <c r="N203" s="10">
        <f>IFERROR(__xludf.DUMMYFUNCTION("""COMPUTED_VALUE"""),43151.0)</f>
        <v>43151</v>
      </c>
      <c r="O203" s="5">
        <v>2018.0</v>
      </c>
      <c r="P203" s="5" t="str">
        <f>IFERROR(__xludf.DUMMYFUNCTION("""COMPUTED_VALUE"""),"Available")</f>
        <v>Available</v>
      </c>
      <c r="Q203" s="5" t="s">
        <v>135</v>
      </c>
      <c r="R203" s="5" t="s">
        <v>136</v>
      </c>
      <c r="S203" s="11">
        <v>3170.0</v>
      </c>
    </row>
    <row r="204">
      <c r="A204" s="5" t="str">
        <f>IFERROR(__xludf.DUMMYFUNCTION("""COMPUTED_VALUE"""),"Bupivacaine Hydrochloride Injection")</f>
        <v>Bupivacaine Hydrochloride Injection</v>
      </c>
      <c r="B204" s="5" t="str">
        <f>IFERROR(__xludf.DUMMYFUNCTION("""COMPUTED_VALUE"""),"Hospira, Inc., a Pfizer Company")</f>
        <v>Hospira, Inc., a Pfizer Company</v>
      </c>
      <c r="C204" s="5" t="str">
        <f>IFERROR(__xludf.DUMMYFUNCTION("""COMPUTED_VALUE"""),"Bupivacaine Hydrochloride, Injection, Bupivacaine Spinal 15 mg/2 mL (7.5 mg/mL in 8.25% dextrose) (NDC 0409-3613-01)")</f>
        <v>Bupivacaine Hydrochloride, Injection, Bupivacaine Spinal 15 mg/2 mL (7.5 mg/mL in 8.25% dextrose) (NDC 0409-3613-01)</v>
      </c>
      <c r="D204" s="5" t="str">
        <f>IFERROR(__xludf.DUMMYFUNCTION("""COMPUTED_VALUE"""),"Reverified")</f>
        <v>Reverified</v>
      </c>
      <c r="E204" s="13">
        <f>IFERROR(__xludf.DUMMYFUNCTION("""COMPUTED_VALUE"""),46316.0)</f>
        <v>46316</v>
      </c>
      <c r="F204" s="5" t="str">
        <f>IFERROR(__xludf.DUMMYFUNCTION("""COMPUTED_VALUE"""),"Available")</f>
        <v>Available</v>
      </c>
      <c r="G204" s="5"/>
      <c r="H204" s="5"/>
      <c r="I204" s="5"/>
      <c r="J204" s="5" t="str">
        <f>IFERROR(__xludf.DUMMYFUNCTION("""COMPUTED_VALUE"""),"Anesthesia")</f>
        <v>Anesthesia</v>
      </c>
      <c r="K204" s="5" t="str">
        <f>IFERROR(__xludf.DUMMYFUNCTION("""COMPUTED_VALUE"""),"Current")</f>
        <v>Current</v>
      </c>
      <c r="L204" s="5"/>
      <c r="M204" s="5"/>
      <c r="N204" s="10">
        <f>IFERROR(__xludf.DUMMYFUNCTION("""COMPUTED_VALUE"""),43151.0)</f>
        <v>43151</v>
      </c>
      <c r="O204" s="5">
        <v>2018.0</v>
      </c>
      <c r="P204" s="5" t="str">
        <f>IFERROR(__xludf.DUMMYFUNCTION("""COMPUTED_VALUE"""),"Available")</f>
        <v>Available</v>
      </c>
      <c r="Q204" s="5" t="s">
        <v>135</v>
      </c>
      <c r="R204" s="5" t="s">
        <v>136</v>
      </c>
      <c r="S204" s="11">
        <v>3170.0</v>
      </c>
    </row>
    <row r="205">
      <c r="A205" s="5" t="str">
        <f>IFERROR(__xludf.DUMMYFUNCTION("""COMPUTED_VALUE"""),"Bupivacaine Hydrochloride Injection")</f>
        <v>Bupivacaine Hydrochloride Injection</v>
      </c>
      <c r="B205" s="5" t="str">
        <f>IFERROR(__xludf.DUMMYFUNCTION("""COMPUTED_VALUE"""),"Hospira, Inc., a Pfizer Company")</f>
        <v>Hospira, Inc., a Pfizer Company</v>
      </c>
      <c r="C205" s="5" t="str">
        <f>IFERROR(__xludf.DUMMYFUNCTION("""COMPUTED_VALUE"""),"Marcaine, Injection, Marcaine 125 mg/50 mL (2.5 mg/mL) (NDC 0409-1160-01)")</f>
        <v>Marcaine, Injection, Marcaine 125 mg/50 mL (2.5 mg/mL) (NDC 0409-1160-01)</v>
      </c>
      <c r="D205" s="5" t="str">
        <f>IFERROR(__xludf.DUMMYFUNCTION("""COMPUTED_VALUE"""),"Reverified")</f>
        <v>Reverified</v>
      </c>
      <c r="E205" s="13">
        <f>IFERROR(__xludf.DUMMYFUNCTION("""COMPUTED_VALUE"""),46316.0)</f>
        <v>46316</v>
      </c>
      <c r="F205" s="5" t="str">
        <f>IFERROR(__xludf.DUMMYFUNCTION("""COMPUTED_VALUE"""),"Available")</f>
        <v>Available</v>
      </c>
      <c r="G205" s="5"/>
      <c r="H205" s="5"/>
      <c r="I205" s="5"/>
      <c r="J205" s="5" t="str">
        <f>IFERROR(__xludf.DUMMYFUNCTION("""COMPUTED_VALUE"""),"Anesthesia")</f>
        <v>Anesthesia</v>
      </c>
      <c r="K205" s="5" t="str">
        <f>IFERROR(__xludf.DUMMYFUNCTION("""COMPUTED_VALUE"""),"Current")</f>
        <v>Current</v>
      </c>
      <c r="L205" s="5"/>
      <c r="M205" s="5"/>
      <c r="N205" s="10">
        <f>IFERROR(__xludf.DUMMYFUNCTION("""COMPUTED_VALUE"""),43151.0)</f>
        <v>43151</v>
      </c>
      <c r="O205" s="5">
        <v>2018.0</v>
      </c>
      <c r="P205" s="5" t="str">
        <f>IFERROR(__xludf.DUMMYFUNCTION("""COMPUTED_VALUE"""),"Available")</f>
        <v>Available</v>
      </c>
      <c r="Q205" s="5" t="s">
        <v>135</v>
      </c>
      <c r="R205" s="5" t="s">
        <v>136</v>
      </c>
      <c r="S205" s="11">
        <v>3170.0</v>
      </c>
    </row>
    <row r="206">
      <c r="A206" s="5" t="str">
        <f>IFERROR(__xludf.DUMMYFUNCTION("""COMPUTED_VALUE"""),"Bupivacaine Hydrochloride Injection")</f>
        <v>Bupivacaine Hydrochloride Injection</v>
      </c>
      <c r="B206" s="5" t="str">
        <f>IFERROR(__xludf.DUMMYFUNCTION("""COMPUTED_VALUE"""),"Hospira, Inc., a Pfizer Company")</f>
        <v>Hospira, Inc., a Pfizer Company</v>
      </c>
      <c r="C206" s="5" t="str">
        <f>IFERROR(__xludf.DUMMYFUNCTION("""COMPUTED_VALUE"""),"Marcaine, Injection, Marcaine 75 mg/10 mL (7.5 mg/mL) (NDC 0409-1165-01)")</f>
        <v>Marcaine, Injection, Marcaine 75 mg/10 mL (7.5 mg/mL) (NDC 0409-1165-01)</v>
      </c>
      <c r="D206" s="5" t="str">
        <f>IFERROR(__xludf.DUMMYFUNCTION("""COMPUTED_VALUE"""),"Reverified")</f>
        <v>Reverified</v>
      </c>
      <c r="E206" s="13">
        <f>IFERROR(__xludf.DUMMYFUNCTION("""COMPUTED_VALUE"""),46316.0)</f>
        <v>46316</v>
      </c>
      <c r="F206" s="5" t="str">
        <f>IFERROR(__xludf.DUMMYFUNCTION("""COMPUTED_VALUE"""),"Available")</f>
        <v>Available</v>
      </c>
      <c r="G206" s="5"/>
      <c r="H206" s="5"/>
      <c r="I206" s="5"/>
      <c r="J206" s="5" t="str">
        <f>IFERROR(__xludf.DUMMYFUNCTION("""COMPUTED_VALUE"""),"Anesthesia")</f>
        <v>Anesthesia</v>
      </c>
      <c r="K206" s="5" t="str">
        <f>IFERROR(__xludf.DUMMYFUNCTION("""COMPUTED_VALUE"""),"Current")</f>
        <v>Current</v>
      </c>
      <c r="L206" s="5"/>
      <c r="M206" s="5"/>
      <c r="N206" s="10">
        <f>IFERROR(__xludf.DUMMYFUNCTION("""COMPUTED_VALUE"""),43151.0)</f>
        <v>43151</v>
      </c>
      <c r="O206" s="5">
        <v>2018.0</v>
      </c>
      <c r="P206" s="5" t="str">
        <f>IFERROR(__xludf.DUMMYFUNCTION("""COMPUTED_VALUE"""),"Available")</f>
        <v>Available</v>
      </c>
      <c r="Q206" s="5" t="s">
        <v>135</v>
      </c>
      <c r="R206" s="5" t="s">
        <v>136</v>
      </c>
      <c r="S206" s="11">
        <v>3170.0</v>
      </c>
    </row>
    <row r="207">
      <c r="A207" s="5" t="str">
        <f>IFERROR(__xludf.DUMMYFUNCTION("""COMPUTED_VALUE"""),"Bupivacaine Hydrochloride Injection")</f>
        <v>Bupivacaine Hydrochloride Injection</v>
      </c>
      <c r="B207" s="5" t="str">
        <f>IFERROR(__xludf.DUMMYFUNCTION("""COMPUTED_VALUE"""),"Hospira, Inc., a Pfizer Company")</f>
        <v>Hospira, Inc., a Pfizer Company</v>
      </c>
      <c r="C207" s="5" t="str">
        <f>IFERROR(__xludf.DUMMYFUNCTION("""COMPUTED_VALUE"""),"Marcaine, Injection, Marcaine 225 mg/30 mL (7.5 mg/mL) (NDC 0409-2253-01)")</f>
        <v>Marcaine, Injection, Marcaine 225 mg/30 mL (7.5 mg/mL) (NDC 0409-2253-01)</v>
      </c>
      <c r="D207" s="5" t="str">
        <f>IFERROR(__xludf.DUMMYFUNCTION("""COMPUTED_VALUE"""),"Reverified")</f>
        <v>Reverified</v>
      </c>
      <c r="E207" s="13">
        <f>IFERROR(__xludf.DUMMYFUNCTION("""COMPUTED_VALUE"""),46316.0)</f>
        <v>46316</v>
      </c>
      <c r="F207" s="5" t="str">
        <f>IFERROR(__xludf.DUMMYFUNCTION("""COMPUTED_VALUE"""),"Available")</f>
        <v>Available</v>
      </c>
      <c r="G207" s="5" t="str">
        <f>IFERROR(__xludf.DUMMYFUNCTION("""COMPUTED_VALUE"""),"Historical NDC: 0409-1582-29")</f>
        <v>Historical NDC: 0409-1582-29</v>
      </c>
      <c r="H207" s="5"/>
      <c r="I207" s="5"/>
      <c r="J207" s="5" t="str">
        <f>IFERROR(__xludf.DUMMYFUNCTION("""COMPUTED_VALUE"""),"Anesthesia")</f>
        <v>Anesthesia</v>
      </c>
      <c r="K207" s="5" t="str">
        <f>IFERROR(__xludf.DUMMYFUNCTION("""COMPUTED_VALUE"""),"Current")</f>
        <v>Current</v>
      </c>
      <c r="L207" s="5"/>
      <c r="M207" s="5"/>
      <c r="N207" s="10">
        <f>IFERROR(__xludf.DUMMYFUNCTION("""COMPUTED_VALUE"""),43151.0)</f>
        <v>43151</v>
      </c>
      <c r="O207" s="5">
        <v>2018.0</v>
      </c>
      <c r="P207" s="5" t="str">
        <f>IFERROR(__xludf.DUMMYFUNCTION("""COMPUTED_VALUE"""),"Available")</f>
        <v>Available</v>
      </c>
      <c r="Q207" s="5" t="s">
        <v>135</v>
      </c>
      <c r="R207" s="5" t="s">
        <v>136</v>
      </c>
      <c r="S207" s="11">
        <v>3170.0</v>
      </c>
    </row>
    <row r="208">
      <c r="A208" s="5" t="str">
        <f>IFERROR(__xludf.DUMMYFUNCTION("""COMPUTED_VALUE"""),"Bupivacaine Hydrochloride Injection")</f>
        <v>Bupivacaine Hydrochloride Injection</v>
      </c>
      <c r="B208" s="5" t="str">
        <f>IFERROR(__xludf.DUMMYFUNCTION("""COMPUTED_VALUE"""),"Huons Co., Ltd")</f>
        <v>Huons Co., Ltd</v>
      </c>
      <c r="C208" s="5" t="str">
        <f>IFERROR(__xludf.DUMMYFUNCTION("""COMPUTED_VALUE"""),"Bupivacaine Hydrochloride, Injection, 7.5 mg/1 mL (NDC 73293-0002-2)")</f>
        <v>Bupivacaine Hydrochloride, Injection, 7.5 mg/1 mL (NDC 73293-0002-2)</v>
      </c>
      <c r="D208" s="5" t="str">
        <f>IFERROR(__xludf.DUMMYFUNCTION("""COMPUTED_VALUE"""),"Reverified")</f>
        <v>Reverified</v>
      </c>
      <c r="E208" s="10">
        <f>IFERROR(__xludf.DUMMYFUNCTION("""COMPUTED_VALUE"""),46233.0)</f>
        <v>46233</v>
      </c>
      <c r="F208" s="5" t="str">
        <f>IFERROR(__xludf.DUMMYFUNCTION("""COMPUTED_VALUE"""),"Unavailable")</f>
        <v>Unavailable</v>
      </c>
      <c r="G208" s="5" t="str">
        <f>IFERROR(__xludf.DUMMYFUNCTION("""COMPUTED_VALUE"""),"Estimated recovery: TBD")</f>
        <v>Estimated recovery: TBD</v>
      </c>
      <c r="H208" s="5"/>
      <c r="I208" s="5" t="str">
        <f>IFERROR(__xludf.DUMMYFUNCTION("""COMPUTED_VALUE"""),"Demand increase for the drug")</f>
        <v>Demand increase for the drug</v>
      </c>
      <c r="J208" s="5" t="str">
        <f>IFERROR(__xludf.DUMMYFUNCTION("""COMPUTED_VALUE"""),"Anesthesia")</f>
        <v>Anesthesia</v>
      </c>
      <c r="K208" s="5" t="str">
        <f>IFERROR(__xludf.DUMMYFUNCTION("""COMPUTED_VALUE"""),"Current")</f>
        <v>Current</v>
      </c>
      <c r="L208" s="5"/>
      <c r="M208" s="5"/>
      <c r="N208" s="10">
        <f>IFERROR(__xludf.DUMMYFUNCTION("""COMPUTED_VALUE"""),43151.0)</f>
        <v>43151</v>
      </c>
      <c r="O208" s="5">
        <v>2018.0</v>
      </c>
      <c r="P208" s="5" t="str">
        <f>IFERROR(__xludf.DUMMYFUNCTION("""COMPUTED_VALUE"""),"Unavailable")</f>
        <v>Unavailable</v>
      </c>
      <c r="Q208" s="5" t="s">
        <v>134</v>
      </c>
      <c r="R208" s="5" t="s">
        <v>136</v>
      </c>
      <c r="S208" s="11">
        <v>3170.0</v>
      </c>
    </row>
    <row r="209">
      <c r="A209" s="5" t="str">
        <f>IFERROR(__xludf.DUMMYFUNCTION("""COMPUTED_VALUE"""),"Bupivacaine Hydrochloride Injection")</f>
        <v>Bupivacaine Hydrochloride Injection</v>
      </c>
      <c r="B209" s="5" t="str">
        <f>IFERROR(__xludf.DUMMYFUNCTION("""COMPUTED_VALUE"""),"Kindos Pharmaceuticals Co. Ltd.")</f>
        <v>Kindos Pharmaceuticals Co. Ltd.</v>
      </c>
      <c r="C209" s="5" t="str">
        <f>IFERROR(__xludf.DUMMYFUNCTION("""COMPUTED_VALUE"""),"Bupivacaine Hydrochloride, Injection, 2.5 mg/1 mL (NDC 71288-723-52)")</f>
        <v>Bupivacaine Hydrochloride, Injection, 2.5 mg/1 mL (NDC 71288-723-52)</v>
      </c>
      <c r="D209" s="5" t="str">
        <f>IFERROR(__xludf.DUMMYFUNCTION("""COMPUTED_VALUE"""),"Revised")</f>
        <v>Revised</v>
      </c>
      <c r="E209" s="10">
        <f>IFERROR(__xludf.DUMMYFUNCTION("""COMPUTED_VALUE"""),46147.0)</f>
        <v>46147</v>
      </c>
      <c r="F209" s="5" t="str">
        <f>IFERROR(__xludf.DUMMYFUNCTION("""COMPUTED_VALUE"""),"Limited Availability")</f>
        <v>Limited Availability</v>
      </c>
      <c r="G209" s="5" t="str">
        <f>IFERROR(__xludf.DUMMYFUNCTION("""COMPUTED_VALUE"""),"Meitheal Pharmaceuticals is distributor/labeler")</f>
        <v>Meitheal Pharmaceuticals is distributor/labeler</v>
      </c>
      <c r="H209" s="5"/>
      <c r="I209" s="5" t="str">
        <f>IFERROR(__xludf.DUMMYFUNCTION("""COMPUTED_VALUE"""),"Discontinuation of the manufacture of the drug")</f>
        <v>Discontinuation of the manufacture of the drug</v>
      </c>
      <c r="J209" s="5" t="str">
        <f>IFERROR(__xludf.DUMMYFUNCTION("""COMPUTED_VALUE"""),"Anesthesia")</f>
        <v>Anesthesia</v>
      </c>
      <c r="K209" s="5" t="str">
        <f>IFERROR(__xludf.DUMMYFUNCTION("""COMPUTED_VALUE"""),"Current")</f>
        <v>Current</v>
      </c>
      <c r="L209" s="5"/>
      <c r="M209" s="5"/>
      <c r="N209" s="10">
        <f>IFERROR(__xludf.DUMMYFUNCTION("""COMPUTED_VALUE"""),43151.0)</f>
        <v>43151</v>
      </c>
      <c r="O209" s="5">
        <v>2018.0</v>
      </c>
      <c r="P209" s="5" t="str">
        <f>IFERROR(__xludf.DUMMYFUNCTION("""COMPUTED_VALUE"""),"Limited Availability")</f>
        <v>Limited Availability</v>
      </c>
      <c r="Q209" s="5" t="s">
        <v>33</v>
      </c>
      <c r="R209" s="5" t="s">
        <v>434</v>
      </c>
      <c r="S209" s="11">
        <v>3170.0</v>
      </c>
    </row>
    <row r="210">
      <c r="A210" s="5" t="str">
        <f>IFERROR(__xludf.DUMMYFUNCTION("""COMPUTED_VALUE"""),"Bupivacaine Hydrochloride Injection")</f>
        <v>Bupivacaine Hydrochloride Injection</v>
      </c>
      <c r="B210" s="5" t="str">
        <f>IFERROR(__xludf.DUMMYFUNCTION("""COMPUTED_VALUE"""),"Kindos Pharmaceuticals Co. Ltd.")</f>
        <v>Kindos Pharmaceuticals Co. Ltd.</v>
      </c>
      <c r="C210" s="5" t="str">
        <f>IFERROR(__xludf.DUMMYFUNCTION("""COMPUTED_VALUE"""),"Bupivacaine Hydrochloride, Injection, 5 mg/1 mL (NDC 71288-726-52)")</f>
        <v>Bupivacaine Hydrochloride, Injection, 5 mg/1 mL (NDC 71288-726-52)</v>
      </c>
      <c r="D210" s="5" t="str">
        <f>IFERROR(__xludf.DUMMYFUNCTION("""COMPUTED_VALUE"""),"Revised")</f>
        <v>Revised</v>
      </c>
      <c r="E210" s="10">
        <f>IFERROR(__xludf.DUMMYFUNCTION("""COMPUTED_VALUE"""),46147.0)</f>
        <v>46147</v>
      </c>
      <c r="F210" s="5" t="str">
        <f>IFERROR(__xludf.DUMMYFUNCTION("""COMPUTED_VALUE"""),"Limited Availability")</f>
        <v>Limited Availability</v>
      </c>
      <c r="G210" s="5" t="str">
        <f>IFERROR(__xludf.DUMMYFUNCTION("""COMPUTED_VALUE"""),"Meitheal Pharmaceuticals is distributor/labeler")</f>
        <v>Meitheal Pharmaceuticals is distributor/labeler</v>
      </c>
      <c r="H210" s="5"/>
      <c r="I210" s="5" t="str">
        <f>IFERROR(__xludf.DUMMYFUNCTION("""COMPUTED_VALUE"""),"Discontinuation of the manufacture of the drug")</f>
        <v>Discontinuation of the manufacture of the drug</v>
      </c>
      <c r="J210" s="5" t="str">
        <f>IFERROR(__xludf.DUMMYFUNCTION("""COMPUTED_VALUE"""),"Anesthesia")</f>
        <v>Anesthesia</v>
      </c>
      <c r="K210" s="5" t="str">
        <f>IFERROR(__xludf.DUMMYFUNCTION("""COMPUTED_VALUE"""),"Current")</f>
        <v>Current</v>
      </c>
      <c r="L210" s="5"/>
      <c r="M210" s="5"/>
      <c r="N210" s="10">
        <f>IFERROR(__xludf.DUMMYFUNCTION("""COMPUTED_VALUE"""),43151.0)</f>
        <v>43151</v>
      </c>
      <c r="O210" s="5">
        <v>2018.0</v>
      </c>
      <c r="P210" s="5" t="str">
        <f>IFERROR(__xludf.DUMMYFUNCTION("""COMPUTED_VALUE"""),"Limited Availability")</f>
        <v>Limited Availability</v>
      </c>
      <c r="Q210" s="5" t="s">
        <v>33</v>
      </c>
      <c r="R210" s="5" t="s">
        <v>434</v>
      </c>
      <c r="S210" s="11">
        <v>3170.0</v>
      </c>
    </row>
    <row r="211">
      <c r="A211" s="5" t="str">
        <f>IFERROR(__xludf.DUMMYFUNCTION("""COMPUTED_VALUE"""),"Bupivacaine Hydrochloride Injection")</f>
        <v>Bupivacaine Hydrochloride Injection</v>
      </c>
      <c r="B211" s="5" t="str">
        <f>IFERROR(__xludf.DUMMYFUNCTION("""COMPUTED_VALUE"""),"Kindos Pharmaceuticals Co. Ltd.")</f>
        <v>Kindos Pharmaceuticals Co. Ltd.</v>
      </c>
      <c r="C211" s="5" t="str">
        <f>IFERROR(__xludf.DUMMYFUNCTION("""COMPUTED_VALUE"""),"Bupivacaine Hydrochloride, Injection, 2.5 mg/1 mL (NDC 71288-722-32)")</f>
        <v>Bupivacaine Hydrochloride, Injection, 2.5 mg/1 mL (NDC 71288-722-32)</v>
      </c>
      <c r="D211" s="5" t="str">
        <f>IFERROR(__xludf.DUMMYFUNCTION("""COMPUTED_VALUE"""),"Revised")</f>
        <v>Revised</v>
      </c>
      <c r="E211" s="10">
        <f>IFERROR(__xludf.DUMMYFUNCTION("""COMPUTED_VALUE"""),46147.0)</f>
        <v>46147</v>
      </c>
      <c r="F211" s="5" t="str">
        <f>IFERROR(__xludf.DUMMYFUNCTION("""COMPUTED_VALUE"""),"Limited Availability")</f>
        <v>Limited Availability</v>
      </c>
      <c r="G211" s="5" t="str">
        <f>IFERROR(__xludf.DUMMYFUNCTION("""COMPUTED_VALUE"""),"Meitheal Pharmaceuticals is distributor/labeler")</f>
        <v>Meitheal Pharmaceuticals is distributor/labeler</v>
      </c>
      <c r="H211" s="5"/>
      <c r="I211" s="5" t="str">
        <f>IFERROR(__xludf.DUMMYFUNCTION("""COMPUTED_VALUE"""),"Discontinuation of the manufacture of the drug")</f>
        <v>Discontinuation of the manufacture of the drug</v>
      </c>
      <c r="J211" s="5" t="str">
        <f>IFERROR(__xludf.DUMMYFUNCTION("""COMPUTED_VALUE"""),"Anesthesia")</f>
        <v>Anesthesia</v>
      </c>
      <c r="K211" s="5" t="str">
        <f>IFERROR(__xludf.DUMMYFUNCTION("""COMPUTED_VALUE"""),"Current")</f>
        <v>Current</v>
      </c>
      <c r="L211" s="5"/>
      <c r="M211" s="5"/>
      <c r="N211" s="10">
        <f>IFERROR(__xludf.DUMMYFUNCTION("""COMPUTED_VALUE"""),43151.0)</f>
        <v>43151</v>
      </c>
      <c r="O211" s="5">
        <v>2018.0</v>
      </c>
      <c r="P211" s="5" t="str">
        <f>IFERROR(__xludf.DUMMYFUNCTION("""COMPUTED_VALUE"""),"Limited Availability")</f>
        <v>Limited Availability</v>
      </c>
      <c r="Q211" s="5" t="s">
        <v>33</v>
      </c>
      <c r="R211" s="5" t="s">
        <v>434</v>
      </c>
      <c r="S211" s="11">
        <v>3170.0</v>
      </c>
    </row>
    <row r="212">
      <c r="A212" s="5" t="str">
        <f>IFERROR(__xludf.DUMMYFUNCTION("""COMPUTED_VALUE"""),"Bupivacaine Hydrochloride Injection")</f>
        <v>Bupivacaine Hydrochloride Injection</v>
      </c>
      <c r="B212" s="5" t="str">
        <f>IFERROR(__xludf.DUMMYFUNCTION("""COMPUTED_VALUE"""),"Kindos Pharmaceuticals Co. Ltd.")</f>
        <v>Kindos Pharmaceuticals Co. Ltd.</v>
      </c>
      <c r="C212" s="5" t="str">
        <f>IFERROR(__xludf.DUMMYFUNCTION("""COMPUTED_VALUE"""),"Bupivacaine Hydrochloride, Injection, 5 mg/1 mL (NDC 71288-725-32)")</f>
        <v>Bupivacaine Hydrochloride, Injection, 5 mg/1 mL (NDC 71288-725-32)</v>
      </c>
      <c r="D212" s="5" t="str">
        <f>IFERROR(__xludf.DUMMYFUNCTION("""COMPUTED_VALUE"""),"Revised")</f>
        <v>Revised</v>
      </c>
      <c r="E212" s="10">
        <f>IFERROR(__xludf.DUMMYFUNCTION("""COMPUTED_VALUE"""),46147.0)</f>
        <v>46147</v>
      </c>
      <c r="F212" s="5" t="str">
        <f>IFERROR(__xludf.DUMMYFUNCTION("""COMPUTED_VALUE"""),"Limited Availability")</f>
        <v>Limited Availability</v>
      </c>
      <c r="G212" s="5" t="str">
        <f>IFERROR(__xludf.DUMMYFUNCTION("""COMPUTED_VALUE"""),"Meitheal Pharmaceuticals is distributor/labeler")</f>
        <v>Meitheal Pharmaceuticals is distributor/labeler</v>
      </c>
      <c r="H212" s="5"/>
      <c r="I212" s="5" t="str">
        <f>IFERROR(__xludf.DUMMYFUNCTION("""COMPUTED_VALUE"""),"Discontinuation of the manufacture of the drug")</f>
        <v>Discontinuation of the manufacture of the drug</v>
      </c>
      <c r="J212" s="5" t="str">
        <f>IFERROR(__xludf.DUMMYFUNCTION("""COMPUTED_VALUE"""),"Anesthesia")</f>
        <v>Anesthesia</v>
      </c>
      <c r="K212" s="5" t="str">
        <f>IFERROR(__xludf.DUMMYFUNCTION("""COMPUTED_VALUE"""),"Current")</f>
        <v>Current</v>
      </c>
      <c r="L212" s="5"/>
      <c r="M212" s="5"/>
      <c r="N212" s="10">
        <f>IFERROR(__xludf.DUMMYFUNCTION("""COMPUTED_VALUE"""),43151.0)</f>
        <v>43151</v>
      </c>
      <c r="O212" s="5">
        <v>2018.0</v>
      </c>
      <c r="P212" s="5" t="str">
        <f>IFERROR(__xludf.DUMMYFUNCTION("""COMPUTED_VALUE"""),"Limited Availability")</f>
        <v>Limited Availability</v>
      </c>
      <c r="Q212" s="5" t="s">
        <v>33</v>
      </c>
      <c r="R212" s="5" t="s">
        <v>434</v>
      </c>
      <c r="S212" s="11">
        <v>3170.0</v>
      </c>
    </row>
    <row r="213">
      <c r="A213" s="5" t="str">
        <f>IFERROR(__xludf.DUMMYFUNCTION("""COMPUTED_VALUE"""),"Bupivacaine Hydrochloride Injection")</f>
        <v>Bupivacaine Hydrochloride Injection</v>
      </c>
      <c r="B213" s="5" t="str">
        <f>IFERROR(__xludf.DUMMYFUNCTION("""COMPUTED_VALUE"""),"Kindos Pharmaceuticals Co. Ltd.")</f>
        <v>Kindos Pharmaceuticals Co. Ltd.</v>
      </c>
      <c r="C213" s="5" t="str">
        <f>IFERROR(__xludf.DUMMYFUNCTION("""COMPUTED_VALUE"""),"Bupivacaine Hydrochloride, Injection, 7.5 mg/1 mL (NDC 71288-728-32)")</f>
        <v>Bupivacaine Hydrochloride, Injection, 7.5 mg/1 mL (NDC 71288-728-32)</v>
      </c>
      <c r="D213" s="5" t="str">
        <f>IFERROR(__xludf.DUMMYFUNCTION("""COMPUTED_VALUE"""),"Revised")</f>
        <v>Revised</v>
      </c>
      <c r="E213" s="10">
        <f>IFERROR(__xludf.DUMMYFUNCTION("""COMPUTED_VALUE"""),46147.0)</f>
        <v>46147</v>
      </c>
      <c r="F213" s="5" t="str">
        <f>IFERROR(__xludf.DUMMYFUNCTION("""COMPUTED_VALUE"""),"Limited Availability")</f>
        <v>Limited Availability</v>
      </c>
      <c r="G213" s="5" t="str">
        <f>IFERROR(__xludf.DUMMYFUNCTION("""COMPUTED_VALUE"""),"Meitheal Pharmaceuticals is distributor/labeler")</f>
        <v>Meitheal Pharmaceuticals is distributor/labeler</v>
      </c>
      <c r="H213" s="5"/>
      <c r="I213" s="5" t="str">
        <f>IFERROR(__xludf.DUMMYFUNCTION("""COMPUTED_VALUE"""),"Discontinuation of the manufacture of the drug")</f>
        <v>Discontinuation of the manufacture of the drug</v>
      </c>
      <c r="J213" s="5" t="str">
        <f>IFERROR(__xludf.DUMMYFUNCTION("""COMPUTED_VALUE"""),"Anesthesia")</f>
        <v>Anesthesia</v>
      </c>
      <c r="K213" s="5" t="str">
        <f>IFERROR(__xludf.DUMMYFUNCTION("""COMPUTED_VALUE"""),"Current")</f>
        <v>Current</v>
      </c>
      <c r="L213" s="5"/>
      <c r="M213" s="5"/>
      <c r="N213" s="10">
        <f>IFERROR(__xludf.DUMMYFUNCTION("""COMPUTED_VALUE"""),43151.0)</f>
        <v>43151</v>
      </c>
      <c r="O213" s="5">
        <v>2018.0</v>
      </c>
      <c r="P213" s="5" t="str">
        <f>IFERROR(__xludf.DUMMYFUNCTION("""COMPUTED_VALUE"""),"Limited Availability")</f>
        <v>Limited Availability</v>
      </c>
      <c r="Q213" s="5" t="s">
        <v>33</v>
      </c>
      <c r="R213" s="5" t="s">
        <v>434</v>
      </c>
      <c r="S213" s="11">
        <v>3170.0</v>
      </c>
    </row>
    <row r="214">
      <c r="A214" s="5" t="str">
        <f>IFERROR(__xludf.DUMMYFUNCTION("""COMPUTED_VALUE"""),"Bupivacaine Hydrochloride Injection")</f>
        <v>Bupivacaine Hydrochloride Injection</v>
      </c>
      <c r="B214" s="5" t="str">
        <f>IFERROR(__xludf.DUMMYFUNCTION("""COMPUTED_VALUE"""),"Somerset Therapeutics, LLC")</f>
        <v>Somerset Therapeutics, LLC</v>
      </c>
      <c r="C214" s="5" t="str">
        <f>IFERROR(__xludf.DUMMYFUNCTION("""COMPUTED_VALUE"""),"Bupivacaine Hydrochloride, Injection, 2.5 mg/1 mL (NDC 70069-752-25)")</f>
        <v>Bupivacaine Hydrochloride, Injection, 2.5 mg/1 mL (NDC 70069-752-25)</v>
      </c>
      <c r="D214" s="5" t="str">
        <f>IFERROR(__xludf.DUMMYFUNCTION("""COMPUTED_VALUE"""),"Reverified")</f>
        <v>Reverified</v>
      </c>
      <c r="E214" s="10">
        <f>IFERROR(__xludf.DUMMYFUNCTION("""COMPUTED_VALUE"""),46276.0)</f>
        <v>46276</v>
      </c>
      <c r="F214" s="5" t="str">
        <f>IFERROR(__xludf.DUMMYFUNCTION("""COMPUTED_VALUE"""),"Available")</f>
        <v>Available</v>
      </c>
      <c r="G214" s="5"/>
      <c r="H214" s="5"/>
      <c r="I214" s="5"/>
      <c r="J214" s="5" t="str">
        <f>IFERROR(__xludf.DUMMYFUNCTION("""COMPUTED_VALUE"""),"Anesthesia")</f>
        <v>Anesthesia</v>
      </c>
      <c r="K214" s="5" t="str">
        <f>IFERROR(__xludf.DUMMYFUNCTION("""COMPUTED_VALUE"""),"Current")</f>
        <v>Current</v>
      </c>
      <c r="L214" s="5"/>
      <c r="M214" s="5"/>
      <c r="N214" s="10">
        <f>IFERROR(__xludf.DUMMYFUNCTION("""COMPUTED_VALUE"""),43151.0)</f>
        <v>43151</v>
      </c>
      <c r="O214" s="5">
        <v>2018.0</v>
      </c>
      <c r="P214" s="5" t="str">
        <f>IFERROR(__xludf.DUMMYFUNCTION("""COMPUTED_VALUE"""),"Available")</f>
        <v>Available</v>
      </c>
      <c r="Q214" s="5" t="s">
        <v>135</v>
      </c>
      <c r="R214" s="5" t="s">
        <v>136</v>
      </c>
      <c r="S214" s="11">
        <v>3170.0</v>
      </c>
    </row>
    <row r="215">
      <c r="A215" s="5" t="str">
        <f>IFERROR(__xludf.DUMMYFUNCTION("""COMPUTED_VALUE"""),"Bupivacaine Hydrochloride Injection")</f>
        <v>Bupivacaine Hydrochloride Injection</v>
      </c>
      <c r="B215" s="5" t="str">
        <f>IFERROR(__xludf.DUMMYFUNCTION("""COMPUTED_VALUE"""),"Somerset Therapeutics, LLC")</f>
        <v>Somerset Therapeutics, LLC</v>
      </c>
      <c r="C215" s="5" t="str">
        <f>IFERROR(__xludf.DUMMYFUNCTION("""COMPUTED_VALUE"""),"Bupivacaine Hydrochloride, Injection, 5 mg/1 mL (NDC 70069-753-25)")</f>
        <v>Bupivacaine Hydrochloride, Injection, 5 mg/1 mL (NDC 70069-753-25)</v>
      </c>
      <c r="D215" s="5" t="str">
        <f>IFERROR(__xludf.DUMMYFUNCTION("""COMPUTED_VALUE"""),"Reverified")</f>
        <v>Reverified</v>
      </c>
      <c r="E215" s="10">
        <f>IFERROR(__xludf.DUMMYFUNCTION("""COMPUTED_VALUE"""),46276.0)</f>
        <v>46276</v>
      </c>
      <c r="F215" s="5" t="str">
        <f>IFERROR(__xludf.DUMMYFUNCTION("""COMPUTED_VALUE"""),"Available")</f>
        <v>Available</v>
      </c>
      <c r="G215" s="5"/>
      <c r="H215" s="5"/>
      <c r="I215" s="5"/>
      <c r="J215" s="5" t="str">
        <f>IFERROR(__xludf.DUMMYFUNCTION("""COMPUTED_VALUE"""),"Anesthesia")</f>
        <v>Anesthesia</v>
      </c>
      <c r="K215" s="5" t="str">
        <f>IFERROR(__xludf.DUMMYFUNCTION("""COMPUTED_VALUE"""),"Current")</f>
        <v>Current</v>
      </c>
      <c r="L215" s="5"/>
      <c r="M215" s="5"/>
      <c r="N215" s="10">
        <f>IFERROR(__xludf.DUMMYFUNCTION("""COMPUTED_VALUE"""),43151.0)</f>
        <v>43151</v>
      </c>
      <c r="O215" s="5">
        <v>2018.0</v>
      </c>
      <c r="P215" s="5" t="str">
        <f>IFERROR(__xludf.DUMMYFUNCTION("""COMPUTED_VALUE"""),"Available")</f>
        <v>Available</v>
      </c>
      <c r="Q215" s="5" t="s">
        <v>135</v>
      </c>
      <c r="R215" s="5" t="s">
        <v>136</v>
      </c>
      <c r="S215" s="11">
        <v>3170.0</v>
      </c>
    </row>
    <row r="216">
      <c r="A216" s="5" t="str">
        <f>IFERROR(__xludf.DUMMYFUNCTION("""COMPUTED_VALUE"""),"Bupivacaine Hydrochloride Injection")</f>
        <v>Bupivacaine Hydrochloride Injection</v>
      </c>
      <c r="B216" s="5" t="str">
        <f>IFERROR(__xludf.DUMMYFUNCTION("""COMPUTED_VALUE"""),"Hospira, Inc., a Pfizer Company")</f>
        <v>Hospira, Inc., a Pfizer Company</v>
      </c>
      <c r="C216" s="5" t="str">
        <f>IFERROR(__xludf.DUMMYFUNCTION("""COMPUTED_VALUE"""),"Marcaine, Injection, 0.75% 15 mg/2 mL (7.5 mg/mL) in Dextrose 8.25% (NDC 0409-1761-10)")</f>
        <v>Marcaine, Injection, 0.75% 15 mg/2 mL (7.5 mg/mL) in Dextrose 8.25% (NDC 0409-1761-10)</v>
      </c>
      <c r="D216" s="5" t="str">
        <f>IFERROR(__xludf.DUMMYFUNCTION("""COMPUTED_VALUE"""),"Revised")</f>
        <v>Revised</v>
      </c>
      <c r="E216" s="13">
        <f>IFERROR(__xludf.DUMMYFUNCTION("""COMPUTED_VALUE"""),46316.0)</f>
        <v>46316</v>
      </c>
      <c r="F216" s="5" t="str">
        <f>IFERROR(__xludf.DUMMYFUNCTION("""COMPUTED_VALUE"""),"Unavailable")</f>
        <v>Unavailable</v>
      </c>
      <c r="G216" s="5" t="str">
        <f>IFERROR(__xludf.DUMMYFUNCTION("""COMPUTED_VALUE"""),"Next Delivery and Estimated Recovery: December 2026; Shortage per Manufacturer: Manufacturing Delay")</f>
        <v>Next Delivery and Estimated Recovery: December 2026; Shortage per Manufacturer: Manufacturing Delay</v>
      </c>
      <c r="H216" s="5"/>
      <c r="I216" s="5" t="str">
        <f>IFERROR(__xludf.DUMMYFUNCTION("""COMPUTED_VALUE"""),"Other")</f>
        <v>Other</v>
      </c>
      <c r="J216" s="5" t="str">
        <f>IFERROR(__xludf.DUMMYFUNCTION("""COMPUTED_VALUE"""),"Anesthesia")</f>
        <v>Anesthesia</v>
      </c>
      <c r="K216" s="5" t="str">
        <f>IFERROR(__xludf.DUMMYFUNCTION("""COMPUTED_VALUE"""),"Current")</f>
        <v>Current</v>
      </c>
      <c r="L216" s="5"/>
      <c r="M216" s="5"/>
      <c r="N216" s="10">
        <f>IFERROR(__xludf.DUMMYFUNCTION("""COMPUTED_VALUE"""),43151.0)</f>
        <v>43151</v>
      </c>
      <c r="O216" s="5">
        <v>2018.0</v>
      </c>
      <c r="P216" s="5" t="str">
        <f>IFERROR(__xludf.DUMMYFUNCTION("""COMPUTED_VALUE"""),"Unavailable")</f>
        <v>Unavailable</v>
      </c>
      <c r="Q216" s="5" t="s">
        <v>47</v>
      </c>
      <c r="R216" s="5" t="s">
        <v>136</v>
      </c>
      <c r="S216" s="11">
        <v>3170.0</v>
      </c>
    </row>
    <row r="217">
      <c r="A217" s="5" t="str">
        <f>IFERROR(__xludf.DUMMYFUNCTION("""COMPUTED_VALUE"""),"Bupivacaine Hydrochloride Injection")</f>
        <v>Bupivacaine Hydrochloride Injection</v>
      </c>
      <c r="B217" s="5" t="str">
        <f>IFERROR(__xludf.DUMMYFUNCTION("""COMPUTED_VALUE"""),"Hospira, Inc., a Pfizer Company")</f>
        <v>Hospira, Inc., a Pfizer Company</v>
      </c>
      <c r="C217" s="5" t="str">
        <f>IFERROR(__xludf.DUMMYFUNCTION("""COMPUTED_VALUE"""),"Marcaine, Injection, 0.75% 15 mg/2 mL (NDC 0409-1761-62)")</f>
        <v>Marcaine, Injection, 0.75% 15 mg/2 mL (NDC 0409-1761-62)</v>
      </c>
      <c r="D217" s="5" t="str">
        <f>IFERROR(__xludf.DUMMYFUNCTION("""COMPUTED_VALUE"""),"Reverified")</f>
        <v>Reverified</v>
      </c>
      <c r="E217" s="13">
        <f>IFERROR(__xludf.DUMMYFUNCTION("""COMPUTED_VALUE"""),46316.0)</f>
        <v>46316</v>
      </c>
      <c r="F217" s="5" t="str">
        <f>IFERROR(__xludf.DUMMYFUNCTION("""COMPUTED_VALUE"""),"Available")</f>
        <v>Available</v>
      </c>
      <c r="G217" s="5"/>
      <c r="H217" s="5"/>
      <c r="I217" s="5"/>
      <c r="J217" s="5" t="str">
        <f>IFERROR(__xludf.DUMMYFUNCTION("""COMPUTED_VALUE"""),"Analgesia/Addiction")</f>
        <v>Analgesia/Addiction</v>
      </c>
      <c r="K217" s="5" t="str">
        <f>IFERROR(__xludf.DUMMYFUNCTION("""COMPUTED_VALUE"""),"Current")</f>
        <v>Current</v>
      </c>
      <c r="L217" s="5"/>
      <c r="M217" s="5"/>
      <c r="N217" s="10">
        <f>IFERROR(__xludf.DUMMYFUNCTION("""COMPUTED_VALUE"""),43151.0)</f>
        <v>43151</v>
      </c>
      <c r="O217" s="5">
        <v>2018.0</v>
      </c>
      <c r="P217" s="5" t="str">
        <f>IFERROR(__xludf.DUMMYFUNCTION("""COMPUTED_VALUE"""),"Available")</f>
        <v>Available</v>
      </c>
      <c r="Q217" s="5" t="s">
        <v>135</v>
      </c>
      <c r="R217" s="5" t="s">
        <v>136</v>
      </c>
      <c r="S217" s="11">
        <v>3170.0</v>
      </c>
    </row>
    <row r="218">
      <c r="A218" s="5" t="str">
        <f>IFERROR(__xludf.DUMMYFUNCTION("""COMPUTED_VALUE"""),"Bupivacaine Hydrochloride Injection")</f>
        <v>Bupivacaine Hydrochloride Injection</v>
      </c>
      <c r="B218" s="5" t="str">
        <f>IFERROR(__xludf.DUMMYFUNCTION("""COMPUTED_VALUE"""),"Kindos Pharmaceuticals Co. Ltd.")</f>
        <v>Kindos Pharmaceuticals Co. Ltd.</v>
      </c>
      <c r="C218" s="5" t="str">
        <f>IFERROR(__xludf.DUMMYFUNCTION("""COMPUTED_VALUE"""),"Bupivacaine Hydrochloride, Injection, 2.5 mg/1 mL (NDC 71288-723-52)")</f>
        <v>Bupivacaine Hydrochloride, Injection, 2.5 mg/1 mL (NDC 71288-723-52)</v>
      </c>
      <c r="D218" s="5" t="str">
        <f>IFERROR(__xludf.DUMMYFUNCTION("""COMPUTED_VALUE"""),"New")</f>
        <v>New</v>
      </c>
      <c r="E218" s="10">
        <f>IFERROR(__xludf.DUMMYFUNCTION("""COMPUTED_VALUE"""),46147.0)</f>
        <v>46147</v>
      </c>
      <c r="F218" s="5"/>
      <c r="G218" s="5" t="str">
        <f>IFERROR(__xludf.DUMMYFUNCTION("""COMPUTED_VALUE"""),"Discontinuation of the manufacture of the drug")</f>
        <v>Discontinuation of the manufacture of the drug</v>
      </c>
      <c r="H218" s="5"/>
      <c r="I218" s="5"/>
      <c r="J218" s="5" t="str">
        <f>IFERROR(__xludf.DUMMYFUNCTION("""COMPUTED_VALUE"""),"Anesthesia")</f>
        <v>Anesthesia</v>
      </c>
      <c r="K218" s="5" t="str">
        <f>IFERROR(__xludf.DUMMYFUNCTION("""COMPUTED_VALUE"""),"To Be Discontinued")</f>
        <v>To Be Discontinued</v>
      </c>
      <c r="L218" s="5"/>
      <c r="M218" s="10">
        <f>IFERROR(__xludf.DUMMYFUNCTION("""COMPUTED_VALUE"""),46147.0)</f>
        <v>46147</v>
      </c>
      <c r="N218" s="10">
        <f>IFERROR(__xludf.DUMMYFUNCTION("""COMPUTED_VALUE"""),46147.0)</f>
        <v>46147</v>
      </c>
      <c r="O218" s="5">
        <v>2026.0</v>
      </c>
      <c r="P218" s="5" t="str">
        <f>IFERROR(__xludf.DUMMYFUNCTION("""COMPUTED_VALUE"""),"Not stated")</f>
        <v>Not stated</v>
      </c>
      <c r="Q218" s="5" t="s">
        <v>135</v>
      </c>
      <c r="R218" s="5" t="s">
        <v>434</v>
      </c>
      <c r="S218" s="11">
        <v>174.0</v>
      </c>
    </row>
    <row r="219">
      <c r="A219" s="5" t="str">
        <f>IFERROR(__xludf.DUMMYFUNCTION("""COMPUTED_VALUE"""),"Bupivacaine Hydrochloride Injection")</f>
        <v>Bupivacaine Hydrochloride Injection</v>
      </c>
      <c r="B219" s="5" t="str">
        <f>IFERROR(__xludf.DUMMYFUNCTION("""COMPUTED_VALUE"""),"Kindos Pharmaceuticals Co. Ltd.")</f>
        <v>Kindos Pharmaceuticals Co. Ltd.</v>
      </c>
      <c r="C219" s="5" t="str">
        <f>IFERROR(__xludf.DUMMYFUNCTION("""COMPUTED_VALUE"""),"Bupivacaine Hydrochloride, Injection, 5 mg/1 mL (NDC 71288-726-52)")</f>
        <v>Bupivacaine Hydrochloride, Injection, 5 mg/1 mL (NDC 71288-726-52)</v>
      </c>
      <c r="D219" s="5" t="str">
        <f>IFERROR(__xludf.DUMMYFUNCTION("""COMPUTED_VALUE"""),"New")</f>
        <v>New</v>
      </c>
      <c r="E219" s="10">
        <f>IFERROR(__xludf.DUMMYFUNCTION("""COMPUTED_VALUE"""),46147.0)</f>
        <v>46147</v>
      </c>
      <c r="F219" s="5"/>
      <c r="G219" s="5" t="str">
        <f>IFERROR(__xludf.DUMMYFUNCTION("""COMPUTED_VALUE"""),"Discontinuation of the manufacture of the drug")</f>
        <v>Discontinuation of the manufacture of the drug</v>
      </c>
      <c r="H219" s="5"/>
      <c r="I219" s="5"/>
      <c r="J219" s="5" t="str">
        <f>IFERROR(__xludf.DUMMYFUNCTION("""COMPUTED_VALUE"""),"Anesthesia")</f>
        <v>Anesthesia</v>
      </c>
      <c r="K219" s="5" t="str">
        <f>IFERROR(__xludf.DUMMYFUNCTION("""COMPUTED_VALUE"""),"To Be Discontinued")</f>
        <v>To Be Discontinued</v>
      </c>
      <c r="L219" s="5"/>
      <c r="M219" s="10">
        <f>IFERROR(__xludf.DUMMYFUNCTION("""COMPUTED_VALUE"""),46147.0)</f>
        <v>46147</v>
      </c>
      <c r="N219" s="10">
        <f>IFERROR(__xludf.DUMMYFUNCTION("""COMPUTED_VALUE"""),46147.0)</f>
        <v>46147</v>
      </c>
      <c r="O219" s="5">
        <v>2026.0</v>
      </c>
      <c r="P219" s="5" t="str">
        <f>IFERROR(__xludf.DUMMYFUNCTION("""COMPUTED_VALUE"""),"Not stated")</f>
        <v>Not stated</v>
      </c>
      <c r="Q219" s="5" t="s">
        <v>135</v>
      </c>
      <c r="R219" s="5" t="s">
        <v>434</v>
      </c>
      <c r="S219" s="11">
        <v>174.0</v>
      </c>
    </row>
    <row r="220">
      <c r="A220" s="5" t="str">
        <f>IFERROR(__xludf.DUMMYFUNCTION("""COMPUTED_VALUE"""),"Bupivacaine Hydrochloride Injection")</f>
        <v>Bupivacaine Hydrochloride Injection</v>
      </c>
      <c r="B220" s="5" t="str">
        <f>IFERROR(__xludf.DUMMYFUNCTION("""COMPUTED_VALUE"""),"Kindos Pharmaceuticals Co. Ltd.")</f>
        <v>Kindos Pharmaceuticals Co. Ltd.</v>
      </c>
      <c r="C220" s="5" t="str">
        <f>IFERROR(__xludf.DUMMYFUNCTION("""COMPUTED_VALUE"""),"Bupivacaine Hydrochloride, Injection, 2.5 mg/1 mL (NDC 71288-722-32)")</f>
        <v>Bupivacaine Hydrochloride, Injection, 2.5 mg/1 mL (NDC 71288-722-32)</v>
      </c>
      <c r="D220" s="5" t="str">
        <f>IFERROR(__xludf.DUMMYFUNCTION("""COMPUTED_VALUE"""),"New")</f>
        <v>New</v>
      </c>
      <c r="E220" s="10">
        <f>IFERROR(__xludf.DUMMYFUNCTION("""COMPUTED_VALUE"""),46147.0)</f>
        <v>46147</v>
      </c>
      <c r="F220" s="5"/>
      <c r="G220" s="5" t="str">
        <f>IFERROR(__xludf.DUMMYFUNCTION("""COMPUTED_VALUE"""),"Discontinuation of the manufacture of the drug")</f>
        <v>Discontinuation of the manufacture of the drug</v>
      </c>
      <c r="H220" s="5"/>
      <c r="I220" s="5"/>
      <c r="J220" s="5" t="str">
        <f>IFERROR(__xludf.DUMMYFUNCTION("""COMPUTED_VALUE"""),"Anesthesia")</f>
        <v>Anesthesia</v>
      </c>
      <c r="K220" s="5" t="str">
        <f>IFERROR(__xludf.DUMMYFUNCTION("""COMPUTED_VALUE"""),"To Be Discontinued")</f>
        <v>To Be Discontinued</v>
      </c>
      <c r="L220" s="5"/>
      <c r="M220" s="10">
        <f>IFERROR(__xludf.DUMMYFUNCTION("""COMPUTED_VALUE"""),46147.0)</f>
        <v>46147</v>
      </c>
      <c r="N220" s="10">
        <f>IFERROR(__xludf.DUMMYFUNCTION("""COMPUTED_VALUE"""),46147.0)</f>
        <v>46147</v>
      </c>
      <c r="O220" s="5">
        <v>2026.0</v>
      </c>
      <c r="P220" s="5" t="str">
        <f>IFERROR(__xludf.DUMMYFUNCTION("""COMPUTED_VALUE"""),"Not stated")</f>
        <v>Not stated</v>
      </c>
      <c r="Q220" s="5" t="s">
        <v>135</v>
      </c>
      <c r="R220" s="5" t="s">
        <v>434</v>
      </c>
      <c r="S220" s="11">
        <v>174.0</v>
      </c>
    </row>
    <row r="221">
      <c r="A221" s="5" t="str">
        <f>IFERROR(__xludf.DUMMYFUNCTION("""COMPUTED_VALUE"""),"Bupivacaine Hydrochloride Injection")</f>
        <v>Bupivacaine Hydrochloride Injection</v>
      </c>
      <c r="B221" s="5" t="str">
        <f>IFERROR(__xludf.DUMMYFUNCTION("""COMPUTED_VALUE"""),"Kindos Pharmaceuticals Co. Ltd.")</f>
        <v>Kindos Pharmaceuticals Co. Ltd.</v>
      </c>
      <c r="C221" s="5" t="str">
        <f>IFERROR(__xludf.DUMMYFUNCTION("""COMPUTED_VALUE"""),"Bupivacaine Hydrochloride, Injection, 5 mg/1 mL (NDC 71288-725-32)")</f>
        <v>Bupivacaine Hydrochloride, Injection, 5 mg/1 mL (NDC 71288-725-32)</v>
      </c>
      <c r="D221" s="5" t="str">
        <f>IFERROR(__xludf.DUMMYFUNCTION("""COMPUTED_VALUE"""),"New")</f>
        <v>New</v>
      </c>
      <c r="E221" s="10">
        <f>IFERROR(__xludf.DUMMYFUNCTION("""COMPUTED_VALUE"""),46147.0)</f>
        <v>46147</v>
      </c>
      <c r="F221" s="5"/>
      <c r="G221" s="5" t="str">
        <f>IFERROR(__xludf.DUMMYFUNCTION("""COMPUTED_VALUE"""),"Discontinuation of the manufacture of the drug")</f>
        <v>Discontinuation of the manufacture of the drug</v>
      </c>
      <c r="H221" s="5"/>
      <c r="I221" s="5"/>
      <c r="J221" s="5" t="str">
        <f>IFERROR(__xludf.DUMMYFUNCTION("""COMPUTED_VALUE"""),"Anesthesia")</f>
        <v>Anesthesia</v>
      </c>
      <c r="K221" s="5" t="str">
        <f>IFERROR(__xludf.DUMMYFUNCTION("""COMPUTED_VALUE"""),"To Be Discontinued")</f>
        <v>To Be Discontinued</v>
      </c>
      <c r="L221" s="5"/>
      <c r="M221" s="10">
        <f>IFERROR(__xludf.DUMMYFUNCTION("""COMPUTED_VALUE"""),46147.0)</f>
        <v>46147</v>
      </c>
      <c r="N221" s="10">
        <f>IFERROR(__xludf.DUMMYFUNCTION("""COMPUTED_VALUE"""),46147.0)</f>
        <v>46147</v>
      </c>
      <c r="O221" s="5">
        <v>2026.0</v>
      </c>
      <c r="P221" s="5" t="str">
        <f>IFERROR(__xludf.DUMMYFUNCTION("""COMPUTED_VALUE"""),"Not stated")</f>
        <v>Not stated</v>
      </c>
      <c r="Q221" s="5" t="s">
        <v>135</v>
      </c>
      <c r="R221" s="5" t="s">
        <v>434</v>
      </c>
      <c r="S221" s="11">
        <v>174.0</v>
      </c>
    </row>
    <row r="222">
      <c r="A222" s="5" t="str">
        <f>IFERROR(__xludf.DUMMYFUNCTION("""COMPUTED_VALUE"""),"Bupivacaine Hydrochloride Injection")</f>
        <v>Bupivacaine Hydrochloride Injection</v>
      </c>
      <c r="B222" s="5" t="str">
        <f>IFERROR(__xludf.DUMMYFUNCTION("""COMPUTED_VALUE"""),"Kindos Pharmaceuticals Co. Ltd.")</f>
        <v>Kindos Pharmaceuticals Co. Ltd.</v>
      </c>
      <c r="C222" s="5" t="str">
        <f>IFERROR(__xludf.DUMMYFUNCTION("""COMPUTED_VALUE"""),"Bupivacaine Hydrochloride, Injection, 7.5 mg/1 mL (NDC 71288-728-32)")</f>
        <v>Bupivacaine Hydrochloride, Injection, 7.5 mg/1 mL (NDC 71288-728-32)</v>
      </c>
      <c r="D222" s="5" t="str">
        <f>IFERROR(__xludf.DUMMYFUNCTION("""COMPUTED_VALUE"""),"New")</f>
        <v>New</v>
      </c>
      <c r="E222" s="10">
        <f>IFERROR(__xludf.DUMMYFUNCTION("""COMPUTED_VALUE"""),46147.0)</f>
        <v>46147</v>
      </c>
      <c r="F222" s="5"/>
      <c r="G222" s="5" t="str">
        <f>IFERROR(__xludf.DUMMYFUNCTION("""COMPUTED_VALUE"""),"Discontinuation of the manufacture of the drug")</f>
        <v>Discontinuation of the manufacture of the drug</v>
      </c>
      <c r="H222" s="5"/>
      <c r="I222" s="5"/>
      <c r="J222" s="5" t="str">
        <f>IFERROR(__xludf.DUMMYFUNCTION("""COMPUTED_VALUE"""),"Anesthesia")</f>
        <v>Anesthesia</v>
      </c>
      <c r="K222" s="5" t="str">
        <f>IFERROR(__xludf.DUMMYFUNCTION("""COMPUTED_VALUE"""),"To Be Discontinued")</f>
        <v>To Be Discontinued</v>
      </c>
      <c r="L222" s="5"/>
      <c r="M222" s="10">
        <f>IFERROR(__xludf.DUMMYFUNCTION("""COMPUTED_VALUE"""),46147.0)</f>
        <v>46147</v>
      </c>
      <c r="N222" s="10">
        <f>IFERROR(__xludf.DUMMYFUNCTION("""COMPUTED_VALUE"""),46147.0)</f>
        <v>46147</v>
      </c>
      <c r="O222" s="5">
        <v>2026.0</v>
      </c>
      <c r="P222" s="5" t="str">
        <f>IFERROR(__xludf.DUMMYFUNCTION("""COMPUTED_VALUE"""),"Not stated")</f>
        <v>Not stated</v>
      </c>
      <c r="Q222" s="5" t="s">
        <v>135</v>
      </c>
      <c r="R222" s="5" t="s">
        <v>434</v>
      </c>
      <c r="S222" s="11">
        <v>174.0</v>
      </c>
    </row>
    <row r="223">
      <c r="A223" s="5" t="str">
        <f>IFERROR(__xludf.DUMMYFUNCTION("""COMPUTED_VALUE"""),"Bupivacaine Hydrochloride Injection")</f>
        <v>Bupivacaine Hydrochloride Injection</v>
      </c>
      <c r="B223" s="5" t="str">
        <f>IFERROR(__xludf.DUMMYFUNCTION("""COMPUTED_VALUE"""),"Aspiro Pharma Limited")</f>
        <v>Aspiro Pharma Limited</v>
      </c>
      <c r="C223" s="5" t="str">
        <f>IFERROR(__xludf.DUMMYFUNCTION("""COMPUTED_VALUE"""),"Bupivacaine Hydrochloride, Injection, 2.5 mg/1 mL (NDC 31722-275-32)")</f>
        <v>Bupivacaine Hydrochloride, Injection, 2.5 mg/1 mL (NDC 31722-275-32)</v>
      </c>
      <c r="D223" s="5" t="str">
        <f>IFERROR(__xludf.DUMMYFUNCTION("""COMPUTED_VALUE"""),"New")</f>
        <v>New</v>
      </c>
      <c r="E223" s="10">
        <f>IFERROR(__xludf.DUMMYFUNCTION("""COMPUTED_VALUE"""),46220.0)</f>
        <v>46220</v>
      </c>
      <c r="F223" s="5" t="str">
        <f>IFERROR(__xludf.DUMMYFUNCTION("""COMPUTED_VALUE"""),"Available")</f>
        <v>Available</v>
      </c>
      <c r="G223" s="5"/>
      <c r="H223" s="5"/>
      <c r="I223" s="5"/>
      <c r="J223" s="5" t="str">
        <f>IFERROR(__xludf.DUMMYFUNCTION("""COMPUTED_VALUE"""),"Anesthesia")</f>
        <v>Anesthesia</v>
      </c>
      <c r="K223" s="5" t="str">
        <f>IFERROR(__xludf.DUMMYFUNCTION("""COMPUTED_VALUE"""),"Current")</f>
        <v>Current</v>
      </c>
      <c r="L223" s="5"/>
      <c r="M223" s="5"/>
      <c r="N223" s="10">
        <f>IFERROR(__xludf.DUMMYFUNCTION("""COMPUTED_VALUE"""),43151.0)</f>
        <v>43151</v>
      </c>
      <c r="O223" s="5">
        <v>2018.0</v>
      </c>
      <c r="P223" s="5" t="str">
        <f>IFERROR(__xludf.DUMMYFUNCTION("""COMPUTED_VALUE"""),"Available")</f>
        <v>Available</v>
      </c>
      <c r="Q223" s="5" t="s">
        <v>135</v>
      </c>
      <c r="R223" s="5" t="s">
        <v>136</v>
      </c>
      <c r="S223" s="11">
        <v>3170.0</v>
      </c>
    </row>
    <row r="224">
      <c r="A224" s="5" t="str">
        <f>IFERROR(__xludf.DUMMYFUNCTION("""COMPUTED_VALUE"""),"Bupivacaine Hydrochloride Injection")</f>
        <v>Bupivacaine Hydrochloride Injection</v>
      </c>
      <c r="B224" s="5" t="str">
        <f>IFERROR(__xludf.DUMMYFUNCTION("""COMPUTED_VALUE"""),"Aspiro Pharma Limited")</f>
        <v>Aspiro Pharma Limited</v>
      </c>
      <c r="C224" s="5" t="str">
        <f>IFERROR(__xludf.DUMMYFUNCTION("""COMPUTED_VALUE"""),"Bupivacaine Hydrochloride, Injection, 5 mg/1 mL (NDC 31722-276-32)")</f>
        <v>Bupivacaine Hydrochloride, Injection, 5 mg/1 mL (NDC 31722-276-32)</v>
      </c>
      <c r="D224" s="5" t="str">
        <f>IFERROR(__xludf.DUMMYFUNCTION("""COMPUTED_VALUE"""),"New")</f>
        <v>New</v>
      </c>
      <c r="E224" s="10">
        <f>IFERROR(__xludf.DUMMYFUNCTION("""COMPUTED_VALUE"""),46220.0)</f>
        <v>46220</v>
      </c>
      <c r="F224" s="5" t="str">
        <f>IFERROR(__xludf.DUMMYFUNCTION("""COMPUTED_VALUE"""),"Available")</f>
        <v>Available</v>
      </c>
      <c r="G224" s="5"/>
      <c r="H224" s="5"/>
      <c r="I224" s="5"/>
      <c r="J224" s="5" t="str">
        <f>IFERROR(__xludf.DUMMYFUNCTION("""COMPUTED_VALUE"""),"Anesthesia")</f>
        <v>Anesthesia</v>
      </c>
      <c r="K224" s="5" t="str">
        <f>IFERROR(__xludf.DUMMYFUNCTION("""COMPUTED_VALUE"""),"Current")</f>
        <v>Current</v>
      </c>
      <c r="L224" s="5"/>
      <c r="M224" s="5"/>
      <c r="N224" s="10">
        <f>IFERROR(__xludf.DUMMYFUNCTION("""COMPUTED_VALUE"""),43151.0)</f>
        <v>43151</v>
      </c>
      <c r="O224" s="5">
        <v>2018.0</v>
      </c>
      <c r="P224" s="5" t="str">
        <f>IFERROR(__xludf.DUMMYFUNCTION("""COMPUTED_VALUE"""),"Available")</f>
        <v>Available</v>
      </c>
      <c r="Q224" s="5" t="s">
        <v>135</v>
      </c>
      <c r="R224" s="5" t="s">
        <v>136</v>
      </c>
      <c r="S224" s="11">
        <v>3170.0</v>
      </c>
    </row>
    <row r="225">
      <c r="A225" s="5" t="str">
        <f>IFERROR(__xludf.DUMMYFUNCTION("""COMPUTED_VALUE"""),"Bupivacaine Hydrochloride Injection")</f>
        <v>Bupivacaine Hydrochloride Injection</v>
      </c>
      <c r="B225" s="5" t="str">
        <f>IFERROR(__xludf.DUMMYFUNCTION("""COMPUTED_VALUE"""),"Aspiro Pharma Limited")</f>
        <v>Aspiro Pharma Limited</v>
      </c>
      <c r="C225" s="5" t="str">
        <f>IFERROR(__xludf.DUMMYFUNCTION("""COMPUTED_VALUE"""),"Bupivacaine Hydrochloride, Injection, 7.5 mg/1 mL (NDC 31722-277-32)")</f>
        <v>Bupivacaine Hydrochloride, Injection, 7.5 mg/1 mL (NDC 31722-277-32)</v>
      </c>
      <c r="D225" s="5" t="str">
        <f>IFERROR(__xludf.DUMMYFUNCTION("""COMPUTED_VALUE"""),"New")</f>
        <v>New</v>
      </c>
      <c r="E225" s="10">
        <f>IFERROR(__xludf.DUMMYFUNCTION("""COMPUTED_VALUE"""),46220.0)</f>
        <v>46220</v>
      </c>
      <c r="F225" s="5" t="str">
        <f>IFERROR(__xludf.DUMMYFUNCTION("""COMPUTED_VALUE"""),"Available")</f>
        <v>Available</v>
      </c>
      <c r="G225" s="5"/>
      <c r="H225" s="5"/>
      <c r="I225" s="5"/>
      <c r="J225" s="5" t="str">
        <f>IFERROR(__xludf.DUMMYFUNCTION("""COMPUTED_VALUE"""),"Anesthesia")</f>
        <v>Anesthesia</v>
      </c>
      <c r="K225" s="5" t="str">
        <f>IFERROR(__xludf.DUMMYFUNCTION("""COMPUTED_VALUE"""),"Current")</f>
        <v>Current</v>
      </c>
      <c r="L225" s="5"/>
      <c r="M225" s="5"/>
      <c r="N225" s="10">
        <f>IFERROR(__xludf.DUMMYFUNCTION("""COMPUTED_VALUE"""),43151.0)</f>
        <v>43151</v>
      </c>
      <c r="O225" s="5">
        <v>2018.0</v>
      </c>
      <c r="P225" s="5" t="str">
        <f>IFERROR(__xludf.DUMMYFUNCTION("""COMPUTED_VALUE"""),"Available")</f>
        <v>Available</v>
      </c>
      <c r="Q225" s="5" t="s">
        <v>135</v>
      </c>
      <c r="R225" s="5" t="s">
        <v>136</v>
      </c>
      <c r="S225" s="11">
        <v>3170.0</v>
      </c>
    </row>
    <row r="226">
      <c r="A226" s="5" t="str">
        <f>IFERROR(__xludf.DUMMYFUNCTION("""COMPUTED_VALUE"""),"Bupivacaine Hydrochloride Injection")</f>
        <v>Bupivacaine Hydrochloride Injection</v>
      </c>
      <c r="B226" s="5" t="str">
        <f>IFERROR(__xludf.DUMMYFUNCTION("""COMPUTED_VALUE"""),"Aspiro Pharma Limited")</f>
        <v>Aspiro Pharma Limited</v>
      </c>
      <c r="C226" s="5" t="str">
        <f>IFERROR(__xludf.DUMMYFUNCTION("""COMPUTED_VALUE"""),"Bupivacaine Hydrochloride, Injection, 2.5 mg/1 mL (NDC 31722-275-34)")</f>
        <v>Bupivacaine Hydrochloride, Injection, 2.5 mg/1 mL (NDC 31722-275-34)</v>
      </c>
      <c r="D226" s="5" t="str">
        <f>IFERROR(__xludf.DUMMYFUNCTION("""COMPUTED_VALUE"""),"New")</f>
        <v>New</v>
      </c>
      <c r="E226" s="10">
        <f>IFERROR(__xludf.DUMMYFUNCTION("""COMPUTED_VALUE"""),46220.0)</f>
        <v>46220</v>
      </c>
      <c r="F226" s="5" t="str">
        <f>IFERROR(__xludf.DUMMYFUNCTION("""COMPUTED_VALUE"""),"Available")</f>
        <v>Available</v>
      </c>
      <c r="G226" s="5"/>
      <c r="H226" s="5"/>
      <c r="I226" s="5"/>
      <c r="J226" s="5" t="str">
        <f>IFERROR(__xludf.DUMMYFUNCTION("""COMPUTED_VALUE"""),"Anesthesia")</f>
        <v>Anesthesia</v>
      </c>
      <c r="K226" s="5" t="str">
        <f>IFERROR(__xludf.DUMMYFUNCTION("""COMPUTED_VALUE"""),"Current")</f>
        <v>Current</v>
      </c>
      <c r="L226" s="5"/>
      <c r="M226" s="5"/>
      <c r="N226" s="10">
        <f>IFERROR(__xludf.DUMMYFUNCTION("""COMPUTED_VALUE"""),43151.0)</f>
        <v>43151</v>
      </c>
      <c r="O226" s="5">
        <v>2018.0</v>
      </c>
      <c r="P226" s="5" t="str">
        <f>IFERROR(__xludf.DUMMYFUNCTION("""COMPUTED_VALUE"""),"Available")</f>
        <v>Available</v>
      </c>
      <c r="Q226" s="5" t="s">
        <v>135</v>
      </c>
      <c r="R226" s="5" t="s">
        <v>136</v>
      </c>
      <c r="S226" s="11">
        <v>3170.0</v>
      </c>
    </row>
    <row r="227">
      <c r="A227" s="5" t="str">
        <f>IFERROR(__xludf.DUMMYFUNCTION("""COMPUTED_VALUE"""),"Bupivacaine Hydrochloride Injection")</f>
        <v>Bupivacaine Hydrochloride Injection</v>
      </c>
      <c r="B227" s="5" t="str">
        <f>IFERROR(__xludf.DUMMYFUNCTION("""COMPUTED_VALUE"""),"Aspiro Pharma Limited")</f>
        <v>Aspiro Pharma Limited</v>
      </c>
      <c r="C227" s="5" t="str">
        <f>IFERROR(__xludf.DUMMYFUNCTION("""COMPUTED_VALUE"""),"Bupivacaine Hydrochloride, Injection, 5 mg/1 mL (NDC 31722-276-34)")</f>
        <v>Bupivacaine Hydrochloride, Injection, 5 mg/1 mL (NDC 31722-276-34)</v>
      </c>
      <c r="D227" s="5" t="str">
        <f>IFERROR(__xludf.DUMMYFUNCTION("""COMPUTED_VALUE"""),"New")</f>
        <v>New</v>
      </c>
      <c r="E227" s="10">
        <f>IFERROR(__xludf.DUMMYFUNCTION("""COMPUTED_VALUE"""),46220.0)</f>
        <v>46220</v>
      </c>
      <c r="F227" s="5" t="str">
        <f>IFERROR(__xludf.DUMMYFUNCTION("""COMPUTED_VALUE"""),"Available")</f>
        <v>Available</v>
      </c>
      <c r="G227" s="5"/>
      <c r="H227" s="5"/>
      <c r="I227" s="5"/>
      <c r="J227" s="5" t="str">
        <f>IFERROR(__xludf.DUMMYFUNCTION("""COMPUTED_VALUE"""),"Anesthesia")</f>
        <v>Anesthesia</v>
      </c>
      <c r="K227" s="5" t="str">
        <f>IFERROR(__xludf.DUMMYFUNCTION("""COMPUTED_VALUE"""),"Current")</f>
        <v>Current</v>
      </c>
      <c r="L227" s="5"/>
      <c r="M227" s="5"/>
      <c r="N227" s="10">
        <f>IFERROR(__xludf.DUMMYFUNCTION("""COMPUTED_VALUE"""),43151.0)</f>
        <v>43151</v>
      </c>
      <c r="O227" s="5">
        <v>2018.0</v>
      </c>
      <c r="P227" s="5" t="str">
        <f>IFERROR(__xludf.DUMMYFUNCTION("""COMPUTED_VALUE"""),"Available")</f>
        <v>Available</v>
      </c>
      <c r="Q227" s="5" t="s">
        <v>135</v>
      </c>
      <c r="R227" s="5" t="s">
        <v>136</v>
      </c>
      <c r="S227" s="11">
        <v>3170.0</v>
      </c>
    </row>
    <row r="228">
      <c r="A228" s="5" t="str">
        <f>IFERROR(__xludf.DUMMYFUNCTION("""COMPUTED_VALUE"""),"Bupivacaine Hydrochloride Injection")</f>
        <v>Bupivacaine Hydrochloride Injection</v>
      </c>
      <c r="B228" s="5" t="str">
        <f>IFERROR(__xludf.DUMMYFUNCTION("""COMPUTED_VALUE"""),"Aspiro Pharma Limited")</f>
        <v>Aspiro Pharma Limited</v>
      </c>
      <c r="C228" s="5" t="str">
        <f>IFERROR(__xludf.DUMMYFUNCTION("""COMPUTED_VALUE"""),"Bupivacaine Hydrochloride, Injection, 7.5 mg/1 mL (NDC 31722-277-34)")</f>
        <v>Bupivacaine Hydrochloride, Injection, 7.5 mg/1 mL (NDC 31722-277-34)</v>
      </c>
      <c r="D228" s="5" t="str">
        <f>IFERROR(__xludf.DUMMYFUNCTION("""COMPUTED_VALUE"""),"New")</f>
        <v>New</v>
      </c>
      <c r="E228" s="10">
        <f>IFERROR(__xludf.DUMMYFUNCTION("""COMPUTED_VALUE"""),46220.0)</f>
        <v>46220</v>
      </c>
      <c r="F228" s="5" t="str">
        <f>IFERROR(__xludf.DUMMYFUNCTION("""COMPUTED_VALUE"""),"Available")</f>
        <v>Available</v>
      </c>
      <c r="G228" s="5"/>
      <c r="H228" s="5"/>
      <c r="I228" s="5"/>
      <c r="J228" s="5" t="str">
        <f>IFERROR(__xludf.DUMMYFUNCTION("""COMPUTED_VALUE"""),"Anesthesia")</f>
        <v>Anesthesia</v>
      </c>
      <c r="K228" s="5" t="str">
        <f>IFERROR(__xludf.DUMMYFUNCTION("""COMPUTED_VALUE"""),"Current")</f>
        <v>Current</v>
      </c>
      <c r="L228" s="5"/>
      <c r="M228" s="5"/>
      <c r="N228" s="10">
        <f>IFERROR(__xludf.DUMMYFUNCTION("""COMPUTED_VALUE"""),43151.0)</f>
        <v>43151</v>
      </c>
      <c r="O228" s="5">
        <v>2018.0</v>
      </c>
      <c r="P228" s="5" t="str">
        <f>IFERROR(__xludf.DUMMYFUNCTION("""COMPUTED_VALUE"""),"Available")</f>
        <v>Available</v>
      </c>
      <c r="Q228" s="5" t="s">
        <v>135</v>
      </c>
      <c r="R228" s="5" t="s">
        <v>136</v>
      </c>
      <c r="S228" s="11">
        <v>3170.0</v>
      </c>
    </row>
    <row r="229">
      <c r="A229" s="5" t="str">
        <f>IFERROR(__xludf.DUMMYFUNCTION("""COMPUTED_VALUE"""),"Bupivacaine Hydrochloride Injection")</f>
        <v>Bupivacaine Hydrochloride Injection</v>
      </c>
      <c r="B229" s="5" t="str">
        <f>IFERROR(__xludf.DUMMYFUNCTION("""COMPUTED_VALUE"""),"Somerset Therapeutics, LLC")</f>
        <v>Somerset Therapeutics, LLC</v>
      </c>
      <c r="C229" s="5" t="str">
        <f>IFERROR(__xludf.DUMMYFUNCTION("""COMPUTED_VALUE"""),"Bupivacaine Hydrochloride, Injection, 2.5 mg/1 mL (NDC 70069-752-01)")</f>
        <v>Bupivacaine Hydrochloride, Injection, 2.5 mg/1 mL (NDC 70069-752-01)</v>
      </c>
      <c r="D229" s="5" t="str">
        <f>IFERROR(__xludf.DUMMYFUNCTION("""COMPUTED_VALUE"""),"Reverified")</f>
        <v>Reverified</v>
      </c>
      <c r="E229" s="10">
        <f>IFERROR(__xludf.DUMMYFUNCTION("""COMPUTED_VALUE"""),46276.0)</f>
        <v>46276</v>
      </c>
      <c r="F229" s="5" t="str">
        <f>IFERROR(__xludf.DUMMYFUNCTION("""COMPUTED_VALUE"""),"Available")</f>
        <v>Available</v>
      </c>
      <c r="G229" s="5"/>
      <c r="H229" s="5"/>
      <c r="I229" s="5"/>
      <c r="J229" s="5" t="str">
        <f>IFERROR(__xludf.DUMMYFUNCTION("""COMPUTED_VALUE"""),"Anesthesia")</f>
        <v>Anesthesia</v>
      </c>
      <c r="K229" s="5" t="str">
        <f>IFERROR(__xludf.DUMMYFUNCTION("""COMPUTED_VALUE"""),"Current")</f>
        <v>Current</v>
      </c>
      <c r="L229" s="5"/>
      <c r="M229" s="5"/>
      <c r="N229" s="10">
        <f>IFERROR(__xludf.DUMMYFUNCTION("""COMPUTED_VALUE"""),43151.0)</f>
        <v>43151</v>
      </c>
      <c r="O229" s="5">
        <v>2018.0</v>
      </c>
      <c r="P229" s="5" t="str">
        <f>IFERROR(__xludf.DUMMYFUNCTION("""COMPUTED_VALUE"""),"Available")</f>
        <v>Available</v>
      </c>
      <c r="Q229" s="5" t="s">
        <v>135</v>
      </c>
      <c r="R229" s="5" t="s">
        <v>136</v>
      </c>
      <c r="S229" s="11">
        <v>3170.0</v>
      </c>
    </row>
    <row r="230">
      <c r="A230" s="5" t="str">
        <f>IFERROR(__xludf.DUMMYFUNCTION("""COMPUTED_VALUE"""),"Bupivacaine Hydrochloride Injection")</f>
        <v>Bupivacaine Hydrochloride Injection</v>
      </c>
      <c r="B230" s="5" t="str">
        <f>IFERROR(__xludf.DUMMYFUNCTION("""COMPUTED_VALUE"""),"Somerset Therapeutics, LLC")</f>
        <v>Somerset Therapeutics, LLC</v>
      </c>
      <c r="C230" s="5" t="str">
        <f>IFERROR(__xludf.DUMMYFUNCTION("""COMPUTED_VALUE"""),"Bupivacaine Hydrochloride, Injection, 2.5 mg/1 mL (NDC 70069-752-10)")</f>
        <v>Bupivacaine Hydrochloride, Injection, 2.5 mg/1 mL (NDC 70069-752-10)</v>
      </c>
      <c r="D230" s="5" t="str">
        <f>IFERROR(__xludf.DUMMYFUNCTION("""COMPUTED_VALUE"""),"Reverified")</f>
        <v>Reverified</v>
      </c>
      <c r="E230" s="10">
        <f>IFERROR(__xludf.DUMMYFUNCTION("""COMPUTED_VALUE"""),46276.0)</f>
        <v>46276</v>
      </c>
      <c r="F230" s="5" t="str">
        <f>IFERROR(__xludf.DUMMYFUNCTION("""COMPUTED_VALUE"""),"Available")</f>
        <v>Available</v>
      </c>
      <c r="G230" s="5"/>
      <c r="H230" s="5"/>
      <c r="I230" s="5"/>
      <c r="J230" s="5" t="str">
        <f>IFERROR(__xludf.DUMMYFUNCTION("""COMPUTED_VALUE"""),"Anesthesia")</f>
        <v>Anesthesia</v>
      </c>
      <c r="K230" s="5" t="str">
        <f>IFERROR(__xludf.DUMMYFUNCTION("""COMPUTED_VALUE"""),"Current")</f>
        <v>Current</v>
      </c>
      <c r="L230" s="5"/>
      <c r="M230" s="5"/>
      <c r="N230" s="10">
        <f>IFERROR(__xludf.DUMMYFUNCTION("""COMPUTED_VALUE"""),43151.0)</f>
        <v>43151</v>
      </c>
      <c r="O230" s="5">
        <v>2018.0</v>
      </c>
      <c r="P230" s="5" t="str">
        <f>IFERROR(__xludf.DUMMYFUNCTION("""COMPUTED_VALUE"""),"Available")</f>
        <v>Available</v>
      </c>
      <c r="Q230" s="5" t="s">
        <v>135</v>
      </c>
      <c r="R230" s="5" t="s">
        <v>136</v>
      </c>
      <c r="S230" s="11">
        <v>3170.0</v>
      </c>
    </row>
    <row r="231">
      <c r="A231" s="5" t="str">
        <f>IFERROR(__xludf.DUMMYFUNCTION("""COMPUTED_VALUE"""),"Bupivacaine Hydrochloride Injection")</f>
        <v>Bupivacaine Hydrochloride Injection</v>
      </c>
      <c r="B231" s="5" t="str">
        <f>IFERROR(__xludf.DUMMYFUNCTION("""COMPUTED_VALUE"""),"Somerset Therapeutics, LLC")</f>
        <v>Somerset Therapeutics, LLC</v>
      </c>
      <c r="C231" s="5" t="str">
        <f>IFERROR(__xludf.DUMMYFUNCTION("""COMPUTED_VALUE"""),"Bupivacaine Hydrochloride, Injection, 5 mg/1 mL (NDC 70069-753-01)")</f>
        <v>Bupivacaine Hydrochloride, Injection, 5 mg/1 mL (NDC 70069-753-01)</v>
      </c>
      <c r="D231" s="5" t="str">
        <f>IFERROR(__xludf.DUMMYFUNCTION("""COMPUTED_VALUE"""),"Reverified")</f>
        <v>Reverified</v>
      </c>
      <c r="E231" s="10">
        <f>IFERROR(__xludf.DUMMYFUNCTION("""COMPUTED_VALUE"""),46276.0)</f>
        <v>46276</v>
      </c>
      <c r="F231" s="5" t="str">
        <f>IFERROR(__xludf.DUMMYFUNCTION("""COMPUTED_VALUE"""),"Available")</f>
        <v>Available</v>
      </c>
      <c r="G231" s="5"/>
      <c r="H231" s="5"/>
      <c r="I231" s="5"/>
      <c r="J231" s="5" t="str">
        <f>IFERROR(__xludf.DUMMYFUNCTION("""COMPUTED_VALUE"""),"Anesthesia")</f>
        <v>Anesthesia</v>
      </c>
      <c r="K231" s="5" t="str">
        <f>IFERROR(__xludf.DUMMYFUNCTION("""COMPUTED_VALUE"""),"Current")</f>
        <v>Current</v>
      </c>
      <c r="L231" s="5"/>
      <c r="M231" s="5"/>
      <c r="N231" s="10">
        <f>IFERROR(__xludf.DUMMYFUNCTION("""COMPUTED_VALUE"""),43151.0)</f>
        <v>43151</v>
      </c>
      <c r="O231" s="5">
        <v>2018.0</v>
      </c>
      <c r="P231" s="5" t="str">
        <f>IFERROR(__xludf.DUMMYFUNCTION("""COMPUTED_VALUE"""),"Available")</f>
        <v>Available</v>
      </c>
      <c r="Q231" s="5" t="s">
        <v>135</v>
      </c>
      <c r="R231" s="5" t="s">
        <v>136</v>
      </c>
      <c r="S231" s="11">
        <v>3170.0</v>
      </c>
    </row>
    <row r="232">
      <c r="A232" s="5" t="str">
        <f>IFERROR(__xludf.DUMMYFUNCTION("""COMPUTED_VALUE"""),"Bupivacaine Hydrochloride Injection")</f>
        <v>Bupivacaine Hydrochloride Injection</v>
      </c>
      <c r="B232" s="5" t="str">
        <f>IFERROR(__xludf.DUMMYFUNCTION("""COMPUTED_VALUE"""),"Somerset Therapeutics, LLC")</f>
        <v>Somerset Therapeutics, LLC</v>
      </c>
      <c r="C232" s="5" t="str">
        <f>IFERROR(__xludf.DUMMYFUNCTION("""COMPUTED_VALUE"""),"Bupivacaine Hydrochloride, Injection, 5 mg/1 mL (NDC 70069-753-10)")</f>
        <v>Bupivacaine Hydrochloride, Injection, 5 mg/1 mL (NDC 70069-753-10)</v>
      </c>
      <c r="D232" s="5" t="str">
        <f>IFERROR(__xludf.DUMMYFUNCTION("""COMPUTED_VALUE"""),"Reverified")</f>
        <v>Reverified</v>
      </c>
      <c r="E232" s="10">
        <f>IFERROR(__xludf.DUMMYFUNCTION("""COMPUTED_VALUE"""),46276.0)</f>
        <v>46276</v>
      </c>
      <c r="F232" s="5" t="str">
        <f>IFERROR(__xludf.DUMMYFUNCTION("""COMPUTED_VALUE"""),"Available")</f>
        <v>Available</v>
      </c>
      <c r="G232" s="5"/>
      <c r="H232" s="5"/>
      <c r="I232" s="5"/>
      <c r="J232" s="5" t="str">
        <f>IFERROR(__xludf.DUMMYFUNCTION("""COMPUTED_VALUE"""),"Anesthesia")</f>
        <v>Anesthesia</v>
      </c>
      <c r="K232" s="5" t="str">
        <f>IFERROR(__xludf.DUMMYFUNCTION("""COMPUTED_VALUE"""),"Current")</f>
        <v>Current</v>
      </c>
      <c r="L232" s="5"/>
      <c r="M232" s="5"/>
      <c r="N232" s="10">
        <f>IFERROR(__xludf.DUMMYFUNCTION("""COMPUTED_VALUE"""),43151.0)</f>
        <v>43151</v>
      </c>
      <c r="O232" s="5">
        <v>2018.0</v>
      </c>
      <c r="P232" s="5" t="str">
        <f>IFERROR(__xludf.DUMMYFUNCTION("""COMPUTED_VALUE"""),"Available")</f>
        <v>Available</v>
      </c>
      <c r="Q232" s="5" t="s">
        <v>135</v>
      </c>
      <c r="R232" s="5" t="s">
        <v>136</v>
      </c>
      <c r="S232" s="11">
        <v>3170.0</v>
      </c>
    </row>
    <row r="233">
      <c r="A233" s="5" t="str">
        <f>IFERROR(__xludf.DUMMYFUNCTION("""COMPUTED_VALUE"""),"Bupivacaine Hydrochloride Injection")</f>
        <v>Bupivacaine Hydrochloride Injection</v>
      </c>
      <c r="B233" s="5" t="str">
        <f>IFERROR(__xludf.DUMMYFUNCTION("""COMPUTED_VALUE"""),"ONESOURCE SPECIALTY PTE LTD")</f>
        <v>ONESOURCE SPECIALTY PTE LTD</v>
      </c>
      <c r="C233" s="5" t="str">
        <f>IFERROR(__xludf.DUMMYFUNCTION("""COMPUTED_VALUE"""),"Bupivacaine Hydrochloride PRESERVATIVE FREE, Injection, 2.5 mg/1 mL
5mg / 1mL (NDC 72266-263-10)")</f>
        <v>Bupivacaine Hydrochloride PRESERVATIVE FREE, Injection, 2.5 mg/1 mL
5mg / 1mL (NDC 72266-263-10)</v>
      </c>
      <c r="D233" s="5" t="str">
        <f>IFERROR(__xludf.DUMMYFUNCTION("""COMPUTED_VALUE"""),"Revised")</f>
        <v>Revised</v>
      </c>
      <c r="E233" s="10">
        <f>IFERROR(__xludf.DUMMYFUNCTION("""COMPUTED_VALUE"""),46283.0)</f>
        <v>46283</v>
      </c>
      <c r="F233" s="5" t="str">
        <f>IFERROR(__xludf.DUMMYFUNCTION("""COMPUTED_VALUE"""),"Available")</f>
        <v>Available</v>
      </c>
      <c r="G233" s="5" t="str">
        <f>IFERROR(__xludf.DUMMYFUNCTION("""COMPUTED_VALUE"""),"Distributed by Fosun Pharma USA Inc.")</f>
        <v>Distributed by Fosun Pharma USA Inc.</v>
      </c>
      <c r="H233" s="5"/>
      <c r="I233" s="5"/>
      <c r="J233" s="5" t="str">
        <f>IFERROR(__xludf.DUMMYFUNCTION("""COMPUTED_VALUE"""),"Anesthesia")</f>
        <v>Anesthesia</v>
      </c>
      <c r="K233" s="5" t="str">
        <f>IFERROR(__xludf.DUMMYFUNCTION("""COMPUTED_VALUE"""),"Current")</f>
        <v>Current</v>
      </c>
      <c r="L233" s="5"/>
      <c r="M233" s="5"/>
      <c r="N233" s="10">
        <f>IFERROR(__xludf.DUMMYFUNCTION("""COMPUTED_VALUE"""),43151.0)</f>
        <v>43151</v>
      </c>
      <c r="O233" s="5">
        <v>2018.0</v>
      </c>
      <c r="P233" s="5" t="str">
        <f>IFERROR(__xludf.DUMMYFUNCTION("""COMPUTED_VALUE"""),"Available")</f>
        <v>Available</v>
      </c>
      <c r="Q233" s="5" t="s">
        <v>135</v>
      </c>
      <c r="R233" s="5" t="s">
        <v>136</v>
      </c>
      <c r="S233" s="11">
        <v>3170.0</v>
      </c>
    </row>
    <row r="234">
      <c r="A234" s="5" t="str">
        <f>IFERROR(__xludf.DUMMYFUNCTION("""COMPUTED_VALUE"""),"Bupivacaine Hydrochloride Injection")</f>
        <v>Bupivacaine Hydrochloride Injection</v>
      </c>
      <c r="B234" s="5" t="str">
        <f>IFERROR(__xludf.DUMMYFUNCTION("""COMPUTED_VALUE"""),"Hospira, Inc., a Pfizer Company")</f>
        <v>Hospira, Inc., a Pfizer Company</v>
      </c>
      <c r="C234" s="5" t="str">
        <f>IFERROR(__xludf.DUMMYFUNCTION("""COMPUTED_VALUE"""),"Marcaine, Injection, 150 mg/30 mL (5 mg/mL) (NDC 0409-1530-01)")</f>
        <v>Marcaine, Injection, 150 mg/30 mL (5 mg/mL) (NDC 0409-1530-01)</v>
      </c>
      <c r="D234" s="5" t="str">
        <f>IFERROR(__xludf.DUMMYFUNCTION("""COMPUTED_VALUE"""),"Reverified")</f>
        <v>Reverified</v>
      </c>
      <c r="E234" s="13">
        <f>IFERROR(__xludf.DUMMYFUNCTION("""COMPUTED_VALUE"""),46316.0)</f>
        <v>46316</v>
      </c>
      <c r="F234" s="5" t="str">
        <f>IFERROR(__xludf.DUMMYFUNCTION("""COMPUTED_VALUE"""),"Available")</f>
        <v>Available</v>
      </c>
      <c r="G234" s="5"/>
      <c r="H234" s="5"/>
      <c r="I234" s="5"/>
      <c r="J234" s="5" t="str">
        <f>IFERROR(__xludf.DUMMYFUNCTION("""COMPUTED_VALUE"""),"Anesthesia")</f>
        <v>Anesthesia</v>
      </c>
      <c r="K234" s="5" t="str">
        <f>IFERROR(__xludf.DUMMYFUNCTION("""COMPUTED_VALUE"""),"Current")</f>
        <v>Current</v>
      </c>
      <c r="L234" s="5"/>
      <c r="M234" s="5"/>
      <c r="N234" s="10">
        <f>IFERROR(__xludf.DUMMYFUNCTION("""COMPUTED_VALUE"""),43151.0)</f>
        <v>43151</v>
      </c>
      <c r="O234" s="5">
        <v>2018.0</v>
      </c>
      <c r="P234" s="5" t="str">
        <f>IFERROR(__xludf.DUMMYFUNCTION("""COMPUTED_VALUE"""),"Available")</f>
        <v>Available</v>
      </c>
      <c r="Q234" s="5" t="s">
        <v>135</v>
      </c>
      <c r="R234" s="5" t="s">
        <v>136</v>
      </c>
      <c r="S234" s="11">
        <v>3170.0</v>
      </c>
    </row>
    <row r="235">
      <c r="A235" s="5" t="str">
        <f>IFERROR(__xludf.DUMMYFUNCTION("""COMPUTED_VALUE"""),"Bupivacaine Hydrochloride Injection")</f>
        <v>Bupivacaine Hydrochloride Injection</v>
      </c>
      <c r="B235" s="5" t="str">
        <f>IFERROR(__xludf.DUMMYFUNCTION("""COMPUTED_VALUE"""),"Hospira, Inc., a Pfizer Company")</f>
        <v>Hospira, Inc., a Pfizer Company</v>
      </c>
      <c r="C235" s="5" t="str">
        <f>IFERROR(__xludf.DUMMYFUNCTION("""COMPUTED_VALUE"""),"Marcaine, Injection, 25 mg/10 mL (2.5 mg/mL) (NDC 0409-2510-01)")</f>
        <v>Marcaine, Injection, 25 mg/10 mL (2.5 mg/mL) (NDC 0409-2510-01)</v>
      </c>
      <c r="D235" s="5" t="str">
        <f>IFERROR(__xludf.DUMMYFUNCTION("""COMPUTED_VALUE"""),"Reverified")</f>
        <v>Reverified</v>
      </c>
      <c r="E235" s="13">
        <f>IFERROR(__xludf.DUMMYFUNCTION("""COMPUTED_VALUE"""),46316.0)</f>
        <v>46316</v>
      </c>
      <c r="F235" s="5" t="str">
        <f>IFERROR(__xludf.DUMMYFUNCTION("""COMPUTED_VALUE"""),"Available")</f>
        <v>Available</v>
      </c>
      <c r="G235" s="5"/>
      <c r="H235" s="5"/>
      <c r="I235" s="5"/>
      <c r="J235" s="5" t="str">
        <f>IFERROR(__xludf.DUMMYFUNCTION("""COMPUTED_VALUE"""),"Anesthesia")</f>
        <v>Anesthesia</v>
      </c>
      <c r="K235" s="5" t="str">
        <f>IFERROR(__xludf.DUMMYFUNCTION("""COMPUTED_VALUE"""),"Current")</f>
        <v>Current</v>
      </c>
      <c r="L235" s="5"/>
      <c r="M235" s="5"/>
      <c r="N235" s="10">
        <f>IFERROR(__xludf.DUMMYFUNCTION("""COMPUTED_VALUE"""),43151.0)</f>
        <v>43151</v>
      </c>
      <c r="O235" s="5">
        <v>2018.0</v>
      </c>
      <c r="P235" s="5" t="str">
        <f>IFERROR(__xludf.DUMMYFUNCTION("""COMPUTED_VALUE"""),"Available")</f>
        <v>Available</v>
      </c>
      <c r="Q235" s="5" t="s">
        <v>135</v>
      </c>
      <c r="R235" s="5" t="s">
        <v>136</v>
      </c>
      <c r="S235" s="11">
        <v>3170.0</v>
      </c>
    </row>
    <row r="236">
      <c r="A236" s="5" t="str">
        <f>IFERROR(__xludf.DUMMYFUNCTION("""COMPUTED_VALUE"""),"Bupivacaine Hydrochloride Injection")</f>
        <v>Bupivacaine Hydrochloride Injection</v>
      </c>
      <c r="B236" s="5" t="str">
        <f>IFERROR(__xludf.DUMMYFUNCTION("""COMPUTED_VALUE"""),"Hospira, Inc., a Pfizer Company")</f>
        <v>Hospira, Inc., a Pfizer Company</v>
      </c>
      <c r="C236" s="5" t="str">
        <f>IFERROR(__xludf.DUMMYFUNCTION("""COMPUTED_VALUE"""),"Marcaine, Injection, 50 mg/10 mL (5 mg/mL) (NDC 0409-5010-01)")</f>
        <v>Marcaine, Injection, 50 mg/10 mL (5 mg/mL) (NDC 0409-5010-01)</v>
      </c>
      <c r="D236" s="5" t="str">
        <f>IFERROR(__xludf.DUMMYFUNCTION("""COMPUTED_VALUE"""),"Reverified")</f>
        <v>Reverified</v>
      </c>
      <c r="E236" s="13">
        <f>IFERROR(__xludf.DUMMYFUNCTION("""COMPUTED_VALUE"""),46316.0)</f>
        <v>46316</v>
      </c>
      <c r="F236" s="5" t="str">
        <f>IFERROR(__xludf.DUMMYFUNCTION("""COMPUTED_VALUE"""),"Available")</f>
        <v>Available</v>
      </c>
      <c r="G236" s="5"/>
      <c r="H236" s="5"/>
      <c r="I236" s="5"/>
      <c r="J236" s="5" t="str">
        <f>IFERROR(__xludf.DUMMYFUNCTION("""COMPUTED_VALUE"""),"Anesthesia")</f>
        <v>Anesthesia</v>
      </c>
      <c r="K236" s="5" t="str">
        <f>IFERROR(__xludf.DUMMYFUNCTION("""COMPUTED_VALUE"""),"Current")</f>
        <v>Current</v>
      </c>
      <c r="L236" s="5"/>
      <c r="M236" s="5"/>
      <c r="N236" s="10">
        <f>IFERROR(__xludf.DUMMYFUNCTION("""COMPUTED_VALUE"""),43151.0)</f>
        <v>43151</v>
      </c>
      <c r="O236" s="5">
        <v>2018.0</v>
      </c>
      <c r="P236" s="5" t="str">
        <f>IFERROR(__xludf.DUMMYFUNCTION("""COMPUTED_VALUE"""),"Available")</f>
        <v>Available</v>
      </c>
      <c r="Q236" s="5" t="s">
        <v>135</v>
      </c>
      <c r="R236" s="5" t="s">
        <v>136</v>
      </c>
      <c r="S236" s="11">
        <v>3170.0</v>
      </c>
    </row>
    <row r="237">
      <c r="A237" s="5" t="str">
        <f>IFERROR(__xludf.DUMMYFUNCTION("""COMPUTED_VALUE"""),"Bupivacaine Hydrochloride Injection")</f>
        <v>Bupivacaine Hydrochloride Injection</v>
      </c>
      <c r="B237" s="5" t="str">
        <f>IFERROR(__xludf.DUMMYFUNCTION("""COMPUTED_VALUE"""),"Hospira, Inc., a Pfizer Company")</f>
        <v>Hospira, Inc., a Pfizer Company</v>
      </c>
      <c r="C237" s="5" t="str">
        <f>IFERROR(__xludf.DUMMYFUNCTION("""COMPUTED_VALUE"""),"Marcaine, Injection, 75 mg/30 mL (2.5 mg/mL) (NDC 0409-7535-01)")</f>
        <v>Marcaine, Injection, 75 mg/30 mL (2.5 mg/mL) (NDC 0409-7535-01)</v>
      </c>
      <c r="D237" s="5" t="str">
        <f>IFERROR(__xludf.DUMMYFUNCTION("""COMPUTED_VALUE"""),"Reverified")</f>
        <v>Reverified</v>
      </c>
      <c r="E237" s="13">
        <f>IFERROR(__xludf.DUMMYFUNCTION("""COMPUTED_VALUE"""),46316.0)</f>
        <v>46316</v>
      </c>
      <c r="F237" s="5" t="str">
        <f>IFERROR(__xludf.DUMMYFUNCTION("""COMPUTED_VALUE"""),"Available")</f>
        <v>Available</v>
      </c>
      <c r="G237" s="5"/>
      <c r="H237" s="5"/>
      <c r="I237" s="5"/>
      <c r="J237" s="5" t="str">
        <f>IFERROR(__xludf.DUMMYFUNCTION("""COMPUTED_VALUE"""),"Anesthesia")</f>
        <v>Anesthesia</v>
      </c>
      <c r="K237" s="5" t="str">
        <f>IFERROR(__xludf.DUMMYFUNCTION("""COMPUTED_VALUE"""),"Current")</f>
        <v>Current</v>
      </c>
      <c r="L237" s="5"/>
      <c r="M237" s="5"/>
      <c r="N237" s="10">
        <f>IFERROR(__xludf.DUMMYFUNCTION("""COMPUTED_VALUE"""),43151.0)</f>
        <v>43151</v>
      </c>
      <c r="O237" s="5">
        <v>2018.0</v>
      </c>
      <c r="P237" s="5" t="str">
        <f>IFERROR(__xludf.DUMMYFUNCTION("""COMPUTED_VALUE"""),"Available")</f>
        <v>Available</v>
      </c>
      <c r="Q237" s="5" t="s">
        <v>135</v>
      </c>
      <c r="R237" s="5" t="s">
        <v>136</v>
      </c>
      <c r="S237" s="11">
        <v>3170.0</v>
      </c>
    </row>
    <row r="238">
      <c r="A238" s="5" t="str">
        <f>IFERROR(__xludf.DUMMYFUNCTION("""COMPUTED_VALUE"""),"Bupivacaine Hydrochloride Injection")</f>
        <v>Bupivacaine Hydrochloride Injection</v>
      </c>
      <c r="B238" s="5" t="str">
        <f>IFERROR(__xludf.DUMMYFUNCTION("""COMPUTED_VALUE"""),"Hospira, Inc., a Pfizer Company")</f>
        <v>Hospira, Inc., a Pfizer Company</v>
      </c>
      <c r="C238" s="5" t="str">
        <f>IFERROR(__xludf.DUMMYFUNCTION("""COMPUTED_VALUE"""),"Marcaine, Injection, 250 mg/50 mL (NDC 0409-0525-25)")</f>
        <v>Marcaine, Injection, 250 mg/50 mL (NDC 0409-0525-25)</v>
      </c>
      <c r="D238" s="5" t="str">
        <f>IFERROR(__xludf.DUMMYFUNCTION("""COMPUTED_VALUE"""),"Reverified")</f>
        <v>Reverified</v>
      </c>
      <c r="E238" s="13">
        <f>IFERROR(__xludf.DUMMYFUNCTION("""COMPUTED_VALUE"""),46316.0)</f>
        <v>46316</v>
      </c>
      <c r="F238" s="5" t="str">
        <f>IFERROR(__xludf.DUMMYFUNCTION("""COMPUTED_VALUE"""),"Available")</f>
        <v>Available</v>
      </c>
      <c r="G238" s="5" t="str">
        <f>IFERROR(__xludf.DUMMYFUNCTION("""COMPUTED_VALUE"""),"Historical NDC: 0409-1610-50")</f>
        <v>Historical NDC: 0409-1610-50</v>
      </c>
      <c r="H238" s="5"/>
      <c r="I238" s="5"/>
      <c r="J238" s="5" t="str">
        <f>IFERROR(__xludf.DUMMYFUNCTION("""COMPUTED_VALUE"""),"Anesthesia")</f>
        <v>Anesthesia</v>
      </c>
      <c r="K238" s="5" t="str">
        <f>IFERROR(__xludf.DUMMYFUNCTION("""COMPUTED_VALUE"""),"Current")</f>
        <v>Current</v>
      </c>
      <c r="L238" s="5"/>
      <c r="M238" s="5"/>
      <c r="N238" s="10">
        <f>IFERROR(__xludf.DUMMYFUNCTION("""COMPUTED_VALUE"""),43151.0)</f>
        <v>43151</v>
      </c>
      <c r="O238" s="5">
        <v>2018.0</v>
      </c>
      <c r="P238" s="5" t="str">
        <f>IFERROR(__xludf.DUMMYFUNCTION("""COMPUTED_VALUE"""),"Available")</f>
        <v>Available</v>
      </c>
      <c r="Q238" s="5" t="s">
        <v>135</v>
      </c>
      <c r="R238" s="5" t="s">
        <v>136</v>
      </c>
      <c r="S238" s="11">
        <v>3170.0</v>
      </c>
    </row>
    <row r="239">
      <c r="A239" s="5" t="str">
        <f>IFERROR(__xludf.DUMMYFUNCTION("""COMPUTED_VALUE"""),"Bupivacaine Hydrochloride Injection")</f>
        <v>Bupivacaine Hydrochloride Injection</v>
      </c>
      <c r="B239" s="5" t="str">
        <f>IFERROR(__xludf.DUMMYFUNCTION("""COMPUTED_VALUE"""),"Hospira, Inc., a Pfizer Company")</f>
        <v>Hospira, Inc., a Pfizer Company</v>
      </c>
      <c r="C239" s="5" t="str">
        <f>IFERROR(__xludf.DUMMYFUNCTION("""COMPUTED_VALUE"""),"Marcaine, Injection, 225 mg/30 mL (NDC 0409-2253-25)")</f>
        <v>Marcaine, Injection, 225 mg/30 mL (NDC 0409-2253-25)</v>
      </c>
      <c r="D239" s="5" t="str">
        <f>IFERROR(__xludf.DUMMYFUNCTION("""COMPUTED_VALUE"""),"Reverified")</f>
        <v>Reverified</v>
      </c>
      <c r="E239" s="13">
        <f>IFERROR(__xludf.DUMMYFUNCTION("""COMPUTED_VALUE"""),46316.0)</f>
        <v>46316</v>
      </c>
      <c r="F239" s="5" t="str">
        <f>IFERROR(__xludf.DUMMYFUNCTION("""COMPUTED_VALUE"""),"Available")</f>
        <v>Available</v>
      </c>
      <c r="G239" s="5" t="str">
        <f>IFERROR(__xludf.DUMMYFUNCTION("""COMPUTED_VALUE"""),"Historical NDC: 0409-1582-29")</f>
        <v>Historical NDC: 0409-1582-29</v>
      </c>
      <c r="H239" s="5"/>
      <c r="I239" s="5"/>
      <c r="J239" s="5" t="str">
        <f>IFERROR(__xludf.DUMMYFUNCTION("""COMPUTED_VALUE"""),"Anesthesia")</f>
        <v>Anesthesia</v>
      </c>
      <c r="K239" s="5" t="str">
        <f>IFERROR(__xludf.DUMMYFUNCTION("""COMPUTED_VALUE"""),"Current")</f>
        <v>Current</v>
      </c>
      <c r="L239" s="5"/>
      <c r="M239" s="5"/>
      <c r="N239" s="10">
        <f>IFERROR(__xludf.DUMMYFUNCTION("""COMPUTED_VALUE"""),43151.0)</f>
        <v>43151</v>
      </c>
      <c r="O239" s="5">
        <v>2018.0</v>
      </c>
      <c r="P239" s="5" t="str">
        <f>IFERROR(__xludf.DUMMYFUNCTION("""COMPUTED_VALUE"""),"Available")</f>
        <v>Available</v>
      </c>
      <c r="Q239" s="5" t="s">
        <v>135</v>
      </c>
      <c r="R239" s="5" t="s">
        <v>136</v>
      </c>
      <c r="S239" s="11">
        <v>3170.0</v>
      </c>
    </row>
    <row r="240">
      <c r="A240" s="5" t="str">
        <f>IFERROR(__xludf.DUMMYFUNCTION("""COMPUTED_VALUE"""),"Bupivacaine Hydrochloride, Epinephrine Bitartrate Injection")</f>
        <v>Bupivacaine Hydrochloride, Epinephrine Bitartrate Injection</v>
      </c>
      <c r="B240" s="5" t="str">
        <f>IFERROR(__xludf.DUMMYFUNCTION("""COMPUTED_VALUE"""),"Hospira, Inc., a Pfizer Company")</f>
        <v>Hospira, Inc., a Pfizer Company</v>
      </c>
      <c r="C240" s="5" t="str">
        <f>IFERROR(__xludf.DUMMYFUNCTION("""COMPUTED_VALUE"""),"Bupivacaine Hydrochloride And Epinephrine, Injection, 25 mg/10 mL (2.5 mg/mL) (NDC 0409-9042-01)")</f>
        <v>Bupivacaine Hydrochloride And Epinephrine, Injection, 25 mg/10 mL (2.5 mg/mL) (NDC 0409-9042-01)</v>
      </c>
      <c r="D240" s="5" t="str">
        <f>IFERROR(__xludf.DUMMYFUNCTION("""COMPUTED_VALUE"""),"Revised")</f>
        <v>Revised</v>
      </c>
      <c r="E240" s="13">
        <f>IFERROR(__xludf.DUMMYFUNCTION("""COMPUTED_VALUE"""),46316.0)</f>
        <v>46316</v>
      </c>
      <c r="F240" s="5" t="str">
        <f>IFERROR(__xludf.DUMMYFUNCTION("""COMPUTED_VALUE"""),"Unavailable")</f>
        <v>Unavailable</v>
      </c>
      <c r="G240" s="5" t="str">
        <f>IFERROR(__xludf.DUMMYFUNCTION("""COMPUTED_VALUE"""),"Next Delivery and Estimated Recovery: December 2026; Shortage per Manufacturer: Manufacturing Delay")</f>
        <v>Next Delivery and Estimated Recovery: December 2026; Shortage per Manufacturer: Manufacturing Delay</v>
      </c>
      <c r="H240" s="5"/>
      <c r="I240" s="5" t="str">
        <f>IFERROR(__xludf.DUMMYFUNCTION("""COMPUTED_VALUE"""),"Other")</f>
        <v>Other</v>
      </c>
      <c r="J240" s="5" t="str">
        <f>IFERROR(__xludf.DUMMYFUNCTION("""COMPUTED_VALUE"""),"Anesthesia")</f>
        <v>Anesthesia</v>
      </c>
      <c r="K240" s="5" t="str">
        <f>IFERROR(__xludf.DUMMYFUNCTION("""COMPUTED_VALUE"""),"Current")</f>
        <v>Current</v>
      </c>
      <c r="L240" s="5"/>
      <c r="M240" s="5"/>
      <c r="N240" s="10">
        <f>IFERROR(__xludf.DUMMYFUNCTION("""COMPUTED_VALUE"""),43151.0)</f>
        <v>43151</v>
      </c>
      <c r="O240" s="5">
        <v>2018.0</v>
      </c>
      <c r="P240" s="5" t="str">
        <f>IFERROR(__xludf.DUMMYFUNCTION("""COMPUTED_VALUE"""),"Unavailable")</f>
        <v>Unavailable</v>
      </c>
      <c r="Q240" s="5" t="s">
        <v>47</v>
      </c>
      <c r="R240" s="5" t="s">
        <v>136</v>
      </c>
      <c r="S240" s="11">
        <v>3170.0</v>
      </c>
    </row>
    <row r="241">
      <c r="A241" s="5" t="str">
        <f>IFERROR(__xludf.DUMMYFUNCTION("""COMPUTED_VALUE"""),"Bupivacaine Hydrochloride, Epinephrine Bitartrate Injection")</f>
        <v>Bupivacaine Hydrochloride, Epinephrine Bitartrate Injection</v>
      </c>
      <c r="B241" s="5" t="str">
        <f>IFERROR(__xludf.DUMMYFUNCTION("""COMPUTED_VALUE"""),"Hospira, Inc., a Pfizer Company")</f>
        <v>Hospira, Inc., a Pfizer Company</v>
      </c>
      <c r="C241" s="5" t="str">
        <f>IFERROR(__xludf.DUMMYFUNCTION("""COMPUTED_VALUE"""),"Bupivacaine Hydrochloride And Epinephrine, Injection, 75 mg/30 mL (2.5 mg/mL) (NDC 0409-9042-17)")</f>
        <v>Bupivacaine Hydrochloride And Epinephrine, Injection, 75 mg/30 mL (2.5 mg/mL) (NDC 0409-9042-17)</v>
      </c>
      <c r="D241" s="5" t="str">
        <f>IFERROR(__xludf.DUMMYFUNCTION("""COMPUTED_VALUE"""),"Revised")</f>
        <v>Revised</v>
      </c>
      <c r="E241" s="13">
        <f>IFERROR(__xludf.DUMMYFUNCTION("""COMPUTED_VALUE"""),46316.0)</f>
        <v>46316</v>
      </c>
      <c r="F241" s="5" t="str">
        <f>IFERROR(__xludf.DUMMYFUNCTION("""COMPUTED_VALUE"""),"Unavailable")</f>
        <v>Unavailable</v>
      </c>
      <c r="G241" s="5" t="str">
        <f>IFERROR(__xludf.DUMMYFUNCTION("""COMPUTED_VALUE"""),"Next Delivery and Estimated Recovery: December 2026; Shortage per Manufacturer: Manufacturing Delay")</f>
        <v>Next Delivery and Estimated Recovery: December 2026; Shortage per Manufacturer: Manufacturing Delay</v>
      </c>
      <c r="H241" s="5"/>
      <c r="I241" s="5" t="str">
        <f>IFERROR(__xludf.DUMMYFUNCTION("""COMPUTED_VALUE"""),"Other")</f>
        <v>Other</v>
      </c>
      <c r="J241" s="5" t="str">
        <f>IFERROR(__xludf.DUMMYFUNCTION("""COMPUTED_VALUE"""),"Anesthesia")</f>
        <v>Anesthesia</v>
      </c>
      <c r="K241" s="5" t="str">
        <f>IFERROR(__xludf.DUMMYFUNCTION("""COMPUTED_VALUE"""),"Current")</f>
        <v>Current</v>
      </c>
      <c r="L241" s="5"/>
      <c r="M241" s="5"/>
      <c r="N241" s="10">
        <f>IFERROR(__xludf.DUMMYFUNCTION("""COMPUTED_VALUE"""),43151.0)</f>
        <v>43151</v>
      </c>
      <c r="O241" s="5">
        <v>2018.0</v>
      </c>
      <c r="P241" s="5" t="str">
        <f>IFERROR(__xludf.DUMMYFUNCTION("""COMPUTED_VALUE"""),"Unavailable")</f>
        <v>Unavailable</v>
      </c>
      <c r="Q241" s="5" t="s">
        <v>47</v>
      </c>
      <c r="R241" s="5" t="s">
        <v>136</v>
      </c>
      <c r="S241" s="11">
        <v>3170.0</v>
      </c>
    </row>
    <row r="242">
      <c r="A242" s="5" t="str">
        <f>IFERROR(__xludf.DUMMYFUNCTION("""COMPUTED_VALUE"""),"Bupivacaine Hydrochloride, Epinephrine Bitartrate Injection")</f>
        <v>Bupivacaine Hydrochloride, Epinephrine Bitartrate Injection</v>
      </c>
      <c r="B242" s="5" t="str">
        <f>IFERROR(__xludf.DUMMYFUNCTION("""COMPUTED_VALUE"""),"Hospira, Inc., a Pfizer Company")</f>
        <v>Hospira, Inc., a Pfizer Company</v>
      </c>
      <c r="C242" s="5" t="str">
        <f>IFERROR(__xludf.DUMMYFUNCTION("""COMPUTED_VALUE"""),"Bupivacaine Hydrochloride and Epinephrine, Injection, 125 mg/50 mL (2.5 mg/mL) (NDC 0409-9043-01)")</f>
        <v>Bupivacaine Hydrochloride and Epinephrine, Injection, 125 mg/50 mL (2.5 mg/mL) (NDC 0409-9043-01)</v>
      </c>
      <c r="D242" s="5" t="str">
        <f>IFERROR(__xludf.DUMMYFUNCTION("""COMPUTED_VALUE"""),"Revised")</f>
        <v>Revised</v>
      </c>
      <c r="E242" s="13">
        <f>IFERROR(__xludf.DUMMYFUNCTION("""COMPUTED_VALUE"""),46316.0)</f>
        <v>46316</v>
      </c>
      <c r="F242" s="5" t="str">
        <f>IFERROR(__xludf.DUMMYFUNCTION("""COMPUTED_VALUE"""),"Unavailable")</f>
        <v>Unavailable</v>
      </c>
      <c r="G242" s="5" t="str">
        <f>IFERROR(__xludf.DUMMYFUNCTION("""COMPUTED_VALUE"""),"Next Delivery and Estimated Recovery: December 2026; Shortage per Manufacturer: Manufacturing Delay")</f>
        <v>Next Delivery and Estimated Recovery: December 2026; Shortage per Manufacturer: Manufacturing Delay</v>
      </c>
      <c r="H242" s="5"/>
      <c r="I242" s="5" t="str">
        <f>IFERROR(__xludf.DUMMYFUNCTION("""COMPUTED_VALUE"""),"Other")</f>
        <v>Other</v>
      </c>
      <c r="J242" s="5" t="str">
        <f>IFERROR(__xludf.DUMMYFUNCTION("""COMPUTED_VALUE"""),"Anesthesia")</f>
        <v>Anesthesia</v>
      </c>
      <c r="K242" s="5" t="str">
        <f>IFERROR(__xludf.DUMMYFUNCTION("""COMPUTED_VALUE"""),"Current")</f>
        <v>Current</v>
      </c>
      <c r="L242" s="5"/>
      <c r="M242" s="5"/>
      <c r="N242" s="10">
        <f>IFERROR(__xludf.DUMMYFUNCTION("""COMPUTED_VALUE"""),43151.0)</f>
        <v>43151</v>
      </c>
      <c r="O242" s="5">
        <v>2018.0</v>
      </c>
      <c r="P242" s="5" t="str">
        <f>IFERROR(__xludf.DUMMYFUNCTION("""COMPUTED_VALUE"""),"Unavailable")</f>
        <v>Unavailable</v>
      </c>
      <c r="Q242" s="5" t="s">
        <v>47</v>
      </c>
      <c r="R242" s="5" t="s">
        <v>136</v>
      </c>
      <c r="S242" s="11">
        <v>3170.0</v>
      </c>
    </row>
    <row r="243">
      <c r="A243" s="5" t="str">
        <f>IFERROR(__xludf.DUMMYFUNCTION("""COMPUTED_VALUE"""),"Bupivacaine Hydrochloride, Epinephrine Bitartrate Injection")</f>
        <v>Bupivacaine Hydrochloride, Epinephrine Bitartrate Injection</v>
      </c>
      <c r="B243" s="5" t="str">
        <f>IFERROR(__xludf.DUMMYFUNCTION("""COMPUTED_VALUE"""),"Hospira, Inc., a Pfizer Company")</f>
        <v>Hospira, Inc., a Pfizer Company</v>
      </c>
      <c r="C243" s="5" t="str">
        <f>IFERROR(__xludf.DUMMYFUNCTION("""COMPUTED_VALUE"""),"Bupivacaine Hydrochloride And Epinephrine, Injection, 50 mg/10 mL (5 mg/mL) (NDC 0409-9045-01)")</f>
        <v>Bupivacaine Hydrochloride And Epinephrine, Injection, 50 mg/10 mL (5 mg/mL) (NDC 0409-9045-01)</v>
      </c>
      <c r="D243" s="5" t="str">
        <f>IFERROR(__xludf.DUMMYFUNCTION("""COMPUTED_VALUE"""),"Revised")</f>
        <v>Revised</v>
      </c>
      <c r="E243" s="13">
        <f>IFERROR(__xludf.DUMMYFUNCTION("""COMPUTED_VALUE"""),46316.0)</f>
        <v>46316</v>
      </c>
      <c r="F243" s="5" t="str">
        <f>IFERROR(__xludf.DUMMYFUNCTION("""COMPUTED_VALUE"""),"Unavailable")</f>
        <v>Unavailable</v>
      </c>
      <c r="G243" s="5" t="str">
        <f>IFERROR(__xludf.DUMMYFUNCTION("""COMPUTED_VALUE"""),"Next Delivery and Estimated Recovery: December 2026; Shortage per Manufacturer: Manufacturing Delay")</f>
        <v>Next Delivery and Estimated Recovery: December 2026; Shortage per Manufacturer: Manufacturing Delay</v>
      </c>
      <c r="H243" s="5"/>
      <c r="I243" s="5" t="str">
        <f>IFERROR(__xludf.DUMMYFUNCTION("""COMPUTED_VALUE"""),"Other")</f>
        <v>Other</v>
      </c>
      <c r="J243" s="5" t="str">
        <f>IFERROR(__xludf.DUMMYFUNCTION("""COMPUTED_VALUE"""),"Anesthesia")</f>
        <v>Anesthesia</v>
      </c>
      <c r="K243" s="5" t="str">
        <f>IFERROR(__xludf.DUMMYFUNCTION("""COMPUTED_VALUE"""),"Current")</f>
        <v>Current</v>
      </c>
      <c r="L243" s="5"/>
      <c r="M243" s="5"/>
      <c r="N243" s="10">
        <f>IFERROR(__xludf.DUMMYFUNCTION("""COMPUTED_VALUE"""),43151.0)</f>
        <v>43151</v>
      </c>
      <c r="O243" s="5">
        <v>2018.0</v>
      </c>
      <c r="P243" s="5" t="str">
        <f>IFERROR(__xludf.DUMMYFUNCTION("""COMPUTED_VALUE"""),"Unavailable")</f>
        <v>Unavailable</v>
      </c>
      <c r="Q243" s="5" t="s">
        <v>47</v>
      </c>
      <c r="R243" s="5" t="s">
        <v>136</v>
      </c>
      <c r="S243" s="11">
        <v>3170.0</v>
      </c>
    </row>
    <row r="244">
      <c r="A244" s="5" t="str">
        <f>IFERROR(__xludf.DUMMYFUNCTION("""COMPUTED_VALUE"""),"Bupivacaine Hydrochloride, Epinephrine Bitartrate Injection")</f>
        <v>Bupivacaine Hydrochloride, Epinephrine Bitartrate Injection</v>
      </c>
      <c r="B244" s="5" t="str">
        <f>IFERROR(__xludf.DUMMYFUNCTION("""COMPUTED_VALUE"""),"Hospira, Inc., a Pfizer Company")</f>
        <v>Hospira, Inc., a Pfizer Company</v>
      </c>
      <c r="C244" s="5" t="str">
        <f>IFERROR(__xludf.DUMMYFUNCTION("""COMPUTED_VALUE"""),"Bupivacaine Hydrochloride and Epinephrine, Injection, 150 mg/30 mL (5 mg/mL) (NDC 0409-9045-17)")</f>
        <v>Bupivacaine Hydrochloride and Epinephrine, Injection, 150 mg/30 mL (5 mg/mL) (NDC 0409-9045-17)</v>
      </c>
      <c r="D244" s="5" t="str">
        <f>IFERROR(__xludf.DUMMYFUNCTION("""COMPUTED_VALUE"""),"Revised")</f>
        <v>Revised</v>
      </c>
      <c r="E244" s="13">
        <f>IFERROR(__xludf.DUMMYFUNCTION("""COMPUTED_VALUE"""),46316.0)</f>
        <v>46316</v>
      </c>
      <c r="F244" s="5" t="str">
        <f>IFERROR(__xludf.DUMMYFUNCTION("""COMPUTED_VALUE"""),"Unavailable")</f>
        <v>Unavailable</v>
      </c>
      <c r="G244" s="5" t="str">
        <f>IFERROR(__xludf.DUMMYFUNCTION("""COMPUTED_VALUE"""),"Next Delivery and Estimated Recovery: December 2026; Shortage per Manufacturer: Manufacturing Delay")</f>
        <v>Next Delivery and Estimated Recovery: December 2026; Shortage per Manufacturer: Manufacturing Delay</v>
      </c>
      <c r="H244" s="5"/>
      <c r="I244" s="5" t="str">
        <f>IFERROR(__xludf.DUMMYFUNCTION("""COMPUTED_VALUE"""),"Other")</f>
        <v>Other</v>
      </c>
      <c r="J244" s="5" t="str">
        <f>IFERROR(__xludf.DUMMYFUNCTION("""COMPUTED_VALUE"""),"Anesthesia")</f>
        <v>Anesthesia</v>
      </c>
      <c r="K244" s="5" t="str">
        <f>IFERROR(__xludf.DUMMYFUNCTION("""COMPUTED_VALUE"""),"Current")</f>
        <v>Current</v>
      </c>
      <c r="L244" s="5"/>
      <c r="M244" s="5"/>
      <c r="N244" s="10">
        <f>IFERROR(__xludf.DUMMYFUNCTION("""COMPUTED_VALUE"""),43151.0)</f>
        <v>43151</v>
      </c>
      <c r="O244" s="5">
        <v>2018.0</v>
      </c>
      <c r="P244" s="5" t="str">
        <f>IFERROR(__xludf.DUMMYFUNCTION("""COMPUTED_VALUE"""),"Unavailable")</f>
        <v>Unavailable</v>
      </c>
      <c r="Q244" s="5" t="s">
        <v>47</v>
      </c>
      <c r="R244" s="5" t="s">
        <v>136</v>
      </c>
      <c r="S244" s="11">
        <v>3170.0</v>
      </c>
    </row>
    <row r="245">
      <c r="A245" s="5" t="str">
        <f>IFERROR(__xludf.DUMMYFUNCTION("""COMPUTED_VALUE"""),"Bupivacaine Hydrochloride, Epinephrine Bitartrate Injection")</f>
        <v>Bupivacaine Hydrochloride, Epinephrine Bitartrate Injection</v>
      </c>
      <c r="B245" s="5" t="str">
        <f>IFERROR(__xludf.DUMMYFUNCTION("""COMPUTED_VALUE"""),"Hospira, Inc., a Pfizer Company")</f>
        <v>Hospira, Inc., a Pfizer Company</v>
      </c>
      <c r="C245" s="5" t="str">
        <f>IFERROR(__xludf.DUMMYFUNCTION("""COMPUTED_VALUE"""),"Bupivacaine Hydrochloride And Epinephrine, Injection, 250 mg/50 mL (5 mg/mL) (NDC 0409-9046-01)")</f>
        <v>Bupivacaine Hydrochloride And Epinephrine, Injection, 250 mg/50 mL (5 mg/mL) (NDC 0409-9046-01)</v>
      </c>
      <c r="D245" s="5" t="str">
        <f>IFERROR(__xludf.DUMMYFUNCTION("""COMPUTED_VALUE"""),"Revised")</f>
        <v>Revised</v>
      </c>
      <c r="E245" s="13">
        <f>IFERROR(__xludf.DUMMYFUNCTION("""COMPUTED_VALUE"""),46316.0)</f>
        <v>46316</v>
      </c>
      <c r="F245" s="5" t="str">
        <f>IFERROR(__xludf.DUMMYFUNCTION("""COMPUTED_VALUE"""),"Unavailable")</f>
        <v>Unavailable</v>
      </c>
      <c r="G245" s="5" t="str">
        <f>IFERROR(__xludf.DUMMYFUNCTION("""COMPUTED_VALUE"""),"Next Delivery and Estimated Recovery: December 2026; Shortage per Manufacturer: Manufacturing Delay")</f>
        <v>Next Delivery and Estimated Recovery: December 2026; Shortage per Manufacturer: Manufacturing Delay</v>
      </c>
      <c r="H245" s="5"/>
      <c r="I245" s="5" t="str">
        <f>IFERROR(__xludf.DUMMYFUNCTION("""COMPUTED_VALUE"""),"Other")</f>
        <v>Other</v>
      </c>
      <c r="J245" s="5" t="str">
        <f>IFERROR(__xludf.DUMMYFUNCTION("""COMPUTED_VALUE"""),"Anesthesia")</f>
        <v>Anesthesia</v>
      </c>
      <c r="K245" s="5" t="str">
        <f>IFERROR(__xludf.DUMMYFUNCTION("""COMPUTED_VALUE"""),"Current")</f>
        <v>Current</v>
      </c>
      <c r="L245" s="5"/>
      <c r="M245" s="5"/>
      <c r="N245" s="10">
        <f>IFERROR(__xludf.DUMMYFUNCTION("""COMPUTED_VALUE"""),43151.0)</f>
        <v>43151</v>
      </c>
      <c r="O245" s="5">
        <v>2018.0</v>
      </c>
      <c r="P245" s="5" t="str">
        <f>IFERROR(__xludf.DUMMYFUNCTION("""COMPUTED_VALUE"""),"Unavailable")</f>
        <v>Unavailable</v>
      </c>
      <c r="Q245" s="5" t="s">
        <v>47</v>
      </c>
      <c r="R245" s="5" t="s">
        <v>136</v>
      </c>
      <c r="S245" s="11">
        <v>3170.0</v>
      </c>
    </row>
    <row r="246">
      <c r="A246" s="5" t="str">
        <f>IFERROR(__xludf.DUMMYFUNCTION("""COMPUTED_VALUE"""),"Bupivacaine Hydrochloride, Epinephrine Bitartrate Injection")</f>
        <v>Bupivacaine Hydrochloride, Epinephrine Bitartrate Injection</v>
      </c>
      <c r="B246" s="5" t="str">
        <f>IFERROR(__xludf.DUMMYFUNCTION("""COMPUTED_VALUE"""),"Hospira, Inc., a Pfizer Company")</f>
        <v>Hospira, Inc., a Pfizer Company</v>
      </c>
      <c r="C246" s="5" t="str">
        <f>IFERROR(__xludf.DUMMYFUNCTION("""COMPUTED_VALUE"""),"Marcaine With Epinephrine, Injection, Marcaine with Epinephrine 1:200,000 as the bitartrate 25 mg/10 mL (2.5 mg/mL 1:200,000) (NDC 0409-1746-10)")</f>
        <v>Marcaine With Epinephrine, Injection, Marcaine with Epinephrine 1:200,000 as the bitartrate 25 mg/10 mL (2.5 mg/mL 1:200,000) (NDC 0409-1746-10)</v>
      </c>
      <c r="D246" s="5" t="str">
        <f>IFERROR(__xludf.DUMMYFUNCTION("""COMPUTED_VALUE"""),"Reverified")</f>
        <v>Reverified</v>
      </c>
      <c r="E246" s="13">
        <f>IFERROR(__xludf.DUMMYFUNCTION("""COMPUTED_VALUE"""),46316.0)</f>
        <v>46316</v>
      </c>
      <c r="F246" s="5" t="str">
        <f>IFERROR(__xludf.DUMMYFUNCTION("""COMPUTED_VALUE"""),"Available")</f>
        <v>Available</v>
      </c>
      <c r="G246" s="5"/>
      <c r="H246" s="5"/>
      <c r="I246" s="5"/>
      <c r="J246" s="5" t="str">
        <f>IFERROR(__xludf.DUMMYFUNCTION("""COMPUTED_VALUE"""),"Anesthesia")</f>
        <v>Anesthesia</v>
      </c>
      <c r="K246" s="5" t="str">
        <f>IFERROR(__xludf.DUMMYFUNCTION("""COMPUTED_VALUE"""),"Current")</f>
        <v>Current</v>
      </c>
      <c r="L246" s="5"/>
      <c r="M246" s="5"/>
      <c r="N246" s="10">
        <f>IFERROR(__xludf.DUMMYFUNCTION("""COMPUTED_VALUE"""),43151.0)</f>
        <v>43151</v>
      </c>
      <c r="O246" s="5">
        <v>2018.0</v>
      </c>
      <c r="P246" s="5" t="str">
        <f>IFERROR(__xludf.DUMMYFUNCTION("""COMPUTED_VALUE"""),"Available")</f>
        <v>Available</v>
      </c>
      <c r="Q246" s="5" t="s">
        <v>135</v>
      </c>
      <c r="R246" s="5" t="s">
        <v>136</v>
      </c>
      <c r="S246" s="11">
        <v>3170.0</v>
      </c>
    </row>
    <row r="247">
      <c r="A247" s="5" t="str">
        <f>IFERROR(__xludf.DUMMYFUNCTION("""COMPUTED_VALUE"""),"Bupivacaine Hydrochloride, Epinephrine Bitartrate Injection")</f>
        <v>Bupivacaine Hydrochloride, Epinephrine Bitartrate Injection</v>
      </c>
      <c r="B247" s="5" t="str">
        <f>IFERROR(__xludf.DUMMYFUNCTION("""COMPUTED_VALUE"""),"Hospira, Inc., a Pfizer Company")</f>
        <v>Hospira, Inc., a Pfizer Company</v>
      </c>
      <c r="C247" s="5" t="str">
        <f>IFERROR(__xludf.DUMMYFUNCTION("""COMPUTED_VALUE"""),"Marcaine With Epinephrine, Injection, Marcaine with Epinephrine 1:200,000 as the bitartrate 75 mg/30 mL (2.5 mg/mL 1:200,000) (NDC 0409-1746-30)")</f>
        <v>Marcaine With Epinephrine, Injection, Marcaine with Epinephrine 1:200,000 as the bitartrate 75 mg/30 mL (2.5 mg/mL 1:200,000) (NDC 0409-1746-30)</v>
      </c>
      <c r="D247" s="5" t="str">
        <f>IFERROR(__xludf.DUMMYFUNCTION("""COMPUTED_VALUE"""),"Reverified")</f>
        <v>Reverified</v>
      </c>
      <c r="E247" s="13">
        <f>IFERROR(__xludf.DUMMYFUNCTION("""COMPUTED_VALUE"""),46316.0)</f>
        <v>46316</v>
      </c>
      <c r="F247" s="5" t="str">
        <f>IFERROR(__xludf.DUMMYFUNCTION("""COMPUTED_VALUE"""),"Available")</f>
        <v>Available</v>
      </c>
      <c r="G247" s="5"/>
      <c r="H247" s="5"/>
      <c r="I247" s="5"/>
      <c r="J247" s="5" t="str">
        <f>IFERROR(__xludf.DUMMYFUNCTION("""COMPUTED_VALUE"""),"Anesthesia")</f>
        <v>Anesthesia</v>
      </c>
      <c r="K247" s="5" t="str">
        <f>IFERROR(__xludf.DUMMYFUNCTION("""COMPUTED_VALUE"""),"Current")</f>
        <v>Current</v>
      </c>
      <c r="L247" s="5"/>
      <c r="M247" s="5"/>
      <c r="N247" s="10">
        <f>IFERROR(__xludf.DUMMYFUNCTION("""COMPUTED_VALUE"""),43151.0)</f>
        <v>43151</v>
      </c>
      <c r="O247" s="5">
        <v>2018.0</v>
      </c>
      <c r="P247" s="5" t="str">
        <f>IFERROR(__xludf.DUMMYFUNCTION("""COMPUTED_VALUE"""),"Available")</f>
        <v>Available</v>
      </c>
      <c r="Q247" s="5" t="s">
        <v>135</v>
      </c>
      <c r="R247" s="5" t="s">
        <v>136</v>
      </c>
      <c r="S247" s="11">
        <v>3170.0</v>
      </c>
    </row>
    <row r="248">
      <c r="A248" s="5" t="str">
        <f>IFERROR(__xludf.DUMMYFUNCTION("""COMPUTED_VALUE"""),"Bupivacaine Hydrochloride, Epinephrine Bitartrate Injection")</f>
        <v>Bupivacaine Hydrochloride, Epinephrine Bitartrate Injection</v>
      </c>
      <c r="B248" s="5" t="str">
        <f>IFERROR(__xludf.DUMMYFUNCTION("""COMPUTED_VALUE"""),"Hospira, Inc., a Pfizer Company")</f>
        <v>Hospira, Inc., a Pfizer Company</v>
      </c>
      <c r="C248" s="5" t="str">
        <f>IFERROR(__xludf.DUMMYFUNCTION("""COMPUTED_VALUE"""),"Marcaine With Epinephrine, Injection, Marcaine with Epinephrine 1:200,000 as the bitartrate 50 mg/10 mL (5 mg/mL 1:200,000) (NDC 0409-1749-10)")</f>
        <v>Marcaine With Epinephrine, Injection, Marcaine with Epinephrine 1:200,000 as the bitartrate 50 mg/10 mL (5 mg/mL 1:200,000) (NDC 0409-1749-10)</v>
      </c>
      <c r="D248" s="5" t="str">
        <f>IFERROR(__xludf.DUMMYFUNCTION("""COMPUTED_VALUE"""),"Reverified")</f>
        <v>Reverified</v>
      </c>
      <c r="E248" s="13">
        <f>IFERROR(__xludf.DUMMYFUNCTION("""COMPUTED_VALUE"""),46316.0)</f>
        <v>46316</v>
      </c>
      <c r="F248" s="5" t="str">
        <f>IFERROR(__xludf.DUMMYFUNCTION("""COMPUTED_VALUE"""),"Available")</f>
        <v>Available</v>
      </c>
      <c r="G248" s="5"/>
      <c r="H248" s="5"/>
      <c r="I248" s="5"/>
      <c r="J248" s="5" t="str">
        <f>IFERROR(__xludf.DUMMYFUNCTION("""COMPUTED_VALUE"""),"Anesthesia")</f>
        <v>Anesthesia</v>
      </c>
      <c r="K248" s="5" t="str">
        <f>IFERROR(__xludf.DUMMYFUNCTION("""COMPUTED_VALUE"""),"Current")</f>
        <v>Current</v>
      </c>
      <c r="L248" s="5"/>
      <c r="M248" s="5"/>
      <c r="N248" s="10">
        <f>IFERROR(__xludf.DUMMYFUNCTION("""COMPUTED_VALUE"""),43151.0)</f>
        <v>43151</v>
      </c>
      <c r="O248" s="5">
        <v>2018.0</v>
      </c>
      <c r="P248" s="5" t="str">
        <f>IFERROR(__xludf.DUMMYFUNCTION("""COMPUTED_VALUE"""),"Available")</f>
        <v>Available</v>
      </c>
      <c r="Q248" s="5" t="s">
        <v>135</v>
      </c>
      <c r="R248" s="5" t="s">
        <v>136</v>
      </c>
      <c r="S248" s="11">
        <v>3170.0</v>
      </c>
    </row>
    <row r="249">
      <c r="A249" s="5" t="str">
        <f>IFERROR(__xludf.DUMMYFUNCTION("""COMPUTED_VALUE"""),"Bupivacaine Hydrochloride, Epinephrine Bitartrate Injection")</f>
        <v>Bupivacaine Hydrochloride, Epinephrine Bitartrate Injection</v>
      </c>
      <c r="B249" s="5" t="str">
        <f>IFERROR(__xludf.DUMMYFUNCTION("""COMPUTED_VALUE"""),"Hospira, Inc., a Pfizer Company")</f>
        <v>Hospira, Inc., a Pfizer Company</v>
      </c>
      <c r="C249" s="5" t="str">
        <f>IFERROR(__xludf.DUMMYFUNCTION("""COMPUTED_VALUE"""),"Marcaine With Epinephrine, Injection, Marcaine with Epinephrine 1:200,000 as the bitartrate 150 mg/30 mL (5 mg/mL 1:200,000) (NDC 0409-1749-29)")</f>
        <v>Marcaine With Epinephrine, Injection, Marcaine with Epinephrine 1:200,000 as the bitartrate 150 mg/30 mL (5 mg/mL 1:200,000) (NDC 0409-1749-29)</v>
      </c>
      <c r="D249" s="5" t="str">
        <f>IFERROR(__xludf.DUMMYFUNCTION("""COMPUTED_VALUE"""),"Reverified")</f>
        <v>Reverified</v>
      </c>
      <c r="E249" s="13">
        <f>IFERROR(__xludf.DUMMYFUNCTION("""COMPUTED_VALUE"""),46316.0)</f>
        <v>46316</v>
      </c>
      <c r="F249" s="5" t="str">
        <f>IFERROR(__xludf.DUMMYFUNCTION("""COMPUTED_VALUE"""),"Available")</f>
        <v>Available</v>
      </c>
      <c r="G249" s="5"/>
      <c r="H249" s="5"/>
      <c r="I249" s="5"/>
      <c r="J249" s="5" t="str">
        <f>IFERROR(__xludf.DUMMYFUNCTION("""COMPUTED_VALUE"""),"Anesthesia")</f>
        <v>Anesthesia</v>
      </c>
      <c r="K249" s="5" t="str">
        <f>IFERROR(__xludf.DUMMYFUNCTION("""COMPUTED_VALUE"""),"Current")</f>
        <v>Current</v>
      </c>
      <c r="L249" s="5"/>
      <c r="M249" s="5"/>
      <c r="N249" s="10">
        <f>IFERROR(__xludf.DUMMYFUNCTION("""COMPUTED_VALUE"""),43151.0)</f>
        <v>43151</v>
      </c>
      <c r="O249" s="5">
        <v>2018.0</v>
      </c>
      <c r="P249" s="5" t="str">
        <f>IFERROR(__xludf.DUMMYFUNCTION("""COMPUTED_VALUE"""),"Available")</f>
        <v>Available</v>
      </c>
      <c r="Q249" s="5" t="s">
        <v>135</v>
      </c>
      <c r="R249" s="5" t="s">
        <v>136</v>
      </c>
      <c r="S249" s="11">
        <v>3170.0</v>
      </c>
    </row>
    <row r="250">
      <c r="A250" s="5" t="str">
        <f>IFERROR(__xludf.DUMMYFUNCTION("""COMPUTED_VALUE"""),"Bupivacaine Hydrochloride, Epinephrine Bitartrate Injection")</f>
        <v>Bupivacaine Hydrochloride, Epinephrine Bitartrate Injection</v>
      </c>
      <c r="B250" s="5" t="str">
        <f>IFERROR(__xludf.DUMMYFUNCTION("""COMPUTED_VALUE"""),"Hospira, Inc., a Pfizer Company")</f>
        <v>Hospira, Inc., a Pfizer Company</v>
      </c>
      <c r="C250" s="5" t="str">
        <f>IFERROR(__xludf.DUMMYFUNCTION("""COMPUTED_VALUE"""),"Marcaine With Epinephrine, Injection, Marcaine with Epinephrine 1:200,000 as the bitartrate 125 mg/50 mL (2.5 mg/mL 1:200,000) (NDC 0409-1752-50)")</f>
        <v>Marcaine With Epinephrine, Injection, Marcaine with Epinephrine 1:200,000 as the bitartrate 125 mg/50 mL (2.5 mg/mL 1:200,000) (NDC 0409-1752-50)</v>
      </c>
      <c r="D250" s="5" t="str">
        <f>IFERROR(__xludf.DUMMYFUNCTION("""COMPUTED_VALUE"""),"Revised")</f>
        <v>Revised</v>
      </c>
      <c r="E250" s="13">
        <f>IFERROR(__xludf.DUMMYFUNCTION("""COMPUTED_VALUE"""),46316.0)</f>
        <v>46316</v>
      </c>
      <c r="F250" s="5" t="str">
        <f>IFERROR(__xludf.DUMMYFUNCTION("""COMPUTED_VALUE"""),"Limited Availability")</f>
        <v>Limited Availability</v>
      </c>
      <c r="G250" s="5" t="str">
        <f>IFERROR(__xludf.DUMMYFUNCTION("""COMPUTED_VALUE"""),"Limited Supply Available. Next Delivery and Estimated Recovery: December 2026; Shortage per Manufacturer: Manufacturing Delay")</f>
        <v>Limited Supply Available. Next Delivery and Estimated Recovery: December 2026; Shortage per Manufacturer: Manufacturing Delay</v>
      </c>
      <c r="H250" s="5"/>
      <c r="I250" s="5" t="str">
        <f>IFERROR(__xludf.DUMMYFUNCTION("""COMPUTED_VALUE"""),"Other")</f>
        <v>Other</v>
      </c>
      <c r="J250" s="5" t="str">
        <f>IFERROR(__xludf.DUMMYFUNCTION("""COMPUTED_VALUE"""),"Anesthesia")</f>
        <v>Anesthesia</v>
      </c>
      <c r="K250" s="5" t="str">
        <f>IFERROR(__xludf.DUMMYFUNCTION("""COMPUTED_VALUE"""),"Current")</f>
        <v>Current</v>
      </c>
      <c r="L250" s="5"/>
      <c r="M250" s="5"/>
      <c r="N250" s="10">
        <f>IFERROR(__xludf.DUMMYFUNCTION("""COMPUTED_VALUE"""),43151.0)</f>
        <v>43151</v>
      </c>
      <c r="O250" s="5">
        <v>2018.0</v>
      </c>
      <c r="P250" s="5" t="str">
        <f>IFERROR(__xludf.DUMMYFUNCTION("""COMPUTED_VALUE"""),"Limited Availability")</f>
        <v>Limited Availability</v>
      </c>
      <c r="Q250" s="5" t="s">
        <v>47</v>
      </c>
      <c r="R250" s="5" t="s">
        <v>136</v>
      </c>
      <c r="S250" s="11">
        <v>3170.0</v>
      </c>
    </row>
    <row r="251">
      <c r="A251" s="5" t="str">
        <f>IFERROR(__xludf.DUMMYFUNCTION("""COMPUTED_VALUE"""),"Bupivacaine Hydrochloride, Epinephrine Bitartrate Injection")</f>
        <v>Bupivacaine Hydrochloride, Epinephrine Bitartrate Injection</v>
      </c>
      <c r="B251" s="5" t="str">
        <f>IFERROR(__xludf.DUMMYFUNCTION("""COMPUTED_VALUE"""),"Hospira, Inc., a Pfizer Company")</f>
        <v>Hospira, Inc., a Pfizer Company</v>
      </c>
      <c r="C251" s="5" t="str">
        <f>IFERROR(__xludf.DUMMYFUNCTION("""COMPUTED_VALUE"""),"Marcaine With Epinephrine, Injection, Marcaine with Epinephrine 1:200,000 as the bitartrate 250 mg/50 mL (5 mg/mL 1:200,000) (NDC 0409-1755-50)")</f>
        <v>Marcaine With Epinephrine, Injection, Marcaine with Epinephrine 1:200,000 as the bitartrate 250 mg/50 mL (5 mg/mL 1:200,000) (NDC 0409-1755-50)</v>
      </c>
      <c r="D251" s="5" t="str">
        <f>IFERROR(__xludf.DUMMYFUNCTION("""COMPUTED_VALUE"""),"Reverified")</f>
        <v>Reverified</v>
      </c>
      <c r="E251" s="13">
        <f>IFERROR(__xludf.DUMMYFUNCTION("""COMPUTED_VALUE"""),46316.0)</f>
        <v>46316</v>
      </c>
      <c r="F251" s="5" t="str">
        <f>IFERROR(__xludf.DUMMYFUNCTION("""COMPUTED_VALUE"""),"Available")</f>
        <v>Available</v>
      </c>
      <c r="G251" s="5"/>
      <c r="H251" s="5"/>
      <c r="I251" s="5"/>
      <c r="J251" s="5" t="str">
        <f>IFERROR(__xludf.DUMMYFUNCTION("""COMPUTED_VALUE"""),"Anesthesia")</f>
        <v>Anesthesia</v>
      </c>
      <c r="K251" s="5" t="str">
        <f>IFERROR(__xludf.DUMMYFUNCTION("""COMPUTED_VALUE"""),"Current")</f>
        <v>Current</v>
      </c>
      <c r="L251" s="5"/>
      <c r="M251" s="5"/>
      <c r="N251" s="10">
        <f>IFERROR(__xludf.DUMMYFUNCTION("""COMPUTED_VALUE"""),43151.0)</f>
        <v>43151</v>
      </c>
      <c r="O251" s="5">
        <v>2018.0</v>
      </c>
      <c r="P251" s="5" t="str">
        <f>IFERROR(__xludf.DUMMYFUNCTION("""COMPUTED_VALUE"""),"Available")</f>
        <v>Available</v>
      </c>
      <c r="Q251" s="5" t="s">
        <v>135</v>
      </c>
      <c r="R251" s="5" t="s">
        <v>136</v>
      </c>
      <c r="S251" s="11">
        <v>3170.0</v>
      </c>
    </row>
    <row r="252">
      <c r="A252" s="5" t="str">
        <f>IFERROR(__xludf.DUMMYFUNCTION("""COMPUTED_VALUE"""),"Bupivacaine Hydrochloride, Epinephrine Bitartrate Injection")</f>
        <v>Bupivacaine Hydrochloride, Epinephrine Bitartrate Injection</v>
      </c>
      <c r="B252" s="5" t="str">
        <f>IFERROR(__xludf.DUMMYFUNCTION("""COMPUTED_VALUE"""),"Fresenius Kabi USA, LLC")</f>
        <v>Fresenius Kabi USA, LLC</v>
      </c>
      <c r="C252" s="5" t="str">
        <f>IFERROR(__xludf.DUMMYFUNCTION("""COMPUTED_VALUE"""),"Sensorcaine, Injection, 2.5 mg/1 mL; .005 mg/1 mL (NDC 63323-461-57)")</f>
        <v>Sensorcaine, Injection, 2.5 mg/1 mL; .005 mg/1 mL (NDC 63323-461-57)</v>
      </c>
      <c r="D252" s="5" t="str">
        <f>IFERROR(__xludf.DUMMYFUNCTION("""COMPUTED_VALUE"""),"Reverified")</f>
        <v>Reverified</v>
      </c>
      <c r="E252" s="13">
        <f>IFERROR(__xludf.DUMMYFUNCTION("""COMPUTED_VALUE"""),46310.0)</f>
        <v>46310</v>
      </c>
      <c r="F252" s="5" t="str">
        <f>IFERROR(__xludf.DUMMYFUNCTION("""COMPUTED_VALUE"""),"Unavailable")</f>
        <v>Unavailable</v>
      </c>
      <c r="G252" s="5" t="str">
        <f>IFERROR(__xludf.DUMMYFUNCTION("""COMPUTED_VALUE"""),"Next release November 2026. Check wholesalers for inventory.")</f>
        <v>Next release November 2026. Check wholesalers for inventory.</v>
      </c>
      <c r="H252" s="5"/>
      <c r="I252" s="5" t="str">
        <f>IFERROR(__xludf.DUMMYFUNCTION("""COMPUTED_VALUE"""),"Demand increase for the drug")</f>
        <v>Demand increase for the drug</v>
      </c>
      <c r="J252" s="5" t="str">
        <f>IFERROR(__xludf.DUMMYFUNCTION("""COMPUTED_VALUE"""),"Anesthesia")</f>
        <v>Anesthesia</v>
      </c>
      <c r="K252" s="5" t="str">
        <f>IFERROR(__xludf.DUMMYFUNCTION("""COMPUTED_VALUE"""),"Current")</f>
        <v>Current</v>
      </c>
      <c r="L252" s="5"/>
      <c r="M252" s="5"/>
      <c r="N252" s="10">
        <f>IFERROR(__xludf.DUMMYFUNCTION("""COMPUTED_VALUE"""),43151.0)</f>
        <v>43151</v>
      </c>
      <c r="O252" s="5">
        <v>2018.0</v>
      </c>
      <c r="P252" s="5" t="str">
        <f>IFERROR(__xludf.DUMMYFUNCTION("""COMPUTED_VALUE"""),"Unavailable")</f>
        <v>Unavailable</v>
      </c>
      <c r="Q252" s="5" t="s">
        <v>134</v>
      </c>
      <c r="R252" s="5" t="s">
        <v>136</v>
      </c>
      <c r="S252" s="11">
        <v>3170.0</v>
      </c>
    </row>
    <row r="253">
      <c r="A253" s="5" t="str">
        <f>IFERROR(__xludf.DUMMYFUNCTION("""COMPUTED_VALUE"""),"Bupivacaine Hydrochloride, Epinephrine Bitartrate Injection")</f>
        <v>Bupivacaine Hydrochloride, Epinephrine Bitartrate Injection</v>
      </c>
      <c r="B253" s="5" t="str">
        <f>IFERROR(__xludf.DUMMYFUNCTION("""COMPUTED_VALUE"""),"Fresenius Kabi USA, LLC")</f>
        <v>Fresenius Kabi USA, LLC</v>
      </c>
      <c r="C253" s="5" t="str">
        <f>IFERROR(__xludf.DUMMYFUNCTION("""COMPUTED_VALUE"""),"Sensorcaine, Injection, 5 mg/1 mL; .005 mg/1 mL (NDC 63323-463-57)")</f>
        <v>Sensorcaine, Injection, 5 mg/1 mL; .005 mg/1 mL (NDC 63323-463-57)</v>
      </c>
      <c r="D253" s="5" t="str">
        <f>IFERROR(__xludf.DUMMYFUNCTION("""COMPUTED_VALUE"""),"Reverified")</f>
        <v>Reverified</v>
      </c>
      <c r="E253" s="13">
        <f>IFERROR(__xludf.DUMMYFUNCTION("""COMPUTED_VALUE"""),46310.0)</f>
        <v>46310</v>
      </c>
      <c r="F253" s="5" t="str">
        <f>IFERROR(__xludf.DUMMYFUNCTION("""COMPUTED_VALUE"""),"Unavailable")</f>
        <v>Unavailable</v>
      </c>
      <c r="G253" s="5" t="str">
        <f>IFERROR(__xludf.DUMMYFUNCTION("""COMPUTED_VALUE"""),"Next release October 2026. Check wholesalers for inventory.")</f>
        <v>Next release October 2026. Check wholesalers for inventory.</v>
      </c>
      <c r="H253" s="5"/>
      <c r="I253" s="5" t="str">
        <f>IFERROR(__xludf.DUMMYFUNCTION("""COMPUTED_VALUE"""),"Demand increase for the drug")</f>
        <v>Demand increase for the drug</v>
      </c>
      <c r="J253" s="5" t="str">
        <f>IFERROR(__xludf.DUMMYFUNCTION("""COMPUTED_VALUE"""),"Anesthesia")</f>
        <v>Anesthesia</v>
      </c>
      <c r="K253" s="5" t="str">
        <f>IFERROR(__xludf.DUMMYFUNCTION("""COMPUTED_VALUE"""),"Current")</f>
        <v>Current</v>
      </c>
      <c r="L253" s="5"/>
      <c r="M253" s="5"/>
      <c r="N253" s="10">
        <f>IFERROR(__xludf.DUMMYFUNCTION("""COMPUTED_VALUE"""),43151.0)</f>
        <v>43151</v>
      </c>
      <c r="O253" s="5">
        <v>2018.0</v>
      </c>
      <c r="P253" s="5" t="str">
        <f>IFERROR(__xludf.DUMMYFUNCTION("""COMPUTED_VALUE"""),"Unavailable")</f>
        <v>Unavailable</v>
      </c>
      <c r="Q253" s="5" t="s">
        <v>134</v>
      </c>
      <c r="R253" s="5" t="s">
        <v>136</v>
      </c>
      <c r="S253" s="11">
        <v>3170.0</v>
      </c>
    </row>
    <row r="254">
      <c r="A254" s="5" t="str">
        <f>IFERROR(__xludf.DUMMYFUNCTION("""COMPUTED_VALUE"""),"Bupivacaine Hydrochloride, Epinephrine Bitartrate Injection")</f>
        <v>Bupivacaine Hydrochloride, Epinephrine Bitartrate Injection</v>
      </c>
      <c r="B254" s="5" t="str">
        <f>IFERROR(__xludf.DUMMYFUNCTION("""COMPUTED_VALUE"""),"Fresenius Kabi USA, LLC")</f>
        <v>Fresenius Kabi USA, LLC</v>
      </c>
      <c r="C254" s="5" t="str">
        <f>IFERROR(__xludf.DUMMYFUNCTION("""COMPUTED_VALUE"""),"Sensorcaine, Injection, 2.5 mg/1 mL; .005 mg/1 mL (NDC 63323-468-17)")</f>
        <v>Sensorcaine, Injection, 2.5 mg/1 mL; .005 mg/1 mL (NDC 63323-468-17)</v>
      </c>
      <c r="D254" s="5" t="str">
        <f>IFERROR(__xludf.DUMMYFUNCTION("""COMPUTED_VALUE"""),"Reverified")</f>
        <v>Reverified</v>
      </c>
      <c r="E254" s="13">
        <f>IFERROR(__xludf.DUMMYFUNCTION("""COMPUTED_VALUE"""),46310.0)</f>
        <v>46310</v>
      </c>
      <c r="F254" s="5" t="str">
        <f>IFERROR(__xludf.DUMMYFUNCTION("""COMPUTED_VALUE"""),"Available")</f>
        <v>Available</v>
      </c>
      <c r="G254" s="5" t="str">
        <f>IFERROR(__xludf.DUMMYFUNCTION("""COMPUTED_VALUE"""),"Check wholesalers for inventory")</f>
        <v>Check wholesalers for inventory</v>
      </c>
      <c r="H254" s="5"/>
      <c r="I254" s="5"/>
      <c r="J254" s="5" t="str">
        <f>IFERROR(__xludf.DUMMYFUNCTION("""COMPUTED_VALUE"""),"Anesthesia")</f>
        <v>Anesthesia</v>
      </c>
      <c r="K254" s="5" t="str">
        <f>IFERROR(__xludf.DUMMYFUNCTION("""COMPUTED_VALUE"""),"Current")</f>
        <v>Current</v>
      </c>
      <c r="L254" s="5"/>
      <c r="M254" s="5"/>
      <c r="N254" s="10">
        <f>IFERROR(__xludf.DUMMYFUNCTION("""COMPUTED_VALUE"""),43151.0)</f>
        <v>43151</v>
      </c>
      <c r="O254" s="5">
        <v>2018.0</v>
      </c>
      <c r="P254" s="5" t="str">
        <f>IFERROR(__xludf.DUMMYFUNCTION("""COMPUTED_VALUE"""),"Available")</f>
        <v>Available</v>
      </c>
      <c r="Q254" s="5" t="s">
        <v>135</v>
      </c>
      <c r="R254" s="5" t="s">
        <v>136</v>
      </c>
      <c r="S254" s="11">
        <v>3170.0</v>
      </c>
    </row>
    <row r="255">
      <c r="A255" s="5" t="str">
        <f>IFERROR(__xludf.DUMMYFUNCTION("""COMPUTED_VALUE"""),"Bupivacaine Hydrochloride, Epinephrine Bitartrate Injection")</f>
        <v>Bupivacaine Hydrochloride, Epinephrine Bitartrate Injection</v>
      </c>
      <c r="B255" s="5" t="str">
        <f>IFERROR(__xludf.DUMMYFUNCTION("""COMPUTED_VALUE"""),"Fresenius Kabi USA, LLC")</f>
        <v>Fresenius Kabi USA, LLC</v>
      </c>
      <c r="C255" s="5" t="str">
        <f>IFERROR(__xludf.DUMMYFUNCTION("""COMPUTED_VALUE"""),"Sensorcaine, Injection, 2.5 mg/1 mL; .005 mg/1 mL (NDC 63323-468-37)")</f>
        <v>Sensorcaine, Injection, 2.5 mg/1 mL; .005 mg/1 mL (NDC 63323-468-37)</v>
      </c>
      <c r="D255" s="5" t="str">
        <f>IFERROR(__xludf.DUMMYFUNCTION("""COMPUTED_VALUE"""),"Reverified")</f>
        <v>Reverified</v>
      </c>
      <c r="E255" s="13">
        <f>IFERROR(__xludf.DUMMYFUNCTION("""COMPUTED_VALUE"""),46310.0)</f>
        <v>46310</v>
      </c>
      <c r="F255" s="5" t="str">
        <f>IFERROR(__xludf.DUMMYFUNCTION("""COMPUTED_VALUE"""),"Available")</f>
        <v>Available</v>
      </c>
      <c r="G255" s="5" t="str">
        <f>IFERROR(__xludf.DUMMYFUNCTION("""COMPUTED_VALUE"""),"Check wholesaler for inventory")</f>
        <v>Check wholesaler for inventory</v>
      </c>
      <c r="H255" s="5"/>
      <c r="I255" s="5"/>
      <c r="J255" s="5" t="str">
        <f>IFERROR(__xludf.DUMMYFUNCTION("""COMPUTED_VALUE"""),"Anesthesia")</f>
        <v>Anesthesia</v>
      </c>
      <c r="K255" s="5" t="str">
        <f>IFERROR(__xludf.DUMMYFUNCTION("""COMPUTED_VALUE"""),"Current")</f>
        <v>Current</v>
      </c>
      <c r="L255" s="5"/>
      <c r="M255" s="5"/>
      <c r="N255" s="10">
        <f>IFERROR(__xludf.DUMMYFUNCTION("""COMPUTED_VALUE"""),43151.0)</f>
        <v>43151</v>
      </c>
      <c r="O255" s="5">
        <v>2018.0</v>
      </c>
      <c r="P255" s="5" t="str">
        <f>IFERROR(__xludf.DUMMYFUNCTION("""COMPUTED_VALUE"""),"Available")</f>
        <v>Available</v>
      </c>
      <c r="Q255" s="5" t="s">
        <v>135</v>
      </c>
      <c r="R255" s="5" t="s">
        <v>136</v>
      </c>
      <c r="S255" s="11">
        <v>3170.0</v>
      </c>
    </row>
    <row r="256">
      <c r="A256" s="5" t="str">
        <f>IFERROR(__xludf.DUMMYFUNCTION("""COMPUTED_VALUE"""),"Bupivacaine Hydrochloride, Epinephrine Bitartrate Injection")</f>
        <v>Bupivacaine Hydrochloride, Epinephrine Bitartrate Injection</v>
      </c>
      <c r="B256" s="5" t="str">
        <f>IFERROR(__xludf.DUMMYFUNCTION("""COMPUTED_VALUE"""),"Fresenius Kabi USA, LLC")</f>
        <v>Fresenius Kabi USA, LLC</v>
      </c>
      <c r="C256" s="5" t="str">
        <f>IFERROR(__xludf.DUMMYFUNCTION("""COMPUTED_VALUE"""),"Sensorcaine, Injection, 5 mg/1 mL; .005 mg/1 mL (NDC 63323-462-17)")</f>
        <v>Sensorcaine, Injection, 5 mg/1 mL; .005 mg/1 mL (NDC 63323-462-17)</v>
      </c>
      <c r="D256" s="5" t="str">
        <f>IFERROR(__xludf.DUMMYFUNCTION("""COMPUTED_VALUE"""),"Reverified")</f>
        <v>Reverified</v>
      </c>
      <c r="E256" s="13">
        <f>IFERROR(__xludf.DUMMYFUNCTION("""COMPUTED_VALUE"""),46310.0)</f>
        <v>46310</v>
      </c>
      <c r="F256" s="5" t="str">
        <f>IFERROR(__xludf.DUMMYFUNCTION("""COMPUTED_VALUE"""),"Available")</f>
        <v>Available</v>
      </c>
      <c r="G256" s="5" t="str">
        <f>IFERROR(__xludf.DUMMYFUNCTION("""COMPUTED_VALUE"""),"Check wholesalers for inventory")</f>
        <v>Check wholesalers for inventory</v>
      </c>
      <c r="H256" s="5"/>
      <c r="I256" s="5"/>
      <c r="J256" s="5" t="str">
        <f>IFERROR(__xludf.DUMMYFUNCTION("""COMPUTED_VALUE"""),"Anesthesia")</f>
        <v>Anesthesia</v>
      </c>
      <c r="K256" s="5" t="str">
        <f>IFERROR(__xludf.DUMMYFUNCTION("""COMPUTED_VALUE"""),"Current")</f>
        <v>Current</v>
      </c>
      <c r="L256" s="5"/>
      <c r="M256" s="5"/>
      <c r="N256" s="10">
        <f>IFERROR(__xludf.DUMMYFUNCTION("""COMPUTED_VALUE"""),43151.0)</f>
        <v>43151</v>
      </c>
      <c r="O256" s="5">
        <v>2018.0</v>
      </c>
      <c r="P256" s="5" t="str">
        <f>IFERROR(__xludf.DUMMYFUNCTION("""COMPUTED_VALUE"""),"Available")</f>
        <v>Available</v>
      </c>
      <c r="Q256" s="5" t="s">
        <v>135</v>
      </c>
      <c r="R256" s="5" t="s">
        <v>136</v>
      </c>
      <c r="S256" s="11">
        <v>3170.0</v>
      </c>
    </row>
    <row r="257">
      <c r="A257" s="5" t="str">
        <f>IFERROR(__xludf.DUMMYFUNCTION("""COMPUTED_VALUE"""),"Bupivacaine Hydrochloride, Epinephrine Bitartrate Injection")</f>
        <v>Bupivacaine Hydrochloride, Epinephrine Bitartrate Injection</v>
      </c>
      <c r="B257" s="5" t="str">
        <f>IFERROR(__xludf.DUMMYFUNCTION("""COMPUTED_VALUE"""),"Fresenius Kabi USA, LLC")</f>
        <v>Fresenius Kabi USA, LLC</v>
      </c>
      <c r="C257" s="5" t="str">
        <f>IFERROR(__xludf.DUMMYFUNCTION("""COMPUTED_VALUE"""),"Sensorcaine, Injection, 5 mg/1 mL; .005 mg/1 mL (NDC 63323-462-37)")</f>
        <v>Sensorcaine, Injection, 5 mg/1 mL; .005 mg/1 mL (NDC 63323-462-37)</v>
      </c>
      <c r="D257" s="5" t="str">
        <f>IFERROR(__xludf.DUMMYFUNCTION("""COMPUTED_VALUE"""),"Reverified")</f>
        <v>Reverified</v>
      </c>
      <c r="E257" s="13">
        <f>IFERROR(__xludf.DUMMYFUNCTION("""COMPUTED_VALUE"""),46310.0)</f>
        <v>46310</v>
      </c>
      <c r="F257" s="5" t="str">
        <f>IFERROR(__xludf.DUMMYFUNCTION("""COMPUTED_VALUE"""),"Available")</f>
        <v>Available</v>
      </c>
      <c r="G257" s="5" t="str">
        <f>IFERROR(__xludf.DUMMYFUNCTION("""COMPUTED_VALUE"""),"Check wholesalers for inventory")</f>
        <v>Check wholesalers for inventory</v>
      </c>
      <c r="H257" s="5"/>
      <c r="I257" s="5"/>
      <c r="J257" s="5" t="str">
        <f>IFERROR(__xludf.DUMMYFUNCTION("""COMPUTED_VALUE"""),"Anesthesia")</f>
        <v>Anesthesia</v>
      </c>
      <c r="K257" s="5" t="str">
        <f>IFERROR(__xludf.DUMMYFUNCTION("""COMPUTED_VALUE"""),"Current")</f>
        <v>Current</v>
      </c>
      <c r="L257" s="5"/>
      <c r="M257" s="5"/>
      <c r="N257" s="10">
        <f>IFERROR(__xludf.DUMMYFUNCTION("""COMPUTED_VALUE"""),43151.0)</f>
        <v>43151</v>
      </c>
      <c r="O257" s="5">
        <v>2018.0</v>
      </c>
      <c r="P257" s="5" t="str">
        <f>IFERROR(__xludf.DUMMYFUNCTION("""COMPUTED_VALUE"""),"Available")</f>
        <v>Available</v>
      </c>
      <c r="Q257" s="5" t="s">
        <v>135</v>
      </c>
      <c r="R257" s="5" t="s">
        <v>136</v>
      </c>
      <c r="S257" s="11">
        <v>3170.0</v>
      </c>
    </row>
    <row r="258">
      <c r="A258" s="5" t="str">
        <f>IFERROR(__xludf.DUMMYFUNCTION("""COMPUTED_VALUE"""),"Bupivacaine Hydrochloride, Epinephrine Bitartrate Injection")</f>
        <v>Bupivacaine Hydrochloride, Epinephrine Bitartrate Injection</v>
      </c>
      <c r="B258" s="5" t="str">
        <f>IFERROR(__xludf.DUMMYFUNCTION("""COMPUTED_VALUE"""),"Fresenius Kabi USA, LLC")</f>
        <v>Fresenius Kabi USA, LLC</v>
      </c>
      <c r="C258" s="5" t="str">
        <f>IFERROR(__xludf.DUMMYFUNCTION("""COMPUTED_VALUE"""),"Sensorcaine, Injection, 5 mg/1 mL; .005 mg/1 mL (NDC 63323-462-31)")</f>
        <v>Sensorcaine, Injection, 5 mg/1 mL; .005 mg/1 mL (NDC 63323-462-31)</v>
      </c>
      <c r="D258" s="5" t="str">
        <f>IFERROR(__xludf.DUMMYFUNCTION("""COMPUTED_VALUE"""),"Reverified")</f>
        <v>Reverified</v>
      </c>
      <c r="E258" s="13">
        <f>IFERROR(__xludf.DUMMYFUNCTION("""COMPUTED_VALUE"""),46310.0)</f>
        <v>46310</v>
      </c>
      <c r="F258" s="5" t="str">
        <f>IFERROR(__xludf.DUMMYFUNCTION("""COMPUTED_VALUE"""),"Unavailable")</f>
        <v>Unavailable</v>
      </c>
      <c r="G258" s="5" t="str">
        <f>IFERROR(__xludf.DUMMYFUNCTION("""COMPUTED_VALUE"""),"Estimated recovery: TBD")</f>
        <v>Estimated recovery: TBD</v>
      </c>
      <c r="H258" s="5"/>
      <c r="I258" s="5" t="str">
        <f>IFERROR(__xludf.DUMMYFUNCTION("""COMPUTED_VALUE"""),"Delay in shipping of the drug")</f>
        <v>Delay in shipping of the drug</v>
      </c>
      <c r="J258" s="5" t="str">
        <f>IFERROR(__xludf.DUMMYFUNCTION("""COMPUTED_VALUE"""),"Anesthesia")</f>
        <v>Anesthesia</v>
      </c>
      <c r="K258" s="5" t="str">
        <f>IFERROR(__xludf.DUMMYFUNCTION("""COMPUTED_VALUE"""),"Current")</f>
        <v>Current</v>
      </c>
      <c r="L258" s="5"/>
      <c r="M258" s="5"/>
      <c r="N258" s="10">
        <f>IFERROR(__xludf.DUMMYFUNCTION("""COMPUTED_VALUE"""),43151.0)</f>
        <v>43151</v>
      </c>
      <c r="O258" s="5">
        <v>2018.0</v>
      </c>
      <c r="P258" s="5" t="str">
        <f>IFERROR(__xludf.DUMMYFUNCTION("""COMPUTED_VALUE"""),"Unavailable")</f>
        <v>Unavailable</v>
      </c>
      <c r="Q258" s="5" t="s">
        <v>562</v>
      </c>
      <c r="R258" s="5" t="s">
        <v>136</v>
      </c>
      <c r="S258" s="11">
        <v>3170.0</v>
      </c>
    </row>
    <row r="259">
      <c r="A259" s="5" t="str">
        <f>IFERROR(__xludf.DUMMYFUNCTION("""COMPUTED_VALUE"""),"Bupivacaine Hydrochloride, Epinephrine Bitartrate Injection")</f>
        <v>Bupivacaine Hydrochloride, Epinephrine Bitartrate Injection</v>
      </c>
      <c r="B259" s="5" t="str">
        <f>IFERROR(__xludf.DUMMYFUNCTION("""COMPUTED_VALUE"""),"Fresenius Kabi USA, LLC")</f>
        <v>Fresenius Kabi USA, LLC</v>
      </c>
      <c r="C259" s="5" t="str">
        <f>IFERROR(__xludf.DUMMYFUNCTION("""COMPUTED_VALUE"""),"Sensorcaine, Injection, 7.5 mg/1 mL; .005 mg/1 mL (NDC 63323-460-37)")</f>
        <v>Sensorcaine, Injection, 7.5 mg/1 mL; .005 mg/1 mL (NDC 63323-460-37)</v>
      </c>
      <c r="D259" s="5" t="str">
        <f>IFERROR(__xludf.DUMMYFUNCTION("""COMPUTED_VALUE"""),"Reverified")</f>
        <v>Reverified</v>
      </c>
      <c r="E259" s="13">
        <f>IFERROR(__xludf.DUMMYFUNCTION("""COMPUTED_VALUE"""),46310.0)</f>
        <v>46310</v>
      </c>
      <c r="F259" s="5" t="str">
        <f>IFERROR(__xludf.DUMMYFUNCTION("""COMPUTED_VALUE"""),"Available")</f>
        <v>Available</v>
      </c>
      <c r="G259" s="5" t="str">
        <f>IFERROR(__xludf.DUMMYFUNCTION("""COMPUTED_VALUE"""),"Check wholesaler for inventory")</f>
        <v>Check wholesaler for inventory</v>
      </c>
      <c r="H259" s="5"/>
      <c r="I259" s="5"/>
      <c r="J259" s="5" t="str">
        <f>IFERROR(__xludf.DUMMYFUNCTION("""COMPUTED_VALUE"""),"Anesthesia")</f>
        <v>Anesthesia</v>
      </c>
      <c r="K259" s="5" t="str">
        <f>IFERROR(__xludf.DUMMYFUNCTION("""COMPUTED_VALUE"""),"Current")</f>
        <v>Current</v>
      </c>
      <c r="L259" s="5"/>
      <c r="M259" s="5"/>
      <c r="N259" s="10">
        <f>IFERROR(__xludf.DUMMYFUNCTION("""COMPUTED_VALUE"""),43151.0)</f>
        <v>43151</v>
      </c>
      <c r="O259" s="5">
        <v>2018.0</v>
      </c>
      <c r="P259" s="5" t="str">
        <f>IFERROR(__xludf.DUMMYFUNCTION("""COMPUTED_VALUE"""),"Available")</f>
        <v>Available</v>
      </c>
      <c r="Q259" s="5" t="s">
        <v>135</v>
      </c>
      <c r="R259" s="5" t="s">
        <v>136</v>
      </c>
      <c r="S259" s="11">
        <v>3170.0</v>
      </c>
    </row>
    <row r="260">
      <c r="A260" s="5" t="str">
        <f>IFERROR(__xludf.DUMMYFUNCTION("""COMPUTED_VALUE"""),"Calcitriol Capsule")</f>
        <v>Calcitriol Capsule</v>
      </c>
      <c r="B260" s="5" t="str">
        <f>IFERROR(__xludf.DUMMYFUNCTION("""COMPUTED_VALUE"""),"Teva Pharmaceuticals USA, Inc.")</f>
        <v>Teva Pharmaceuticals USA, Inc.</v>
      </c>
      <c r="C260" s="5" t="str">
        <f>IFERROR(__xludf.DUMMYFUNCTION("""COMPUTED_VALUE"""),"Calcitriol, Capsule, .25 ug (NDC 0093-7352-01)")</f>
        <v>Calcitriol, Capsule, .25 ug (NDC 0093-7352-01)</v>
      </c>
      <c r="D260" s="5" t="str">
        <f>IFERROR(__xludf.DUMMYFUNCTION("""COMPUTED_VALUE"""),"New")</f>
        <v>New</v>
      </c>
      <c r="E260" s="10">
        <f>IFERROR(__xludf.DUMMYFUNCTION("""COMPUTED_VALUE"""),45995.0)</f>
        <v>45995</v>
      </c>
      <c r="F260" s="5"/>
      <c r="G260" s="5" t="str">
        <f>IFERROR(__xludf.DUMMYFUNCTION("""COMPUTED_VALUE"""),"A business decision was made to discontinue manufacture of the drug")</f>
        <v>A business decision was made to discontinue manufacture of the drug</v>
      </c>
      <c r="H260" s="5"/>
      <c r="I260" s="5"/>
      <c r="J260" s="5" t="str">
        <f>IFERROR(__xludf.DUMMYFUNCTION("""COMPUTED_VALUE"""),"Endocrinology/Metabolism")</f>
        <v>Endocrinology/Metabolism</v>
      </c>
      <c r="K260" s="5" t="str">
        <f>IFERROR(__xludf.DUMMYFUNCTION("""COMPUTED_VALUE"""),"To Be Discontinued")</f>
        <v>To Be Discontinued</v>
      </c>
      <c r="L260" s="5"/>
      <c r="M260" s="10">
        <f>IFERROR(__xludf.DUMMYFUNCTION("""COMPUTED_VALUE"""),45995.0)</f>
        <v>45995</v>
      </c>
      <c r="N260" s="10">
        <f>IFERROR(__xludf.DUMMYFUNCTION("""COMPUTED_VALUE"""),45995.0)</f>
        <v>45995</v>
      </c>
      <c r="O260" s="5">
        <v>2025.0</v>
      </c>
      <c r="P260" s="5" t="str">
        <f>IFERROR(__xludf.DUMMYFUNCTION("""COMPUTED_VALUE"""),"Not stated")</f>
        <v>Not stated</v>
      </c>
      <c r="Q260" s="5" t="s">
        <v>135</v>
      </c>
      <c r="R260" s="5" t="s">
        <v>136</v>
      </c>
      <c r="S260" s="11">
        <v>326.0</v>
      </c>
    </row>
    <row r="261">
      <c r="A261" s="5" t="str">
        <f>IFERROR(__xludf.DUMMYFUNCTION("""COMPUTED_VALUE"""),"Calcitriol Capsule")</f>
        <v>Calcitriol Capsule</v>
      </c>
      <c r="B261" s="5" t="str">
        <f>IFERROR(__xludf.DUMMYFUNCTION("""COMPUTED_VALUE"""),"Teva Pharmaceuticals USA, Inc.")</f>
        <v>Teva Pharmaceuticals USA, Inc.</v>
      </c>
      <c r="C261" s="5" t="str">
        <f>IFERROR(__xludf.DUMMYFUNCTION("""COMPUTED_VALUE"""),"Calcitriol, Capsule, .5 ug (NDC 0093-7353-01)")</f>
        <v>Calcitriol, Capsule, .5 ug (NDC 0093-7353-01)</v>
      </c>
      <c r="D261" s="5" t="str">
        <f>IFERROR(__xludf.DUMMYFUNCTION("""COMPUTED_VALUE"""),"New")</f>
        <v>New</v>
      </c>
      <c r="E261" s="10">
        <f>IFERROR(__xludf.DUMMYFUNCTION("""COMPUTED_VALUE"""),45995.0)</f>
        <v>45995</v>
      </c>
      <c r="F261" s="5"/>
      <c r="G261" s="5" t="str">
        <f>IFERROR(__xludf.DUMMYFUNCTION("""COMPUTED_VALUE"""),"A business decision was made to discontinue manufacture of the drug")</f>
        <v>A business decision was made to discontinue manufacture of the drug</v>
      </c>
      <c r="H261" s="5"/>
      <c r="I261" s="5"/>
      <c r="J261" s="5" t="str">
        <f>IFERROR(__xludf.DUMMYFUNCTION("""COMPUTED_VALUE"""),"Endocrinology/Metabolism")</f>
        <v>Endocrinology/Metabolism</v>
      </c>
      <c r="K261" s="5" t="str">
        <f>IFERROR(__xludf.DUMMYFUNCTION("""COMPUTED_VALUE"""),"To Be Discontinued")</f>
        <v>To Be Discontinued</v>
      </c>
      <c r="L261" s="5"/>
      <c r="M261" s="10">
        <f>IFERROR(__xludf.DUMMYFUNCTION("""COMPUTED_VALUE"""),45995.0)</f>
        <v>45995</v>
      </c>
      <c r="N261" s="10">
        <f>IFERROR(__xludf.DUMMYFUNCTION("""COMPUTED_VALUE"""),45995.0)</f>
        <v>45995</v>
      </c>
      <c r="O261" s="5">
        <v>2025.0</v>
      </c>
      <c r="P261" s="5" t="str">
        <f>IFERROR(__xludf.DUMMYFUNCTION("""COMPUTED_VALUE"""),"Not stated")</f>
        <v>Not stated</v>
      </c>
      <c r="Q261" s="5" t="s">
        <v>135</v>
      </c>
      <c r="R261" s="5" t="s">
        <v>136</v>
      </c>
      <c r="S261" s="11">
        <v>326.0</v>
      </c>
    </row>
    <row r="262">
      <c r="A262" s="5" t="str">
        <f>IFERROR(__xludf.DUMMYFUNCTION("""COMPUTED_VALUE"""),"Calcium Chloride Injection")</f>
        <v>Calcium Chloride Injection</v>
      </c>
      <c r="B262" s="5" t="str">
        <f>IFERROR(__xludf.DUMMYFUNCTION("""COMPUTED_VALUE"""),"Hospira, Inc., a Pfizer Company")</f>
        <v>Hospira, Inc., a Pfizer Company</v>
      </c>
      <c r="C262" s="5" t="str">
        <f>IFERROR(__xludf.DUMMYFUNCTION("""COMPUTED_VALUE"""),"Calcium Chloride, Injection, 100 mg/1 mL (NDC 0409-4928-34)")</f>
        <v>Calcium Chloride, Injection, 100 mg/1 mL (NDC 0409-4928-34)</v>
      </c>
      <c r="D262" s="5" t="str">
        <f>IFERROR(__xludf.DUMMYFUNCTION("""COMPUTED_VALUE"""),"New")</f>
        <v>New</v>
      </c>
      <c r="E262" s="10">
        <f>IFERROR(__xludf.DUMMYFUNCTION("""COMPUTED_VALUE"""),45968.0)</f>
        <v>45968</v>
      </c>
      <c r="F262" s="5"/>
      <c r="G262" s="5" t="str">
        <f>IFERROR(__xludf.DUMMYFUNCTION("""COMPUTED_VALUE"""),"Discontinuation of the manufacture of the drug")</f>
        <v>Discontinuation of the manufacture of the drug</v>
      </c>
      <c r="H262" s="5"/>
      <c r="I262" s="5"/>
      <c r="J262" s="5" t="str">
        <f>IFERROR(__xludf.DUMMYFUNCTION("""COMPUTED_VALUE"""),"Cardiovascular; Endocrinology/Metabolism")</f>
        <v>Cardiovascular; Endocrinology/Metabolism</v>
      </c>
      <c r="K262" s="5" t="str">
        <f>IFERROR(__xludf.DUMMYFUNCTION("""COMPUTED_VALUE"""),"To Be Discontinued")</f>
        <v>To Be Discontinued</v>
      </c>
      <c r="L262" s="5"/>
      <c r="M262" s="10">
        <f>IFERROR(__xludf.DUMMYFUNCTION("""COMPUTED_VALUE"""),45968.0)</f>
        <v>45968</v>
      </c>
      <c r="N262" s="10">
        <f>IFERROR(__xludf.DUMMYFUNCTION("""COMPUTED_VALUE"""),45968.0)</f>
        <v>45968</v>
      </c>
      <c r="O262" s="5">
        <v>2025.0</v>
      </c>
      <c r="P262" s="5" t="str">
        <f>IFERROR(__xludf.DUMMYFUNCTION("""COMPUTED_VALUE"""),"Not stated")</f>
        <v>Not stated</v>
      </c>
      <c r="Q262" s="5" t="s">
        <v>135</v>
      </c>
      <c r="R262" s="5" t="s">
        <v>136</v>
      </c>
      <c r="S262" s="11">
        <v>353.0</v>
      </c>
    </row>
    <row r="263">
      <c r="A263"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63" s="5" t="str">
        <f>IFERROR(__xludf.DUMMYFUNCTION("""COMPUTED_VALUE"""),"Vantive US Healthcare LLC")</f>
        <v>Vantive US Healthcare LLC</v>
      </c>
      <c r="C263" s="5" t="str">
        <f>IFERROR(__xludf.DUMMYFUNCTION("""COMPUTED_VALUE"""),"DIANEAL PD-2 with Dextrose, Intraperitoneal Injection, Solution, 25.7 mg/100 mL; 1.5 g/100 mL; 5.08 mg/100 mL; 538 mg/100 mL; 448 mg/100 mL (NDC 0941-0426-52)")</f>
        <v>DIANEAL PD-2 with Dextrose, Intraperitoneal Injection, Solution, 25.7 mg/100 mL; 1.5 g/100 mL; 5.08 mg/100 mL; 538 mg/100 mL; 448 mg/100 mL (NDC 0941-0426-52)</v>
      </c>
      <c r="D263" s="5" t="str">
        <f>IFERROR(__xludf.DUMMYFUNCTION("""COMPUTED_VALUE"""),"New")</f>
        <v>New</v>
      </c>
      <c r="E263" s="10">
        <f>IFERROR(__xludf.DUMMYFUNCTION("""COMPUTED_VALUE"""),46237.0)</f>
        <v>46237</v>
      </c>
      <c r="F263" s="5"/>
      <c r="G263" s="5" t="str">
        <f>IFERROR(__xludf.DUMMYFUNCTION("""COMPUTED_VALUE"""),"A business decision was made to discontinue manufacture of the drug.")</f>
        <v>A business decision was made to discontinue manufacture of the drug.</v>
      </c>
      <c r="H263" s="5"/>
      <c r="I263" s="5"/>
      <c r="J263" s="5" t="str">
        <f>IFERROR(__xludf.DUMMYFUNCTION("""COMPUTED_VALUE"""),"Renal")</f>
        <v>Renal</v>
      </c>
      <c r="K263" s="5" t="str">
        <f>IFERROR(__xludf.DUMMYFUNCTION("""COMPUTED_VALUE"""),"To Be Discontinued")</f>
        <v>To Be Discontinued</v>
      </c>
      <c r="L263" s="5"/>
      <c r="M263" s="10">
        <f>IFERROR(__xludf.DUMMYFUNCTION("""COMPUTED_VALUE"""),46237.0)</f>
        <v>46237</v>
      </c>
      <c r="N263" s="10">
        <f>IFERROR(__xludf.DUMMYFUNCTION("""COMPUTED_VALUE"""),46237.0)</f>
        <v>46237</v>
      </c>
      <c r="O263" s="5">
        <v>2026.0</v>
      </c>
      <c r="P263" s="5" t="str">
        <f>IFERROR(__xludf.DUMMYFUNCTION("""COMPUTED_VALUE"""),"Not stated")</f>
        <v>Not stated</v>
      </c>
      <c r="Q263" s="5" t="s">
        <v>135</v>
      </c>
      <c r="R263" s="5" t="s">
        <v>136</v>
      </c>
      <c r="S263" s="11">
        <v>84.0</v>
      </c>
    </row>
    <row r="264">
      <c r="A264"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64" s="5" t="str">
        <f>IFERROR(__xludf.DUMMYFUNCTION("""COMPUTED_VALUE"""),"Vantive US Healthcare LLC")</f>
        <v>Vantive US Healthcare LLC</v>
      </c>
      <c r="C264" s="5" t="str">
        <f>IFERROR(__xludf.DUMMYFUNCTION("""COMPUTED_VALUE"""),"DIANEAL PD-2 with Dextrose, Intraperitoneal Injection, Solution, 25.7 mg/100 mL; 1.5 g/100 mL; 5.08 mg/100 mL; 538 mg/100 mL; 448 mg/100 mL (NDC 0941-0426-53)")</f>
        <v>DIANEAL PD-2 with Dextrose, Intraperitoneal Injection, Solution, 25.7 mg/100 mL; 1.5 g/100 mL; 5.08 mg/100 mL; 538 mg/100 mL; 448 mg/100 mL (NDC 0941-0426-53)</v>
      </c>
      <c r="D264" s="5" t="str">
        <f>IFERROR(__xludf.DUMMYFUNCTION("""COMPUTED_VALUE"""),"New")</f>
        <v>New</v>
      </c>
      <c r="E264" s="10">
        <f>IFERROR(__xludf.DUMMYFUNCTION("""COMPUTED_VALUE"""),46237.0)</f>
        <v>46237</v>
      </c>
      <c r="F264" s="5"/>
      <c r="G264" s="5" t="str">
        <f>IFERROR(__xludf.DUMMYFUNCTION("""COMPUTED_VALUE"""),"A business decision was made to discontinue manufacture of the drug.")</f>
        <v>A business decision was made to discontinue manufacture of the drug.</v>
      </c>
      <c r="H264" s="5"/>
      <c r="I264" s="5"/>
      <c r="J264" s="5" t="str">
        <f>IFERROR(__xludf.DUMMYFUNCTION("""COMPUTED_VALUE"""),"Renal")</f>
        <v>Renal</v>
      </c>
      <c r="K264" s="5" t="str">
        <f>IFERROR(__xludf.DUMMYFUNCTION("""COMPUTED_VALUE"""),"To Be Discontinued")</f>
        <v>To Be Discontinued</v>
      </c>
      <c r="L264" s="5"/>
      <c r="M264" s="10">
        <f>IFERROR(__xludf.DUMMYFUNCTION("""COMPUTED_VALUE"""),46237.0)</f>
        <v>46237</v>
      </c>
      <c r="N264" s="10">
        <f>IFERROR(__xludf.DUMMYFUNCTION("""COMPUTED_VALUE"""),46237.0)</f>
        <v>46237</v>
      </c>
      <c r="O264" s="5">
        <v>2026.0</v>
      </c>
      <c r="P264" s="5" t="str">
        <f>IFERROR(__xludf.DUMMYFUNCTION("""COMPUTED_VALUE"""),"Not stated")</f>
        <v>Not stated</v>
      </c>
      <c r="Q264" s="5" t="s">
        <v>135</v>
      </c>
      <c r="R264" s="5" t="s">
        <v>136</v>
      </c>
      <c r="S264" s="11">
        <v>84.0</v>
      </c>
    </row>
    <row r="265">
      <c r="A265"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65" s="5" t="str">
        <f>IFERROR(__xludf.DUMMYFUNCTION("""COMPUTED_VALUE"""),"Vantive US Healthcare LLC")</f>
        <v>Vantive US Healthcare LLC</v>
      </c>
      <c r="C265" s="5" t="str">
        <f>IFERROR(__xludf.DUMMYFUNCTION("""COMPUTED_VALUE"""),"DIANEAL PD-2 with Dextrose, Intraperitoneal Injection, Solution, 25.7 mg/100 mL; 2.5 g/100 mL; 5.08 mg/100 mL; 538 mg/100 mL; 448 mg/100 mL (NDC 0941-0427-52)")</f>
        <v>DIANEAL PD-2 with Dextrose, Intraperitoneal Injection, Solution, 25.7 mg/100 mL; 2.5 g/100 mL; 5.08 mg/100 mL; 538 mg/100 mL; 448 mg/100 mL (NDC 0941-0427-52)</v>
      </c>
      <c r="D265" s="5" t="str">
        <f>IFERROR(__xludf.DUMMYFUNCTION("""COMPUTED_VALUE"""),"New")</f>
        <v>New</v>
      </c>
      <c r="E265" s="10">
        <f>IFERROR(__xludf.DUMMYFUNCTION("""COMPUTED_VALUE"""),46237.0)</f>
        <v>46237</v>
      </c>
      <c r="F265" s="5"/>
      <c r="G265" s="5" t="str">
        <f>IFERROR(__xludf.DUMMYFUNCTION("""COMPUTED_VALUE"""),"A business decision was made to discontinue manufacture of the drug.")</f>
        <v>A business decision was made to discontinue manufacture of the drug.</v>
      </c>
      <c r="H265" s="5"/>
      <c r="I265" s="5"/>
      <c r="J265" s="5" t="str">
        <f>IFERROR(__xludf.DUMMYFUNCTION("""COMPUTED_VALUE"""),"Renal")</f>
        <v>Renal</v>
      </c>
      <c r="K265" s="5" t="str">
        <f>IFERROR(__xludf.DUMMYFUNCTION("""COMPUTED_VALUE"""),"To Be Discontinued")</f>
        <v>To Be Discontinued</v>
      </c>
      <c r="L265" s="5"/>
      <c r="M265" s="10">
        <f>IFERROR(__xludf.DUMMYFUNCTION("""COMPUTED_VALUE"""),46237.0)</f>
        <v>46237</v>
      </c>
      <c r="N265" s="10">
        <f>IFERROR(__xludf.DUMMYFUNCTION("""COMPUTED_VALUE"""),46237.0)</f>
        <v>46237</v>
      </c>
      <c r="O265" s="5">
        <v>2026.0</v>
      </c>
      <c r="P265" s="5" t="str">
        <f>IFERROR(__xludf.DUMMYFUNCTION("""COMPUTED_VALUE"""),"Not stated")</f>
        <v>Not stated</v>
      </c>
      <c r="Q265" s="5" t="s">
        <v>135</v>
      </c>
      <c r="R265" s="5" t="s">
        <v>136</v>
      </c>
      <c r="S265" s="11">
        <v>84.0</v>
      </c>
    </row>
    <row r="266">
      <c r="A266"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66" s="5" t="str">
        <f>IFERROR(__xludf.DUMMYFUNCTION("""COMPUTED_VALUE"""),"Vantive US Healthcare LLC")</f>
        <v>Vantive US Healthcare LLC</v>
      </c>
      <c r="C266" s="5" t="str">
        <f>IFERROR(__xludf.DUMMYFUNCTION("""COMPUTED_VALUE"""),"DIANEAL PD-2 with Dextrose, Intraperitoneal Injection, Solution, 25.7 mg/100 mL; 2.5 g/100 mL; 5.08 mg/100 mL; 538 mg/100 mL; 448 mg/100 mL (NDC 0941-0427-53)")</f>
        <v>DIANEAL PD-2 with Dextrose, Intraperitoneal Injection, Solution, 25.7 mg/100 mL; 2.5 g/100 mL; 5.08 mg/100 mL; 538 mg/100 mL; 448 mg/100 mL (NDC 0941-0427-53)</v>
      </c>
      <c r="D266" s="5" t="str">
        <f>IFERROR(__xludf.DUMMYFUNCTION("""COMPUTED_VALUE"""),"New")</f>
        <v>New</v>
      </c>
      <c r="E266" s="10">
        <f>IFERROR(__xludf.DUMMYFUNCTION("""COMPUTED_VALUE"""),46237.0)</f>
        <v>46237</v>
      </c>
      <c r="F266" s="5"/>
      <c r="G266" s="5" t="str">
        <f>IFERROR(__xludf.DUMMYFUNCTION("""COMPUTED_VALUE"""),"A business decision was made to discontinue manufacture of the drug.")</f>
        <v>A business decision was made to discontinue manufacture of the drug.</v>
      </c>
      <c r="H266" s="5"/>
      <c r="I266" s="5"/>
      <c r="J266" s="5" t="str">
        <f>IFERROR(__xludf.DUMMYFUNCTION("""COMPUTED_VALUE"""),"Renal")</f>
        <v>Renal</v>
      </c>
      <c r="K266" s="5" t="str">
        <f>IFERROR(__xludf.DUMMYFUNCTION("""COMPUTED_VALUE"""),"To Be Discontinued")</f>
        <v>To Be Discontinued</v>
      </c>
      <c r="L266" s="5"/>
      <c r="M266" s="10">
        <f>IFERROR(__xludf.DUMMYFUNCTION("""COMPUTED_VALUE"""),46237.0)</f>
        <v>46237</v>
      </c>
      <c r="N266" s="10">
        <f>IFERROR(__xludf.DUMMYFUNCTION("""COMPUTED_VALUE"""),46237.0)</f>
        <v>46237</v>
      </c>
      <c r="O266" s="5">
        <v>2026.0</v>
      </c>
      <c r="P266" s="5" t="str">
        <f>IFERROR(__xludf.DUMMYFUNCTION("""COMPUTED_VALUE"""),"Not stated")</f>
        <v>Not stated</v>
      </c>
      <c r="Q266" s="5" t="s">
        <v>135</v>
      </c>
      <c r="R266" s="5" t="s">
        <v>136</v>
      </c>
      <c r="S266" s="11">
        <v>84.0</v>
      </c>
    </row>
    <row r="267">
      <c r="A267"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67" s="5" t="str">
        <f>IFERROR(__xludf.DUMMYFUNCTION("""COMPUTED_VALUE"""),"Vantive US Healthcare LLC")</f>
        <v>Vantive US Healthcare LLC</v>
      </c>
      <c r="C267" s="5" t="str">
        <f>IFERROR(__xludf.DUMMYFUNCTION("""COMPUTED_VALUE"""),"DIANEAL PD-2 with Dextrose, Intraperitoneal Injection, Solution, 25.7 mg/100 mL; 4.25 g/100 mL; 5.08 mg/100 mL; 538 mg/100 mL; 448 mg/100 mL (NDC 0941-0429-52)")</f>
        <v>DIANEAL PD-2 with Dextrose, Intraperitoneal Injection, Solution, 25.7 mg/100 mL; 4.25 g/100 mL; 5.08 mg/100 mL; 538 mg/100 mL; 448 mg/100 mL (NDC 0941-0429-52)</v>
      </c>
      <c r="D267" s="5" t="str">
        <f>IFERROR(__xludf.DUMMYFUNCTION("""COMPUTED_VALUE"""),"New")</f>
        <v>New</v>
      </c>
      <c r="E267" s="10">
        <f>IFERROR(__xludf.DUMMYFUNCTION("""COMPUTED_VALUE"""),46237.0)</f>
        <v>46237</v>
      </c>
      <c r="F267" s="5"/>
      <c r="G267" s="5" t="str">
        <f>IFERROR(__xludf.DUMMYFUNCTION("""COMPUTED_VALUE"""),"A business decision was made to discontinue manufacture of the drug.")</f>
        <v>A business decision was made to discontinue manufacture of the drug.</v>
      </c>
      <c r="H267" s="5"/>
      <c r="I267" s="5"/>
      <c r="J267" s="5" t="str">
        <f>IFERROR(__xludf.DUMMYFUNCTION("""COMPUTED_VALUE"""),"Renal")</f>
        <v>Renal</v>
      </c>
      <c r="K267" s="5" t="str">
        <f>IFERROR(__xludf.DUMMYFUNCTION("""COMPUTED_VALUE"""),"To Be Discontinued")</f>
        <v>To Be Discontinued</v>
      </c>
      <c r="L267" s="5"/>
      <c r="M267" s="10">
        <f>IFERROR(__xludf.DUMMYFUNCTION("""COMPUTED_VALUE"""),46237.0)</f>
        <v>46237</v>
      </c>
      <c r="N267" s="10">
        <f>IFERROR(__xludf.DUMMYFUNCTION("""COMPUTED_VALUE"""),46237.0)</f>
        <v>46237</v>
      </c>
      <c r="O267" s="5">
        <v>2026.0</v>
      </c>
      <c r="P267" s="5" t="str">
        <f>IFERROR(__xludf.DUMMYFUNCTION("""COMPUTED_VALUE"""),"Not stated")</f>
        <v>Not stated</v>
      </c>
      <c r="Q267" s="5" t="s">
        <v>135</v>
      </c>
      <c r="R267" s="5" t="s">
        <v>136</v>
      </c>
      <c r="S267" s="11">
        <v>84.0</v>
      </c>
    </row>
    <row r="268">
      <c r="A268"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68" s="5" t="str">
        <f>IFERROR(__xludf.DUMMYFUNCTION("""COMPUTED_VALUE"""),"Vantive US Healthcare LLC")</f>
        <v>Vantive US Healthcare LLC</v>
      </c>
      <c r="C268" s="5" t="str">
        <f>IFERROR(__xludf.DUMMYFUNCTION("""COMPUTED_VALUE"""),"DIANEAL PD-2 with Dextrose, Intraperitoneal Injection, Solution, 25.7 mg/100 mL; 4.25 g/100 mL; 5.08 mg/100 mL; 538 mg/100 mL; 448 mg/100 mL (NDC 0941-0429-53)")</f>
        <v>DIANEAL PD-2 with Dextrose, Intraperitoneal Injection, Solution, 25.7 mg/100 mL; 4.25 g/100 mL; 5.08 mg/100 mL; 538 mg/100 mL; 448 mg/100 mL (NDC 0941-0429-53)</v>
      </c>
      <c r="D268" s="5" t="str">
        <f>IFERROR(__xludf.DUMMYFUNCTION("""COMPUTED_VALUE"""),"New")</f>
        <v>New</v>
      </c>
      <c r="E268" s="10">
        <f>IFERROR(__xludf.DUMMYFUNCTION("""COMPUTED_VALUE"""),46237.0)</f>
        <v>46237</v>
      </c>
      <c r="F268" s="5"/>
      <c r="G268" s="5" t="str">
        <f>IFERROR(__xludf.DUMMYFUNCTION("""COMPUTED_VALUE"""),"A business decision was made to discontinue manufacture of the drug.")</f>
        <v>A business decision was made to discontinue manufacture of the drug.</v>
      </c>
      <c r="H268" s="5"/>
      <c r="I268" s="5"/>
      <c r="J268" s="5" t="str">
        <f>IFERROR(__xludf.DUMMYFUNCTION("""COMPUTED_VALUE"""),"Renal")</f>
        <v>Renal</v>
      </c>
      <c r="K268" s="5" t="str">
        <f>IFERROR(__xludf.DUMMYFUNCTION("""COMPUTED_VALUE"""),"To Be Discontinued")</f>
        <v>To Be Discontinued</v>
      </c>
      <c r="L268" s="5"/>
      <c r="M268" s="10">
        <f>IFERROR(__xludf.DUMMYFUNCTION("""COMPUTED_VALUE"""),46237.0)</f>
        <v>46237</v>
      </c>
      <c r="N268" s="10">
        <f>IFERROR(__xludf.DUMMYFUNCTION("""COMPUTED_VALUE"""),46237.0)</f>
        <v>46237</v>
      </c>
      <c r="O268" s="5">
        <v>2026.0</v>
      </c>
      <c r="P268" s="5" t="str">
        <f>IFERROR(__xludf.DUMMYFUNCTION("""COMPUTED_VALUE"""),"Not stated")</f>
        <v>Not stated</v>
      </c>
      <c r="Q268" s="5" t="s">
        <v>135</v>
      </c>
      <c r="R268" s="5" t="s">
        <v>136</v>
      </c>
      <c r="S268" s="11">
        <v>84.0</v>
      </c>
    </row>
    <row r="269">
      <c r="A269"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69" s="5" t="str">
        <f>IFERROR(__xludf.DUMMYFUNCTION("""COMPUTED_VALUE"""),"Vantive US Healthcare LLC")</f>
        <v>Vantive US Healthcare LLC</v>
      </c>
      <c r="C269" s="5" t="str">
        <f>IFERROR(__xludf.DUMMYFUNCTION("""COMPUTED_VALUE"""),"DIANEAL Low Calcium with Dextrose, Intraperitoneal Injection, Solution, 18.3 mg/100 mL; 1.5 g/100 mL; 5.08 mg/100 mL; 538 mg/100 mL; 448 mg/100 mL (NDC 0941-0409-07)")</f>
        <v>DIANEAL Low Calcium with Dextrose, Intraperitoneal Injection, Solution, 18.3 mg/100 mL; 1.5 g/100 mL; 5.08 mg/100 mL; 538 mg/100 mL; 448 mg/100 mL (NDC 0941-0409-07)</v>
      </c>
      <c r="D269" s="5" t="str">
        <f>IFERROR(__xludf.DUMMYFUNCTION("""COMPUTED_VALUE"""),"New")</f>
        <v>New</v>
      </c>
      <c r="E269" s="10">
        <f>IFERROR(__xludf.DUMMYFUNCTION("""COMPUTED_VALUE"""),46237.0)</f>
        <v>46237</v>
      </c>
      <c r="F269" s="5"/>
      <c r="G269" s="5" t="str">
        <f>IFERROR(__xludf.DUMMYFUNCTION("""COMPUTED_VALUE"""),"A business decision was made to discontinue manufacture of the drug.")</f>
        <v>A business decision was made to discontinue manufacture of the drug.</v>
      </c>
      <c r="H269" s="5"/>
      <c r="I269" s="5"/>
      <c r="J269" s="5" t="str">
        <f>IFERROR(__xludf.DUMMYFUNCTION("""COMPUTED_VALUE"""),"Renal")</f>
        <v>Renal</v>
      </c>
      <c r="K269" s="5" t="str">
        <f>IFERROR(__xludf.DUMMYFUNCTION("""COMPUTED_VALUE"""),"To Be Discontinued")</f>
        <v>To Be Discontinued</v>
      </c>
      <c r="L269" s="5"/>
      <c r="M269" s="10">
        <f>IFERROR(__xludf.DUMMYFUNCTION("""COMPUTED_VALUE"""),46237.0)</f>
        <v>46237</v>
      </c>
      <c r="N269" s="10">
        <f>IFERROR(__xludf.DUMMYFUNCTION("""COMPUTED_VALUE"""),46237.0)</f>
        <v>46237</v>
      </c>
      <c r="O269" s="5">
        <v>2026.0</v>
      </c>
      <c r="P269" s="5" t="str">
        <f>IFERROR(__xludf.DUMMYFUNCTION("""COMPUTED_VALUE"""),"Not stated")</f>
        <v>Not stated</v>
      </c>
      <c r="Q269" s="5" t="s">
        <v>135</v>
      </c>
      <c r="R269" s="5" t="s">
        <v>136</v>
      </c>
      <c r="S269" s="11">
        <v>84.0</v>
      </c>
    </row>
    <row r="270">
      <c r="A270"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70" s="5" t="str">
        <f>IFERROR(__xludf.DUMMYFUNCTION("""COMPUTED_VALUE"""),"Vantive US Healthcare LLC")</f>
        <v>Vantive US Healthcare LLC</v>
      </c>
      <c r="C270" s="5" t="str">
        <f>IFERROR(__xludf.DUMMYFUNCTION("""COMPUTED_VALUE"""),"DIANEAL PD-2 with Dextrose, Intraperitoneal Injection, Solution, 25.7 mg/100 mL; 1.5 g/100 mL; 5.08 mg/100 mL; 538 mg/100 mL; 448 mg/100 mL (NDC 0941-0411-06)")</f>
        <v>DIANEAL PD-2 with Dextrose, Intraperitoneal Injection, Solution, 25.7 mg/100 mL; 1.5 g/100 mL; 5.08 mg/100 mL; 538 mg/100 mL; 448 mg/100 mL (NDC 0941-0411-06)</v>
      </c>
      <c r="D270" s="5" t="str">
        <f>IFERROR(__xludf.DUMMYFUNCTION("""COMPUTED_VALUE"""),"New")</f>
        <v>New</v>
      </c>
      <c r="E270" s="10">
        <f>IFERROR(__xludf.DUMMYFUNCTION("""COMPUTED_VALUE"""),46237.0)</f>
        <v>46237</v>
      </c>
      <c r="F270" s="5"/>
      <c r="G270" s="5" t="str">
        <f>IFERROR(__xludf.DUMMYFUNCTION("""COMPUTED_VALUE"""),"A business decision was made to discontinue manufacture of the drug.")</f>
        <v>A business decision was made to discontinue manufacture of the drug.</v>
      </c>
      <c r="H270" s="5"/>
      <c r="I270" s="5"/>
      <c r="J270" s="5" t="str">
        <f>IFERROR(__xludf.DUMMYFUNCTION("""COMPUTED_VALUE"""),"Renal")</f>
        <v>Renal</v>
      </c>
      <c r="K270" s="5" t="str">
        <f>IFERROR(__xludf.DUMMYFUNCTION("""COMPUTED_VALUE"""),"To Be Discontinued")</f>
        <v>To Be Discontinued</v>
      </c>
      <c r="L270" s="5"/>
      <c r="M270" s="10">
        <f>IFERROR(__xludf.DUMMYFUNCTION("""COMPUTED_VALUE"""),46237.0)</f>
        <v>46237</v>
      </c>
      <c r="N270" s="10">
        <f>IFERROR(__xludf.DUMMYFUNCTION("""COMPUTED_VALUE"""),46237.0)</f>
        <v>46237</v>
      </c>
      <c r="O270" s="5">
        <v>2026.0</v>
      </c>
      <c r="P270" s="5" t="str">
        <f>IFERROR(__xludf.DUMMYFUNCTION("""COMPUTED_VALUE"""),"Not stated")</f>
        <v>Not stated</v>
      </c>
      <c r="Q270" s="5" t="s">
        <v>135</v>
      </c>
      <c r="R270" s="5" t="s">
        <v>136</v>
      </c>
      <c r="S270" s="11">
        <v>84.0</v>
      </c>
    </row>
    <row r="271">
      <c r="A271"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71" s="5" t="str">
        <f>IFERROR(__xludf.DUMMYFUNCTION("""COMPUTED_VALUE"""),"Vantive US Healthcare LLC")</f>
        <v>Vantive US Healthcare LLC</v>
      </c>
      <c r="C271" s="5" t="str">
        <f>IFERROR(__xludf.DUMMYFUNCTION("""COMPUTED_VALUE"""),"DIANEAL PD-2 with Dextrose, Intraperitoneal Injection, Solution, 25.7 mg/100 mL; 1.5 g/100 mL; 5.08 mg/100 mL; 538 mg/100 mL; 448 mg/100 mL (NDC 0941-0411-07)")</f>
        <v>DIANEAL PD-2 with Dextrose, Intraperitoneal Injection, Solution, 25.7 mg/100 mL; 1.5 g/100 mL; 5.08 mg/100 mL; 538 mg/100 mL; 448 mg/100 mL (NDC 0941-0411-07)</v>
      </c>
      <c r="D271" s="5" t="str">
        <f>IFERROR(__xludf.DUMMYFUNCTION("""COMPUTED_VALUE"""),"New")</f>
        <v>New</v>
      </c>
      <c r="E271" s="10">
        <f>IFERROR(__xludf.DUMMYFUNCTION("""COMPUTED_VALUE"""),46237.0)</f>
        <v>46237</v>
      </c>
      <c r="F271" s="5"/>
      <c r="G271" s="5" t="str">
        <f>IFERROR(__xludf.DUMMYFUNCTION("""COMPUTED_VALUE"""),"A business decision was made to discontinue manufacture of the drug.")</f>
        <v>A business decision was made to discontinue manufacture of the drug.</v>
      </c>
      <c r="H271" s="5"/>
      <c r="I271" s="5"/>
      <c r="J271" s="5" t="str">
        <f>IFERROR(__xludf.DUMMYFUNCTION("""COMPUTED_VALUE"""),"Renal")</f>
        <v>Renal</v>
      </c>
      <c r="K271" s="5" t="str">
        <f>IFERROR(__xludf.DUMMYFUNCTION("""COMPUTED_VALUE"""),"To Be Discontinued")</f>
        <v>To Be Discontinued</v>
      </c>
      <c r="L271" s="5"/>
      <c r="M271" s="10">
        <f>IFERROR(__xludf.DUMMYFUNCTION("""COMPUTED_VALUE"""),46237.0)</f>
        <v>46237</v>
      </c>
      <c r="N271" s="10">
        <f>IFERROR(__xludf.DUMMYFUNCTION("""COMPUTED_VALUE"""),46237.0)</f>
        <v>46237</v>
      </c>
      <c r="O271" s="5">
        <v>2026.0</v>
      </c>
      <c r="P271" s="5" t="str">
        <f>IFERROR(__xludf.DUMMYFUNCTION("""COMPUTED_VALUE"""),"Not stated")</f>
        <v>Not stated</v>
      </c>
      <c r="Q271" s="5" t="s">
        <v>135</v>
      </c>
      <c r="R271" s="5" t="s">
        <v>136</v>
      </c>
      <c r="S271" s="11">
        <v>84.0</v>
      </c>
    </row>
    <row r="272">
      <c r="A272"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72" s="5" t="str">
        <f>IFERROR(__xludf.DUMMYFUNCTION("""COMPUTED_VALUE"""),"Vantive US Healthcare LLC")</f>
        <v>Vantive US Healthcare LLC</v>
      </c>
      <c r="C272" s="5" t="str">
        <f>IFERROR(__xludf.DUMMYFUNCTION("""COMPUTED_VALUE"""),"DIANEAL PD-2 with Dextrose, Intraperitoneal Injection, Solution, 25.7 mg/100 mL; 2.5 g/100 mL; 5.08 mg/100 mL; 538 mg/100 mL; 448 mg/100 mL (NDC 0941-0413-06)")</f>
        <v>DIANEAL PD-2 with Dextrose, Intraperitoneal Injection, Solution, 25.7 mg/100 mL; 2.5 g/100 mL; 5.08 mg/100 mL; 538 mg/100 mL; 448 mg/100 mL (NDC 0941-0413-06)</v>
      </c>
      <c r="D272" s="5" t="str">
        <f>IFERROR(__xludf.DUMMYFUNCTION("""COMPUTED_VALUE"""),"New")</f>
        <v>New</v>
      </c>
      <c r="E272" s="10">
        <f>IFERROR(__xludf.DUMMYFUNCTION("""COMPUTED_VALUE"""),46237.0)</f>
        <v>46237</v>
      </c>
      <c r="F272" s="5"/>
      <c r="G272" s="5" t="str">
        <f>IFERROR(__xludf.DUMMYFUNCTION("""COMPUTED_VALUE"""),"A business decision was made to discontinue manufacture of the drug.")</f>
        <v>A business decision was made to discontinue manufacture of the drug.</v>
      </c>
      <c r="H272" s="5"/>
      <c r="I272" s="5"/>
      <c r="J272" s="5" t="str">
        <f>IFERROR(__xludf.DUMMYFUNCTION("""COMPUTED_VALUE"""),"Renal")</f>
        <v>Renal</v>
      </c>
      <c r="K272" s="5" t="str">
        <f>IFERROR(__xludf.DUMMYFUNCTION("""COMPUTED_VALUE"""),"To Be Discontinued")</f>
        <v>To Be Discontinued</v>
      </c>
      <c r="L272" s="5"/>
      <c r="M272" s="10">
        <f>IFERROR(__xludf.DUMMYFUNCTION("""COMPUTED_VALUE"""),46237.0)</f>
        <v>46237</v>
      </c>
      <c r="N272" s="10">
        <f>IFERROR(__xludf.DUMMYFUNCTION("""COMPUTED_VALUE"""),46237.0)</f>
        <v>46237</v>
      </c>
      <c r="O272" s="5">
        <v>2026.0</v>
      </c>
      <c r="P272" s="5" t="str">
        <f>IFERROR(__xludf.DUMMYFUNCTION("""COMPUTED_VALUE"""),"Not stated")</f>
        <v>Not stated</v>
      </c>
      <c r="Q272" s="5" t="s">
        <v>135</v>
      </c>
      <c r="R272" s="5" t="s">
        <v>136</v>
      </c>
      <c r="S272" s="11">
        <v>84.0</v>
      </c>
    </row>
    <row r="273">
      <c r="A273"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73" s="5" t="str">
        <f>IFERROR(__xludf.DUMMYFUNCTION("""COMPUTED_VALUE"""),"Vantive US Healthcare LLC")</f>
        <v>Vantive US Healthcare LLC</v>
      </c>
      <c r="C273" s="5" t="str">
        <f>IFERROR(__xludf.DUMMYFUNCTION("""COMPUTED_VALUE"""),"DIANEAL PD-2 with Dextrose, Intraperitoneal Injection, Solution, 25.7 mg/100 mL; 2.5 g/100 mL; 5.08 mg/100 mL; 538 mg/100 mL; 448 mg/100 mL (NDC 0941-0413-07)")</f>
        <v>DIANEAL PD-2 with Dextrose, Intraperitoneal Injection, Solution, 25.7 mg/100 mL; 2.5 g/100 mL; 5.08 mg/100 mL; 538 mg/100 mL; 448 mg/100 mL (NDC 0941-0413-07)</v>
      </c>
      <c r="D273" s="5" t="str">
        <f>IFERROR(__xludf.DUMMYFUNCTION("""COMPUTED_VALUE"""),"New")</f>
        <v>New</v>
      </c>
      <c r="E273" s="10">
        <f>IFERROR(__xludf.DUMMYFUNCTION("""COMPUTED_VALUE"""),46237.0)</f>
        <v>46237</v>
      </c>
      <c r="F273" s="5"/>
      <c r="G273" s="5" t="str">
        <f>IFERROR(__xludf.DUMMYFUNCTION("""COMPUTED_VALUE"""),"A business decision was made to discontinue manufacture of the drug.")</f>
        <v>A business decision was made to discontinue manufacture of the drug.</v>
      </c>
      <c r="H273" s="5"/>
      <c r="I273" s="5"/>
      <c r="J273" s="5" t="str">
        <f>IFERROR(__xludf.DUMMYFUNCTION("""COMPUTED_VALUE"""),"Renal")</f>
        <v>Renal</v>
      </c>
      <c r="K273" s="5" t="str">
        <f>IFERROR(__xludf.DUMMYFUNCTION("""COMPUTED_VALUE"""),"To Be Discontinued")</f>
        <v>To Be Discontinued</v>
      </c>
      <c r="L273" s="5"/>
      <c r="M273" s="10">
        <f>IFERROR(__xludf.DUMMYFUNCTION("""COMPUTED_VALUE"""),46237.0)</f>
        <v>46237</v>
      </c>
      <c r="N273" s="10">
        <f>IFERROR(__xludf.DUMMYFUNCTION("""COMPUTED_VALUE"""),46237.0)</f>
        <v>46237</v>
      </c>
      <c r="O273" s="5">
        <v>2026.0</v>
      </c>
      <c r="P273" s="5" t="str">
        <f>IFERROR(__xludf.DUMMYFUNCTION("""COMPUTED_VALUE"""),"Not stated")</f>
        <v>Not stated</v>
      </c>
      <c r="Q273" s="5" t="s">
        <v>135</v>
      </c>
      <c r="R273" s="5" t="s">
        <v>136</v>
      </c>
      <c r="S273" s="11">
        <v>84.0</v>
      </c>
    </row>
    <row r="274">
      <c r="A274"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74" s="5" t="str">
        <f>IFERROR(__xludf.DUMMYFUNCTION("""COMPUTED_VALUE"""),"Vantive US Healthcare LLC")</f>
        <v>Vantive US Healthcare LLC</v>
      </c>
      <c r="C274" s="5" t="str">
        <f>IFERROR(__xludf.DUMMYFUNCTION("""COMPUTED_VALUE"""),"DIANEAL PD-2 with Dextrose, Intraperitoneal Injection, Solution, 25.7 mg/100 mL; 4.25 g/100 mL; 5.08 mg/100 mL; 538 mg/100 mL; 448 mg/100 mL (NDC 0941-0415-06)")</f>
        <v>DIANEAL PD-2 with Dextrose, Intraperitoneal Injection, Solution, 25.7 mg/100 mL; 4.25 g/100 mL; 5.08 mg/100 mL; 538 mg/100 mL; 448 mg/100 mL (NDC 0941-0415-06)</v>
      </c>
      <c r="D274" s="5" t="str">
        <f>IFERROR(__xludf.DUMMYFUNCTION("""COMPUTED_VALUE"""),"New")</f>
        <v>New</v>
      </c>
      <c r="E274" s="10">
        <f>IFERROR(__xludf.DUMMYFUNCTION("""COMPUTED_VALUE"""),46237.0)</f>
        <v>46237</v>
      </c>
      <c r="F274" s="5"/>
      <c r="G274" s="5" t="str">
        <f>IFERROR(__xludf.DUMMYFUNCTION("""COMPUTED_VALUE"""),"A business decision was made to discontinue manufacture of the drug.")</f>
        <v>A business decision was made to discontinue manufacture of the drug.</v>
      </c>
      <c r="H274" s="5"/>
      <c r="I274" s="5"/>
      <c r="J274" s="5" t="str">
        <f>IFERROR(__xludf.DUMMYFUNCTION("""COMPUTED_VALUE"""),"Renal")</f>
        <v>Renal</v>
      </c>
      <c r="K274" s="5" t="str">
        <f>IFERROR(__xludf.DUMMYFUNCTION("""COMPUTED_VALUE"""),"To Be Discontinued")</f>
        <v>To Be Discontinued</v>
      </c>
      <c r="L274" s="5"/>
      <c r="M274" s="10">
        <f>IFERROR(__xludf.DUMMYFUNCTION("""COMPUTED_VALUE"""),46237.0)</f>
        <v>46237</v>
      </c>
      <c r="N274" s="10">
        <f>IFERROR(__xludf.DUMMYFUNCTION("""COMPUTED_VALUE"""),46237.0)</f>
        <v>46237</v>
      </c>
      <c r="O274" s="5">
        <v>2026.0</v>
      </c>
      <c r="P274" s="5" t="str">
        <f>IFERROR(__xludf.DUMMYFUNCTION("""COMPUTED_VALUE"""),"Not stated")</f>
        <v>Not stated</v>
      </c>
      <c r="Q274" s="5" t="s">
        <v>135</v>
      </c>
      <c r="R274" s="5" t="s">
        <v>136</v>
      </c>
      <c r="S274" s="11">
        <v>84.0</v>
      </c>
    </row>
    <row r="275">
      <c r="A275"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75" s="5" t="str">
        <f>IFERROR(__xludf.DUMMYFUNCTION("""COMPUTED_VALUE"""),"Vantive US Healthcare LLC")</f>
        <v>Vantive US Healthcare LLC</v>
      </c>
      <c r="C275" s="5" t="str">
        <f>IFERROR(__xludf.DUMMYFUNCTION("""COMPUTED_VALUE"""),"DIANEAL PD-2 with Dextrose, Intraperitoneal Injection, Solution, 25.7 mg/100 mL; 4.25 g/100 mL; 5.08 mg/100 mL; 538 mg/100 mL; 448 mg/100 mL (NDC 0941-0415-07)")</f>
        <v>DIANEAL PD-2 with Dextrose, Intraperitoneal Injection, Solution, 25.7 mg/100 mL; 4.25 g/100 mL; 5.08 mg/100 mL; 538 mg/100 mL; 448 mg/100 mL (NDC 0941-0415-07)</v>
      </c>
      <c r="D275" s="5" t="str">
        <f>IFERROR(__xludf.DUMMYFUNCTION("""COMPUTED_VALUE"""),"New")</f>
        <v>New</v>
      </c>
      <c r="E275" s="10">
        <f>IFERROR(__xludf.DUMMYFUNCTION("""COMPUTED_VALUE"""),46237.0)</f>
        <v>46237</v>
      </c>
      <c r="F275" s="5"/>
      <c r="G275" s="5" t="str">
        <f>IFERROR(__xludf.DUMMYFUNCTION("""COMPUTED_VALUE"""),"A business decision was made to discontinue manufacture of the drug.")</f>
        <v>A business decision was made to discontinue manufacture of the drug.</v>
      </c>
      <c r="H275" s="5"/>
      <c r="I275" s="5"/>
      <c r="J275" s="5" t="str">
        <f>IFERROR(__xludf.DUMMYFUNCTION("""COMPUTED_VALUE"""),"Renal")</f>
        <v>Renal</v>
      </c>
      <c r="K275" s="5" t="str">
        <f>IFERROR(__xludf.DUMMYFUNCTION("""COMPUTED_VALUE"""),"To Be Discontinued")</f>
        <v>To Be Discontinued</v>
      </c>
      <c r="L275" s="5"/>
      <c r="M275" s="10">
        <f>IFERROR(__xludf.DUMMYFUNCTION("""COMPUTED_VALUE"""),46237.0)</f>
        <v>46237</v>
      </c>
      <c r="N275" s="10">
        <f>IFERROR(__xludf.DUMMYFUNCTION("""COMPUTED_VALUE"""),46237.0)</f>
        <v>46237</v>
      </c>
      <c r="O275" s="5">
        <v>2026.0</v>
      </c>
      <c r="P275" s="5" t="str">
        <f>IFERROR(__xludf.DUMMYFUNCTION("""COMPUTED_VALUE"""),"Not stated")</f>
        <v>Not stated</v>
      </c>
      <c r="Q275" s="5" t="s">
        <v>135</v>
      </c>
      <c r="R275" s="5" t="s">
        <v>136</v>
      </c>
      <c r="S275" s="11">
        <v>84.0</v>
      </c>
    </row>
    <row r="276">
      <c r="A276"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76" s="5" t="str">
        <f>IFERROR(__xludf.DUMMYFUNCTION("""COMPUTED_VALUE"""),"Vantive US Healthcare LLC")</f>
        <v>Vantive US Healthcare LLC</v>
      </c>
      <c r="C276" s="5" t="str">
        <f>IFERROR(__xludf.DUMMYFUNCTION("""COMPUTED_VALUE"""),"DIANEAL Low Calcium with Dextrose, Intraperitoneal Injection, Solution, 18.3 mg/100 mL; 1.5 g/100 mL; 5.08 mg/100 mL; 538 mg/100 mL; 448 mg/100 mL (NDC 0941-0424-51)")</f>
        <v>DIANEAL Low Calcium with Dextrose, Intraperitoneal Injection, Solution, 18.3 mg/100 mL; 1.5 g/100 mL; 5.08 mg/100 mL; 538 mg/100 mL; 448 mg/100 mL (NDC 0941-0424-51)</v>
      </c>
      <c r="D276" s="5" t="str">
        <f>IFERROR(__xludf.DUMMYFUNCTION("""COMPUTED_VALUE"""),"New")</f>
        <v>New</v>
      </c>
      <c r="E276" s="10">
        <f>IFERROR(__xludf.DUMMYFUNCTION("""COMPUTED_VALUE"""),46237.0)</f>
        <v>46237</v>
      </c>
      <c r="F276" s="5"/>
      <c r="G276" s="5" t="str">
        <f>IFERROR(__xludf.DUMMYFUNCTION("""COMPUTED_VALUE"""),"A business decision was made to discontinue manufacture of the drug.")</f>
        <v>A business decision was made to discontinue manufacture of the drug.</v>
      </c>
      <c r="H276" s="5"/>
      <c r="I276" s="5"/>
      <c r="J276" s="5" t="str">
        <f>IFERROR(__xludf.DUMMYFUNCTION("""COMPUTED_VALUE"""),"Renal")</f>
        <v>Renal</v>
      </c>
      <c r="K276" s="5" t="str">
        <f>IFERROR(__xludf.DUMMYFUNCTION("""COMPUTED_VALUE"""),"To Be Discontinued")</f>
        <v>To Be Discontinued</v>
      </c>
      <c r="L276" s="5"/>
      <c r="M276" s="10">
        <f>IFERROR(__xludf.DUMMYFUNCTION("""COMPUTED_VALUE"""),46237.0)</f>
        <v>46237</v>
      </c>
      <c r="N276" s="10">
        <f>IFERROR(__xludf.DUMMYFUNCTION("""COMPUTED_VALUE"""),46237.0)</f>
        <v>46237</v>
      </c>
      <c r="O276" s="5">
        <v>2026.0</v>
      </c>
      <c r="P276" s="5" t="str">
        <f>IFERROR(__xludf.DUMMYFUNCTION("""COMPUTED_VALUE"""),"Not stated")</f>
        <v>Not stated</v>
      </c>
      <c r="Q276" s="5" t="s">
        <v>135</v>
      </c>
      <c r="R276" s="5" t="s">
        <v>136</v>
      </c>
      <c r="S276" s="11">
        <v>84.0</v>
      </c>
    </row>
    <row r="277">
      <c r="A277"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77" s="5" t="str">
        <f>IFERROR(__xludf.DUMMYFUNCTION("""COMPUTED_VALUE"""),"Vantive US Healthcare LLC")</f>
        <v>Vantive US Healthcare LLC</v>
      </c>
      <c r="C277" s="5" t="str">
        <f>IFERROR(__xludf.DUMMYFUNCTION("""COMPUTED_VALUE"""),"DIANEAL Low Calcium with Dextrose, Intraperitoneal Injection, Solution, 18.3 mg/100 mL; 2.5 g/100 mL; 5.08 mg/100 mL; 538 mg/100 mL; 448 mg/100 mL (NDC 0941-0430-51)")</f>
        <v>DIANEAL Low Calcium with Dextrose, Intraperitoneal Injection, Solution, 18.3 mg/100 mL; 2.5 g/100 mL; 5.08 mg/100 mL; 538 mg/100 mL; 448 mg/100 mL (NDC 0941-0430-51)</v>
      </c>
      <c r="D277" s="5" t="str">
        <f>IFERROR(__xludf.DUMMYFUNCTION("""COMPUTED_VALUE"""),"New")</f>
        <v>New</v>
      </c>
      <c r="E277" s="10">
        <f>IFERROR(__xludf.DUMMYFUNCTION("""COMPUTED_VALUE"""),46237.0)</f>
        <v>46237</v>
      </c>
      <c r="F277" s="5"/>
      <c r="G277" s="5" t="str">
        <f>IFERROR(__xludf.DUMMYFUNCTION("""COMPUTED_VALUE"""),"A business decision was made to discontinue manufacture of the drug.")</f>
        <v>A business decision was made to discontinue manufacture of the drug.</v>
      </c>
      <c r="H277" s="5"/>
      <c r="I277" s="5"/>
      <c r="J277" s="5" t="str">
        <f>IFERROR(__xludf.DUMMYFUNCTION("""COMPUTED_VALUE"""),"Renal")</f>
        <v>Renal</v>
      </c>
      <c r="K277" s="5" t="str">
        <f>IFERROR(__xludf.DUMMYFUNCTION("""COMPUTED_VALUE"""),"To Be Discontinued")</f>
        <v>To Be Discontinued</v>
      </c>
      <c r="L277" s="5"/>
      <c r="M277" s="10">
        <f>IFERROR(__xludf.DUMMYFUNCTION("""COMPUTED_VALUE"""),46237.0)</f>
        <v>46237</v>
      </c>
      <c r="N277" s="10">
        <f>IFERROR(__xludf.DUMMYFUNCTION("""COMPUTED_VALUE"""),46237.0)</f>
        <v>46237</v>
      </c>
      <c r="O277" s="5">
        <v>2026.0</v>
      </c>
      <c r="P277" s="5" t="str">
        <f>IFERROR(__xludf.DUMMYFUNCTION("""COMPUTED_VALUE"""),"Not stated")</f>
        <v>Not stated</v>
      </c>
      <c r="Q277" s="5" t="s">
        <v>135</v>
      </c>
      <c r="R277" s="5" t="s">
        <v>136</v>
      </c>
      <c r="S277" s="11">
        <v>84.0</v>
      </c>
    </row>
    <row r="278">
      <c r="A278"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78" s="5" t="str">
        <f>IFERROR(__xludf.DUMMYFUNCTION("""COMPUTED_VALUE"""),"Vantive US Healthcare LLC")</f>
        <v>Vantive US Healthcare LLC</v>
      </c>
      <c r="C278" s="5" t="str">
        <f>IFERROR(__xludf.DUMMYFUNCTION("""COMPUTED_VALUE"""),"DIANEAL Low Calcium with Dextrose, Intraperitoneal Injection, Solution, 18.3 mg/100 mL; 4.25 g/100 mL; 5.08 mg/100 mL; 538 mg/100 mL; 448 mg/100 mL (NDC 0941-0433-51)")</f>
        <v>DIANEAL Low Calcium with Dextrose, Intraperitoneal Injection, Solution, 18.3 mg/100 mL; 4.25 g/100 mL; 5.08 mg/100 mL; 538 mg/100 mL; 448 mg/100 mL (NDC 0941-0433-51)</v>
      </c>
      <c r="D278" s="5" t="str">
        <f>IFERROR(__xludf.DUMMYFUNCTION("""COMPUTED_VALUE"""),"New")</f>
        <v>New</v>
      </c>
      <c r="E278" s="10">
        <f>IFERROR(__xludf.DUMMYFUNCTION("""COMPUTED_VALUE"""),46237.0)</f>
        <v>46237</v>
      </c>
      <c r="F278" s="5"/>
      <c r="G278" s="5" t="str">
        <f>IFERROR(__xludf.DUMMYFUNCTION("""COMPUTED_VALUE"""),"A business decision was made to discontinue manufacture of the drug.")</f>
        <v>A business decision was made to discontinue manufacture of the drug.</v>
      </c>
      <c r="H278" s="5"/>
      <c r="I278" s="5"/>
      <c r="J278" s="5" t="str">
        <f>IFERROR(__xludf.DUMMYFUNCTION("""COMPUTED_VALUE"""),"Renal")</f>
        <v>Renal</v>
      </c>
      <c r="K278" s="5" t="str">
        <f>IFERROR(__xludf.DUMMYFUNCTION("""COMPUTED_VALUE"""),"To Be Discontinued")</f>
        <v>To Be Discontinued</v>
      </c>
      <c r="L278" s="5"/>
      <c r="M278" s="10">
        <f>IFERROR(__xludf.DUMMYFUNCTION("""COMPUTED_VALUE"""),46237.0)</f>
        <v>46237</v>
      </c>
      <c r="N278" s="10">
        <f>IFERROR(__xludf.DUMMYFUNCTION("""COMPUTED_VALUE"""),46237.0)</f>
        <v>46237</v>
      </c>
      <c r="O278" s="5">
        <v>2026.0</v>
      </c>
      <c r="P278" s="5" t="str">
        <f>IFERROR(__xludf.DUMMYFUNCTION("""COMPUTED_VALUE"""),"Not stated")</f>
        <v>Not stated</v>
      </c>
      <c r="Q278" s="5" t="s">
        <v>135</v>
      </c>
      <c r="R278" s="5" t="s">
        <v>136</v>
      </c>
      <c r="S278" s="11">
        <v>84.0</v>
      </c>
    </row>
    <row r="279">
      <c r="A279"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79" s="5" t="str">
        <f>IFERROR(__xludf.DUMMYFUNCTION("""COMPUTED_VALUE"""),"Vantive US Healthcare LLC")</f>
        <v>Vantive US Healthcare LLC</v>
      </c>
      <c r="C279" s="5" t="str">
        <f>IFERROR(__xludf.DUMMYFUNCTION("""COMPUTED_VALUE"""),"DIANEAL Low Calcium with Dextrose, Intraperitoneal Injection, Solution, 18.3 mg/100 mL; 4.25 g/100 mL; 5.08 mg/100 mL; 538 mg/100 mL; 448 mg/100 mL (NDC 0941-0459-05)")</f>
        <v>DIANEAL Low Calcium with Dextrose, Intraperitoneal Injection, Solution, 18.3 mg/100 mL; 4.25 g/100 mL; 5.08 mg/100 mL; 538 mg/100 mL; 448 mg/100 mL (NDC 0941-0459-05)</v>
      </c>
      <c r="D279" s="5" t="str">
        <f>IFERROR(__xludf.DUMMYFUNCTION("""COMPUTED_VALUE"""),"New")</f>
        <v>New</v>
      </c>
      <c r="E279" s="10">
        <f>IFERROR(__xludf.DUMMYFUNCTION("""COMPUTED_VALUE"""),46237.0)</f>
        <v>46237</v>
      </c>
      <c r="F279" s="5"/>
      <c r="G279" s="5" t="str">
        <f>IFERROR(__xludf.DUMMYFUNCTION("""COMPUTED_VALUE"""),"A business decision was made to discontinue manufacture of the drug.")</f>
        <v>A business decision was made to discontinue manufacture of the drug.</v>
      </c>
      <c r="H279" s="5"/>
      <c r="I279" s="5"/>
      <c r="J279" s="5" t="str">
        <f>IFERROR(__xludf.DUMMYFUNCTION("""COMPUTED_VALUE"""),"Renal")</f>
        <v>Renal</v>
      </c>
      <c r="K279" s="5" t="str">
        <f>IFERROR(__xludf.DUMMYFUNCTION("""COMPUTED_VALUE"""),"To Be Discontinued")</f>
        <v>To Be Discontinued</v>
      </c>
      <c r="L279" s="5"/>
      <c r="M279" s="10">
        <f>IFERROR(__xludf.DUMMYFUNCTION("""COMPUTED_VALUE"""),46237.0)</f>
        <v>46237</v>
      </c>
      <c r="N279" s="10">
        <f>IFERROR(__xludf.DUMMYFUNCTION("""COMPUTED_VALUE"""),46237.0)</f>
        <v>46237</v>
      </c>
      <c r="O279" s="5">
        <v>2026.0</v>
      </c>
      <c r="P279" s="5" t="str">
        <f>IFERROR(__xludf.DUMMYFUNCTION("""COMPUTED_VALUE"""),"Not stated")</f>
        <v>Not stated</v>
      </c>
      <c r="Q279" s="5" t="s">
        <v>135</v>
      </c>
      <c r="R279" s="5" t="s">
        <v>136</v>
      </c>
      <c r="S279" s="11">
        <v>84.0</v>
      </c>
    </row>
    <row r="280">
      <c r="A280" s="5" t="str">
        <f>IFERROR(__xludf.DUMMYFUNCTION("""COMPUTED_VALUE"""),"Calcium Chloride; Dextrose; Magnesium Chloride; Sodium Chloride; Sodium Lactate Intraperitoneal Injection, Solution")</f>
        <v>Calcium Chloride; Dextrose; Magnesium Chloride; Sodium Chloride; Sodium Lactate Intraperitoneal Injection, Solution</v>
      </c>
      <c r="B280" s="5" t="str">
        <f>IFERROR(__xludf.DUMMYFUNCTION("""COMPUTED_VALUE"""),"Vantive US Healthcare LLC")</f>
        <v>Vantive US Healthcare LLC</v>
      </c>
      <c r="C280" s="5" t="str">
        <f>IFERROR(__xludf.DUMMYFUNCTION("""COMPUTED_VALUE"""),"DIANEAL Low Calcium with Dextrose, Intraperitoneal Injection, Solution, 18.3 mg/100 mL; 2.5 g/100 mL; 5.08 mg/100 mL; 538 mg/100 mL; 448 mg/100 mL (NDC 0941-0457-05)")</f>
        <v>DIANEAL Low Calcium with Dextrose, Intraperitoneal Injection, Solution, 18.3 mg/100 mL; 2.5 g/100 mL; 5.08 mg/100 mL; 538 mg/100 mL; 448 mg/100 mL (NDC 0941-0457-05)</v>
      </c>
      <c r="D280" s="5" t="str">
        <f>IFERROR(__xludf.DUMMYFUNCTION("""COMPUTED_VALUE"""),"New")</f>
        <v>New</v>
      </c>
      <c r="E280" s="10">
        <f>IFERROR(__xludf.DUMMYFUNCTION("""COMPUTED_VALUE"""),46237.0)</f>
        <v>46237</v>
      </c>
      <c r="F280" s="5"/>
      <c r="G280" s="5" t="str">
        <f>IFERROR(__xludf.DUMMYFUNCTION("""COMPUTED_VALUE"""),"A business decision was made to discontinue manufacture of the drug.")</f>
        <v>A business decision was made to discontinue manufacture of the drug.</v>
      </c>
      <c r="H280" s="5"/>
      <c r="I280" s="5"/>
      <c r="J280" s="5" t="str">
        <f>IFERROR(__xludf.DUMMYFUNCTION("""COMPUTED_VALUE"""),"Renal")</f>
        <v>Renal</v>
      </c>
      <c r="K280" s="5" t="str">
        <f>IFERROR(__xludf.DUMMYFUNCTION("""COMPUTED_VALUE"""),"To Be Discontinued")</f>
        <v>To Be Discontinued</v>
      </c>
      <c r="L280" s="5"/>
      <c r="M280" s="10">
        <f>IFERROR(__xludf.DUMMYFUNCTION("""COMPUTED_VALUE"""),46237.0)</f>
        <v>46237</v>
      </c>
      <c r="N280" s="10">
        <f>IFERROR(__xludf.DUMMYFUNCTION("""COMPUTED_VALUE"""),46237.0)</f>
        <v>46237</v>
      </c>
      <c r="O280" s="5">
        <v>2026.0</v>
      </c>
      <c r="P280" s="5" t="str">
        <f>IFERROR(__xludf.DUMMYFUNCTION("""COMPUTED_VALUE"""),"Not stated")</f>
        <v>Not stated</v>
      </c>
      <c r="Q280" s="5" t="s">
        <v>135</v>
      </c>
      <c r="R280" s="5" t="s">
        <v>136</v>
      </c>
      <c r="S280" s="11">
        <v>84.0</v>
      </c>
    </row>
    <row r="281">
      <c r="A281" s="5" t="str">
        <f>IFERROR(__xludf.DUMMYFUNCTION("""COMPUTED_VALUE"""),"Carbamazepine Capsule, Extended Release")</f>
        <v>Carbamazepine Capsule, Extended Release</v>
      </c>
      <c r="B281" s="5" t="str">
        <f>IFERROR(__xludf.DUMMYFUNCTION("""COMPUTED_VALUE"""),"Takeda Pharmaceuticals USA Inc.")</f>
        <v>Takeda Pharmaceuticals USA Inc.</v>
      </c>
      <c r="C281" s="5" t="str">
        <f>IFERROR(__xludf.DUMMYFUNCTION("""COMPUTED_VALUE"""),"Carbatrol, Capsule, Extended Release, 100 mg (NDC 54092-171-12)")</f>
        <v>Carbatrol, Capsule, Extended Release, 100 mg (NDC 54092-171-12)</v>
      </c>
      <c r="D281" s="5" t="str">
        <f>IFERROR(__xludf.DUMMYFUNCTION("""COMPUTED_VALUE"""),"New")</f>
        <v>New</v>
      </c>
      <c r="E281" s="13">
        <f>IFERROR(__xludf.DUMMYFUNCTION("""COMPUTED_VALUE"""),46010.0)</f>
        <v>46010</v>
      </c>
      <c r="F281" s="5"/>
      <c r="G281" s="5" t="str">
        <f>IFERROR(__xludf.DUMMYFUNCTION("""COMPUTED_VALUE"""),"Discontinuation of the manufacture of the drug")</f>
        <v>Discontinuation of the manufacture of the drug</v>
      </c>
      <c r="H281" s="5"/>
      <c r="I281" s="5"/>
      <c r="J281" s="5" t="str">
        <f>IFERROR(__xludf.DUMMYFUNCTION("""COMPUTED_VALUE"""),"Neurology")</f>
        <v>Neurology</v>
      </c>
      <c r="K281" s="5" t="str">
        <f>IFERROR(__xludf.DUMMYFUNCTION("""COMPUTED_VALUE"""),"To Be Discontinued")</f>
        <v>To Be Discontinued</v>
      </c>
      <c r="L281" s="5"/>
      <c r="M281" s="13">
        <f>IFERROR(__xludf.DUMMYFUNCTION("""COMPUTED_VALUE"""),46010.0)</f>
        <v>46010</v>
      </c>
      <c r="N281" s="13">
        <f>IFERROR(__xludf.DUMMYFUNCTION("""COMPUTED_VALUE"""),46010.0)</f>
        <v>46010</v>
      </c>
      <c r="O281" s="5">
        <v>2025.0</v>
      </c>
      <c r="P281" s="5" t="str">
        <f>IFERROR(__xludf.DUMMYFUNCTION("""COMPUTED_VALUE"""),"Not stated")</f>
        <v>Not stated</v>
      </c>
      <c r="Q281" s="5" t="s">
        <v>135</v>
      </c>
      <c r="R281" s="5" t="s">
        <v>136</v>
      </c>
      <c r="S281" s="11">
        <v>311.0</v>
      </c>
    </row>
    <row r="282">
      <c r="A282" s="5" t="str">
        <f>IFERROR(__xludf.DUMMYFUNCTION("""COMPUTED_VALUE"""),"Carbamazepine Capsule, Extended Release")</f>
        <v>Carbamazepine Capsule, Extended Release</v>
      </c>
      <c r="B282" s="5" t="str">
        <f>IFERROR(__xludf.DUMMYFUNCTION("""COMPUTED_VALUE"""),"Takeda Pharmaceuticals USA Inc.")</f>
        <v>Takeda Pharmaceuticals USA Inc.</v>
      </c>
      <c r="C282" s="5" t="str">
        <f>IFERROR(__xludf.DUMMYFUNCTION("""COMPUTED_VALUE"""),"Carbatrol, Capsule, Extended Release, 200 mg (NDC 54092-172-12)")</f>
        <v>Carbatrol, Capsule, Extended Release, 200 mg (NDC 54092-172-12)</v>
      </c>
      <c r="D282" s="5" t="str">
        <f>IFERROR(__xludf.DUMMYFUNCTION("""COMPUTED_VALUE"""),"New")</f>
        <v>New</v>
      </c>
      <c r="E282" s="13">
        <f>IFERROR(__xludf.DUMMYFUNCTION("""COMPUTED_VALUE"""),46010.0)</f>
        <v>46010</v>
      </c>
      <c r="F282" s="5"/>
      <c r="G282" s="5" t="str">
        <f>IFERROR(__xludf.DUMMYFUNCTION("""COMPUTED_VALUE"""),"Discontinuation of the manufacture of the drug")</f>
        <v>Discontinuation of the manufacture of the drug</v>
      </c>
      <c r="H282" s="5"/>
      <c r="I282" s="5"/>
      <c r="J282" s="5" t="str">
        <f>IFERROR(__xludf.DUMMYFUNCTION("""COMPUTED_VALUE"""),"Neurology")</f>
        <v>Neurology</v>
      </c>
      <c r="K282" s="5" t="str">
        <f>IFERROR(__xludf.DUMMYFUNCTION("""COMPUTED_VALUE"""),"To Be Discontinued")</f>
        <v>To Be Discontinued</v>
      </c>
      <c r="L282" s="5"/>
      <c r="M282" s="13">
        <f>IFERROR(__xludf.DUMMYFUNCTION("""COMPUTED_VALUE"""),46010.0)</f>
        <v>46010</v>
      </c>
      <c r="N282" s="13">
        <f>IFERROR(__xludf.DUMMYFUNCTION("""COMPUTED_VALUE"""),46010.0)</f>
        <v>46010</v>
      </c>
      <c r="O282" s="5">
        <v>2025.0</v>
      </c>
      <c r="P282" s="5" t="str">
        <f>IFERROR(__xludf.DUMMYFUNCTION("""COMPUTED_VALUE"""),"Not stated")</f>
        <v>Not stated</v>
      </c>
      <c r="Q282" s="5" t="s">
        <v>135</v>
      </c>
      <c r="R282" s="5" t="s">
        <v>136</v>
      </c>
      <c r="S282" s="11">
        <v>311.0</v>
      </c>
    </row>
    <row r="283">
      <c r="A283" s="5" t="str">
        <f>IFERROR(__xludf.DUMMYFUNCTION("""COMPUTED_VALUE"""),"Carbamazepine Capsule, Extended Release")</f>
        <v>Carbamazepine Capsule, Extended Release</v>
      </c>
      <c r="B283" s="5" t="str">
        <f>IFERROR(__xludf.DUMMYFUNCTION("""COMPUTED_VALUE"""),"Takeda Pharmaceuticals USA Inc.")</f>
        <v>Takeda Pharmaceuticals USA Inc.</v>
      </c>
      <c r="C283" s="5" t="str">
        <f>IFERROR(__xludf.DUMMYFUNCTION("""COMPUTED_VALUE"""),"Carbatrol, Capsule, Extended Release, 300 mg (NDC 54092-173-12)")</f>
        <v>Carbatrol, Capsule, Extended Release, 300 mg (NDC 54092-173-12)</v>
      </c>
      <c r="D283" s="5" t="str">
        <f>IFERROR(__xludf.DUMMYFUNCTION("""COMPUTED_VALUE"""),"New")</f>
        <v>New</v>
      </c>
      <c r="E283" s="13">
        <f>IFERROR(__xludf.DUMMYFUNCTION("""COMPUTED_VALUE"""),46010.0)</f>
        <v>46010</v>
      </c>
      <c r="F283" s="5"/>
      <c r="G283" s="5" t="str">
        <f>IFERROR(__xludf.DUMMYFUNCTION("""COMPUTED_VALUE"""),"Discontinuation of the manufacture of the drug")</f>
        <v>Discontinuation of the manufacture of the drug</v>
      </c>
      <c r="H283" s="5"/>
      <c r="I283" s="5"/>
      <c r="J283" s="5" t="str">
        <f>IFERROR(__xludf.DUMMYFUNCTION("""COMPUTED_VALUE"""),"Neurology")</f>
        <v>Neurology</v>
      </c>
      <c r="K283" s="5" t="str">
        <f>IFERROR(__xludf.DUMMYFUNCTION("""COMPUTED_VALUE"""),"To Be Discontinued")</f>
        <v>To Be Discontinued</v>
      </c>
      <c r="L283" s="5"/>
      <c r="M283" s="13">
        <f>IFERROR(__xludf.DUMMYFUNCTION("""COMPUTED_VALUE"""),46010.0)</f>
        <v>46010</v>
      </c>
      <c r="N283" s="13">
        <f>IFERROR(__xludf.DUMMYFUNCTION("""COMPUTED_VALUE"""),46010.0)</f>
        <v>46010</v>
      </c>
      <c r="O283" s="5">
        <v>2025.0</v>
      </c>
      <c r="P283" s="5" t="str">
        <f>IFERROR(__xludf.DUMMYFUNCTION("""COMPUTED_VALUE"""),"Not stated")</f>
        <v>Not stated</v>
      </c>
      <c r="Q283" s="5" t="s">
        <v>135</v>
      </c>
      <c r="R283" s="5" t="s">
        <v>136</v>
      </c>
      <c r="S283" s="11">
        <v>311.0</v>
      </c>
    </row>
    <row r="284">
      <c r="A284" s="5" t="str">
        <f>IFERROR(__xludf.DUMMYFUNCTION("""COMPUTED_VALUE"""),"Carboplatin Injection")</f>
        <v>Carboplatin Injection</v>
      </c>
      <c r="B284" s="5" t="str">
        <f>IFERROR(__xludf.DUMMYFUNCTION("""COMPUTED_VALUE"""),"Avyxa Pharma, LLC")</f>
        <v>Avyxa Pharma, LLC</v>
      </c>
      <c r="C284" s="5" t="str">
        <f>IFERROR(__xludf.DUMMYFUNCTION("""COMPUTED_VALUE"""),"Kyxata, Injection, 80 mg/8 mL (10 mg/mL) (NDC 83831-141-08)")</f>
        <v>Kyxata, Injection, 80 mg/8 mL (10 mg/mL) (NDC 83831-141-08)</v>
      </c>
      <c r="D284" s="5" t="str">
        <f>IFERROR(__xludf.DUMMYFUNCTION("""COMPUTED_VALUE"""),"Reverified")</f>
        <v>Reverified</v>
      </c>
      <c r="E284" s="10">
        <f>IFERROR(__xludf.DUMMYFUNCTION("""COMPUTED_VALUE"""),46266.0)</f>
        <v>46266</v>
      </c>
      <c r="F284" s="5" t="str">
        <f>IFERROR(__xludf.DUMMYFUNCTION("""COMPUTED_VALUE"""),"Available")</f>
        <v>Available</v>
      </c>
      <c r="G284" s="5"/>
      <c r="H284" s="5"/>
      <c r="I284" s="5"/>
      <c r="J284" s="5" t="str">
        <f>IFERROR(__xludf.DUMMYFUNCTION("""COMPUTED_VALUE"""),"Oncology")</f>
        <v>Oncology</v>
      </c>
      <c r="K284" s="5" t="str">
        <f>IFERROR(__xludf.DUMMYFUNCTION("""COMPUTED_VALUE"""),"Current")</f>
        <v>Current</v>
      </c>
      <c r="L284" s="5"/>
      <c r="M284" s="5"/>
      <c r="N284" s="10">
        <f>IFERROR(__xludf.DUMMYFUNCTION("""COMPUTED_VALUE"""),45044.0)</f>
        <v>45044</v>
      </c>
      <c r="O284" s="5">
        <v>2023.0</v>
      </c>
      <c r="P284" s="5" t="str">
        <f>IFERROR(__xludf.DUMMYFUNCTION("""COMPUTED_VALUE"""),"Available")</f>
        <v>Available</v>
      </c>
      <c r="Q284" s="5" t="s">
        <v>135</v>
      </c>
      <c r="R284" s="5" t="s">
        <v>136</v>
      </c>
      <c r="S284" s="11">
        <v>1277.0</v>
      </c>
    </row>
    <row r="285">
      <c r="A285" s="5" t="str">
        <f>IFERROR(__xludf.DUMMYFUNCTION("""COMPUTED_VALUE"""),"Carboplatin Injection")</f>
        <v>Carboplatin Injection</v>
      </c>
      <c r="B285" s="5" t="str">
        <f>IFERROR(__xludf.DUMMYFUNCTION("""COMPUTED_VALUE"""),"Avyxa Pharma, LLC")</f>
        <v>Avyxa Pharma, LLC</v>
      </c>
      <c r="C285" s="5" t="str">
        <f>IFERROR(__xludf.DUMMYFUNCTION("""COMPUTED_VALUE"""),"Kyxata, Injection, 500 mg/50 mL (10 mg/mL) (NDC 83831-142-50)")</f>
        <v>Kyxata, Injection, 500 mg/50 mL (10 mg/mL) (NDC 83831-142-50)</v>
      </c>
      <c r="D285" s="5" t="str">
        <f>IFERROR(__xludf.DUMMYFUNCTION("""COMPUTED_VALUE"""),"Reverified")</f>
        <v>Reverified</v>
      </c>
      <c r="E285" s="10">
        <f>IFERROR(__xludf.DUMMYFUNCTION("""COMPUTED_VALUE"""),46266.0)</f>
        <v>46266</v>
      </c>
      <c r="F285" s="5" t="str">
        <f>IFERROR(__xludf.DUMMYFUNCTION("""COMPUTED_VALUE"""),"Available")</f>
        <v>Available</v>
      </c>
      <c r="G285" s="5"/>
      <c r="H285" s="5"/>
      <c r="I285" s="5"/>
      <c r="J285" s="5" t="str">
        <f>IFERROR(__xludf.DUMMYFUNCTION("""COMPUTED_VALUE"""),"Oncology")</f>
        <v>Oncology</v>
      </c>
      <c r="K285" s="5" t="str">
        <f>IFERROR(__xludf.DUMMYFUNCTION("""COMPUTED_VALUE"""),"Current")</f>
        <v>Current</v>
      </c>
      <c r="L285" s="5"/>
      <c r="M285" s="5"/>
      <c r="N285" s="10">
        <f>IFERROR(__xludf.DUMMYFUNCTION("""COMPUTED_VALUE"""),45044.0)</f>
        <v>45044</v>
      </c>
      <c r="O285" s="5">
        <v>2023.0</v>
      </c>
      <c r="P285" s="5" t="str">
        <f>IFERROR(__xludf.DUMMYFUNCTION("""COMPUTED_VALUE"""),"Available")</f>
        <v>Available</v>
      </c>
      <c r="Q285" s="5" t="s">
        <v>135</v>
      </c>
      <c r="R285" s="5" t="s">
        <v>136</v>
      </c>
      <c r="S285" s="11">
        <v>1277.0</v>
      </c>
    </row>
    <row r="286">
      <c r="A286" s="5" t="str">
        <f>IFERROR(__xludf.DUMMYFUNCTION("""COMPUTED_VALUE"""),"Carboplatin Injection")</f>
        <v>Carboplatin Injection</v>
      </c>
      <c r="B286" s="5" t="str">
        <f>IFERROR(__xludf.DUMMYFUNCTION("""COMPUTED_VALUE"""),"Ingenus Pharmaceuticals LLC")</f>
        <v>Ingenus Pharmaceuticals LLC</v>
      </c>
      <c r="C286" s="5" t="str">
        <f>IFERROR(__xludf.DUMMYFUNCTION("""COMPUTED_VALUE"""),"Carboplatin, Injection, 450 mg/45 mL (NDC 50742-447-45)")</f>
        <v>Carboplatin, Injection, 450 mg/45 mL (NDC 50742-447-45)</v>
      </c>
      <c r="D286" s="5" t="str">
        <f>IFERROR(__xludf.DUMMYFUNCTION("""COMPUTED_VALUE"""),"New")</f>
        <v>New</v>
      </c>
      <c r="E286" s="10">
        <f>IFERROR(__xludf.DUMMYFUNCTION("""COMPUTED_VALUE"""),46073.0)</f>
        <v>46073</v>
      </c>
      <c r="F286" s="5"/>
      <c r="G286" s="5" t="str">
        <f>IFERROR(__xludf.DUMMYFUNCTION("""COMPUTED_VALUE"""),"Discontinuation of the manufacture of the drug")</f>
        <v>Discontinuation of the manufacture of the drug</v>
      </c>
      <c r="H286" s="5"/>
      <c r="I286" s="5"/>
      <c r="J286" s="5" t="str">
        <f>IFERROR(__xludf.DUMMYFUNCTION("""COMPUTED_VALUE"""),"Oncology")</f>
        <v>Oncology</v>
      </c>
      <c r="K286" s="5" t="str">
        <f>IFERROR(__xludf.DUMMYFUNCTION("""COMPUTED_VALUE"""),"To Be Discontinued")</f>
        <v>To Be Discontinued</v>
      </c>
      <c r="L286" s="5"/>
      <c r="M286" s="10">
        <f>IFERROR(__xludf.DUMMYFUNCTION("""COMPUTED_VALUE"""),46073.0)</f>
        <v>46073</v>
      </c>
      <c r="N286" s="10">
        <f>IFERROR(__xludf.DUMMYFUNCTION("""COMPUTED_VALUE"""),46073.0)</f>
        <v>46073</v>
      </c>
      <c r="O286" s="5">
        <v>2026.0</v>
      </c>
      <c r="P286" s="5" t="str">
        <f>IFERROR(__xludf.DUMMYFUNCTION("""COMPUTED_VALUE"""),"Not stated")</f>
        <v>Not stated</v>
      </c>
      <c r="Q286" s="5" t="s">
        <v>135</v>
      </c>
      <c r="R286" s="5" t="s">
        <v>136</v>
      </c>
      <c r="S286" s="11">
        <v>248.0</v>
      </c>
    </row>
    <row r="287">
      <c r="A287" s="5" t="str">
        <f>IFERROR(__xludf.DUMMYFUNCTION("""COMPUTED_VALUE"""),"Carboplatin Injection")</f>
        <v>Carboplatin Injection</v>
      </c>
      <c r="B287" s="5" t="str">
        <f>IFERROR(__xludf.DUMMYFUNCTION("""COMPUTED_VALUE"""),"Ingenus Pharmaceuticals LLC")</f>
        <v>Ingenus Pharmaceuticals LLC</v>
      </c>
      <c r="C287" s="5" t="str">
        <f>IFERROR(__xludf.DUMMYFUNCTION("""COMPUTED_VALUE"""),"Carboplatin, Injection, 600 mg/60 mL (NDC 50742-448-60)")</f>
        <v>Carboplatin, Injection, 600 mg/60 mL (NDC 50742-448-60)</v>
      </c>
      <c r="D287" s="5" t="str">
        <f>IFERROR(__xludf.DUMMYFUNCTION("""COMPUTED_VALUE"""),"New")</f>
        <v>New</v>
      </c>
      <c r="E287" s="10">
        <f>IFERROR(__xludf.DUMMYFUNCTION("""COMPUTED_VALUE"""),46073.0)</f>
        <v>46073</v>
      </c>
      <c r="F287" s="5"/>
      <c r="G287" s="5" t="str">
        <f>IFERROR(__xludf.DUMMYFUNCTION("""COMPUTED_VALUE"""),"Discontinuation of the manufacture of the drug")</f>
        <v>Discontinuation of the manufacture of the drug</v>
      </c>
      <c r="H287" s="5"/>
      <c r="I287" s="5"/>
      <c r="J287" s="5" t="str">
        <f>IFERROR(__xludf.DUMMYFUNCTION("""COMPUTED_VALUE"""),"Oncology")</f>
        <v>Oncology</v>
      </c>
      <c r="K287" s="5" t="str">
        <f>IFERROR(__xludf.DUMMYFUNCTION("""COMPUTED_VALUE"""),"To Be Discontinued")</f>
        <v>To Be Discontinued</v>
      </c>
      <c r="L287" s="5"/>
      <c r="M287" s="10">
        <f>IFERROR(__xludf.DUMMYFUNCTION("""COMPUTED_VALUE"""),46073.0)</f>
        <v>46073</v>
      </c>
      <c r="N287" s="10">
        <f>IFERROR(__xludf.DUMMYFUNCTION("""COMPUTED_VALUE"""),46073.0)</f>
        <v>46073</v>
      </c>
      <c r="O287" s="5">
        <v>2026.0</v>
      </c>
      <c r="P287" s="5" t="str">
        <f>IFERROR(__xludf.DUMMYFUNCTION("""COMPUTED_VALUE"""),"Not stated")</f>
        <v>Not stated</v>
      </c>
      <c r="Q287" s="5" t="s">
        <v>135</v>
      </c>
      <c r="R287" s="5" t="s">
        <v>136</v>
      </c>
      <c r="S287" s="11">
        <v>248.0</v>
      </c>
    </row>
    <row r="288">
      <c r="A288" s="5" t="str">
        <f>IFERROR(__xludf.DUMMYFUNCTION("""COMPUTED_VALUE"""),"Carboplatin Injection")</f>
        <v>Carboplatin Injection</v>
      </c>
      <c r="B288" s="5" t="str">
        <f>IFERROR(__xludf.DUMMYFUNCTION("""COMPUTED_VALUE"""),"Accord Healthcare Inc.")</f>
        <v>Accord Healthcare Inc.</v>
      </c>
      <c r="C288" s="5" t="str">
        <f>IFERROR(__xludf.DUMMYFUNCTION("""COMPUTED_VALUE"""),"Carboplatin, Injection, 10 mg/1 mL (NDC 16729-295-33)")</f>
        <v>Carboplatin, Injection, 10 mg/1 mL (NDC 16729-295-33)</v>
      </c>
      <c r="D288" s="5" t="str">
        <f>IFERROR(__xludf.DUMMYFUNCTION("""COMPUTED_VALUE"""),"Reverified")</f>
        <v>Reverified</v>
      </c>
      <c r="E288" s="13">
        <f>IFERROR(__xludf.DUMMYFUNCTION("""COMPUTED_VALUE"""),46312.0)</f>
        <v>46312</v>
      </c>
      <c r="F288" s="5" t="str">
        <f>IFERROR(__xludf.DUMMYFUNCTION("""COMPUTED_VALUE"""),"Unavailable")</f>
        <v>Unavailable</v>
      </c>
      <c r="G288" s="5" t="str">
        <f>IFERROR(__xludf.DUMMYFUNCTION("""COMPUTED_VALUE"""),"Estimated recovery: TBD/ NDC non-Exempt")</f>
        <v>Estimated recovery: TBD/ NDC non-Exempt</v>
      </c>
      <c r="H288" s="5"/>
      <c r="I288" s="5" t="str">
        <f>IFERROR(__xludf.DUMMYFUNCTION("""COMPUTED_VALUE"""),"Demand increase for the drug")</f>
        <v>Demand increase for the drug</v>
      </c>
      <c r="J288" s="5" t="str">
        <f>IFERROR(__xludf.DUMMYFUNCTION("""COMPUTED_VALUE"""),"Oncology")</f>
        <v>Oncology</v>
      </c>
      <c r="K288" s="5" t="str">
        <f>IFERROR(__xludf.DUMMYFUNCTION("""COMPUTED_VALUE"""),"Current")</f>
        <v>Current</v>
      </c>
      <c r="L288" s="5"/>
      <c r="M288" s="5"/>
      <c r="N288" s="10">
        <f>IFERROR(__xludf.DUMMYFUNCTION("""COMPUTED_VALUE"""),45044.0)</f>
        <v>45044</v>
      </c>
      <c r="O288" s="5">
        <v>2023.0</v>
      </c>
      <c r="P288" s="5" t="str">
        <f>IFERROR(__xludf.DUMMYFUNCTION("""COMPUTED_VALUE"""),"Unavailable")</f>
        <v>Unavailable</v>
      </c>
      <c r="Q288" s="5" t="s">
        <v>134</v>
      </c>
      <c r="R288" s="5" t="s">
        <v>136</v>
      </c>
      <c r="S288" s="11">
        <v>1277.0</v>
      </c>
    </row>
    <row r="289">
      <c r="A289" s="5" t="str">
        <f>IFERROR(__xludf.DUMMYFUNCTION("""COMPUTED_VALUE"""),"Carboplatin Injection")</f>
        <v>Carboplatin Injection</v>
      </c>
      <c r="B289" s="5" t="str">
        <f>IFERROR(__xludf.DUMMYFUNCTION("""COMPUTED_VALUE"""),"Accord Healthcare Inc.")</f>
        <v>Accord Healthcare Inc.</v>
      </c>
      <c r="C289" s="5" t="str">
        <f>IFERROR(__xludf.DUMMYFUNCTION("""COMPUTED_VALUE"""),"Carboplatin, Injection, 10 mg/1 mL (NDC 16729-295-31)")</f>
        <v>Carboplatin, Injection, 10 mg/1 mL (NDC 16729-295-31)</v>
      </c>
      <c r="D289" s="5" t="str">
        <f>IFERROR(__xludf.DUMMYFUNCTION("""COMPUTED_VALUE"""),"Reverified")</f>
        <v>Reverified</v>
      </c>
      <c r="E289" s="13">
        <f>IFERROR(__xludf.DUMMYFUNCTION("""COMPUTED_VALUE"""),46312.0)</f>
        <v>46312</v>
      </c>
      <c r="F289" s="5" t="str">
        <f>IFERROR(__xludf.DUMMYFUNCTION("""COMPUTED_VALUE"""),"Unavailable")</f>
        <v>Unavailable</v>
      </c>
      <c r="G289" s="5" t="str">
        <f>IFERROR(__xludf.DUMMYFUNCTION("""COMPUTED_VALUE"""),"Estimated recovery: TBD/ NDC non-Exempt")</f>
        <v>Estimated recovery: TBD/ NDC non-Exempt</v>
      </c>
      <c r="H289" s="5"/>
      <c r="I289" s="5" t="str">
        <f>IFERROR(__xludf.DUMMYFUNCTION("""COMPUTED_VALUE"""),"Demand increase for the drug")</f>
        <v>Demand increase for the drug</v>
      </c>
      <c r="J289" s="5" t="str">
        <f>IFERROR(__xludf.DUMMYFUNCTION("""COMPUTED_VALUE"""),"Oncology")</f>
        <v>Oncology</v>
      </c>
      <c r="K289" s="5" t="str">
        <f>IFERROR(__xludf.DUMMYFUNCTION("""COMPUTED_VALUE"""),"Current")</f>
        <v>Current</v>
      </c>
      <c r="L289" s="5"/>
      <c r="M289" s="5"/>
      <c r="N289" s="10">
        <f>IFERROR(__xludf.DUMMYFUNCTION("""COMPUTED_VALUE"""),45044.0)</f>
        <v>45044</v>
      </c>
      <c r="O289" s="5">
        <v>2023.0</v>
      </c>
      <c r="P289" s="5" t="str">
        <f>IFERROR(__xludf.DUMMYFUNCTION("""COMPUTED_VALUE"""),"Unavailable")</f>
        <v>Unavailable</v>
      </c>
      <c r="Q289" s="5" t="s">
        <v>134</v>
      </c>
      <c r="R289" s="5" t="s">
        <v>136</v>
      </c>
      <c r="S289" s="11">
        <v>1277.0</v>
      </c>
    </row>
    <row r="290">
      <c r="A290" s="5" t="str">
        <f>IFERROR(__xludf.DUMMYFUNCTION("""COMPUTED_VALUE"""),"Carboplatin Injection")</f>
        <v>Carboplatin Injection</v>
      </c>
      <c r="B290" s="5" t="str">
        <f>IFERROR(__xludf.DUMMYFUNCTION("""COMPUTED_VALUE"""),"Gland Pharma Limited")</f>
        <v>Gland Pharma Limited</v>
      </c>
      <c r="C290" s="5" t="str">
        <f>IFERROR(__xludf.DUMMYFUNCTION("""COMPUTED_VALUE"""),"Carboplatin, Injection, 50mg/5mL (NDC 54288-164-01)")</f>
        <v>Carboplatin, Injection, 50mg/5mL (NDC 54288-164-01)</v>
      </c>
      <c r="D290" s="5" t="str">
        <f>IFERROR(__xludf.DUMMYFUNCTION("""COMPUTED_VALUE"""),"Reverified")</f>
        <v>Reverified</v>
      </c>
      <c r="E290" s="13">
        <f>IFERROR(__xludf.DUMMYFUNCTION("""COMPUTED_VALUE"""),46316.0)</f>
        <v>46316</v>
      </c>
      <c r="F290" s="5" t="str">
        <f>IFERROR(__xludf.DUMMYFUNCTION("""COMPUTED_VALUE"""),"Unavailable")</f>
        <v>Unavailable</v>
      </c>
      <c r="G290" s="5" t="str">
        <f>IFERROR(__xludf.DUMMYFUNCTION("""COMPUTED_VALUE"""),"Discontinued; Distributed by BPI Labs, LLC")</f>
        <v>Discontinued; Distributed by BPI Labs, LLC</v>
      </c>
      <c r="H290" s="5"/>
      <c r="I290" s="5" t="str">
        <f>IFERROR(__xludf.DUMMYFUNCTION("""COMPUTED_VALUE"""),"Discontinuation of the manufacture of the drug")</f>
        <v>Discontinuation of the manufacture of the drug</v>
      </c>
      <c r="J290" s="5" t="str">
        <f>IFERROR(__xludf.DUMMYFUNCTION("""COMPUTED_VALUE"""),"Oncology")</f>
        <v>Oncology</v>
      </c>
      <c r="K290" s="5" t="str">
        <f>IFERROR(__xludf.DUMMYFUNCTION("""COMPUTED_VALUE"""),"Current")</f>
        <v>Current</v>
      </c>
      <c r="L290" s="5"/>
      <c r="M290" s="5"/>
      <c r="N290" s="10">
        <f>IFERROR(__xludf.DUMMYFUNCTION("""COMPUTED_VALUE"""),45044.0)</f>
        <v>45044</v>
      </c>
      <c r="O290" s="5">
        <v>2023.0</v>
      </c>
      <c r="P290" s="5" t="str">
        <f>IFERROR(__xludf.DUMMYFUNCTION("""COMPUTED_VALUE"""),"Unavailable")</f>
        <v>Unavailable</v>
      </c>
      <c r="Q290" s="5" t="s">
        <v>33</v>
      </c>
      <c r="R290" s="5" t="s">
        <v>136</v>
      </c>
      <c r="S290" s="11">
        <v>1277.0</v>
      </c>
    </row>
    <row r="291">
      <c r="A291" s="5" t="str">
        <f>IFERROR(__xludf.DUMMYFUNCTION("""COMPUTED_VALUE"""),"Carboplatin Injection")</f>
        <v>Carboplatin Injection</v>
      </c>
      <c r="B291" s="5" t="str">
        <f>IFERROR(__xludf.DUMMYFUNCTION("""COMPUTED_VALUE"""),"Gland Pharma Limited")</f>
        <v>Gland Pharma Limited</v>
      </c>
      <c r="C291" s="5" t="str">
        <f>IFERROR(__xludf.DUMMYFUNCTION("""COMPUTED_VALUE"""),"Carboplatin, Injection, 150mg/15mL (NDC 54288-165-01)")</f>
        <v>Carboplatin, Injection, 150mg/15mL (NDC 54288-165-01)</v>
      </c>
      <c r="D291" s="5" t="str">
        <f>IFERROR(__xludf.DUMMYFUNCTION("""COMPUTED_VALUE"""),"Reverified")</f>
        <v>Reverified</v>
      </c>
      <c r="E291" s="13">
        <f>IFERROR(__xludf.DUMMYFUNCTION("""COMPUTED_VALUE"""),46316.0)</f>
        <v>46316</v>
      </c>
      <c r="F291" s="5" t="str">
        <f>IFERROR(__xludf.DUMMYFUNCTION("""COMPUTED_VALUE"""),"Available")</f>
        <v>Available</v>
      </c>
      <c r="G291" s="5" t="str">
        <f>IFERROR(__xludf.DUMMYFUNCTION("""COMPUTED_VALUE"""),"Distributed by BPI Labs, LLC")</f>
        <v>Distributed by BPI Labs, LLC</v>
      </c>
      <c r="H291" s="5"/>
      <c r="I291" s="5"/>
      <c r="J291" s="5" t="str">
        <f>IFERROR(__xludf.DUMMYFUNCTION("""COMPUTED_VALUE"""),"Oncology")</f>
        <v>Oncology</v>
      </c>
      <c r="K291" s="5" t="str">
        <f>IFERROR(__xludf.DUMMYFUNCTION("""COMPUTED_VALUE"""),"Current")</f>
        <v>Current</v>
      </c>
      <c r="L291" s="5"/>
      <c r="M291" s="5"/>
      <c r="N291" s="10">
        <f>IFERROR(__xludf.DUMMYFUNCTION("""COMPUTED_VALUE"""),45044.0)</f>
        <v>45044</v>
      </c>
      <c r="O291" s="5">
        <v>2023.0</v>
      </c>
      <c r="P291" s="5" t="str">
        <f>IFERROR(__xludf.DUMMYFUNCTION("""COMPUTED_VALUE"""),"Available")</f>
        <v>Available</v>
      </c>
      <c r="Q291" s="5" t="s">
        <v>135</v>
      </c>
      <c r="R291" s="5" t="s">
        <v>136</v>
      </c>
      <c r="S291" s="11">
        <v>1277.0</v>
      </c>
    </row>
    <row r="292">
      <c r="A292" s="5" t="str">
        <f>IFERROR(__xludf.DUMMYFUNCTION("""COMPUTED_VALUE"""),"Carboplatin Injection")</f>
        <v>Carboplatin Injection</v>
      </c>
      <c r="B292" s="5" t="str">
        <f>IFERROR(__xludf.DUMMYFUNCTION("""COMPUTED_VALUE"""),"Gland Pharma Limited")</f>
        <v>Gland Pharma Limited</v>
      </c>
      <c r="C292" s="5" t="str">
        <f>IFERROR(__xludf.DUMMYFUNCTION("""COMPUTED_VALUE"""),"Carboplatin, Injection, 450mg/45mL (NDC 54288-166-01)")</f>
        <v>Carboplatin, Injection, 450mg/45mL (NDC 54288-166-01)</v>
      </c>
      <c r="D292" s="5" t="str">
        <f>IFERROR(__xludf.DUMMYFUNCTION("""COMPUTED_VALUE"""),"Reverified")</f>
        <v>Reverified</v>
      </c>
      <c r="E292" s="13">
        <f>IFERROR(__xludf.DUMMYFUNCTION("""COMPUTED_VALUE"""),46316.0)</f>
        <v>46316</v>
      </c>
      <c r="F292" s="5" t="str">
        <f>IFERROR(__xludf.DUMMYFUNCTION("""COMPUTED_VALUE"""),"Limited Availability")</f>
        <v>Limited Availability</v>
      </c>
      <c r="G292" s="5" t="str">
        <f>IFERROR(__xludf.DUMMYFUNCTION("""COMPUTED_VALUE"""),"Recovery estimated in late Q4 2026; Distributed by BPI Labs, LLC")</f>
        <v>Recovery estimated in late Q4 2026; Distributed by BPI Labs, LLC</v>
      </c>
      <c r="H292" s="5"/>
      <c r="I292" s="5" t="str">
        <f>IFERROR(__xludf.DUMMYFUNCTION("""COMPUTED_VALUE"""),"Demand increase for the drug")</f>
        <v>Demand increase for the drug</v>
      </c>
      <c r="J292" s="5" t="str">
        <f>IFERROR(__xludf.DUMMYFUNCTION("""COMPUTED_VALUE"""),"Oncology")</f>
        <v>Oncology</v>
      </c>
      <c r="K292" s="5" t="str">
        <f>IFERROR(__xludf.DUMMYFUNCTION("""COMPUTED_VALUE"""),"Current")</f>
        <v>Current</v>
      </c>
      <c r="L292" s="5"/>
      <c r="M292" s="5"/>
      <c r="N292" s="10">
        <f>IFERROR(__xludf.DUMMYFUNCTION("""COMPUTED_VALUE"""),45044.0)</f>
        <v>45044</v>
      </c>
      <c r="O292" s="5">
        <v>2023.0</v>
      </c>
      <c r="P292" s="5" t="str">
        <f>IFERROR(__xludf.DUMMYFUNCTION("""COMPUTED_VALUE"""),"Limited Availability")</f>
        <v>Limited Availability</v>
      </c>
      <c r="Q292" s="5" t="s">
        <v>134</v>
      </c>
      <c r="R292" s="5" t="s">
        <v>136</v>
      </c>
      <c r="S292" s="11">
        <v>1277.0</v>
      </c>
    </row>
    <row r="293">
      <c r="A293" s="5" t="str">
        <f>IFERROR(__xludf.DUMMYFUNCTION("""COMPUTED_VALUE"""),"Carboplatin Injection")</f>
        <v>Carboplatin Injection</v>
      </c>
      <c r="B293" s="5" t="str">
        <f>IFERROR(__xludf.DUMMYFUNCTION("""COMPUTED_VALUE"""),"Gland Pharma Limited")</f>
        <v>Gland Pharma Limited</v>
      </c>
      <c r="C293" s="5" t="str">
        <f>IFERROR(__xludf.DUMMYFUNCTION("""COMPUTED_VALUE"""),"Carboplatin, Injection, 600 mg/65 mL (NDC 54288-167-01)")</f>
        <v>Carboplatin, Injection, 600 mg/65 mL (NDC 54288-167-01)</v>
      </c>
      <c r="D293" s="5" t="str">
        <f>IFERROR(__xludf.DUMMYFUNCTION("""COMPUTED_VALUE"""),"Reverified")</f>
        <v>Reverified</v>
      </c>
      <c r="E293" s="13">
        <f>IFERROR(__xludf.DUMMYFUNCTION("""COMPUTED_VALUE"""),46316.0)</f>
        <v>46316</v>
      </c>
      <c r="F293" s="5" t="str">
        <f>IFERROR(__xludf.DUMMYFUNCTION("""COMPUTED_VALUE"""),"Limited Availability")</f>
        <v>Limited Availability</v>
      </c>
      <c r="G293" s="5" t="str">
        <f>IFERROR(__xludf.DUMMYFUNCTION("""COMPUTED_VALUE"""),"Recovery estimated in late Q4 2026; Distributed by BPI Labs, LLC")</f>
        <v>Recovery estimated in late Q4 2026; Distributed by BPI Labs, LLC</v>
      </c>
      <c r="H293" s="5"/>
      <c r="I293" s="5" t="str">
        <f>IFERROR(__xludf.DUMMYFUNCTION("""COMPUTED_VALUE"""),"Demand increase for the drug")</f>
        <v>Demand increase for the drug</v>
      </c>
      <c r="J293" s="5" t="str">
        <f>IFERROR(__xludf.DUMMYFUNCTION("""COMPUTED_VALUE"""),"Oncology")</f>
        <v>Oncology</v>
      </c>
      <c r="K293" s="5" t="str">
        <f>IFERROR(__xludf.DUMMYFUNCTION("""COMPUTED_VALUE"""),"Current")</f>
        <v>Current</v>
      </c>
      <c r="L293" s="5"/>
      <c r="M293" s="5"/>
      <c r="N293" s="10">
        <f>IFERROR(__xludf.DUMMYFUNCTION("""COMPUTED_VALUE"""),45044.0)</f>
        <v>45044</v>
      </c>
      <c r="O293" s="5">
        <v>2023.0</v>
      </c>
      <c r="P293" s="5" t="str">
        <f>IFERROR(__xludf.DUMMYFUNCTION("""COMPUTED_VALUE"""),"Limited Availability")</f>
        <v>Limited Availability</v>
      </c>
      <c r="Q293" s="5" t="s">
        <v>134</v>
      </c>
      <c r="R293" s="5" t="s">
        <v>136</v>
      </c>
      <c r="S293" s="11">
        <v>1277.0</v>
      </c>
    </row>
    <row r="294">
      <c r="A294" s="5" t="str">
        <f>IFERROR(__xludf.DUMMYFUNCTION("""COMPUTED_VALUE"""),"Carboplatin Injection")</f>
        <v>Carboplatin Injection</v>
      </c>
      <c r="B294" s="5" t="str">
        <f>IFERROR(__xludf.DUMMYFUNCTION("""COMPUTED_VALUE"""),"Eugia US LLC")</f>
        <v>Eugia US LLC</v>
      </c>
      <c r="C294" s="5" t="str">
        <f>IFERROR(__xludf.DUMMYFUNCTION("""COMPUTED_VALUE"""),"Carboplatin, Injection, 450 mg/45 mL (NDC 55150-335-01)")</f>
        <v>Carboplatin, Injection, 450 mg/45 mL (NDC 55150-335-01)</v>
      </c>
      <c r="D294" s="5" t="str">
        <f>IFERROR(__xludf.DUMMYFUNCTION("""COMPUTED_VALUE"""),"Revised")</f>
        <v>Revised</v>
      </c>
      <c r="E294" s="13">
        <f>IFERROR(__xludf.DUMMYFUNCTION("""COMPUTED_VALUE"""),46314.0)</f>
        <v>46314</v>
      </c>
      <c r="F294" s="5" t="str">
        <f>IFERROR(__xludf.DUMMYFUNCTION("""COMPUTED_VALUE"""),"Unavailable")</f>
        <v>Unavailable</v>
      </c>
      <c r="G294" s="5" t="str">
        <f>IFERROR(__xludf.DUMMYFUNCTION("""COMPUTED_VALUE"""),"On backorder. Recovery: late-October 2026. Check wholesalers for inventory")</f>
        <v>On backorder. Recovery: late-October 2026. Check wholesalers for inventory</v>
      </c>
      <c r="H294" s="5"/>
      <c r="I294" s="5" t="str">
        <f>IFERROR(__xludf.DUMMYFUNCTION("""COMPUTED_VALUE"""),"Demand increase for the drug")</f>
        <v>Demand increase for the drug</v>
      </c>
      <c r="J294" s="5" t="str">
        <f>IFERROR(__xludf.DUMMYFUNCTION("""COMPUTED_VALUE"""),"Oncology")</f>
        <v>Oncology</v>
      </c>
      <c r="K294" s="5" t="str">
        <f>IFERROR(__xludf.DUMMYFUNCTION("""COMPUTED_VALUE"""),"Current")</f>
        <v>Current</v>
      </c>
      <c r="L294" s="5"/>
      <c r="M294" s="5"/>
      <c r="N294" s="10">
        <f>IFERROR(__xludf.DUMMYFUNCTION("""COMPUTED_VALUE"""),45044.0)</f>
        <v>45044</v>
      </c>
      <c r="O294" s="5">
        <v>2023.0</v>
      </c>
      <c r="P294" s="5" t="str">
        <f>IFERROR(__xludf.DUMMYFUNCTION("""COMPUTED_VALUE"""),"Unavailable")</f>
        <v>Unavailable</v>
      </c>
      <c r="Q294" s="5" t="s">
        <v>134</v>
      </c>
      <c r="R294" s="5" t="s">
        <v>136</v>
      </c>
      <c r="S294" s="11">
        <v>1277.0</v>
      </c>
    </row>
    <row r="295">
      <c r="A295" s="5" t="str">
        <f>IFERROR(__xludf.DUMMYFUNCTION("""COMPUTED_VALUE"""),"Carboplatin Injection")</f>
        <v>Carboplatin Injection</v>
      </c>
      <c r="B295" s="5" t="str">
        <f>IFERROR(__xludf.DUMMYFUNCTION("""COMPUTED_VALUE"""),"Eugia US LLC")</f>
        <v>Eugia US LLC</v>
      </c>
      <c r="C295" s="5" t="str">
        <f>IFERROR(__xludf.DUMMYFUNCTION("""COMPUTED_VALUE"""),"Carboplatin, Injection, 600 mg/60 mL (NDC 55150-386-01)")</f>
        <v>Carboplatin, Injection, 600 mg/60 mL (NDC 55150-386-01)</v>
      </c>
      <c r="D295" s="5" t="str">
        <f>IFERROR(__xludf.DUMMYFUNCTION("""COMPUTED_VALUE"""),"Reverified")</f>
        <v>Reverified</v>
      </c>
      <c r="E295" s="13">
        <f>IFERROR(__xludf.DUMMYFUNCTION("""COMPUTED_VALUE"""),46314.0)</f>
        <v>46314</v>
      </c>
      <c r="F295" s="5" t="str">
        <f>IFERROR(__xludf.DUMMYFUNCTION("""COMPUTED_VALUE"""),"Available")</f>
        <v>Available</v>
      </c>
      <c r="G295" s="5" t="str">
        <f>IFERROR(__xludf.DUMMYFUNCTION("""COMPUTED_VALUE"""),"Check wholesalers for inventory")</f>
        <v>Check wholesalers for inventory</v>
      </c>
      <c r="H295" s="5"/>
      <c r="I295" s="5"/>
      <c r="J295" s="5" t="str">
        <f>IFERROR(__xludf.DUMMYFUNCTION("""COMPUTED_VALUE"""),"Oncology")</f>
        <v>Oncology</v>
      </c>
      <c r="K295" s="5" t="str">
        <f>IFERROR(__xludf.DUMMYFUNCTION("""COMPUTED_VALUE"""),"Current")</f>
        <v>Current</v>
      </c>
      <c r="L295" s="5"/>
      <c r="M295" s="5"/>
      <c r="N295" s="10">
        <f>IFERROR(__xludf.DUMMYFUNCTION("""COMPUTED_VALUE"""),45044.0)</f>
        <v>45044</v>
      </c>
      <c r="O295" s="5">
        <v>2023.0</v>
      </c>
      <c r="P295" s="5" t="str">
        <f>IFERROR(__xludf.DUMMYFUNCTION("""COMPUTED_VALUE"""),"Available")</f>
        <v>Available</v>
      </c>
      <c r="Q295" s="5" t="s">
        <v>135</v>
      </c>
      <c r="R295" s="5" t="s">
        <v>136</v>
      </c>
      <c r="S295" s="11">
        <v>1277.0</v>
      </c>
    </row>
    <row r="296">
      <c r="A296" s="5" t="str">
        <f>IFERROR(__xludf.DUMMYFUNCTION("""COMPUTED_VALUE"""),"Carboplatin Injection")</f>
        <v>Carboplatin Injection</v>
      </c>
      <c r="B296" s="5" t="str">
        <f>IFERROR(__xludf.DUMMYFUNCTION("""COMPUTED_VALUE"""),"Accord Healthcare Inc.")</f>
        <v>Accord Healthcare Inc.</v>
      </c>
      <c r="C296" s="5" t="str">
        <f>IFERROR(__xludf.DUMMYFUNCTION("""COMPUTED_VALUE"""),"Carboplatin, Injection, 10 mg/1 mL (NDC 16729-295-34)")</f>
        <v>Carboplatin, Injection, 10 mg/1 mL (NDC 16729-295-34)</v>
      </c>
      <c r="D296" s="5" t="str">
        <f>IFERROR(__xludf.DUMMYFUNCTION("""COMPUTED_VALUE"""),"Reverified")</f>
        <v>Reverified</v>
      </c>
      <c r="E296" s="13">
        <f>IFERROR(__xludf.DUMMYFUNCTION("""COMPUTED_VALUE"""),46312.0)</f>
        <v>46312</v>
      </c>
      <c r="F296" s="5" t="str">
        <f>IFERROR(__xludf.DUMMYFUNCTION("""COMPUTED_VALUE"""),"Unavailable")</f>
        <v>Unavailable</v>
      </c>
      <c r="G296" s="5" t="str">
        <f>IFERROR(__xludf.DUMMYFUNCTION("""COMPUTED_VALUE"""),"Estimated recovery: TBD/ NDC non-Exempt")</f>
        <v>Estimated recovery: TBD/ NDC non-Exempt</v>
      </c>
      <c r="H296" s="5"/>
      <c r="I296" s="5" t="str">
        <f>IFERROR(__xludf.DUMMYFUNCTION("""COMPUTED_VALUE"""),"Demand increase for the drug")</f>
        <v>Demand increase for the drug</v>
      </c>
      <c r="J296" s="5" t="str">
        <f>IFERROR(__xludf.DUMMYFUNCTION("""COMPUTED_VALUE"""),"Oncology")</f>
        <v>Oncology</v>
      </c>
      <c r="K296" s="5" t="str">
        <f>IFERROR(__xludf.DUMMYFUNCTION("""COMPUTED_VALUE"""),"Current")</f>
        <v>Current</v>
      </c>
      <c r="L296" s="5"/>
      <c r="M296" s="5"/>
      <c r="N296" s="10">
        <f>IFERROR(__xludf.DUMMYFUNCTION("""COMPUTED_VALUE"""),45044.0)</f>
        <v>45044</v>
      </c>
      <c r="O296" s="5">
        <v>2023.0</v>
      </c>
      <c r="P296" s="5" t="str">
        <f>IFERROR(__xludf.DUMMYFUNCTION("""COMPUTED_VALUE"""),"Unavailable")</f>
        <v>Unavailable</v>
      </c>
      <c r="Q296" s="5" t="s">
        <v>134</v>
      </c>
      <c r="R296" s="5" t="s">
        <v>136</v>
      </c>
      <c r="S296" s="11">
        <v>1277.0</v>
      </c>
    </row>
    <row r="297">
      <c r="A297" s="5" t="str">
        <f>IFERROR(__xludf.DUMMYFUNCTION("""COMPUTED_VALUE"""),"Carboplatin Injection")</f>
        <v>Carboplatin Injection</v>
      </c>
      <c r="B297" s="5" t="str">
        <f>IFERROR(__xludf.DUMMYFUNCTION("""COMPUTED_VALUE"""),"Accord Healthcare Inc.")</f>
        <v>Accord Healthcare Inc.</v>
      </c>
      <c r="C297" s="5" t="str">
        <f>IFERROR(__xludf.DUMMYFUNCTION("""COMPUTED_VALUE"""),"Carboplatin, Injection, 10 mg/1 mL (NDC 16729-295-12)")</f>
        <v>Carboplatin, Injection, 10 mg/1 mL (NDC 16729-295-12)</v>
      </c>
      <c r="D297" s="5" t="str">
        <f>IFERROR(__xludf.DUMMYFUNCTION("""COMPUTED_VALUE"""),"Reverified")</f>
        <v>Reverified</v>
      </c>
      <c r="E297" s="13">
        <f>IFERROR(__xludf.DUMMYFUNCTION("""COMPUTED_VALUE"""),46312.0)</f>
        <v>46312</v>
      </c>
      <c r="F297" s="5" t="str">
        <f>IFERROR(__xludf.DUMMYFUNCTION("""COMPUTED_VALUE"""),"Unavailable")</f>
        <v>Unavailable</v>
      </c>
      <c r="G297" s="5" t="str">
        <f>IFERROR(__xludf.DUMMYFUNCTION("""COMPUTED_VALUE"""),"Estimated recovery: TBD/ NDC non-Exempt")</f>
        <v>Estimated recovery: TBD/ NDC non-Exempt</v>
      </c>
      <c r="H297" s="5"/>
      <c r="I297" s="5" t="str">
        <f>IFERROR(__xludf.DUMMYFUNCTION("""COMPUTED_VALUE"""),"Demand increase for the drug")</f>
        <v>Demand increase for the drug</v>
      </c>
      <c r="J297" s="5" t="str">
        <f>IFERROR(__xludf.DUMMYFUNCTION("""COMPUTED_VALUE"""),"Oncology")</f>
        <v>Oncology</v>
      </c>
      <c r="K297" s="5" t="str">
        <f>IFERROR(__xludf.DUMMYFUNCTION("""COMPUTED_VALUE"""),"Current")</f>
        <v>Current</v>
      </c>
      <c r="L297" s="5"/>
      <c r="M297" s="5"/>
      <c r="N297" s="10">
        <f>IFERROR(__xludf.DUMMYFUNCTION("""COMPUTED_VALUE"""),45044.0)</f>
        <v>45044</v>
      </c>
      <c r="O297" s="5">
        <v>2023.0</v>
      </c>
      <c r="P297" s="5" t="str">
        <f>IFERROR(__xludf.DUMMYFUNCTION("""COMPUTED_VALUE"""),"Unavailable")</f>
        <v>Unavailable</v>
      </c>
      <c r="Q297" s="5" t="s">
        <v>134</v>
      </c>
      <c r="R297" s="5" t="s">
        <v>136</v>
      </c>
      <c r="S297" s="11">
        <v>1277.0</v>
      </c>
    </row>
    <row r="298">
      <c r="A298" s="5" t="str">
        <f>IFERROR(__xludf.DUMMYFUNCTION("""COMPUTED_VALUE"""),"Carboplatin Injection")</f>
        <v>Carboplatin Injection</v>
      </c>
      <c r="B298" s="5" t="str">
        <f>IFERROR(__xludf.DUMMYFUNCTION("""COMPUTED_VALUE"""),"Fresenius Kabi USA, LLC")</f>
        <v>Fresenius Kabi USA, LLC</v>
      </c>
      <c r="C298" s="5" t="str">
        <f>IFERROR(__xludf.DUMMYFUNCTION("""COMPUTED_VALUE"""),"Carboplatin, Injection, 10 mg/1 mL (NDC 63323-172-60)")</f>
        <v>Carboplatin, Injection, 10 mg/1 mL (NDC 63323-172-60)</v>
      </c>
      <c r="D298" s="5" t="str">
        <f>IFERROR(__xludf.DUMMYFUNCTION("""COMPUTED_VALUE"""),"Revised")</f>
        <v>Revised</v>
      </c>
      <c r="E298" s="13">
        <f>IFERROR(__xludf.DUMMYFUNCTION("""COMPUTED_VALUE"""),46310.0)</f>
        <v>46310</v>
      </c>
      <c r="F298" s="5" t="str">
        <f>IFERROR(__xludf.DUMMYFUNCTION("""COMPUTED_VALUE"""),"Unavailable")</f>
        <v>Unavailable</v>
      </c>
      <c r="G298" s="5" t="str">
        <f>IFERROR(__xludf.DUMMYFUNCTION("""COMPUTED_VALUE"""),"Next release December 2026. Check wholesalers for inventory.")</f>
        <v>Next release December 2026. Check wholesalers for inventory.</v>
      </c>
      <c r="H298" s="5"/>
      <c r="I298" s="5" t="str">
        <f>IFERROR(__xludf.DUMMYFUNCTION("""COMPUTED_VALUE"""),"Delay in shipping of the drug")</f>
        <v>Delay in shipping of the drug</v>
      </c>
      <c r="J298" s="5" t="str">
        <f>IFERROR(__xludf.DUMMYFUNCTION("""COMPUTED_VALUE"""),"Oncology")</f>
        <v>Oncology</v>
      </c>
      <c r="K298" s="5" t="str">
        <f>IFERROR(__xludf.DUMMYFUNCTION("""COMPUTED_VALUE"""),"Current")</f>
        <v>Current</v>
      </c>
      <c r="L298" s="5"/>
      <c r="M298" s="5"/>
      <c r="N298" s="10">
        <f>IFERROR(__xludf.DUMMYFUNCTION("""COMPUTED_VALUE"""),45044.0)</f>
        <v>45044</v>
      </c>
      <c r="O298" s="5">
        <v>2023.0</v>
      </c>
      <c r="P298" s="5" t="str">
        <f>IFERROR(__xludf.DUMMYFUNCTION("""COMPUTED_VALUE"""),"Unavailable")</f>
        <v>Unavailable</v>
      </c>
      <c r="Q298" s="5" t="s">
        <v>562</v>
      </c>
      <c r="R298" s="5" t="s">
        <v>136</v>
      </c>
      <c r="S298" s="11">
        <v>1277.0</v>
      </c>
    </row>
    <row r="299">
      <c r="A299" s="5" t="str">
        <f>IFERROR(__xludf.DUMMYFUNCTION("""COMPUTED_VALUE"""),"Carboplatin Injection")</f>
        <v>Carboplatin Injection</v>
      </c>
      <c r="B299" s="5" t="str">
        <f>IFERROR(__xludf.DUMMYFUNCTION("""COMPUTED_VALUE"""),"Teva Pharmaceuticals USA, Inc.")</f>
        <v>Teva Pharmaceuticals USA, Inc.</v>
      </c>
      <c r="C299" s="5" t="str">
        <f>IFERROR(__xludf.DUMMYFUNCTION("""COMPUTED_VALUE"""),"Carboplatin, Injection, 10 mg/1 mL (NDC 0703-4239-01)")</f>
        <v>Carboplatin, Injection, 10 mg/1 mL (NDC 0703-4239-01)</v>
      </c>
      <c r="D299" s="5" t="str">
        <f>IFERROR(__xludf.DUMMYFUNCTION("""COMPUTED_VALUE"""),"Reverified")</f>
        <v>Reverified</v>
      </c>
      <c r="E299" s="13">
        <f>IFERROR(__xludf.DUMMYFUNCTION("""COMPUTED_VALUE"""),46310.0)</f>
        <v>46310</v>
      </c>
      <c r="F299" s="5" t="str">
        <f>IFERROR(__xludf.DUMMYFUNCTION("""COMPUTED_VALUE"""),"Limited Availability")</f>
        <v>Limited Availability</v>
      </c>
      <c r="G299" s="5" t="str">
        <f>IFERROR(__xludf.DUMMYFUNCTION("""COMPUTED_VALUE"""),"Estimated recovery: December 2028")</f>
        <v>Estimated recovery: December 2028</v>
      </c>
      <c r="H299" s="5"/>
      <c r="I299" s="5" t="str">
        <f>IFERROR(__xludf.DUMMYFUNCTION("""COMPUTED_VALUE"""),"Other")</f>
        <v>Other</v>
      </c>
      <c r="J299" s="5" t="str">
        <f>IFERROR(__xludf.DUMMYFUNCTION("""COMPUTED_VALUE"""),"Oncology")</f>
        <v>Oncology</v>
      </c>
      <c r="K299" s="5" t="str">
        <f>IFERROR(__xludf.DUMMYFUNCTION("""COMPUTED_VALUE"""),"Current")</f>
        <v>Current</v>
      </c>
      <c r="L299" s="5"/>
      <c r="M299" s="5"/>
      <c r="N299" s="10">
        <f>IFERROR(__xludf.DUMMYFUNCTION("""COMPUTED_VALUE"""),45044.0)</f>
        <v>45044</v>
      </c>
      <c r="O299" s="5">
        <v>2023.0</v>
      </c>
      <c r="P299" s="5" t="str">
        <f>IFERROR(__xludf.DUMMYFUNCTION("""COMPUTED_VALUE"""),"Limited Availability")</f>
        <v>Limited Availability</v>
      </c>
      <c r="Q299" s="5" t="s">
        <v>47</v>
      </c>
      <c r="R299" s="5" t="s">
        <v>136</v>
      </c>
      <c r="S299" s="11">
        <v>1277.0</v>
      </c>
    </row>
    <row r="300">
      <c r="A300" s="5" t="str">
        <f>IFERROR(__xludf.DUMMYFUNCTION("""COMPUTED_VALUE"""),"Carboplatin Injection")</f>
        <v>Carboplatin Injection</v>
      </c>
      <c r="B300" s="5" t="str">
        <f>IFERROR(__xludf.DUMMYFUNCTION("""COMPUTED_VALUE"""),"Hospira, Inc., a Pfizer Company")</f>
        <v>Hospira, Inc., a Pfizer Company</v>
      </c>
      <c r="C300" s="5" t="str">
        <f>IFERROR(__xludf.DUMMYFUNCTION("""COMPUTED_VALUE"""),"Carboplatin, Injection, 50 mg/5 mL (10 mg/mL) (NDC 61703-339-18)")</f>
        <v>Carboplatin, Injection, 50 mg/5 mL (10 mg/mL) (NDC 61703-339-18)</v>
      </c>
      <c r="D300" s="5" t="str">
        <f>IFERROR(__xludf.DUMMYFUNCTION("""COMPUTED_VALUE"""),"Revised")</f>
        <v>Revised</v>
      </c>
      <c r="E300" s="10">
        <f>IFERROR(__xludf.DUMMYFUNCTION("""COMPUTED_VALUE"""),46303.0)</f>
        <v>46303</v>
      </c>
      <c r="F300" s="5" t="str">
        <f>IFERROR(__xludf.DUMMYFUNCTION("""COMPUTED_VALUE"""),"Limited Availability")</f>
        <v>Limited Availability</v>
      </c>
      <c r="G300" s="5" t="str">
        <f>IFERROR(__xludf.DUMMYFUNCTION("""COMPUTED_VALUE"""),"Limited Supply Available. Next Delivery: January 2027; Estimated Recovery: March 2027")</f>
        <v>Limited Supply Available. Next Delivery: January 2027; Estimated Recovery: March 2027</v>
      </c>
      <c r="H300" s="5"/>
      <c r="I300" s="5" t="str">
        <f>IFERROR(__xludf.DUMMYFUNCTION("""COMPUTED_VALUE"""),"Demand increase for the drug")</f>
        <v>Demand increase for the drug</v>
      </c>
      <c r="J300" s="5" t="str">
        <f>IFERROR(__xludf.DUMMYFUNCTION("""COMPUTED_VALUE"""),"Oncology")</f>
        <v>Oncology</v>
      </c>
      <c r="K300" s="5" t="str">
        <f>IFERROR(__xludf.DUMMYFUNCTION("""COMPUTED_VALUE"""),"Current")</f>
        <v>Current</v>
      </c>
      <c r="L300" s="5"/>
      <c r="M300" s="5"/>
      <c r="N300" s="10">
        <f>IFERROR(__xludf.DUMMYFUNCTION("""COMPUTED_VALUE"""),45044.0)</f>
        <v>45044</v>
      </c>
      <c r="O300" s="5">
        <v>2023.0</v>
      </c>
      <c r="P300" s="5" t="str">
        <f>IFERROR(__xludf.DUMMYFUNCTION("""COMPUTED_VALUE"""),"Limited Availability")</f>
        <v>Limited Availability</v>
      </c>
      <c r="Q300" s="5" t="s">
        <v>134</v>
      </c>
      <c r="R300" s="5" t="s">
        <v>136</v>
      </c>
      <c r="S300" s="11">
        <v>1277.0</v>
      </c>
    </row>
    <row r="301">
      <c r="A301" s="5" t="str">
        <f>IFERROR(__xludf.DUMMYFUNCTION("""COMPUTED_VALUE"""),"Carboplatin Injection")</f>
        <v>Carboplatin Injection</v>
      </c>
      <c r="B301" s="5" t="str">
        <f>IFERROR(__xludf.DUMMYFUNCTION("""COMPUTED_VALUE"""),"Hospira, Inc., a Pfizer Company")</f>
        <v>Hospira, Inc., a Pfizer Company</v>
      </c>
      <c r="C301" s="5" t="str">
        <f>IFERROR(__xludf.DUMMYFUNCTION("""COMPUTED_VALUE"""),"Carboplatin, Injection, 50 mg/5 mL (10 mg/mL) (NDC 61703-360-18)")</f>
        <v>Carboplatin, Injection, 50 mg/5 mL (10 mg/mL) (NDC 61703-360-18)</v>
      </c>
      <c r="D301" s="5" t="str">
        <f>IFERROR(__xludf.DUMMYFUNCTION("""COMPUTED_VALUE"""),"Revised")</f>
        <v>Revised</v>
      </c>
      <c r="E301" s="10">
        <f>IFERROR(__xludf.DUMMYFUNCTION("""COMPUTED_VALUE"""),46303.0)</f>
        <v>46303</v>
      </c>
      <c r="F301" s="5" t="str">
        <f>IFERROR(__xludf.DUMMYFUNCTION("""COMPUTED_VALUE"""),"Unavailable")</f>
        <v>Unavailable</v>
      </c>
      <c r="G301" s="5" t="str">
        <f>IFERROR(__xludf.DUMMYFUNCTION("""COMPUTED_VALUE"""),"Next Delivery: February 2027; Estimated Recovery: March 2027; Shortage per Manufacturer: Manufacturing Delay")</f>
        <v>Next Delivery: February 2027; Estimated Recovery: March 2027; Shortage per Manufacturer: Manufacturing Delay</v>
      </c>
      <c r="H301" s="5"/>
      <c r="I301" s="5" t="str">
        <f>IFERROR(__xludf.DUMMYFUNCTION("""COMPUTED_VALUE"""),"Other")</f>
        <v>Other</v>
      </c>
      <c r="J301" s="5" t="str">
        <f>IFERROR(__xludf.DUMMYFUNCTION("""COMPUTED_VALUE"""),"Oncology")</f>
        <v>Oncology</v>
      </c>
      <c r="K301" s="5" t="str">
        <f>IFERROR(__xludf.DUMMYFUNCTION("""COMPUTED_VALUE"""),"Current")</f>
        <v>Current</v>
      </c>
      <c r="L301" s="5"/>
      <c r="M301" s="5"/>
      <c r="N301" s="10">
        <f>IFERROR(__xludf.DUMMYFUNCTION("""COMPUTED_VALUE"""),45044.0)</f>
        <v>45044</v>
      </c>
      <c r="O301" s="5">
        <v>2023.0</v>
      </c>
      <c r="P301" s="5" t="str">
        <f>IFERROR(__xludf.DUMMYFUNCTION("""COMPUTED_VALUE"""),"Unavailable")</f>
        <v>Unavailable</v>
      </c>
      <c r="Q301" s="5" t="s">
        <v>47</v>
      </c>
      <c r="R301" s="5" t="s">
        <v>136</v>
      </c>
      <c r="S301" s="11">
        <v>1277.0</v>
      </c>
    </row>
    <row r="302">
      <c r="A302" s="5" t="str">
        <f>IFERROR(__xludf.DUMMYFUNCTION("""COMPUTED_VALUE"""),"Carboplatin Injection")</f>
        <v>Carboplatin Injection</v>
      </c>
      <c r="B302" s="5" t="str">
        <f>IFERROR(__xludf.DUMMYFUNCTION("""COMPUTED_VALUE"""),"Hospira, Inc., a Pfizer Company")</f>
        <v>Hospira, Inc., a Pfizer Company</v>
      </c>
      <c r="C302" s="5" t="str">
        <f>IFERROR(__xludf.DUMMYFUNCTION("""COMPUTED_VALUE"""),"Carboplatin, Injection, 150 mg/15 mL (10 mg/mL) (NDC 61703-339-22)")</f>
        <v>Carboplatin, Injection, 150 mg/15 mL (10 mg/mL) (NDC 61703-339-22)</v>
      </c>
      <c r="D302" s="5" t="str">
        <f>IFERROR(__xludf.DUMMYFUNCTION("""COMPUTED_VALUE"""),"Revised")</f>
        <v>Revised</v>
      </c>
      <c r="E302" s="10">
        <f>IFERROR(__xludf.DUMMYFUNCTION("""COMPUTED_VALUE"""),46303.0)</f>
        <v>46303</v>
      </c>
      <c r="F302" s="5" t="str">
        <f>IFERROR(__xludf.DUMMYFUNCTION("""COMPUTED_VALUE"""),"Limited Availability")</f>
        <v>Limited Availability</v>
      </c>
      <c r="G302" s="5" t="str">
        <f>IFERROR(__xludf.DUMMYFUNCTION("""COMPUTED_VALUE"""),"Limited Supply Available. Next Delivery: November 2026; Estimated Recovery: December 2026; Shortage per Manufacturer: Manufacturing Delay")</f>
        <v>Limited Supply Available. Next Delivery: November 2026; Estimated Recovery: December 2026; Shortage per Manufacturer: Manufacturing Delay</v>
      </c>
      <c r="H302" s="5"/>
      <c r="I302" s="5" t="str">
        <f>IFERROR(__xludf.DUMMYFUNCTION("""COMPUTED_VALUE"""),"Other")</f>
        <v>Other</v>
      </c>
      <c r="J302" s="5" t="str">
        <f>IFERROR(__xludf.DUMMYFUNCTION("""COMPUTED_VALUE"""),"Oncology")</f>
        <v>Oncology</v>
      </c>
      <c r="K302" s="5" t="str">
        <f>IFERROR(__xludf.DUMMYFUNCTION("""COMPUTED_VALUE"""),"Current")</f>
        <v>Current</v>
      </c>
      <c r="L302" s="5"/>
      <c r="M302" s="5"/>
      <c r="N302" s="10">
        <f>IFERROR(__xludf.DUMMYFUNCTION("""COMPUTED_VALUE"""),45044.0)</f>
        <v>45044</v>
      </c>
      <c r="O302" s="5">
        <v>2023.0</v>
      </c>
      <c r="P302" s="5" t="str">
        <f>IFERROR(__xludf.DUMMYFUNCTION("""COMPUTED_VALUE"""),"Limited Availability")</f>
        <v>Limited Availability</v>
      </c>
      <c r="Q302" s="5" t="s">
        <v>47</v>
      </c>
      <c r="R302" s="5" t="s">
        <v>136</v>
      </c>
      <c r="S302" s="11">
        <v>1277.0</v>
      </c>
    </row>
    <row r="303">
      <c r="A303" s="5" t="str">
        <f>IFERROR(__xludf.DUMMYFUNCTION("""COMPUTED_VALUE"""),"Carboplatin Injection")</f>
        <v>Carboplatin Injection</v>
      </c>
      <c r="B303" s="5" t="str">
        <f>IFERROR(__xludf.DUMMYFUNCTION("""COMPUTED_VALUE"""),"Hospira, Inc., a Pfizer Company")</f>
        <v>Hospira, Inc., a Pfizer Company</v>
      </c>
      <c r="C303" s="5" t="str">
        <f>IFERROR(__xludf.DUMMYFUNCTION("""COMPUTED_VALUE"""),"Carboplatin, Injection, 150 mg/15 mL (10 mg/mL) (NDC 61703-150-05)")</f>
        <v>Carboplatin, Injection, 150 mg/15 mL (10 mg/mL) (NDC 61703-150-05)</v>
      </c>
      <c r="D303" s="5" t="str">
        <f>IFERROR(__xludf.DUMMYFUNCTION("""COMPUTED_VALUE"""),"Revised")</f>
        <v>Revised</v>
      </c>
      <c r="E303" s="10">
        <f>IFERROR(__xludf.DUMMYFUNCTION("""COMPUTED_VALUE"""),46303.0)</f>
        <v>46303</v>
      </c>
      <c r="F303" s="5" t="str">
        <f>IFERROR(__xludf.DUMMYFUNCTION("""COMPUTED_VALUE"""),"Unavailable")</f>
        <v>Unavailable</v>
      </c>
      <c r="G303" s="5" t="str">
        <f>IFERROR(__xludf.DUMMYFUNCTION("""COMPUTED_VALUE"""),"Next Delivery: January 2027; Estimated Recovery: March 2027; Shortage per Manufacturer: Manufacturing Delay")</f>
        <v>Next Delivery: January 2027; Estimated Recovery: March 2027; Shortage per Manufacturer: Manufacturing Delay</v>
      </c>
      <c r="H303" s="5"/>
      <c r="I303" s="5" t="str">
        <f>IFERROR(__xludf.DUMMYFUNCTION("""COMPUTED_VALUE"""),"Other")</f>
        <v>Other</v>
      </c>
      <c r="J303" s="5" t="str">
        <f>IFERROR(__xludf.DUMMYFUNCTION("""COMPUTED_VALUE"""),"Oncology")</f>
        <v>Oncology</v>
      </c>
      <c r="K303" s="5" t="str">
        <f>IFERROR(__xludf.DUMMYFUNCTION("""COMPUTED_VALUE"""),"Current")</f>
        <v>Current</v>
      </c>
      <c r="L303" s="5"/>
      <c r="M303" s="5"/>
      <c r="N303" s="10">
        <f>IFERROR(__xludf.DUMMYFUNCTION("""COMPUTED_VALUE"""),45044.0)</f>
        <v>45044</v>
      </c>
      <c r="O303" s="5">
        <v>2023.0</v>
      </c>
      <c r="P303" s="5" t="str">
        <f>IFERROR(__xludf.DUMMYFUNCTION("""COMPUTED_VALUE"""),"Unavailable")</f>
        <v>Unavailable</v>
      </c>
      <c r="Q303" s="5" t="s">
        <v>47</v>
      </c>
      <c r="R303" s="5" t="s">
        <v>136</v>
      </c>
      <c r="S303" s="11">
        <v>1277.0</v>
      </c>
    </row>
    <row r="304">
      <c r="A304" s="5" t="str">
        <f>IFERROR(__xludf.DUMMYFUNCTION("""COMPUTED_VALUE"""),"Carboplatin Injection")</f>
        <v>Carboplatin Injection</v>
      </c>
      <c r="B304" s="5" t="str">
        <f>IFERROR(__xludf.DUMMYFUNCTION("""COMPUTED_VALUE"""),"Hospira, Inc., a Pfizer Company")</f>
        <v>Hospira, Inc., a Pfizer Company</v>
      </c>
      <c r="C304" s="5" t="str">
        <f>IFERROR(__xludf.DUMMYFUNCTION("""COMPUTED_VALUE"""),"Carboplatin, Injection, 450 mg/45 mL (10 mg/mL) (NDC 61703-339-50)")</f>
        <v>Carboplatin, Injection, 450 mg/45 mL (10 mg/mL) (NDC 61703-339-50)</v>
      </c>
      <c r="D304" s="5" t="str">
        <f>IFERROR(__xludf.DUMMYFUNCTION("""COMPUTED_VALUE"""),"Revised")</f>
        <v>Revised</v>
      </c>
      <c r="E304" s="10">
        <f>IFERROR(__xludf.DUMMYFUNCTION("""COMPUTED_VALUE"""),46303.0)</f>
        <v>46303</v>
      </c>
      <c r="F304" s="5" t="str">
        <f>IFERROR(__xludf.DUMMYFUNCTION("""COMPUTED_VALUE"""),"Limited Availability")</f>
        <v>Limited Availability</v>
      </c>
      <c r="G304" s="5" t="str">
        <f>IFERROR(__xludf.DUMMYFUNCTION("""COMPUTED_VALUE"""),"Limited Supply Available. Next Delivery and Estimated Recovery: December 2026")</f>
        <v>Limited Supply Available. Next Delivery and Estimated Recovery: December 2026</v>
      </c>
      <c r="H304" s="5"/>
      <c r="I304" s="5" t="str">
        <f>IFERROR(__xludf.DUMMYFUNCTION("""COMPUTED_VALUE"""),"Demand increase for the drug")</f>
        <v>Demand increase for the drug</v>
      </c>
      <c r="J304" s="5" t="str">
        <f>IFERROR(__xludf.DUMMYFUNCTION("""COMPUTED_VALUE"""),"Oncology")</f>
        <v>Oncology</v>
      </c>
      <c r="K304" s="5" t="str">
        <f>IFERROR(__xludf.DUMMYFUNCTION("""COMPUTED_VALUE"""),"Current")</f>
        <v>Current</v>
      </c>
      <c r="L304" s="5"/>
      <c r="M304" s="5"/>
      <c r="N304" s="10">
        <f>IFERROR(__xludf.DUMMYFUNCTION("""COMPUTED_VALUE"""),45044.0)</f>
        <v>45044</v>
      </c>
      <c r="O304" s="5">
        <v>2023.0</v>
      </c>
      <c r="P304" s="5" t="str">
        <f>IFERROR(__xludf.DUMMYFUNCTION("""COMPUTED_VALUE"""),"Limited Availability")</f>
        <v>Limited Availability</v>
      </c>
      <c r="Q304" s="5" t="s">
        <v>134</v>
      </c>
      <c r="R304" s="5" t="s">
        <v>136</v>
      </c>
      <c r="S304" s="11">
        <v>1277.0</v>
      </c>
    </row>
    <row r="305">
      <c r="A305" s="5" t="str">
        <f>IFERROR(__xludf.DUMMYFUNCTION("""COMPUTED_VALUE"""),"Carboplatin Injection")</f>
        <v>Carboplatin Injection</v>
      </c>
      <c r="B305" s="5" t="str">
        <f>IFERROR(__xludf.DUMMYFUNCTION("""COMPUTED_VALUE"""),"Hospira, Inc., a Pfizer Company")</f>
        <v>Hospira, Inc., a Pfizer Company</v>
      </c>
      <c r="C305" s="5" t="str">
        <f>IFERROR(__xludf.DUMMYFUNCTION("""COMPUTED_VALUE"""),"Carboplatin, Injection, 450 mg/45 mL (10 mg/mL) (NDC 61703-262-05)")</f>
        <v>Carboplatin, Injection, 450 mg/45 mL (10 mg/mL) (NDC 61703-262-05)</v>
      </c>
      <c r="D305" s="5" t="str">
        <f>IFERROR(__xludf.DUMMYFUNCTION("""COMPUTED_VALUE"""),"Revised")</f>
        <v>Revised</v>
      </c>
      <c r="E305" s="10">
        <f>IFERROR(__xludf.DUMMYFUNCTION("""COMPUTED_VALUE"""),46303.0)</f>
        <v>46303</v>
      </c>
      <c r="F305" s="5" t="str">
        <f>IFERROR(__xludf.DUMMYFUNCTION("""COMPUTED_VALUE"""),"Unavailable")</f>
        <v>Unavailable</v>
      </c>
      <c r="G305" s="5" t="str">
        <f>IFERROR(__xludf.DUMMYFUNCTION("""COMPUTED_VALUE"""),"Next Delivery and Estimated Recovery: December 2026; Shortage per Manufacturer: Manufacturing Delay")</f>
        <v>Next Delivery and Estimated Recovery: December 2026; Shortage per Manufacturer: Manufacturing Delay</v>
      </c>
      <c r="H305" s="5"/>
      <c r="I305" s="5" t="str">
        <f>IFERROR(__xludf.DUMMYFUNCTION("""COMPUTED_VALUE"""),"Other")</f>
        <v>Other</v>
      </c>
      <c r="J305" s="5" t="str">
        <f>IFERROR(__xludf.DUMMYFUNCTION("""COMPUTED_VALUE"""),"Oncology")</f>
        <v>Oncology</v>
      </c>
      <c r="K305" s="5" t="str">
        <f>IFERROR(__xludf.DUMMYFUNCTION("""COMPUTED_VALUE"""),"Current")</f>
        <v>Current</v>
      </c>
      <c r="L305" s="5"/>
      <c r="M305" s="5"/>
      <c r="N305" s="10">
        <f>IFERROR(__xludf.DUMMYFUNCTION("""COMPUTED_VALUE"""),45044.0)</f>
        <v>45044</v>
      </c>
      <c r="O305" s="5">
        <v>2023.0</v>
      </c>
      <c r="P305" s="5" t="str">
        <f>IFERROR(__xludf.DUMMYFUNCTION("""COMPUTED_VALUE"""),"Unavailable")</f>
        <v>Unavailable</v>
      </c>
      <c r="Q305" s="5" t="s">
        <v>47</v>
      </c>
      <c r="R305" s="5" t="s">
        <v>136</v>
      </c>
      <c r="S305" s="11">
        <v>1277.0</v>
      </c>
    </row>
    <row r="306">
      <c r="A306" s="5" t="str">
        <f>IFERROR(__xludf.DUMMYFUNCTION("""COMPUTED_VALUE"""),"Carboplatin Injection")</f>
        <v>Carboplatin Injection</v>
      </c>
      <c r="B306" s="5" t="str">
        <f>IFERROR(__xludf.DUMMYFUNCTION("""COMPUTED_VALUE"""),"Hospira, Inc., a Pfizer Company")</f>
        <v>Hospira, Inc., a Pfizer Company</v>
      </c>
      <c r="C306" s="5" t="str">
        <f>IFERROR(__xludf.DUMMYFUNCTION("""COMPUTED_VALUE"""),"Carboplatin, Injection, 600 mg/60 mL (10 mg/mL) (NDC 61703-339-56)")</f>
        <v>Carboplatin, Injection, 600 mg/60 mL (10 mg/mL) (NDC 61703-339-56)</v>
      </c>
      <c r="D306" s="5" t="str">
        <f>IFERROR(__xludf.DUMMYFUNCTION("""COMPUTED_VALUE"""),"Revised")</f>
        <v>Revised</v>
      </c>
      <c r="E306" s="10">
        <f>IFERROR(__xludf.DUMMYFUNCTION("""COMPUTED_VALUE"""),46303.0)</f>
        <v>46303</v>
      </c>
      <c r="F306" s="5" t="str">
        <f>IFERROR(__xludf.DUMMYFUNCTION("""COMPUTED_VALUE"""),"Limited Availability")</f>
        <v>Limited Availability</v>
      </c>
      <c r="G306" s="5" t="str">
        <f>IFERROR(__xludf.DUMMYFUNCTION("""COMPUTED_VALUE"""),"Limited Supply Available. Next Delivery: October 2026; Estimated Recovery: December 2026; Shortage per Manufacturer: Manufacturing Delay")</f>
        <v>Limited Supply Available. Next Delivery: October 2026; Estimated Recovery: December 2026; Shortage per Manufacturer: Manufacturing Delay</v>
      </c>
      <c r="H306" s="5"/>
      <c r="I306" s="5" t="str">
        <f>IFERROR(__xludf.DUMMYFUNCTION("""COMPUTED_VALUE"""),"Other")</f>
        <v>Other</v>
      </c>
      <c r="J306" s="5" t="str">
        <f>IFERROR(__xludf.DUMMYFUNCTION("""COMPUTED_VALUE"""),"Oncology")</f>
        <v>Oncology</v>
      </c>
      <c r="K306" s="5" t="str">
        <f>IFERROR(__xludf.DUMMYFUNCTION("""COMPUTED_VALUE"""),"Current")</f>
        <v>Current</v>
      </c>
      <c r="L306" s="5"/>
      <c r="M306" s="5"/>
      <c r="N306" s="10">
        <f>IFERROR(__xludf.DUMMYFUNCTION("""COMPUTED_VALUE"""),45044.0)</f>
        <v>45044</v>
      </c>
      <c r="O306" s="5">
        <v>2023.0</v>
      </c>
      <c r="P306" s="5" t="str">
        <f>IFERROR(__xludf.DUMMYFUNCTION("""COMPUTED_VALUE"""),"Limited Availability")</f>
        <v>Limited Availability</v>
      </c>
      <c r="Q306" s="5" t="s">
        <v>47</v>
      </c>
      <c r="R306" s="5" t="s">
        <v>136</v>
      </c>
      <c r="S306" s="11">
        <v>1277.0</v>
      </c>
    </row>
    <row r="307">
      <c r="A307" s="5" t="str">
        <f>IFERROR(__xludf.DUMMYFUNCTION("""COMPUTED_VALUE"""),"Carboplatin Injection")</f>
        <v>Carboplatin Injection</v>
      </c>
      <c r="B307" s="5" t="str">
        <f>IFERROR(__xludf.DUMMYFUNCTION("""COMPUTED_VALUE"""),"Hospira, Inc., a Pfizer Company")</f>
        <v>Hospira, Inc., a Pfizer Company</v>
      </c>
      <c r="C307" s="5" t="str">
        <f>IFERROR(__xludf.DUMMYFUNCTION("""COMPUTED_VALUE"""),"Carboplatin, Injection, 600 mg/60 mL (10 mg/mL) (NDC 61703-600-05)")</f>
        <v>Carboplatin, Injection, 600 mg/60 mL (10 mg/mL) (NDC 61703-600-05)</v>
      </c>
      <c r="D307" s="5" t="str">
        <f>IFERROR(__xludf.DUMMYFUNCTION("""COMPUTED_VALUE"""),"Revised")</f>
        <v>Revised</v>
      </c>
      <c r="E307" s="10">
        <f>IFERROR(__xludf.DUMMYFUNCTION("""COMPUTED_VALUE"""),46303.0)</f>
        <v>46303</v>
      </c>
      <c r="F307" s="5" t="str">
        <f>IFERROR(__xludf.DUMMYFUNCTION("""COMPUTED_VALUE"""),"Unavailable")</f>
        <v>Unavailable</v>
      </c>
      <c r="G307" s="5" t="str">
        <f>IFERROR(__xludf.DUMMYFUNCTION("""COMPUTED_VALUE"""),"Next Delivery: October 2026; Estimated Recovery: December 2026; Shortage per Manufacturer: Manufacturing Delay")</f>
        <v>Next Delivery: October 2026; Estimated Recovery: December 2026; Shortage per Manufacturer: Manufacturing Delay</v>
      </c>
      <c r="H307" s="5"/>
      <c r="I307" s="5" t="str">
        <f>IFERROR(__xludf.DUMMYFUNCTION("""COMPUTED_VALUE"""),"Other")</f>
        <v>Other</v>
      </c>
      <c r="J307" s="5" t="str">
        <f>IFERROR(__xludf.DUMMYFUNCTION("""COMPUTED_VALUE"""),"Oncology")</f>
        <v>Oncology</v>
      </c>
      <c r="K307" s="5" t="str">
        <f>IFERROR(__xludf.DUMMYFUNCTION("""COMPUTED_VALUE"""),"Current")</f>
        <v>Current</v>
      </c>
      <c r="L307" s="5"/>
      <c r="M307" s="5"/>
      <c r="N307" s="10">
        <f>IFERROR(__xludf.DUMMYFUNCTION("""COMPUTED_VALUE"""),45044.0)</f>
        <v>45044</v>
      </c>
      <c r="O307" s="5">
        <v>2023.0</v>
      </c>
      <c r="P307" s="5" t="str">
        <f>IFERROR(__xludf.DUMMYFUNCTION("""COMPUTED_VALUE"""),"Unavailable")</f>
        <v>Unavailable</v>
      </c>
      <c r="Q307" s="5" t="s">
        <v>47</v>
      </c>
      <c r="R307" s="5" t="s">
        <v>136</v>
      </c>
      <c r="S307" s="11">
        <v>1277.0</v>
      </c>
    </row>
    <row r="308">
      <c r="A308" s="5" t="str">
        <f>IFERROR(__xludf.DUMMYFUNCTION("""COMPUTED_VALUE"""),"Carboplatin Injection")</f>
        <v>Carboplatin Injection</v>
      </c>
      <c r="B308" s="5" t="str">
        <f>IFERROR(__xludf.DUMMYFUNCTION("""COMPUTED_VALUE"""),"Teva Pharmaceuticals USA, Inc.")</f>
        <v>Teva Pharmaceuticals USA, Inc.</v>
      </c>
      <c r="C308" s="5" t="str">
        <f>IFERROR(__xludf.DUMMYFUNCTION("""COMPUTED_VALUE"""),"Carboplatin, Injection, 10 mg/1 mL (NDC 0703-4244-01)")</f>
        <v>Carboplatin, Injection, 10 mg/1 mL (NDC 0703-4244-01)</v>
      </c>
      <c r="D308" s="5" t="str">
        <f>IFERROR(__xludf.DUMMYFUNCTION("""COMPUTED_VALUE"""),"Reverified")</f>
        <v>Reverified</v>
      </c>
      <c r="E308" s="13">
        <f>IFERROR(__xludf.DUMMYFUNCTION("""COMPUTED_VALUE"""),46310.0)</f>
        <v>46310</v>
      </c>
      <c r="F308" s="5" t="str">
        <f>IFERROR(__xludf.DUMMYFUNCTION("""COMPUTED_VALUE"""),"Unavailable")</f>
        <v>Unavailable</v>
      </c>
      <c r="G308" s="5" t="str">
        <f>IFERROR(__xludf.DUMMYFUNCTION("""COMPUTED_VALUE"""),"Estimated recovery: January 2027")</f>
        <v>Estimated recovery: January 2027</v>
      </c>
      <c r="H308" s="5"/>
      <c r="I308" s="5" t="str">
        <f>IFERROR(__xludf.DUMMYFUNCTION("""COMPUTED_VALUE"""),"Other")</f>
        <v>Other</v>
      </c>
      <c r="J308" s="5" t="str">
        <f>IFERROR(__xludf.DUMMYFUNCTION("""COMPUTED_VALUE"""),"Oncology")</f>
        <v>Oncology</v>
      </c>
      <c r="K308" s="5" t="str">
        <f>IFERROR(__xludf.DUMMYFUNCTION("""COMPUTED_VALUE"""),"Current")</f>
        <v>Current</v>
      </c>
      <c r="L308" s="5"/>
      <c r="M308" s="5"/>
      <c r="N308" s="10">
        <f>IFERROR(__xludf.DUMMYFUNCTION("""COMPUTED_VALUE"""),45044.0)</f>
        <v>45044</v>
      </c>
      <c r="O308" s="5">
        <v>2023.0</v>
      </c>
      <c r="P308" s="5" t="str">
        <f>IFERROR(__xludf.DUMMYFUNCTION("""COMPUTED_VALUE"""),"Unavailable")</f>
        <v>Unavailable</v>
      </c>
      <c r="Q308" s="5" t="s">
        <v>47</v>
      </c>
      <c r="R308" s="5" t="s">
        <v>136</v>
      </c>
      <c r="S308" s="11">
        <v>1277.0</v>
      </c>
    </row>
    <row r="309">
      <c r="A309" s="5" t="str">
        <f>IFERROR(__xludf.DUMMYFUNCTION("""COMPUTED_VALUE"""),"Carboplatin Injection")</f>
        <v>Carboplatin Injection</v>
      </c>
      <c r="B309" s="5" t="str">
        <f>IFERROR(__xludf.DUMMYFUNCTION("""COMPUTED_VALUE"""),"Teva Pharmaceuticals USA, Inc.")</f>
        <v>Teva Pharmaceuticals USA, Inc.</v>
      </c>
      <c r="C309" s="5" t="str">
        <f>IFERROR(__xludf.DUMMYFUNCTION("""COMPUTED_VALUE"""),"Carboplatin, Injection, 10 mg/1 mL (NDC 0703-4246-01)")</f>
        <v>Carboplatin, Injection, 10 mg/1 mL (NDC 0703-4246-01)</v>
      </c>
      <c r="D309" s="5" t="str">
        <f>IFERROR(__xludf.DUMMYFUNCTION("""COMPUTED_VALUE"""),"Revised")</f>
        <v>Revised</v>
      </c>
      <c r="E309" s="13">
        <f>IFERROR(__xludf.DUMMYFUNCTION("""COMPUTED_VALUE"""),46310.0)</f>
        <v>46310</v>
      </c>
      <c r="F309" s="5" t="str">
        <f>IFERROR(__xludf.DUMMYFUNCTION("""COMPUTED_VALUE"""),"Available")</f>
        <v>Available</v>
      </c>
      <c r="G309" s="5"/>
      <c r="H309" s="5"/>
      <c r="I309" s="5"/>
      <c r="J309" s="5" t="str">
        <f>IFERROR(__xludf.DUMMYFUNCTION("""COMPUTED_VALUE"""),"Oncology")</f>
        <v>Oncology</v>
      </c>
      <c r="K309" s="5" t="str">
        <f>IFERROR(__xludf.DUMMYFUNCTION("""COMPUTED_VALUE"""),"Current")</f>
        <v>Current</v>
      </c>
      <c r="L309" s="5"/>
      <c r="M309" s="5"/>
      <c r="N309" s="10">
        <f>IFERROR(__xludf.DUMMYFUNCTION("""COMPUTED_VALUE"""),45044.0)</f>
        <v>45044</v>
      </c>
      <c r="O309" s="5">
        <v>2023.0</v>
      </c>
      <c r="P309" s="5" t="str">
        <f>IFERROR(__xludf.DUMMYFUNCTION("""COMPUTED_VALUE"""),"Available")</f>
        <v>Available</v>
      </c>
      <c r="Q309" s="5" t="s">
        <v>135</v>
      </c>
      <c r="R309" s="5" t="s">
        <v>136</v>
      </c>
      <c r="S309" s="11">
        <v>1277.0</v>
      </c>
    </row>
    <row r="310">
      <c r="A310" s="5" t="str">
        <f>IFERROR(__xludf.DUMMYFUNCTION("""COMPUTED_VALUE"""),"Carboplatin Injection")</f>
        <v>Carboplatin Injection</v>
      </c>
      <c r="B310" s="5" t="str">
        <f>IFERROR(__xludf.DUMMYFUNCTION("""COMPUTED_VALUE"""),"Teva Pharmaceuticals USA, Inc.")</f>
        <v>Teva Pharmaceuticals USA, Inc.</v>
      </c>
      <c r="C310" s="5" t="str">
        <f>IFERROR(__xludf.DUMMYFUNCTION("""COMPUTED_VALUE"""),"Carboplatin, Injection, 10 mg/1 mL (NDC 0703-4248-01)")</f>
        <v>Carboplatin, Injection, 10 mg/1 mL (NDC 0703-4248-01)</v>
      </c>
      <c r="D310" s="5" t="str">
        <f>IFERROR(__xludf.DUMMYFUNCTION("""COMPUTED_VALUE"""),"Revised")</f>
        <v>Revised</v>
      </c>
      <c r="E310" s="13">
        <f>IFERROR(__xludf.DUMMYFUNCTION("""COMPUTED_VALUE"""),46310.0)</f>
        <v>46310</v>
      </c>
      <c r="F310" s="5" t="str">
        <f>IFERROR(__xludf.DUMMYFUNCTION("""COMPUTED_VALUE"""),"Limited Availability")</f>
        <v>Limited Availability</v>
      </c>
      <c r="G310" s="5" t="str">
        <f>IFERROR(__xludf.DUMMYFUNCTION("""COMPUTED_VALUE"""),"Estimated recovery: March 2027")</f>
        <v>Estimated recovery: March 2027</v>
      </c>
      <c r="H310" s="5"/>
      <c r="I310" s="5" t="str">
        <f>IFERROR(__xludf.DUMMYFUNCTION("""COMPUTED_VALUE"""),"Other")</f>
        <v>Other</v>
      </c>
      <c r="J310" s="5" t="str">
        <f>IFERROR(__xludf.DUMMYFUNCTION("""COMPUTED_VALUE"""),"Oncology")</f>
        <v>Oncology</v>
      </c>
      <c r="K310" s="5" t="str">
        <f>IFERROR(__xludf.DUMMYFUNCTION("""COMPUTED_VALUE"""),"Current")</f>
        <v>Current</v>
      </c>
      <c r="L310" s="5"/>
      <c r="M310" s="5"/>
      <c r="N310" s="10">
        <f>IFERROR(__xludf.DUMMYFUNCTION("""COMPUTED_VALUE"""),45044.0)</f>
        <v>45044</v>
      </c>
      <c r="O310" s="5">
        <v>2023.0</v>
      </c>
      <c r="P310" s="5" t="str">
        <f>IFERROR(__xludf.DUMMYFUNCTION("""COMPUTED_VALUE"""),"Limited Availability")</f>
        <v>Limited Availability</v>
      </c>
      <c r="Q310" s="5" t="s">
        <v>47</v>
      </c>
      <c r="R310" s="5" t="s">
        <v>136</v>
      </c>
      <c r="S310" s="11">
        <v>1277.0</v>
      </c>
    </row>
    <row r="311">
      <c r="A311" s="5" t="str">
        <f>IFERROR(__xludf.DUMMYFUNCTION("""COMPUTED_VALUE"""),"Carboplatin Injection")</f>
        <v>Carboplatin Injection</v>
      </c>
      <c r="B311" s="5" t="str">
        <f>IFERROR(__xludf.DUMMYFUNCTION("""COMPUTED_VALUE"""),"Teyro Labs")</f>
        <v>Teyro Labs</v>
      </c>
      <c r="C311" s="5" t="str">
        <f>IFERROR(__xludf.DUMMYFUNCTION("""COMPUTED_VALUE"""),"Carboplatin, Injection, 50 mg/5 mL (10 mg/mL) Multiple Dose Vial (NDC 60505-6282-1)")</f>
        <v>Carboplatin, Injection, 50 mg/5 mL (10 mg/mL) Multiple Dose Vial (NDC 60505-6282-1)</v>
      </c>
      <c r="D311" s="5" t="str">
        <f>IFERROR(__xludf.DUMMYFUNCTION("""COMPUTED_VALUE"""),"New")</f>
        <v>New</v>
      </c>
      <c r="E311" s="10">
        <f>IFERROR(__xludf.DUMMYFUNCTION("""COMPUTED_VALUE"""),46174.0)</f>
        <v>46174</v>
      </c>
      <c r="F311" s="5"/>
      <c r="G311" s="5" t="str">
        <f>IFERROR(__xludf.DUMMYFUNCTION("""COMPUTED_VALUE"""),"Wholesaler &amp; Distributor through Marketing partner (Apotex Inc.); Discontinuation of the manufacture of the drug")</f>
        <v>Wholesaler &amp; Distributor through Marketing partner (Apotex Inc.); Discontinuation of the manufacture of the drug</v>
      </c>
      <c r="H311" s="5"/>
      <c r="I311" s="5"/>
      <c r="J311" s="5" t="str">
        <f>IFERROR(__xludf.DUMMYFUNCTION("""COMPUTED_VALUE"""),"Oncology")</f>
        <v>Oncology</v>
      </c>
      <c r="K311" s="5" t="str">
        <f>IFERROR(__xludf.DUMMYFUNCTION("""COMPUTED_VALUE"""),"To Be Discontinued")</f>
        <v>To Be Discontinued</v>
      </c>
      <c r="L311" s="5"/>
      <c r="M311" s="10">
        <f>IFERROR(__xludf.DUMMYFUNCTION("""COMPUTED_VALUE"""),46174.0)</f>
        <v>46174</v>
      </c>
      <c r="N311" s="10">
        <f>IFERROR(__xludf.DUMMYFUNCTION("""COMPUTED_VALUE"""),46174.0)</f>
        <v>46174</v>
      </c>
      <c r="O311" s="5">
        <v>2026.0</v>
      </c>
      <c r="P311" s="5" t="str">
        <f>IFERROR(__xludf.DUMMYFUNCTION("""COMPUTED_VALUE"""),"Not stated")</f>
        <v>Not stated</v>
      </c>
      <c r="Q311" s="5" t="s">
        <v>135</v>
      </c>
      <c r="R311" s="5" t="s">
        <v>136</v>
      </c>
      <c r="S311" s="11">
        <v>147.0</v>
      </c>
    </row>
    <row r="312">
      <c r="A312" s="5" t="str">
        <f>IFERROR(__xludf.DUMMYFUNCTION("""COMPUTED_VALUE"""),"Carboplatin Injection")</f>
        <v>Carboplatin Injection</v>
      </c>
      <c r="B312" s="5" t="str">
        <f>IFERROR(__xludf.DUMMYFUNCTION("""COMPUTED_VALUE"""),"Teyro Labs")</f>
        <v>Teyro Labs</v>
      </c>
      <c r="C312" s="5" t="str">
        <f>IFERROR(__xludf.DUMMYFUNCTION("""COMPUTED_VALUE"""),"Carboplatin, Injection, 150 mg/15 mL (10 mg/mL) Multiple Dose Vial (NDC 60505-6282-3)")</f>
        <v>Carboplatin, Injection, 150 mg/15 mL (10 mg/mL) Multiple Dose Vial (NDC 60505-6282-3)</v>
      </c>
      <c r="D312" s="5" t="str">
        <f>IFERROR(__xludf.DUMMYFUNCTION("""COMPUTED_VALUE"""),"New")</f>
        <v>New</v>
      </c>
      <c r="E312" s="10">
        <f>IFERROR(__xludf.DUMMYFUNCTION("""COMPUTED_VALUE"""),46174.0)</f>
        <v>46174</v>
      </c>
      <c r="F312" s="5"/>
      <c r="G312" s="5" t="str">
        <f>IFERROR(__xludf.DUMMYFUNCTION("""COMPUTED_VALUE"""),"Wholesaler &amp; Distributor through Marketing partner (Apotex Inc.); Discontinuation of the manufacture of the drug")</f>
        <v>Wholesaler &amp; Distributor through Marketing partner (Apotex Inc.); Discontinuation of the manufacture of the drug</v>
      </c>
      <c r="H312" s="5"/>
      <c r="I312" s="5"/>
      <c r="J312" s="5" t="str">
        <f>IFERROR(__xludf.DUMMYFUNCTION("""COMPUTED_VALUE"""),"Oncology")</f>
        <v>Oncology</v>
      </c>
      <c r="K312" s="5" t="str">
        <f>IFERROR(__xludf.DUMMYFUNCTION("""COMPUTED_VALUE"""),"To Be Discontinued")</f>
        <v>To Be Discontinued</v>
      </c>
      <c r="L312" s="5"/>
      <c r="M312" s="10">
        <f>IFERROR(__xludf.DUMMYFUNCTION("""COMPUTED_VALUE"""),46174.0)</f>
        <v>46174</v>
      </c>
      <c r="N312" s="10">
        <f>IFERROR(__xludf.DUMMYFUNCTION("""COMPUTED_VALUE"""),46174.0)</f>
        <v>46174</v>
      </c>
      <c r="O312" s="5">
        <v>2026.0</v>
      </c>
      <c r="P312" s="5" t="str">
        <f>IFERROR(__xludf.DUMMYFUNCTION("""COMPUTED_VALUE"""),"Not stated")</f>
        <v>Not stated</v>
      </c>
      <c r="Q312" s="5" t="s">
        <v>135</v>
      </c>
      <c r="R312" s="5" t="s">
        <v>136</v>
      </c>
      <c r="S312" s="11">
        <v>147.0</v>
      </c>
    </row>
    <row r="313">
      <c r="A313" s="5" t="str">
        <f>IFERROR(__xludf.DUMMYFUNCTION("""COMPUTED_VALUE"""),"Carboplatin Injection")</f>
        <v>Carboplatin Injection</v>
      </c>
      <c r="B313" s="5" t="str">
        <f>IFERROR(__xludf.DUMMYFUNCTION("""COMPUTED_VALUE"""),"Teyro Labs")</f>
        <v>Teyro Labs</v>
      </c>
      <c r="C313" s="5" t="str">
        <f>IFERROR(__xludf.DUMMYFUNCTION("""COMPUTED_VALUE"""),"Carboplatin, Injection, 450 mg/45 mL (10 mg/mL) Multiple Dose Vial (NDC 60505-6282-6)")</f>
        <v>Carboplatin, Injection, 450 mg/45 mL (10 mg/mL) Multiple Dose Vial (NDC 60505-6282-6)</v>
      </c>
      <c r="D313" s="5" t="str">
        <f>IFERROR(__xludf.DUMMYFUNCTION("""COMPUTED_VALUE"""),"New")</f>
        <v>New</v>
      </c>
      <c r="E313" s="10">
        <f>IFERROR(__xludf.DUMMYFUNCTION("""COMPUTED_VALUE"""),46174.0)</f>
        <v>46174</v>
      </c>
      <c r="F313" s="5"/>
      <c r="G313" s="5" t="str">
        <f>IFERROR(__xludf.DUMMYFUNCTION("""COMPUTED_VALUE"""),"Wholesaler &amp; Distributor through Marketing partner (Apotex Inc.); Discontinuation of the manufacture of the drug")</f>
        <v>Wholesaler &amp; Distributor through Marketing partner (Apotex Inc.); Discontinuation of the manufacture of the drug</v>
      </c>
      <c r="H313" s="5"/>
      <c r="I313" s="5"/>
      <c r="J313" s="5" t="str">
        <f>IFERROR(__xludf.DUMMYFUNCTION("""COMPUTED_VALUE"""),"Oncology")</f>
        <v>Oncology</v>
      </c>
      <c r="K313" s="5" t="str">
        <f>IFERROR(__xludf.DUMMYFUNCTION("""COMPUTED_VALUE"""),"To Be Discontinued")</f>
        <v>To Be Discontinued</v>
      </c>
      <c r="L313" s="5"/>
      <c r="M313" s="10">
        <f>IFERROR(__xludf.DUMMYFUNCTION("""COMPUTED_VALUE"""),46174.0)</f>
        <v>46174</v>
      </c>
      <c r="N313" s="10">
        <f>IFERROR(__xludf.DUMMYFUNCTION("""COMPUTED_VALUE"""),46174.0)</f>
        <v>46174</v>
      </c>
      <c r="O313" s="5">
        <v>2026.0</v>
      </c>
      <c r="P313" s="5" t="str">
        <f>IFERROR(__xludf.DUMMYFUNCTION("""COMPUTED_VALUE"""),"Not stated")</f>
        <v>Not stated</v>
      </c>
      <c r="Q313" s="5" t="s">
        <v>135</v>
      </c>
      <c r="R313" s="5" t="s">
        <v>136</v>
      </c>
      <c r="S313" s="11">
        <v>147.0</v>
      </c>
    </row>
    <row r="314">
      <c r="A314" s="5" t="str">
        <f>IFERROR(__xludf.DUMMYFUNCTION("""COMPUTED_VALUE"""),"Carboplatin Injection")</f>
        <v>Carboplatin Injection</v>
      </c>
      <c r="B314" s="5" t="str">
        <f>IFERROR(__xludf.DUMMYFUNCTION("""COMPUTED_VALUE"""),"Teyro Labs")</f>
        <v>Teyro Labs</v>
      </c>
      <c r="C314" s="5" t="str">
        <f>IFERROR(__xludf.DUMMYFUNCTION("""COMPUTED_VALUE"""),"Carboplatin, Injection, 600 mg/60 mL (10 mg/mL) Multiple Dose Vial (NDC 60505-6282-7)")</f>
        <v>Carboplatin, Injection, 600 mg/60 mL (10 mg/mL) Multiple Dose Vial (NDC 60505-6282-7)</v>
      </c>
      <c r="D314" s="5" t="str">
        <f>IFERROR(__xludf.DUMMYFUNCTION("""COMPUTED_VALUE"""),"New")</f>
        <v>New</v>
      </c>
      <c r="E314" s="10">
        <f>IFERROR(__xludf.DUMMYFUNCTION("""COMPUTED_VALUE"""),46174.0)</f>
        <v>46174</v>
      </c>
      <c r="F314" s="5"/>
      <c r="G314" s="5" t="str">
        <f>IFERROR(__xludf.DUMMYFUNCTION("""COMPUTED_VALUE"""),"Wholesaler &amp; Distributor through Marketing partner (Apotex Inc.); Discontinuation of the manufacture of the drug")</f>
        <v>Wholesaler &amp; Distributor through Marketing partner (Apotex Inc.); Discontinuation of the manufacture of the drug</v>
      </c>
      <c r="H314" s="5"/>
      <c r="I314" s="5"/>
      <c r="J314" s="5" t="str">
        <f>IFERROR(__xludf.DUMMYFUNCTION("""COMPUTED_VALUE"""),"Oncology")</f>
        <v>Oncology</v>
      </c>
      <c r="K314" s="5" t="str">
        <f>IFERROR(__xludf.DUMMYFUNCTION("""COMPUTED_VALUE"""),"To Be Discontinued")</f>
        <v>To Be Discontinued</v>
      </c>
      <c r="L314" s="5"/>
      <c r="M314" s="10">
        <f>IFERROR(__xludf.DUMMYFUNCTION("""COMPUTED_VALUE"""),46174.0)</f>
        <v>46174</v>
      </c>
      <c r="N314" s="10">
        <f>IFERROR(__xludf.DUMMYFUNCTION("""COMPUTED_VALUE"""),46174.0)</f>
        <v>46174</v>
      </c>
      <c r="O314" s="5">
        <v>2026.0</v>
      </c>
      <c r="P314" s="5" t="str">
        <f>IFERROR(__xludf.DUMMYFUNCTION("""COMPUTED_VALUE"""),"Not stated")</f>
        <v>Not stated</v>
      </c>
      <c r="Q314" s="5" t="s">
        <v>135</v>
      </c>
      <c r="R314" s="5" t="s">
        <v>136</v>
      </c>
      <c r="S314" s="11">
        <v>147.0</v>
      </c>
    </row>
    <row r="315">
      <c r="A315" s="5" t="str">
        <f>IFERROR(__xludf.DUMMYFUNCTION("""COMPUTED_VALUE"""),"Carboplatin Injection")</f>
        <v>Carboplatin Injection</v>
      </c>
      <c r="B315" s="5" t="str">
        <f>IFERROR(__xludf.DUMMYFUNCTION("""COMPUTED_VALUE"""),"Teyro Labs")</f>
        <v>Teyro Labs</v>
      </c>
      <c r="C315" s="5" t="str">
        <f>IFERROR(__xludf.DUMMYFUNCTION("""COMPUTED_VALUE"""),"Carboplatin, Injection, 50 mg/5 mL (NDC 69339-364-05)")</f>
        <v>Carboplatin, Injection, 50 mg/5 mL (NDC 69339-364-05)</v>
      </c>
      <c r="D315" s="5" t="str">
        <f>IFERROR(__xludf.DUMMYFUNCTION("""COMPUTED_VALUE"""),"New")</f>
        <v>New</v>
      </c>
      <c r="E315" s="13">
        <f>IFERROR(__xludf.DUMMYFUNCTION("""COMPUTED_VALUE"""),46315.0)</f>
        <v>46315</v>
      </c>
      <c r="F315" s="5" t="str">
        <f>IFERROR(__xludf.DUMMYFUNCTION("""COMPUTED_VALUE"""),"Available")</f>
        <v>Available</v>
      </c>
      <c r="G315" s="5" t="str">
        <f>IFERROR(__xludf.DUMMYFUNCTION("""COMPUTED_VALUE"""),"Wholesaler &amp; Distributor through Marketing partner (Natco Pharma USA LLC)")</f>
        <v>Wholesaler &amp; Distributor through Marketing partner (Natco Pharma USA LLC)</v>
      </c>
      <c r="H315" s="5"/>
      <c r="I315" s="5"/>
      <c r="J315" s="5" t="str">
        <f>IFERROR(__xludf.DUMMYFUNCTION("""COMPUTED_VALUE"""),"Oncology")</f>
        <v>Oncology</v>
      </c>
      <c r="K315" s="5" t="str">
        <f>IFERROR(__xludf.DUMMYFUNCTION("""COMPUTED_VALUE"""),"Current")</f>
        <v>Current</v>
      </c>
      <c r="L315" s="5"/>
      <c r="M315" s="5"/>
      <c r="N315" s="10">
        <f>IFERROR(__xludf.DUMMYFUNCTION("""COMPUTED_VALUE"""),45044.0)</f>
        <v>45044</v>
      </c>
      <c r="O315" s="5">
        <v>2023.0</v>
      </c>
      <c r="P315" s="5" t="str">
        <f>IFERROR(__xludf.DUMMYFUNCTION("""COMPUTED_VALUE"""),"Available")</f>
        <v>Available</v>
      </c>
      <c r="Q315" s="5" t="s">
        <v>135</v>
      </c>
      <c r="R315" s="5" t="s">
        <v>136</v>
      </c>
      <c r="S315" s="11">
        <v>1277.0</v>
      </c>
    </row>
    <row r="316">
      <c r="A316" s="5" t="str">
        <f>IFERROR(__xludf.DUMMYFUNCTION("""COMPUTED_VALUE"""),"Carboplatin Injection")</f>
        <v>Carboplatin Injection</v>
      </c>
      <c r="B316" s="5" t="str">
        <f>IFERROR(__xludf.DUMMYFUNCTION("""COMPUTED_VALUE"""),"Teyro Labs")</f>
        <v>Teyro Labs</v>
      </c>
      <c r="C316" s="5" t="str">
        <f>IFERROR(__xludf.DUMMYFUNCTION("""COMPUTED_VALUE"""),"Carboplatin, Injection, 150 mg/15 mL (NDC 69339-365-15)")</f>
        <v>Carboplatin, Injection, 150 mg/15 mL (NDC 69339-365-15)</v>
      </c>
      <c r="D316" s="5" t="str">
        <f>IFERROR(__xludf.DUMMYFUNCTION("""COMPUTED_VALUE"""),"New")</f>
        <v>New</v>
      </c>
      <c r="E316" s="13">
        <f>IFERROR(__xludf.DUMMYFUNCTION("""COMPUTED_VALUE"""),46315.0)</f>
        <v>46315</v>
      </c>
      <c r="F316" s="5" t="str">
        <f>IFERROR(__xludf.DUMMYFUNCTION("""COMPUTED_VALUE"""),"Available")</f>
        <v>Available</v>
      </c>
      <c r="G316" s="5" t="str">
        <f>IFERROR(__xludf.DUMMYFUNCTION("""COMPUTED_VALUE"""),"Wholesaler &amp; Distributor through Marketing partner (Natco Pharma USA LLC)")</f>
        <v>Wholesaler &amp; Distributor through Marketing partner (Natco Pharma USA LLC)</v>
      </c>
      <c r="H316" s="5"/>
      <c r="I316" s="5"/>
      <c r="J316" s="5" t="str">
        <f>IFERROR(__xludf.DUMMYFUNCTION("""COMPUTED_VALUE"""),"Oncology")</f>
        <v>Oncology</v>
      </c>
      <c r="K316" s="5" t="str">
        <f>IFERROR(__xludf.DUMMYFUNCTION("""COMPUTED_VALUE"""),"Current")</f>
        <v>Current</v>
      </c>
      <c r="L316" s="5"/>
      <c r="M316" s="5"/>
      <c r="N316" s="10">
        <f>IFERROR(__xludf.DUMMYFUNCTION("""COMPUTED_VALUE"""),45044.0)</f>
        <v>45044</v>
      </c>
      <c r="O316" s="5">
        <v>2023.0</v>
      </c>
      <c r="P316" s="5" t="str">
        <f>IFERROR(__xludf.DUMMYFUNCTION("""COMPUTED_VALUE"""),"Available")</f>
        <v>Available</v>
      </c>
      <c r="Q316" s="5" t="s">
        <v>135</v>
      </c>
      <c r="R316" s="5" t="s">
        <v>136</v>
      </c>
      <c r="S316" s="11">
        <v>1277.0</v>
      </c>
    </row>
    <row r="317">
      <c r="A317" s="5" t="str">
        <f>IFERROR(__xludf.DUMMYFUNCTION("""COMPUTED_VALUE"""),"Carboplatin Injection")</f>
        <v>Carboplatin Injection</v>
      </c>
      <c r="B317" s="5" t="str">
        <f>IFERROR(__xludf.DUMMYFUNCTION("""COMPUTED_VALUE"""),"Teyro Labs")</f>
        <v>Teyro Labs</v>
      </c>
      <c r="C317" s="5" t="str">
        <f>IFERROR(__xludf.DUMMYFUNCTION("""COMPUTED_VALUE"""),"Carboplatin, Injection, 450 mg/45 mL (NDC 69339-366-45)")</f>
        <v>Carboplatin, Injection, 450 mg/45 mL (NDC 69339-366-45)</v>
      </c>
      <c r="D317" s="5" t="str">
        <f>IFERROR(__xludf.DUMMYFUNCTION("""COMPUTED_VALUE"""),"New")</f>
        <v>New</v>
      </c>
      <c r="E317" s="13">
        <f>IFERROR(__xludf.DUMMYFUNCTION("""COMPUTED_VALUE"""),46315.0)</f>
        <v>46315</v>
      </c>
      <c r="F317" s="5" t="str">
        <f>IFERROR(__xludf.DUMMYFUNCTION("""COMPUTED_VALUE"""),"Available")</f>
        <v>Available</v>
      </c>
      <c r="G317" s="5" t="str">
        <f>IFERROR(__xludf.DUMMYFUNCTION("""COMPUTED_VALUE"""),"Wholesaler &amp; Distributor through Marketing partner (Natco Pharma USA LLC)")</f>
        <v>Wholesaler &amp; Distributor through Marketing partner (Natco Pharma USA LLC)</v>
      </c>
      <c r="H317" s="5"/>
      <c r="I317" s="5"/>
      <c r="J317" s="5" t="str">
        <f>IFERROR(__xludf.DUMMYFUNCTION("""COMPUTED_VALUE"""),"Oncology")</f>
        <v>Oncology</v>
      </c>
      <c r="K317" s="5" t="str">
        <f>IFERROR(__xludf.DUMMYFUNCTION("""COMPUTED_VALUE"""),"Current")</f>
        <v>Current</v>
      </c>
      <c r="L317" s="5"/>
      <c r="M317" s="5"/>
      <c r="N317" s="10">
        <f>IFERROR(__xludf.DUMMYFUNCTION("""COMPUTED_VALUE"""),45044.0)</f>
        <v>45044</v>
      </c>
      <c r="O317" s="5">
        <v>2023.0</v>
      </c>
      <c r="P317" s="5" t="str">
        <f>IFERROR(__xludf.DUMMYFUNCTION("""COMPUTED_VALUE"""),"Available")</f>
        <v>Available</v>
      </c>
      <c r="Q317" s="5" t="s">
        <v>135</v>
      </c>
      <c r="R317" s="5" t="s">
        <v>136</v>
      </c>
      <c r="S317" s="11">
        <v>1277.0</v>
      </c>
    </row>
    <row r="318">
      <c r="A318" s="5" t="str">
        <f>IFERROR(__xludf.DUMMYFUNCTION("""COMPUTED_VALUE"""),"Carboplatin Injection")</f>
        <v>Carboplatin Injection</v>
      </c>
      <c r="B318" s="5" t="str">
        <f>IFERROR(__xludf.DUMMYFUNCTION("""COMPUTED_VALUE"""),"Teyro Labs")</f>
        <v>Teyro Labs</v>
      </c>
      <c r="C318" s="5" t="str">
        <f>IFERROR(__xludf.DUMMYFUNCTION("""COMPUTED_VALUE"""),"Carboplatin, Injection, 600 mg/60 mL (NDC 69339-367-60)")</f>
        <v>Carboplatin, Injection, 600 mg/60 mL (NDC 69339-367-60)</v>
      </c>
      <c r="D318" s="5" t="str">
        <f>IFERROR(__xludf.DUMMYFUNCTION("""COMPUTED_VALUE"""),"New")</f>
        <v>New</v>
      </c>
      <c r="E318" s="13">
        <f>IFERROR(__xludf.DUMMYFUNCTION("""COMPUTED_VALUE"""),46315.0)</f>
        <v>46315</v>
      </c>
      <c r="F318" s="5" t="str">
        <f>IFERROR(__xludf.DUMMYFUNCTION("""COMPUTED_VALUE"""),"Available")</f>
        <v>Available</v>
      </c>
      <c r="G318" s="5" t="str">
        <f>IFERROR(__xludf.DUMMYFUNCTION("""COMPUTED_VALUE"""),"Wholesaler &amp; Distributor through Marketing partner (Natco Pharma USA LLC)")</f>
        <v>Wholesaler &amp; Distributor through Marketing partner (Natco Pharma USA LLC)</v>
      </c>
      <c r="H318" s="5"/>
      <c r="I318" s="5"/>
      <c r="J318" s="5" t="str">
        <f>IFERROR(__xludf.DUMMYFUNCTION("""COMPUTED_VALUE"""),"Oncology")</f>
        <v>Oncology</v>
      </c>
      <c r="K318" s="5" t="str">
        <f>IFERROR(__xludf.DUMMYFUNCTION("""COMPUTED_VALUE"""),"Current")</f>
        <v>Current</v>
      </c>
      <c r="L318" s="5"/>
      <c r="M318" s="5"/>
      <c r="N318" s="10">
        <f>IFERROR(__xludf.DUMMYFUNCTION("""COMPUTED_VALUE"""),45044.0)</f>
        <v>45044</v>
      </c>
      <c r="O318" s="5">
        <v>2023.0</v>
      </c>
      <c r="P318" s="5" t="str">
        <f>IFERROR(__xludf.DUMMYFUNCTION("""COMPUTED_VALUE"""),"Available")</f>
        <v>Available</v>
      </c>
      <c r="Q318" s="5" t="s">
        <v>135</v>
      </c>
      <c r="R318" s="5" t="s">
        <v>136</v>
      </c>
      <c r="S318" s="11">
        <v>1277.0</v>
      </c>
    </row>
    <row r="319">
      <c r="A319" s="5" t="str">
        <f>IFERROR(__xludf.DUMMYFUNCTION("""COMPUTED_VALUE"""),"Caspofungin Acetate Injection")</f>
        <v>Caspofungin Acetate Injection</v>
      </c>
      <c r="B319" s="5" t="str">
        <f>IFERROR(__xludf.DUMMYFUNCTION("""COMPUTED_VALUE"""),"Jiangsu Hengrui Pharmaceuticals Co. (US Agent eVenus Pharmaceutical Laboratories, Inc.)")</f>
        <v>Jiangsu Hengrui Pharmaceuticals Co. (US Agent eVenus Pharmaceutical Laboratories, Inc.)</v>
      </c>
      <c r="C319" s="5" t="str">
        <f>IFERROR(__xludf.DUMMYFUNCTION("""COMPUTED_VALUE"""),"Caspofungin Acetate, Injection, 5 mg/1 mL (NDC 0781-3421-94)")</f>
        <v>Caspofungin Acetate, Injection, 5 mg/1 mL (NDC 0781-3421-94)</v>
      </c>
      <c r="D319" s="5" t="str">
        <f>IFERROR(__xludf.DUMMYFUNCTION("""COMPUTED_VALUE"""),"New")</f>
        <v>New</v>
      </c>
      <c r="E319" s="10">
        <f>IFERROR(__xludf.DUMMYFUNCTION("""COMPUTED_VALUE"""),46203.0)</f>
        <v>46203</v>
      </c>
      <c r="F319" s="5"/>
      <c r="G319" s="5" t="str">
        <f>IFERROR(__xludf.DUMMYFUNCTION("""COMPUTED_VALUE"""),"Marketed by Sandoz, Inc.; Discontinuation of the manufacture of the drug")</f>
        <v>Marketed by Sandoz, Inc.; Discontinuation of the manufacture of the drug</v>
      </c>
      <c r="H319" s="5"/>
      <c r="I319" s="5"/>
      <c r="J319" s="5" t="str">
        <f>IFERROR(__xludf.DUMMYFUNCTION("""COMPUTED_VALUE"""),"Anti-Infective")</f>
        <v>Anti-Infective</v>
      </c>
      <c r="K319" s="5" t="str">
        <f>IFERROR(__xludf.DUMMYFUNCTION("""COMPUTED_VALUE"""),"To Be Discontinued")</f>
        <v>To Be Discontinued</v>
      </c>
      <c r="L319" s="5"/>
      <c r="M319" s="10">
        <f>IFERROR(__xludf.DUMMYFUNCTION("""COMPUTED_VALUE"""),46203.0)</f>
        <v>46203</v>
      </c>
      <c r="N319" s="10">
        <f>IFERROR(__xludf.DUMMYFUNCTION("""COMPUTED_VALUE"""),46203.0)</f>
        <v>46203</v>
      </c>
      <c r="O319" s="5">
        <v>2026.0</v>
      </c>
      <c r="P319" s="5" t="str">
        <f>IFERROR(__xludf.DUMMYFUNCTION("""COMPUTED_VALUE"""),"Not stated")</f>
        <v>Not stated</v>
      </c>
      <c r="Q319" s="5" t="s">
        <v>135</v>
      </c>
      <c r="R319" s="5" t="s">
        <v>136</v>
      </c>
      <c r="S319" s="11">
        <v>118.0</v>
      </c>
    </row>
    <row r="320">
      <c r="A320" s="5" t="str">
        <f>IFERROR(__xludf.DUMMYFUNCTION("""COMPUTED_VALUE"""),"Caspofungin Acetate Injection")</f>
        <v>Caspofungin Acetate Injection</v>
      </c>
      <c r="B320" s="5" t="str">
        <f>IFERROR(__xludf.DUMMYFUNCTION("""COMPUTED_VALUE"""),"Jiangsu Hengrui Pharmaceuticals Co. (US Agent eVenus Pharmaceutical Laboratories, Inc.)")</f>
        <v>Jiangsu Hengrui Pharmaceuticals Co. (US Agent eVenus Pharmaceutical Laboratories, Inc.)</v>
      </c>
      <c r="C320" s="5" t="str">
        <f>IFERROR(__xludf.DUMMYFUNCTION("""COMPUTED_VALUE"""),"Caspofungin Acetate, Injection, 7 mg/1 mL (NDC 0781-3423-94)")</f>
        <v>Caspofungin Acetate, Injection, 7 mg/1 mL (NDC 0781-3423-94)</v>
      </c>
      <c r="D320" s="5" t="str">
        <f>IFERROR(__xludf.DUMMYFUNCTION("""COMPUTED_VALUE"""),"New")</f>
        <v>New</v>
      </c>
      <c r="E320" s="10">
        <f>IFERROR(__xludf.DUMMYFUNCTION("""COMPUTED_VALUE"""),46203.0)</f>
        <v>46203</v>
      </c>
      <c r="F320" s="5"/>
      <c r="G320" s="5" t="str">
        <f>IFERROR(__xludf.DUMMYFUNCTION("""COMPUTED_VALUE"""),"Marketed by Sandoz, Inc.; Discontinuation of the manufacture of the drug")</f>
        <v>Marketed by Sandoz, Inc.; Discontinuation of the manufacture of the drug</v>
      </c>
      <c r="H320" s="5"/>
      <c r="I320" s="5"/>
      <c r="J320" s="5" t="str">
        <f>IFERROR(__xludf.DUMMYFUNCTION("""COMPUTED_VALUE"""),"Anti-Infective")</f>
        <v>Anti-Infective</v>
      </c>
      <c r="K320" s="5" t="str">
        <f>IFERROR(__xludf.DUMMYFUNCTION("""COMPUTED_VALUE"""),"To Be Discontinued")</f>
        <v>To Be Discontinued</v>
      </c>
      <c r="L320" s="5"/>
      <c r="M320" s="10">
        <f>IFERROR(__xludf.DUMMYFUNCTION("""COMPUTED_VALUE"""),46203.0)</f>
        <v>46203</v>
      </c>
      <c r="N320" s="10">
        <f>IFERROR(__xludf.DUMMYFUNCTION("""COMPUTED_VALUE"""),46203.0)</f>
        <v>46203</v>
      </c>
      <c r="O320" s="5">
        <v>2026.0</v>
      </c>
      <c r="P320" s="5" t="str">
        <f>IFERROR(__xludf.DUMMYFUNCTION("""COMPUTED_VALUE"""),"Not stated")</f>
        <v>Not stated</v>
      </c>
      <c r="Q320" s="5" t="s">
        <v>135</v>
      </c>
      <c r="R320" s="5" t="s">
        <v>136</v>
      </c>
      <c r="S320" s="11">
        <v>118.0</v>
      </c>
    </row>
    <row r="321">
      <c r="A321" s="5" t="str">
        <f>IFERROR(__xludf.DUMMYFUNCTION("""COMPUTED_VALUE"""),"Caspofungin Acetate Injection")</f>
        <v>Caspofungin Acetate Injection</v>
      </c>
      <c r="B321" s="5" t="str">
        <f>IFERROR(__xludf.DUMMYFUNCTION("""COMPUTED_VALUE"""),"Fresenius Kabi USA, LLC")</f>
        <v>Fresenius Kabi USA, LLC</v>
      </c>
      <c r="C321" s="5" t="str">
        <f>IFERROR(__xludf.DUMMYFUNCTION("""COMPUTED_VALUE"""),"Caspofungin Acetate, Injection, 7 mg/1 mL (NDC 63323-358-10)")</f>
        <v>Caspofungin Acetate, Injection, 7 mg/1 mL (NDC 63323-358-10)</v>
      </c>
      <c r="D321" s="5" t="str">
        <f>IFERROR(__xludf.DUMMYFUNCTION("""COMPUTED_VALUE"""),"New")</f>
        <v>New</v>
      </c>
      <c r="E321" s="10">
        <f>IFERROR(__xludf.DUMMYFUNCTION("""COMPUTED_VALUE"""),46034.0)</f>
        <v>46034</v>
      </c>
      <c r="F321" s="5"/>
      <c r="G321" s="5" t="str">
        <f>IFERROR(__xludf.DUMMYFUNCTION("""COMPUTED_VALUE"""),"Discontinuation of the manufacture of the drug")</f>
        <v>Discontinuation of the manufacture of the drug</v>
      </c>
      <c r="H321" s="5"/>
      <c r="I321" s="5"/>
      <c r="J321" s="5" t="str">
        <f>IFERROR(__xludf.DUMMYFUNCTION("""COMPUTED_VALUE"""),"Anti-Infective")</f>
        <v>Anti-Infective</v>
      </c>
      <c r="K321" s="5" t="str">
        <f>IFERROR(__xludf.DUMMYFUNCTION("""COMPUTED_VALUE"""),"To Be Discontinued")</f>
        <v>To Be Discontinued</v>
      </c>
      <c r="L321" s="5"/>
      <c r="M321" s="10">
        <f>IFERROR(__xludf.DUMMYFUNCTION("""COMPUTED_VALUE"""),46034.0)</f>
        <v>46034</v>
      </c>
      <c r="N321" s="10">
        <f>IFERROR(__xludf.DUMMYFUNCTION("""COMPUTED_VALUE"""),46034.0)</f>
        <v>46034</v>
      </c>
      <c r="O321" s="5">
        <v>2026.0</v>
      </c>
      <c r="P321" s="5" t="str">
        <f>IFERROR(__xludf.DUMMYFUNCTION("""COMPUTED_VALUE"""),"Not stated")</f>
        <v>Not stated</v>
      </c>
      <c r="Q321" s="5" t="s">
        <v>135</v>
      </c>
      <c r="R321" s="5" t="s">
        <v>136</v>
      </c>
      <c r="S321" s="11">
        <v>287.0</v>
      </c>
    </row>
    <row r="322">
      <c r="A322" s="5" t="str">
        <f>IFERROR(__xludf.DUMMYFUNCTION("""COMPUTED_VALUE"""),"Cefepime Hydrochloride Injection")</f>
        <v>Cefepime Hydrochloride Injection</v>
      </c>
      <c r="B322" s="5" t="str">
        <f>IFERROR(__xludf.DUMMYFUNCTION("""COMPUTED_VALUE"""),"Fresenius Kabi USA, LLC")</f>
        <v>Fresenius Kabi USA, LLC</v>
      </c>
      <c r="C322" s="5" t="str">
        <f>IFERROR(__xludf.DUMMYFUNCTION("""COMPUTED_VALUE"""),"Cefepime Hydrochloride, Injection, 1 g (NDC 63323-326-20)")</f>
        <v>Cefepime Hydrochloride, Injection, 1 g (NDC 63323-326-20)</v>
      </c>
      <c r="D322" s="5" t="str">
        <f>IFERROR(__xludf.DUMMYFUNCTION("""COMPUTED_VALUE"""),"New")</f>
        <v>New</v>
      </c>
      <c r="E322" s="10">
        <f>IFERROR(__xludf.DUMMYFUNCTION("""COMPUTED_VALUE"""),46063.0)</f>
        <v>46063</v>
      </c>
      <c r="F322" s="5"/>
      <c r="G322" s="5" t="str">
        <f>IFERROR(__xludf.DUMMYFUNCTION("""COMPUTED_VALUE"""),"Discontinuation of the manufacture of the drug.")</f>
        <v>Discontinuation of the manufacture of the drug.</v>
      </c>
      <c r="H322" s="5"/>
      <c r="I322" s="5"/>
      <c r="J322" s="5" t="str">
        <f>IFERROR(__xludf.DUMMYFUNCTION("""COMPUTED_VALUE"""),"Anti-Infective")</f>
        <v>Anti-Infective</v>
      </c>
      <c r="K322" s="5" t="str">
        <f>IFERROR(__xludf.DUMMYFUNCTION("""COMPUTED_VALUE"""),"To Be Discontinued")</f>
        <v>To Be Discontinued</v>
      </c>
      <c r="L322" s="5"/>
      <c r="M322" s="10">
        <f>IFERROR(__xludf.DUMMYFUNCTION("""COMPUTED_VALUE"""),46063.0)</f>
        <v>46063</v>
      </c>
      <c r="N322" s="10">
        <f>IFERROR(__xludf.DUMMYFUNCTION("""COMPUTED_VALUE"""),46063.0)</f>
        <v>46063</v>
      </c>
      <c r="O322" s="5">
        <v>2026.0</v>
      </c>
      <c r="P322" s="5" t="str">
        <f>IFERROR(__xludf.DUMMYFUNCTION("""COMPUTED_VALUE"""),"Not stated")</f>
        <v>Not stated</v>
      </c>
      <c r="Q322" s="5" t="s">
        <v>135</v>
      </c>
      <c r="R322" s="5" t="s">
        <v>136</v>
      </c>
      <c r="S322" s="11">
        <v>258.0</v>
      </c>
    </row>
    <row r="323">
      <c r="A323" s="5" t="str">
        <f>IFERROR(__xludf.DUMMYFUNCTION("""COMPUTED_VALUE"""),"Cefepime Hydrochloride Injection")</f>
        <v>Cefepime Hydrochloride Injection</v>
      </c>
      <c r="B323" s="5" t="str">
        <f>IFERROR(__xludf.DUMMYFUNCTION("""COMPUTED_VALUE"""),"Fresenius Kabi USA, LLC")</f>
        <v>Fresenius Kabi USA, LLC</v>
      </c>
      <c r="C323" s="5" t="str">
        <f>IFERROR(__xludf.DUMMYFUNCTION("""COMPUTED_VALUE"""),"Cefepime Hydrochloride, Injection, 2 g (NDC 63323-340-20)")</f>
        <v>Cefepime Hydrochloride, Injection, 2 g (NDC 63323-340-20)</v>
      </c>
      <c r="D323" s="5" t="str">
        <f>IFERROR(__xludf.DUMMYFUNCTION("""COMPUTED_VALUE"""),"New")</f>
        <v>New</v>
      </c>
      <c r="E323" s="10">
        <f>IFERROR(__xludf.DUMMYFUNCTION("""COMPUTED_VALUE"""),46063.0)</f>
        <v>46063</v>
      </c>
      <c r="F323" s="5"/>
      <c r="G323" s="5" t="str">
        <f>IFERROR(__xludf.DUMMYFUNCTION("""COMPUTED_VALUE"""),"Discontinuation of the manufacture of the drug.")</f>
        <v>Discontinuation of the manufacture of the drug.</v>
      </c>
      <c r="H323" s="5"/>
      <c r="I323" s="5"/>
      <c r="J323" s="5" t="str">
        <f>IFERROR(__xludf.DUMMYFUNCTION("""COMPUTED_VALUE"""),"Anti-Infective")</f>
        <v>Anti-Infective</v>
      </c>
      <c r="K323" s="5" t="str">
        <f>IFERROR(__xludf.DUMMYFUNCTION("""COMPUTED_VALUE"""),"To Be Discontinued")</f>
        <v>To Be Discontinued</v>
      </c>
      <c r="L323" s="5"/>
      <c r="M323" s="10">
        <f>IFERROR(__xludf.DUMMYFUNCTION("""COMPUTED_VALUE"""),46063.0)</f>
        <v>46063</v>
      </c>
      <c r="N323" s="10">
        <f>IFERROR(__xludf.DUMMYFUNCTION("""COMPUTED_VALUE"""),46063.0)</f>
        <v>46063</v>
      </c>
      <c r="O323" s="5">
        <v>2026.0</v>
      </c>
      <c r="P323" s="5" t="str">
        <f>IFERROR(__xludf.DUMMYFUNCTION("""COMPUTED_VALUE"""),"Not stated")</f>
        <v>Not stated</v>
      </c>
      <c r="Q323" s="5" t="s">
        <v>135</v>
      </c>
      <c r="R323" s="5" t="s">
        <v>136</v>
      </c>
      <c r="S323" s="11">
        <v>258.0</v>
      </c>
    </row>
    <row r="324">
      <c r="A324" s="5" t="str">
        <f>IFERROR(__xludf.DUMMYFUNCTION("""COMPUTED_VALUE"""),"Cefotaxime Sodium Powder, for Solution")</f>
        <v>Cefotaxime Sodium Powder, for Solution</v>
      </c>
      <c r="B324" s="5" t="str">
        <f>IFERROR(__xludf.DUMMYFUNCTION("""COMPUTED_VALUE"""),"Hikma Pharmaceuticals USA, Inc.")</f>
        <v>Hikma Pharmaceuticals USA, Inc.</v>
      </c>
      <c r="C324" s="5" t="str">
        <f>IFERROR(__xludf.DUMMYFUNCTION("""COMPUTED_VALUE"""),"Cefotaxime Sodium, Powder, for Solution, 500 mg (NDC 0143-9930-10)")</f>
        <v>Cefotaxime Sodium, Powder, for Solution, 500 mg (NDC 0143-9930-10)</v>
      </c>
      <c r="D324" s="5" t="str">
        <f>IFERROR(__xludf.DUMMYFUNCTION("""COMPUTED_VALUE"""),"Reverified")</f>
        <v>Reverified</v>
      </c>
      <c r="E324" s="13">
        <f>IFERROR(__xludf.DUMMYFUNCTION("""COMPUTED_VALUE"""),46309.0)</f>
        <v>46309</v>
      </c>
      <c r="F324" s="5" t="str">
        <f>IFERROR(__xludf.DUMMYFUNCTION("""COMPUTED_VALUE"""),"Unavailable")</f>
        <v>Unavailable</v>
      </c>
      <c r="G324" s="5" t="str">
        <f>IFERROR(__xludf.DUMMYFUNCTION("""COMPUTED_VALUE"""),"Estimated recovery: TBD")</f>
        <v>Estimated recovery: TBD</v>
      </c>
      <c r="H324" s="5"/>
      <c r="I324" s="5" t="str">
        <f>IFERROR(__xludf.DUMMYFUNCTION("""COMPUTED_VALUE"""),"Demand increase for the drug")</f>
        <v>Demand increase for the drug</v>
      </c>
      <c r="J324" s="5" t="str">
        <f>IFERROR(__xludf.DUMMYFUNCTION("""COMPUTED_VALUE"""),"Anti-Infective; Pediatric")</f>
        <v>Anti-Infective; Pediatric</v>
      </c>
      <c r="K324" s="5" t="str">
        <f>IFERROR(__xludf.DUMMYFUNCTION("""COMPUTED_VALUE"""),"Current")</f>
        <v>Current</v>
      </c>
      <c r="L324" s="5"/>
      <c r="M324" s="5"/>
      <c r="N324" s="10">
        <f>IFERROR(__xludf.DUMMYFUNCTION("""COMPUTED_VALUE"""),42052.0)</f>
        <v>42052</v>
      </c>
      <c r="O324" s="5">
        <v>2015.0</v>
      </c>
      <c r="P324" s="5" t="str">
        <f>IFERROR(__xludf.DUMMYFUNCTION("""COMPUTED_VALUE"""),"Unavailable")</f>
        <v>Unavailable</v>
      </c>
      <c r="Q324" s="5" t="s">
        <v>134</v>
      </c>
      <c r="R324" s="5" t="s">
        <v>136</v>
      </c>
      <c r="S324" s="11">
        <v>4269.0</v>
      </c>
    </row>
    <row r="325">
      <c r="A325" s="5" t="str">
        <f>IFERROR(__xludf.DUMMYFUNCTION("""COMPUTED_VALUE"""),"Cefotaxime Sodium Powder, for Solution")</f>
        <v>Cefotaxime Sodium Powder, for Solution</v>
      </c>
      <c r="B325" s="5" t="str">
        <f>IFERROR(__xludf.DUMMYFUNCTION("""COMPUTED_VALUE"""),"Hikma Pharmaceuticals USA, Inc.")</f>
        <v>Hikma Pharmaceuticals USA, Inc.</v>
      </c>
      <c r="C325" s="5" t="str">
        <f>IFERROR(__xludf.DUMMYFUNCTION("""COMPUTED_VALUE"""),"Cefotaxime Sodium, Powder, for Solution, 1 g (NDC 0143-9931-25)")</f>
        <v>Cefotaxime Sodium, Powder, for Solution, 1 g (NDC 0143-9931-25)</v>
      </c>
      <c r="D325" s="5" t="str">
        <f>IFERROR(__xludf.DUMMYFUNCTION("""COMPUTED_VALUE"""),"Reverified")</f>
        <v>Reverified</v>
      </c>
      <c r="E325" s="13">
        <f>IFERROR(__xludf.DUMMYFUNCTION("""COMPUTED_VALUE"""),46309.0)</f>
        <v>46309</v>
      </c>
      <c r="F325" s="5" t="str">
        <f>IFERROR(__xludf.DUMMYFUNCTION("""COMPUTED_VALUE"""),"Unavailable")</f>
        <v>Unavailable</v>
      </c>
      <c r="G325" s="5" t="str">
        <f>IFERROR(__xludf.DUMMYFUNCTION("""COMPUTED_VALUE"""),"Estimated recovery: TBD")</f>
        <v>Estimated recovery: TBD</v>
      </c>
      <c r="H325" s="5"/>
      <c r="I325" s="5" t="str">
        <f>IFERROR(__xludf.DUMMYFUNCTION("""COMPUTED_VALUE"""),"Demand increase for the drug")</f>
        <v>Demand increase for the drug</v>
      </c>
      <c r="J325" s="5" t="str">
        <f>IFERROR(__xludf.DUMMYFUNCTION("""COMPUTED_VALUE"""),"Anti-Infective; Pediatric")</f>
        <v>Anti-Infective; Pediatric</v>
      </c>
      <c r="K325" s="5" t="str">
        <f>IFERROR(__xludf.DUMMYFUNCTION("""COMPUTED_VALUE"""),"Current")</f>
        <v>Current</v>
      </c>
      <c r="L325" s="5"/>
      <c r="M325" s="5"/>
      <c r="N325" s="10">
        <f>IFERROR(__xludf.DUMMYFUNCTION("""COMPUTED_VALUE"""),42052.0)</f>
        <v>42052</v>
      </c>
      <c r="O325" s="5">
        <v>2015.0</v>
      </c>
      <c r="P325" s="5" t="str">
        <f>IFERROR(__xludf.DUMMYFUNCTION("""COMPUTED_VALUE"""),"Unavailable")</f>
        <v>Unavailable</v>
      </c>
      <c r="Q325" s="5" t="s">
        <v>134</v>
      </c>
      <c r="R325" s="5" t="s">
        <v>136</v>
      </c>
      <c r="S325" s="11">
        <v>4269.0</v>
      </c>
    </row>
    <row r="326">
      <c r="A326" s="5" t="str">
        <f>IFERROR(__xludf.DUMMYFUNCTION("""COMPUTED_VALUE"""),"Cefotaxime Sodium Powder, for Solution")</f>
        <v>Cefotaxime Sodium Powder, for Solution</v>
      </c>
      <c r="B326" s="5" t="str">
        <f>IFERROR(__xludf.DUMMYFUNCTION("""COMPUTED_VALUE"""),"Hikma Pharmaceuticals USA, Inc.")</f>
        <v>Hikma Pharmaceuticals USA, Inc.</v>
      </c>
      <c r="C326" s="5" t="str">
        <f>IFERROR(__xludf.DUMMYFUNCTION("""COMPUTED_VALUE"""),"Cefotaxime Sodium, Powder, for Solution, 2 g (NDC 0143-9933-25)")</f>
        <v>Cefotaxime Sodium, Powder, for Solution, 2 g (NDC 0143-9933-25)</v>
      </c>
      <c r="D326" s="5" t="str">
        <f>IFERROR(__xludf.DUMMYFUNCTION("""COMPUTED_VALUE"""),"Reverified")</f>
        <v>Reverified</v>
      </c>
      <c r="E326" s="13">
        <f>IFERROR(__xludf.DUMMYFUNCTION("""COMPUTED_VALUE"""),46309.0)</f>
        <v>46309</v>
      </c>
      <c r="F326" s="5" t="str">
        <f>IFERROR(__xludf.DUMMYFUNCTION("""COMPUTED_VALUE"""),"Unavailable")</f>
        <v>Unavailable</v>
      </c>
      <c r="G326" s="5" t="str">
        <f>IFERROR(__xludf.DUMMYFUNCTION("""COMPUTED_VALUE"""),"Estimated recovery: TBD")</f>
        <v>Estimated recovery: TBD</v>
      </c>
      <c r="H326" s="5"/>
      <c r="I326" s="5" t="str">
        <f>IFERROR(__xludf.DUMMYFUNCTION("""COMPUTED_VALUE"""),"Demand increase for the drug")</f>
        <v>Demand increase for the drug</v>
      </c>
      <c r="J326" s="5" t="str">
        <f>IFERROR(__xludf.DUMMYFUNCTION("""COMPUTED_VALUE"""),"Anti-Infective; Pediatric")</f>
        <v>Anti-Infective; Pediatric</v>
      </c>
      <c r="K326" s="5" t="str">
        <f>IFERROR(__xludf.DUMMYFUNCTION("""COMPUTED_VALUE"""),"Current")</f>
        <v>Current</v>
      </c>
      <c r="L326" s="5"/>
      <c r="M326" s="5"/>
      <c r="N326" s="10">
        <f>IFERROR(__xludf.DUMMYFUNCTION("""COMPUTED_VALUE"""),42052.0)</f>
        <v>42052</v>
      </c>
      <c r="O326" s="5">
        <v>2015.0</v>
      </c>
      <c r="P326" s="5" t="str">
        <f>IFERROR(__xludf.DUMMYFUNCTION("""COMPUTED_VALUE"""),"Unavailable")</f>
        <v>Unavailable</v>
      </c>
      <c r="Q326" s="5" t="s">
        <v>134</v>
      </c>
      <c r="R326" s="5" t="s">
        <v>136</v>
      </c>
      <c r="S326" s="11">
        <v>4269.0</v>
      </c>
    </row>
    <row r="327">
      <c r="A327" s="5" t="str">
        <f>IFERROR(__xludf.DUMMYFUNCTION("""COMPUTED_VALUE"""),"Cefotaxime Sodium Powder, for Solution")</f>
        <v>Cefotaxime Sodium Powder, for Solution</v>
      </c>
      <c r="B327" s="5" t="str">
        <f>IFERROR(__xludf.DUMMYFUNCTION("""COMPUTED_VALUE"""),"Hikma Pharmaceuticals USA, Inc.")</f>
        <v>Hikma Pharmaceuticals USA, Inc.</v>
      </c>
      <c r="C327" s="5" t="str">
        <f>IFERROR(__xludf.DUMMYFUNCTION("""COMPUTED_VALUE"""),"Cefotaxime Sodium, Powder, for Solution, 10 g (NDC 0143-9935-01)")</f>
        <v>Cefotaxime Sodium, Powder, for Solution, 10 g (NDC 0143-9935-01)</v>
      </c>
      <c r="D327" s="5" t="str">
        <f>IFERROR(__xludf.DUMMYFUNCTION("""COMPUTED_VALUE"""),"Reverified")</f>
        <v>Reverified</v>
      </c>
      <c r="E327" s="13">
        <f>IFERROR(__xludf.DUMMYFUNCTION("""COMPUTED_VALUE"""),46309.0)</f>
        <v>46309</v>
      </c>
      <c r="F327" s="5" t="str">
        <f>IFERROR(__xludf.DUMMYFUNCTION("""COMPUTED_VALUE"""),"Unavailable")</f>
        <v>Unavailable</v>
      </c>
      <c r="G327" s="5" t="str">
        <f>IFERROR(__xludf.DUMMYFUNCTION("""COMPUTED_VALUE"""),"Estimated recovery: TBD")</f>
        <v>Estimated recovery: TBD</v>
      </c>
      <c r="H327" s="5"/>
      <c r="I327" s="5" t="str">
        <f>IFERROR(__xludf.DUMMYFUNCTION("""COMPUTED_VALUE"""),"Demand increase for the drug")</f>
        <v>Demand increase for the drug</v>
      </c>
      <c r="J327" s="5" t="str">
        <f>IFERROR(__xludf.DUMMYFUNCTION("""COMPUTED_VALUE"""),"Anti-Infective; Pediatric")</f>
        <v>Anti-Infective; Pediatric</v>
      </c>
      <c r="K327" s="5" t="str">
        <f>IFERROR(__xludf.DUMMYFUNCTION("""COMPUTED_VALUE"""),"Current")</f>
        <v>Current</v>
      </c>
      <c r="L327" s="5"/>
      <c r="M327" s="5"/>
      <c r="N327" s="10">
        <f>IFERROR(__xludf.DUMMYFUNCTION("""COMPUTED_VALUE"""),42052.0)</f>
        <v>42052</v>
      </c>
      <c r="O327" s="5">
        <v>2015.0</v>
      </c>
      <c r="P327" s="5" t="str">
        <f>IFERROR(__xludf.DUMMYFUNCTION("""COMPUTED_VALUE"""),"Unavailable")</f>
        <v>Unavailable</v>
      </c>
      <c r="Q327" s="5" t="s">
        <v>134</v>
      </c>
      <c r="R327" s="5" t="s">
        <v>136</v>
      </c>
      <c r="S327" s="11">
        <v>4269.0</v>
      </c>
    </row>
    <row r="328">
      <c r="A328" s="5" t="str">
        <f>IFERROR(__xludf.DUMMYFUNCTION("""COMPUTED_VALUE"""),"Cefotaxime Sodium Powder, for Solution")</f>
        <v>Cefotaxime Sodium Powder, for Solution</v>
      </c>
      <c r="B328" s="5" t="str">
        <f>IFERROR(__xludf.DUMMYFUNCTION("""COMPUTED_VALUE"""),"SteriMax, Inc.")</f>
        <v>SteriMax, Inc.</v>
      </c>
      <c r="C328" s="5" t="str">
        <f>IFERROR(__xludf.DUMMYFUNCTION("""COMPUTED_VALUE"""),"Cefotaxime Sodium, Powder, for Solution, 2 g (NDC 21586-012-02)")</f>
        <v>Cefotaxime Sodium, Powder, for Solution, 2 g (NDC 21586-012-02)</v>
      </c>
      <c r="D328" s="5" t="str">
        <f>IFERROR(__xludf.DUMMYFUNCTION("""COMPUTED_VALUE"""),"Revised")</f>
        <v>Revised</v>
      </c>
      <c r="E328" s="10">
        <f>IFERROR(__xludf.DUMMYFUNCTION("""COMPUTED_VALUE"""),46188.0)</f>
        <v>46188</v>
      </c>
      <c r="F328" s="5" t="str">
        <f>IFERROR(__xludf.DUMMYFUNCTION("""COMPUTED_VALUE"""),"Available")</f>
        <v>Available</v>
      </c>
      <c r="G328" s="5"/>
      <c r="H328" s="5"/>
      <c r="I328" s="5"/>
      <c r="J328" s="5" t="str">
        <f>IFERROR(__xludf.DUMMYFUNCTION("""COMPUTED_VALUE"""),"Anti-Infective; Pediatric")</f>
        <v>Anti-Infective; Pediatric</v>
      </c>
      <c r="K328" s="5" t="str">
        <f>IFERROR(__xludf.DUMMYFUNCTION("""COMPUTED_VALUE"""),"Current")</f>
        <v>Current</v>
      </c>
      <c r="L328" s="5"/>
      <c r="M328" s="5"/>
      <c r="N328" s="10">
        <f>IFERROR(__xludf.DUMMYFUNCTION("""COMPUTED_VALUE"""),42052.0)</f>
        <v>42052</v>
      </c>
      <c r="O328" s="5">
        <v>2015.0</v>
      </c>
      <c r="P328" s="5" t="str">
        <f>IFERROR(__xludf.DUMMYFUNCTION("""COMPUTED_VALUE"""),"Available")</f>
        <v>Available</v>
      </c>
      <c r="Q328" s="5" t="s">
        <v>135</v>
      </c>
      <c r="R328" s="5" t="s">
        <v>136</v>
      </c>
      <c r="S328" s="11">
        <v>4269.0</v>
      </c>
    </row>
    <row r="329">
      <c r="A329" s="5" t="str">
        <f>IFERROR(__xludf.DUMMYFUNCTION("""COMPUTED_VALUE"""),"Cefotaxime Sodium Powder, for Solution")</f>
        <v>Cefotaxime Sodium Powder, for Solution</v>
      </c>
      <c r="B329" s="5" t="str">
        <f>IFERROR(__xludf.DUMMYFUNCTION("""COMPUTED_VALUE"""),"SteriMax, Inc.")</f>
        <v>SteriMax, Inc.</v>
      </c>
      <c r="C329" s="5" t="str">
        <f>IFERROR(__xludf.DUMMYFUNCTION("""COMPUTED_VALUE"""),"Cefotaxime Sodium, Powder, for Solution, 1 g (NDC 21586-011-02)")</f>
        <v>Cefotaxime Sodium, Powder, for Solution, 1 g (NDC 21586-011-02)</v>
      </c>
      <c r="D329" s="5" t="str">
        <f>IFERROR(__xludf.DUMMYFUNCTION("""COMPUTED_VALUE"""),"Revised")</f>
        <v>Revised</v>
      </c>
      <c r="E329" s="10">
        <f>IFERROR(__xludf.DUMMYFUNCTION("""COMPUTED_VALUE"""),46188.0)</f>
        <v>46188</v>
      </c>
      <c r="F329" s="5" t="str">
        <f>IFERROR(__xludf.DUMMYFUNCTION("""COMPUTED_VALUE"""),"Available")</f>
        <v>Available</v>
      </c>
      <c r="G329" s="5"/>
      <c r="H329" s="5"/>
      <c r="I329" s="5"/>
      <c r="J329" s="5" t="str">
        <f>IFERROR(__xludf.DUMMYFUNCTION("""COMPUTED_VALUE"""),"Anti-Infective; Pediatric")</f>
        <v>Anti-Infective; Pediatric</v>
      </c>
      <c r="K329" s="5" t="str">
        <f>IFERROR(__xludf.DUMMYFUNCTION("""COMPUTED_VALUE"""),"Current")</f>
        <v>Current</v>
      </c>
      <c r="L329" s="5"/>
      <c r="M329" s="5"/>
      <c r="N329" s="10">
        <f>IFERROR(__xludf.DUMMYFUNCTION("""COMPUTED_VALUE"""),42052.0)</f>
        <v>42052</v>
      </c>
      <c r="O329" s="5">
        <v>2015.0</v>
      </c>
      <c r="P329" s="5" t="str">
        <f>IFERROR(__xludf.DUMMYFUNCTION("""COMPUTED_VALUE"""),"Available")</f>
        <v>Available</v>
      </c>
      <c r="Q329" s="5" t="s">
        <v>135</v>
      </c>
      <c r="R329" s="5" t="s">
        <v>136</v>
      </c>
      <c r="S329" s="11">
        <v>4269.0</v>
      </c>
    </row>
    <row r="330">
      <c r="A330" s="5" t="str">
        <f>IFERROR(__xludf.DUMMYFUNCTION("""COMPUTED_VALUE"""),"Ceftazidime Injection")</f>
        <v>Ceftazidime Injection</v>
      </c>
      <c r="B330" s="5" t="str">
        <f>IFERROR(__xludf.DUMMYFUNCTION("""COMPUTED_VALUE"""),"Hospira, Inc., a Pfizer Company")</f>
        <v>Hospira, Inc., a Pfizer Company</v>
      </c>
      <c r="C330" s="5" t="str">
        <f>IFERROR(__xludf.DUMMYFUNCTION("""COMPUTED_VALUE"""),"Tazicef, Injection, 1 g (NDC 0409-5092-16)")</f>
        <v>Tazicef, Injection, 1 g (NDC 0409-5092-16)</v>
      </c>
      <c r="D330" s="5" t="str">
        <f>IFERROR(__xludf.DUMMYFUNCTION("""COMPUTED_VALUE"""),"New")</f>
        <v>New</v>
      </c>
      <c r="E330" s="13">
        <f>IFERROR(__xludf.DUMMYFUNCTION("""COMPUTED_VALUE"""),45975.0)</f>
        <v>45975</v>
      </c>
      <c r="F330" s="5"/>
      <c r="G330" s="5" t="str">
        <f>IFERROR(__xludf.DUMMYFUNCTION("""COMPUTED_VALUE"""),"Discontinuation of the manufacture of the drug")</f>
        <v>Discontinuation of the manufacture of the drug</v>
      </c>
      <c r="H330" s="5"/>
      <c r="I330" s="5"/>
      <c r="J330" s="5" t="str">
        <f>IFERROR(__xludf.DUMMYFUNCTION("""COMPUTED_VALUE"""),"Anti-Infective")</f>
        <v>Anti-Infective</v>
      </c>
      <c r="K330" s="5" t="str">
        <f>IFERROR(__xludf.DUMMYFUNCTION("""COMPUTED_VALUE"""),"To Be Discontinued")</f>
        <v>To Be Discontinued</v>
      </c>
      <c r="L330" s="5"/>
      <c r="M330" s="13">
        <f>IFERROR(__xludf.DUMMYFUNCTION("""COMPUTED_VALUE"""),45975.0)</f>
        <v>45975</v>
      </c>
      <c r="N330" s="13">
        <f>IFERROR(__xludf.DUMMYFUNCTION("""COMPUTED_VALUE"""),45975.0)</f>
        <v>45975</v>
      </c>
      <c r="O330" s="5">
        <v>2025.0</v>
      </c>
      <c r="P330" s="5" t="str">
        <f>IFERROR(__xludf.DUMMYFUNCTION("""COMPUTED_VALUE"""),"Not stated")</f>
        <v>Not stated</v>
      </c>
      <c r="Q330" s="5" t="s">
        <v>135</v>
      </c>
      <c r="R330" s="5" t="s">
        <v>136</v>
      </c>
      <c r="S330" s="11">
        <v>346.0</v>
      </c>
    </row>
    <row r="331">
      <c r="A331" s="5" t="str">
        <f>IFERROR(__xludf.DUMMYFUNCTION("""COMPUTED_VALUE"""),"Ceftazidime Injection")</f>
        <v>Ceftazidime Injection</v>
      </c>
      <c r="B331" s="5" t="str">
        <f>IFERROR(__xludf.DUMMYFUNCTION("""COMPUTED_VALUE"""),"Hospira, Inc., a Pfizer Company")</f>
        <v>Hospira, Inc., a Pfizer Company</v>
      </c>
      <c r="C331" s="5" t="str">
        <f>IFERROR(__xludf.DUMMYFUNCTION("""COMPUTED_VALUE"""),"Tazicef, Injection, 2 g (NDC 0409-5093-11)")</f>
        <v>Tazicef, Injection, 2 g (NDC 0409-5093-11)</v>
      </c>
      <c r="D331" s="5" t="str">
        <f>IFERROR(__xludf.DUMMYFUNCTION("""COMPUTED_VALUE"""),"New")</f>
        <v>New</v>
      </c>
      <c r="E331" s="13">
        <f>IFERROR(__xludf.DUMMYFUNCTION("""COMPUTED_VALUE"""),45975.0)</f>
        <v>45975</v>
      </c>
      <c r="F331" s="5"/>
      <c r="G331" s="5" t="str">
        <f>IFERROR(__xludf.DUMMYFUNCTION("""COMPUTED_VALUE"""),"Discontinuation of the manufacture of the drug")</f>
        <v>Discontinuation of the manufacture of the drug</v>
      </c>
      <c r="H331" s="5"/>
      <c r="I331" s="5"/>
      <c r="J331" s="5" t="str">
        <f>IFERROR(__xludf.DUMMYFUNCTION("""COMPUTED_VALUE"""),"Anti-Infective")</f>
        <v>Anti-Infective</v>
      </c>
      <c r="K331" s="5" t="str">
        <f>IFERROR(__xludf.DUMMYFUNCTION("""COMPUTED_VALUE"""),"To Be Discontinued")</f>
        <v>To Be Discontinued</v>
      </c>
      <c r="L331" s="5"/>
      <c r="M331" s="13">
        <f>IFERROR(__xludf.DUMMYFUNCTION("""COMPUTED_VALUE"""),45975.0)</f>
        <v>45975</v>
      </c>
      <c r="N331" s="13">
        <f>IFERROR(__xludf.DUMMYFUNCTION("""COMPUTED_VALUE"""),45975.0)</f>
        <v>45975</v>
      </c>
      <c r="O331" s="5">
        <v>2025.0</v>
      </c>
      <c r="P331" s="5" t="str">
        <f>IFERROR(__xludf.DUMMYFUNCTION("""COMPUTED_VALUE"""),"Not stated")</f>
        <v>Not stated</v>
      </c>
      <c r="Q331" s="5" t="s">
        <v>135</v>
      </c>
      <c r="R331" s="5" t="s">
        <v>136</v>
      </c>
      <c r="S331" s="11">
        <v>346.0</v>
      </c>
    </row>
    <row r="332">
      <c r="A332" s="5" t="str">
        <f>IFERROR(__xludf.DUMMYFUNCTION("""COMPUTED_VALUE"""),"Cetrorelix Acetate Injection")</f>
        <v>Cetrorelix Acetate Injection</v>
      </c>
      <c r="B332" s="5" t="str">
        <f>IFERROR(__xludf.DUMMYFUNCTION("""COMPUTED_VALUE"""),"Teva Pharmaceuticals USA, Inc.")</f>
        <v>Teva Pharmaceuticals USA, Inc.</v>
      </c>
      <c r="C332" s="5" t="str">
        <f>IFERROR(__xludf.DUMMYFUNCTION("""COMPUTED_VALUE"""),"Cetrorelix Acetate, Injection, Kit (NDC 0480-5795-08)")</f>
        <v>Cetrorelix Acetate, Injection, Kit (NDC 0480-5795-08)</v>
      </c>
      <c r="D332" s="5" t="str">
        <f>IFERROR(__xludf.DUMMYFUNCTION("""COMPUTED_VALUE"""),"New")</f>
        <v>New</v>
      </c>
      <c r="E332" s="13">
        <f>IFERROR(__xludf.DUMMYFUNCTION("""COMPUTED_VALUE"""),45974.0)</f>
        <v>45974</v>
      </c>
      <c r="F332" s="5"/>
      <c r="G332" s="5" t="str">
        <f>IFERROR(__xludf.DUMMYFUNCTION("""COMPUTED_VALUE"""),"Discontinuation of the manufacture of the drug")</f>
        <v>Discontinuation of the manufacture of the drug</v>
      </c>
      <c r="H332" s="5"/>
      <c r="I332" s="5"/>
      <c r="J332" s="5" t="str">
        <f>IFERROR(__xludf.DUMMYFUNCTION("""COMPUTED_VALUE"""),"Reproductive")</f>
        <v>Reproductive</v>
      </c>
      <c r="K332" s="5" t="str">
        <f>IFERROR(__xludf.DUMMYFUNCTION("""COMPUTED_VALUE"""),"To Be Discontinued")</f>
        <v>To Be Discontinued</v>
      </c>
      <c r="L332" s="5"/>
      <c r="M332" s="13">
        <f>IFERROR(__xludf.DUMMYFUNCTION("""COMPUTED_VALUE"""),45974.0)</f>
        <v>45974</v>
      </c>
      <c r="N332" s="13">
        <f>IFERROR(__xludf.DUMMYFUNCTION("""COMPUTED_VALUE"""),45974.0)</f>
        <v>45974</v>
      </c>
      <c r="O332" s="5">
        <v>2025.0</v>
      </c>
      <c r="P332" s="5" t="str">
        <f>IFERROR(__xludf.DUMMYFUNCTION("""COMPUTED_VALUE"""),"Not stated")</f>
        <v>Not stated</v>
      </c>
      <c r="Q332" s="5" t="s">
        <v>135</v>
      </c>
      <c r="R332" s="5" t="s">
        <v>136</v>
      </c>
      <c r="S332" s="11">
        <v>347.0</v>
      </c>
    </row>
    <row r="333">
      <c r="A333" s="5" t="str">
        <f>IFERROR(__xludf.DUMMYFUNCTION("""COMPUTED_VALUE"""),"Chlorothiazide Oral Suspension")</f>
        <v>Chlorothiazide Oral Suspension</v>
      </c>
      <c r="B333" s="5" t="str">
        <f>IFERROR(__xludf.DUMMYFUNCTION("""COMPUTED_VALUE"""),"Salix Pharmaceuticals, a division of Bausch Health US, LLC")</f>
        <v>Salix Pharmaceuticals, a division of Bausch Health US, LLC</v>
      </c>
      <c r="C333" s="5" t="str">
        <f>IFERROR(__xludf.DUMMYFUNCTION("""COMPUTED_VALUE"""),"Diuril, Oral Suspension, 250 mg/5mL (NDC 65649-311-12)")</f>
        <v>Diuril, Oral Suspension, 250 mg/5mL (NDC 65649-311-12)</v>
      </c>
      <c r="D333" s="5" t="str">
        <f>IFERROR(__xludf.DUMMYFUNCTION("""COMPUTED_VALUE"""),"New")</f>
        <v>New</v>
      </c>
      <c r="E333" s="10">
        <f>IFERROR(__xludf.DUMMYFUNCTION("""COMPUTED_VALUE"""),46063.0)</f>
        <v>46063</v>
      </c>
      <c r="F333" s="5"/>
      <c r="G333" s="5"/>
      <c r="H333" s="5"/>
      <c r="I333" s="5"/>
      <c r="J333" s="5" t="str">
        <f>IFERROR(__xludf.DUMMYFUNCTION("""COMPUTED_VALUE"""),"Cardiovascular")</f>
        <v>Cardiovascular</v>
      </c>
      <c r="K333" s="5" t="str">
        <f>IFERROR(__xludf.DUMMYFUNCTION("""COMPUTED_VALUE"""),"To Be Discontinued")</f>
        <v>To Be Discontinued</v>
      </c>
      <c r="L333" s="5"/>
      <c r="M333" s="10">
        <f>IFERROR(__xludf.DUMMYFUNCTION("""COMPUTED_VALUE"""),46063.0)</f>
        <v>46063</v>
      </c>
      <c r="N333" s="10">
        <f>IFERROR(__xludf.DUMMYFUNCTION("""COMPUTED_VALUE"""),46063.0)</f>
        <v>46063</v>
      </c>
      <c r="O333" s="5">
        <v>2026.0</v>
      </c>
      <c r="P333" s="5" t="str">
        <f>IFERROR(__xludf.DUMMYFUNCTION("""COMPUTED_VALUE"""),"Not stated")</f>
        <v>Not stated</v>
      </c>
      <c r="Q333" s="5" t="s">
        <v>135</v>
      </c>
      <c r="R333" s="5" t="s">
        <v>136</v>
      </c>
      <c r="S333" s="11">
        <v>258.0</v>
      </c>
    </row>
    <row r="334">
      <c r="A334" s="5" t="str">
        <f>IFERROR(__xludf.DUMMYFUNCTION("""COMPUTED_VALUE"""),"Cisatracurium Besylate Injection")</f>
        <v>Cisatracurium Besylate Injection</v>
      </c>
      <c r="B334" s="5" t="str">
        <f>IFERROR(__xludf.DUMMYFUNCTION("""COMPUTED_VALUE"""),"Hospira, Inc., a Pfizer Company")</f>
        <v>Hospira, Inc., a Pfizer Company</v>
      </c>
      <c r="C334" s="5" t="str">
        <f>IFERROR(__xludf.DUMMYFUNCTION("""COMPUTED_VALUE"""),"Cisatracurium Besylate, Injection, 20 mg/10 mL (2 mg/mL) Multidose Vial (NDC 0409-1208-01)")</f>
        <v>Cisatracurium Besylate, Injection, 20 mg/10 mL (2 mg/mL) Multidose Vial (NDC 0409-1208-01)</v>
      </c>
      <c r="D334" s="5" t="str">
        <f>IFERROR(__xludf.DUMMYFUNCTION("""COMPUTED_VALUE"""),"New")</f>
        <v>New</v>
      </c>
      <c r="E334" s="10">
        <f>IFERROR(__xludf.DUMMYFUNCTION("""COMPUTED_VALUE"""),46148.0)</f>
        <v>46148</v>
      </c>
      <c r="F334" s="5"/>
      <c r="G334" s="5" t="str">
        <f>IFERROR(__xludf.DUMMYFUNCTION("""COMPUTED_VALUE"""),"Supply expected to exhaust late June 2026; Discontinuation of the manufacture of the drug")</f>
        <v>Supply expected to exhaust late June 2026; Discontinuation of the manufacture of the drug</v>
      </c>
      <c r="H334" s="5"/>
      <c r="I334" s="5"/>
      <c r="J334" s="5" t="str">
        <f>IFERROR(__xludf.DUMMYFUNCTION("""COMPUTED_VALUE"""),"Analgesia/Addiction")</f>
        <v>Analgesia/Addiction</v>
      </c>
      <c r="K334" s="5" t="str">
        <f>IFERROR(__xludf.DUMMYFUNCTION("""COMPUTED_VALUE"""),"To Be Discontinued")</f>
        <v>To Be Discontinued</v>
      </c>
      <c r="L334" s="5"/>
      <c r="M334" s="10">
        <f>IFERROR(__xludf.DUMMYFUNCTION("""COMPUTED_VALUE"""),46148.0)</f>
        <v>46148</v>
      </c>
      <c r="N334" s="10">
        <f>IFERROR(__xludf.DUMMYFUNCTION("""COMPUTED_VALUE"""),46148.0)</f>
        <v>46148</v>
      </c>
      <c r="O334" s="5">
        <v>2026.0</v>
      </c>
      <c r="P334" s="5" t="str">
        <f>IFERROR(__xludf.DUMMYFUNCTION("""COMPUTED_VALUE"""),"Not stated")</f>
        <v>Not stated</v>
      </c>
      <c r="Q334" s="5" t="s">
        <v>135</v>
      </c>
      <c r="R334" s="5" t="s">
        <v>136</v>
      </c>
      <c r="S334" s="11">
        <v>173.0</v>
      </c>
    </row>
    <row r="335">
      <c r="A335" s="5" t="str">
        <f>IFERROR(__xludf.DUMMYFUNCTION("""COMPUTED_VALUE"""),"Cisatracurium Besylate Injection")</f>
        <v>Cisatracurium Besylate Injection</v>
      </c>
      <c r="B335" s="5" t="str">
        <f>IFERROR(__xludf.DUMMYFUNCTION("""COMPUTED_VALUE"""),"Hospira, Inc., a Pfizer Company")</f>
        <v>Hospira, Inc., a Pfizer Company</v>
      </c>
      <c r="C335" s="5" t="str">
        <f>IFERROR(__xludf.DUMMYFUNCTION("""COMPUTED_VALUE"""),"Cisatracurium Besylate, Injection, 200 mg/20ml (10 mg/mL) Single Dose Vial (NDC 0409-1103-01)")</f>
        <v>Cisatracurium Besylate, Injection, 200 mg/20ml (10 mg/mL) Single Dose Vial (NDC 0409-1103-01)</v>
      </c>
      <c r="D335" s="5" t="str">
        <f>IFERROR(__xludf.DUMMYFUNCTION("""COMPUTED_VALUE"""),"New")</f>
        <v>New</v>
      </c>
      <c r="E335" s="10">
        <f>IFERROR(__xludf.DUMMYFUNCTION("""COMPUTED_VALUE"""),46148.0)</f>
        <v>46148</v>
      </c>
      <c r="F335" s="5"/>
      <c r="G335" s="5" t="str">
        <f>IFERROR(__xludf.DUMMYFUNCTION("""COMPUTED_VALUE"""),"Supply expected to exhaust late June 2026; Discontinuation of the manufacture of the drug")</f>
        <v>Supply expected to exhaust late June 2026; Discontinuation of the manufacture of the drug</v>
      </c>
      <c r="H335" s="5"/>
      <c r="I335" s="5"/>
      <c r="J335" s="5" t="str">
        <f>IFERROR(__xludf.DUMMYFUNCTION("""COMPUTED_VALUE"""),"Analgesia/Addiction")</f>
        <v>Analgesia/Addiction</v>
      </c>
      <c r="K335" s="5" t="str">
        <f>IFERROR(__xludf.DUMMYFUNCTION("""COMPUTED_VALUE"""),"To Be Discontinued")</f>
        <v>To Be Discontinued</v>
      </c>
      <c r="L335" s="5"/>
      <c r="M335" s="10">
        <f>IFERROR(__xludf.DUMMYFUNCTION("""COMPUTED_VALUE"""),46148.0)</f>
        <v>46148</v>
      </c>
      <c r="N335" s="10">
        <f>IFERROR(__xludf.DUMMYFUNCTION("""COMPUTED_VALUE"""),46148.0)</f>
        <v>46148</v>
      </c>
      <c r="O335" s="5">
        <v>2026.0</v>
      </c>
      <c r="P335" s="5" t="str">
        <f>IFERROR(__xludf.DUMMYFUNCTION("""COMPUTED_VALUE"""),"Not stated")</f>
        <v>Not stated</v>
      </c>
      <c r="Q335" s="5" t="s">
        <v>135</v>
      </c>
      <c r="R335" s="5" t="s">
        <v>136</v>
      </c>
      <c r="S335" s="11">
        <v>173.0</v>
      </c>
    </row>
    <row r="336">
      <c r="A336" s="5" t="str">
        <f>IFERROR(__xludf.DUMMYFUNCTION("""COMPUTED_VALUE"""),"Cisatracurium Besylate Injection")</f>
        <v>Cisatracurium Besylate Injection</v>
      </c>
      <c r="B336" s="5" t="str">
        <f>IFERROR(__xludf.DUMMYFUNCTION("""COMPUTED_VALUE"""),"Hospira, Inc., a Pfizer Company")</f>
        <v>Hospira, Inc., a Pfizer Company</v>
      </c>
      <c r="C336" s="5" t="str">
        <f>IFERROR(__xludf.DUMMYFUNCTION("""COMPUTED_VALUE"""),"Cisatracurium Besylate, Injection, 10 mg/5ml (2 mg/mL) Single Dose Vial (NDC 0409-1098-02)")</f>
        <v>Cisatracurium Besylate, Injection, 10 mg/5ml (2 mg/mL) Single Dose Vial (NDC 0409-1098-02)</v>
      </c>
      <c r="D336" s="5" t="str">
        <f>IFERROR(__xludf.DUMMYFUNCTION("""COMPUTED_VALUE"""),"New")</f>
        <v>New</v>
      </c>
      <c r="E336" s="10">
        <f>IFERROR(__xludf.DUMMYFUNCTION("""COMPUTED_VALUE"""),46276.0)</f>
        <v>46276</v>
      </c>
      <c r="F336" s="5"/>
      <c r="G336" s="5" t="str">
        <f>IFERROR(__xludf.DUMMYFUNCTION("""COMPUTED_VALUE"""),"Supply expected to exhaust November  2026; Discontinuation of the manufacture of the drug")</f>
        <v>Supply expected to exhaust November  2026; Discontinuation of the manufacture of the drug</v>
      </c>
      <c r="H336" s="5"/>
      <c r="I336" s="5"/>
      <c r="J336" s="5" t="str">
        <f>IFERROR(__xludf.DUMMYFUNCTION("""COMPUTED_VALUE"""),"Analgesia/Addiction")</f>
        <v>Analgesia/Addiction</v>
      </c>
      <c r="K336" s="5" t="str">
        <f>IFERROR(__xludf.DUMMYFUNCTION("""COMPUTED_VALUE"""),"To Be Discontinued")</f>
        <v>To Be Discontinued</v>
      </c>
      <c r="L336" s="5"/>
      <c r="M336" s="10">
        <f>IFERROR(__xludf.DUMMYFUNCTION("""COMPUTED_VALUE"""),46276.0)</f>
        <v>46276</v>
      </c>
      <c r="N336" s="10">
        <f>IFERROR(__xludf.DUMMYFUNCTION("""COMPUTED_VALUE"""),46276.0)</f>
        <v>46276</v>
      </c>
      <c r="O336" s="5">
        <v>2026.0</v>
      </c>
      <c r="P336" s="5" t="str">
        <f>IFERROR(__xludf.DUMMYFUNCTION("""COMPUTED_VALUE"""),"Not stated")</f>
        <v>Not stated</v>
      </c>
      <c r="Q336" s="5" t="s">
        <v>135</v>
      </c>
      <c r="R336" s="5" t="s">
        <v>136</v>
      </c>
      <c r="S336" s="11">
        <v>45.0</v>
      </c>
    </row>
    <row r="337">
      <c r="A337" s="5" t="str">
        <f>IFERROR(__xludf.DUMMYFUNCTION("""COMPUTED_VALUE"""),"Clindamycin Hydrochloride Capsule")</f>
        <v>Clindamycin Hydrochloride Capsule</v>
      </c>
      <c r="B337" s="5" t="str">
        <f>IFERROR(__xludf.DUMMYFUNCTION("""COMPUTED_VALUE"""),"Pfizer Inc.")</f>
        <v>Pfizer Inc.</v>
      </c>
      <c r="C337" s="5" t="str">
        <f>IFERROR(__xludf.DUMMYFUNCTION("""COMPUTED_VALUE"""),"Cleocin Hydrochloride, Capsule, 150 mg (NDC 0009-0225-02)")</f>
        <v>Cleocin Hydrochloride, Capsule, 150 mg (NDC 0009-0225-02)</v>
      </c>
      <c r="D337" s="5" t="str">
        <f>IFERROR(__xludf.DUMMYFUNCTION("""COMPUTED_VALUE"""),"New")</f>
        <v>New</v>
      </c>
      <c r="E337" s="10">
        <f>IFERROR(__xludf.DUMMYFUNCTION("""COMPUTED_VALUE"""),46078.0)</f>
        <v>46078</v>
      </c>
      <c r="F337" s="5"/>
      <c r="G337" s="5" t="str">
        <f>IFERROR(__xludf.DUMMYFUNCTION("""COMPUTED_VALUE"""),"Discontinuation of the manufacture of the drug")</f>
        <v>Discontinuation of the manufacture of the drug</v>
      </c>
      <c r="H337" s="5"/>
      <c r="I337" s="5"/>
      <c r="J337" s="5" t="str">
        <f>IFERROR(__xludf.DUMMYFUNCTION("""COMPUTED_VALUE"""),"Anti-Infective")</f>
        <v>Anti-Infective</v>
      </c>
      <c r="K337" s="5" t="str">
        <f>IFERROR(__xludf.DUMMYFUNCTION("""COMPUTED_VALUE"""),"To Be Discontinued")</f>
        <v>To Be Discontinued</v>
      </c>
      <c r="L337" s="5"/>
      <c r="M337" s="10">
        <f>IFERROR(__xludf.DUMMYFUNCTION("""COMPUTED_VALUE"""),46078.0)</f>
        <v>46078</v>
      </c>
      <c r="N337" s="10">
        <f>IFERROR(__xludf.DUMMYFUNCTION("""COMPUTED_VALUE"""),46078.0)</f>
        <v>46078</v>
      </c>
      <c r="O337" s="5">
        <v>2026.0</v>
      </c>
      <c r="P337" s="5" t="str">
        <f>IFERROR(__xludf.DUMMYFUNCTION("""COMPUTED_VALUE"""),"Not stated")</f>
        <v>Not stated</v>
      </c>
      <c r="Q337" s="5" t="s">
        <v>135</v>
      </c>
      <c r="R337" s="5" t="s">
        <v>136</v>
      </c>
      <c r="S337" s="11">
        <v>243.0</v>
      </c>
    </row>
    <row r="338">
      <c r="A338" s="5" t="str">
        <f>IFERROR(__xludf.DUMMYFUNCTION("""COMPUTED_VALUE"""),"Clindamycin Hydrochloride Capsule")</f>
        <v>Clindamycin Hydrochloride Capsule</v>
      </c>
      <c r="B338" s="5" t="str">
        <f>IFERROR(__xludf.DUMMYFUNCTION("""COMPUTED_VALUE"""),"Pfizer Inc.")</f>
        <v>Pfizer Inc.</v>
      </c>
      <c r="C338" s="5" t="str">
        <f>IFERROR(__xludf.DUMMYFUNCTION("""COMPUTED_VALUE"""),"Cleocin Hydrochloride, Capsule, 75 mg (NDC 0009-0331-02)")</f>
        <v>Cleocin Hydrochloride, Capsule, 75 mg (NDC 0009-0331-02)</v>
      </c>
      <c r="D338" s="5" t="str">
        <f>IFERROR(__xludf.DUMMYFUNCTION("""COMPUTED_VALUE"""),"New")</f>
        <v>New</v>
      </c>
      <c r="E338" s="10">
        <f>IFERROR(__xludf.DUMMYFUNCTION("""COMPUTED_VALUE"""),46078.0)</f>
        <v>46078</v>
      </c>
      <c r="F338" s="5"/>
      <c r="G338" s="5" t="str">
        <f>IFERROR(__xludf.DUMMYFUNCTION("""COMPUTED_VALUE"""),"Discontinuation of the manufacture of the drug")</f>
        <v>Discontinuation of the manufacture of the drug</v>
      </c>
      <c r="H338" s="5"/>
      <c r="I338" s="5"/>
      <c r="J338" s="5" t="str">
        <f>IFERROR(__xludf.DUMMYFUNCTION("""COMPUTED_VALUE"""),"Anti-Infective")</f>
        <v>Anti-Infective</v>
      </c>
      <c r="K338" s="5" t="str">
        <f>IFERROR(__xludf.DUMMYFUNCTION("""COMPUTED_VALUE"""),"To Be Discontinued")</f>
        <v>To Be Discontinued</v>
      </c>
      <c r="L338" s="5"/>
      <c r="M338" s="10">
        <f>IFERROR(__xludf.DUMMYFUNCTION("""COMPUTED_VALUE"""),46078.0)</f>
        <v>46078</v>
      </c>
      <c r="N338" s="10">
        <f>IFERROR(__xludf.DUMMYFUNCTION("""COMPUTED_VALUE"""),46078.0)</f>
        <v>46078</v>
      </c>
      <c r="O338" s="5">
        <v>2026.0</v>
      </c>
      <c r="P338" s="5" t="str">
        <f>IFERROR(__xludf.DUMMYFUNCTION("""COMPUTED_VALUE"""),"Not stated")</f>
        <v>Not stated</v>
      </c>
      <c r="Q338" s="5" t="s">
        <v>135</v>
      </c>
      <c r="R338" s="5" t="s">
        <v>136</v>
      </c>
      <c r="S338" s="11">
        <v>243.0</v>
      </c>
    </row>
    <row r="339">
      <c r="A339" s="5" t="str">
        <f>IFERROR(__xludf.DUMMYFUNCTION("""COMPUTED_VALUE"""),"Clindamycin Hydrochloride Capsule")</f>
        <v>Clindamycin Hydrochloride Capsule</v>
      </c>
      <c r="B339" s="5" t="str">
        <f>IFERROR(__xludf.DUMMYFUNCTION("""COMPUTED_VALUE"""),"Pfizer Inc.")</f>
        <v>Pfizer Inc.</v>
      </c>
      <c r="C339" s="5" t="str">
        <f>IFERROR(__xludf.DUMMYFUNCTION("""COMPUTED_VALUE"""),"Cleocin Hydrochloride, Capsule, 300 mg (NDC 0009-0395-14)")</f>
        <v>Cleocin Hydrochloride, Capsule, 300 mg (NDC 0009-0395-14)</v>
      </c>
      <c r="D339" s="5" t="str">
        <f>IFERROR(__xludf.DUMMYFUNCTION("""COMPUTED_VALUE"""),"New")</f>
        <v>New</v>
      </c>
      <c r="E339" s="10">
        <f>IFERROR(__xludf.DUMMYFUNCTION("""COMPUTED_VALUE"""),46078.0)</f>
        <v>46078</v>
      </c>
      <c r="F339" s="5"/>
      <c r="G339" s="5" t="str">
        <f>IFERROR(__xludf.DUMMYFUNCTION("""COMPUTED_VALUE"""),"Discontinuation of the manufacture of the drug")</f>
        <v>Discontinuation of the manufacture of the drug</v>
      </c>
      <c r="H339" s="5"/>
      <c r="I339" s="5"/>
      <c r="J339" s="5" t="str">
        <f>IFERROR(__xludf.DUMMYFUNCTION("""COMPUTED_VALUE"""),"Anti-Infective")</f>
        <v>Anti-Infective</v>
      </c>
      <c r="K339" s="5" t="str">
        <f>IFERROR(__xludf.DUMMYFUNCTION("""COMPUTED_VALUE"""),"To Be Discontinued")</f>
        <v>To Be Discontinued</v>
      </c>
      <c r="L339" s="5"/>
      <c r="M339" s="10">
        <f>IFERROR(__xludf.DUMMYFUNCTION("""COMPUTED_VALUE"""),46078.0)</f>
        <v>46078</v>
      </c>
      <c r="N339" s="10">
        <f>IFERROR(__xludf.DUMMYFUNCTION("""COMPUTED_VALUE"""),46078.0)</f>
        <v>46078</v>
      </c>
      <c r="O339" s="5">
        <v>2026.0</v>
      </c>
      <c r="P339" s="5" t="str">
        <f>IFERROR(__xludf.DUMMYFUNCTION("""COMPUTED_VALUE"""),"Not stated")</f>
        <v>Not stated</v>
      </c>
      <c r="Q339" s="5" t="s">
        <v>135</v>
      </c>
      <c r="R339" s="5" t="s">
        <v>136</v>
      </c>
      <c r="S339" s="11">
        <v>243.0</v>
      </c>
    </row>
    <row r="340">
      <c r="A340" s="5" t="str">
        <f>IFERROR(__xludf.DUMMYFUNCTION("""COMPUTED_VALUE"""),"Clindamycin Palmitate Hydrochloride Injection")</f>
        <v>Clindamycin Palmitate Hydrochloride Injection</v>
      </c>
      <c r="B340" s="5" t="str">
        <f>IFERROR(__xludf.DUMMYFUNCTION("""COMPUTED_VALUE"""),"Amneal Pharmaceuticals")</f>
        <v>Amneal Pharmaceuticals</v>
      </c>
      <c r="C340" s="5" t="str">
        <f>IFERROR(__xludf.DUMMYFUNCTION("""COMPUTED_VALUE"""),"Clindamycin Palmitate Hydrochloride, Injection, 75 mg/5 mL (NDC 53746-468-19)")</f>
        <v>Clindamycin Palmitate Hydrochloride, Injection, 75 mg/5 mL (NDC 53746-468-19)</v>
      </c>
      <c r="D340" s="5" t="str">
        <f>IFERROR(__xludf.DUMMYFUNCTION("""COMPUTED_VALUE"""),"New")</f>
        <v>New</v>
      </c>
      <c r="E340" s="10">
        <f>IFERROR(__xludf.DUMMYFUNCTION("""COMPUTED_VALUE"""),46080.0)</f>
        <v>46080</v>
      </c>
      <c r="F340" s="5"/>
      <c r="G340" s="5" t="str">
        <f>IFERROR(__xludf.DUMMYFUNCTION("""COMPUTED_VALUE"""),"Discontinuation of the manufacture of the drug")</f>
        <v>Discontinuation of the manufacture of the drug</v>
      </c>
      <c r="H340" s="5"/>
      <c r="I340" s="5"/>
      <c r="J340" s="5" t="str">
        <f>IFERROR(__xludf.DUMMYFUNCTION("""COMPUTED_VALUE"""),"Anti-Infective")</f>
        <v>Anti-Infective</v>
      </c>
      <c r="K340" s="5" t="str">
        <f>IFERROR(__xludf.DUMMYFUNCTION("""COMPUTED_VALUE"""),"To Be Discontinued")</f>
        <v>To Be Discontinued</v>
      </c>
      <c r="L340" s="5"/>
      <c r="M340" s="10">
        <f>IFERROR(__xludf.DUMMYFUNCTION("""COMPUTED_VALUE"""),46080.0)</f>
        <v>46080</v>
      </c>
      <c r="N340" s="10">
        <f>IFERROR(__xludf.DUMMYFUNCTION("""COMPUTED_VALUE"""),46080.0)</f>
        <v>46080</v>
      </c>
      <c r="O340" s="5">
        <v>2026.0</v>
      </c>
      <c r="P340" s="5" t="str">
        <f>IFERROR(__xludf.DUMMYFUNCTION("""COMPUTED_VALUE"""),"Not stated")</f>
        <v>Not stated</v>
      </c>
      <c r="Q340" s="5" t="s">
        <v>135</v>
      </c>
      <c r="R340" s="5" t="s">
        <v>434</v>
      </c>
      <c r="S340" s="11">
        <v>241.0</v>
      </c>
    </row>
    <row r="341">
      <c r="A341" s="5" t="str">
        <f>IFERROR(__xludf.DUMMYFUNCTION("""COMPUTED_VALUE"""),"Clindamycin Palmitate Hydrochloride Injection")</f>
        <v>Clindamycin Palmitate Hydrochloride Injection</v>
      </c>
      <c r="B341" s="5" t="str">
        <f>IFERROR(__xludf.DUMMYFUNCTION("""COMPUTED_VALUE"""),"Amneal Pharmaceuticals")</f>
        <v>Amneal Pharmaceuticals</v>
      </c>
      <c r="C341" s="5" t="str">
        <f>IFERROR(__xludf.DUMMYFUNCTION("""COMPUTED_VALUE"""),"Clindamycin Palmitate Hydrochloride, Injection, 75 mg/5 mL (NDC 53746-468-19)")</f>
        <v>Clindamycin Palmitate Hydrochloride, Injection, 75 mg/5 mL (NDC 53746-468-19)</v>
      </c>
      <c r="D341" s="5" t="str">
        <f>IFERROR(__xludf.DUMMYFUNCTION("""COMPUTED_VALUE"""),"New")</f>
        <v>New</v>
      </c>
      <c r="E341" s="10">
        <f>IFERROR(__xludf.DUMMYFUNCTION("""COMPUTED_VALUE"""),46107.0)</f>
        <v>46107</v>
      </c>
      <c r="F341" s="5"/>
      <c r="G341" s="5" t="str">
        <f>IFERROR(__xludf.DUMMYFUNCTION("""COMPUTED_VALUE"""),"Discontinuation of the manufacture of the drug")</f>
        <v>Discontinuation of the manufacture of the drug</v>
      </c>
      <c r="H341" s="5"/>
      <c r="I341" s="5"/>
      <c r="J341" s="5" t="str">
        <f>IFERROR(__xludf.DUMMYFUNCTION("""COMPUTED_VALUE"""),"Anti-Infective")</f>
        <v>Anti-Infective</v>
      </c>
      <c r="K341" s="5" t="str">
        <f>IFERROR(__xludf.DUMMYFUNCTION("""COMPUTED_VALUE"""),"To Be Discontinued")</f>
        <v>To Be Discontinued</v>
      </c>
      <c r="L341" s="5"/>
      <c r="M341" s="10">
        <f>IFERROR(__xludf.DUMMYFUNCTION("""COMPUTED_VALUE"""),46107.0)</f>
        <v>46107</v>
      </c>
      <c r="N341" s="10">
        <f>IFERROR(__xludf.DUMMYFUNCTION("""COMPUTED_VALUE"""),46107.0)</f>
        <v>46107</v>
      </c>
      <c r="O341" s="5">
        <v>2026.0</v>
      </c>
      <c r="P341" s="5" t="str">
        <f>IFERROR(__xludf.DUMMYFUNCTION("""COMPUTED_VALUE"""),"Not stated")</f>
        <v>Not stated</v>
      </c>
      <c r="Q341" s="5" t="s">
        <v>135</v>
      </c>
      <c r="R341" s="5" t="s">
        <v>434</v>
      </c>
      <c r="S341" s="11">
        <v>214.0</v>
      </c>
    </row>
    <row r="342">
      <c r="A342" s="5" t="str">
        <f>IFERROR(__xludf.DUMMYFUNCTION("""COMPUTED_VALUE"""),"Clindamycin Phosphate Injection")</f>
        <v>Clindamycin Phosphate Injection</v>
      </c>
      <c r="B342" s="5" t="str">
        <f>IFERROR(__xludf.DUMMYFUNCTION("""COMPUTED_VALUE"""),"Pfizer Inc.")</f>
        <v>Pfizer Inc.</v>
      </c>
      <c r="C342" s="5" t="str">
        <f>IFERROR(__xludf.DUMMYFUNCTION("""COMPUTED_VALUE"""),"Cleocin Phosphate, Injection, Cleocin Phosphate 300 mg/2 mL (150 mg/mL) (NDC 0009-0870-26)")</f>
        <v>Cleocin Phosphate, Injection, Cleocin Phosphate 300 mg/2 mL (150 mg/mL) (NDC 0009-0870-26)</v>
      </c>
      <c r="D342" s="5" t="str">
        <f>IFERROR(__xludf.DUMMYFUNCTION("""COMPUTED_VALUE"""),"Revised")</f>
        <v>Revised</v>
      </c>
      <c r="E342" s="13">
        <f>IFERROR(__xludf.DUMMYFUNCTION("""COMPUTED_VALUE"""),46316.0)</f>
        <v>46316</v>
      </c>
      <c r="F342" s="5" t="str">
        <f>IFERROR(__xludf.DUMMYFUNCTION("""COMPUTED_VALUE"""),"Unavailable")</f>
        <v>Unavailable</v>
      </c>
      <c r="G342" s="5" t="str">
        <f>IFERROR(__xludf.DUMMYFUNCTION("""COMPUTED_VALUE"""),"Next Delivery and Estimated Recovery: December 2028; Shortage per Manufacturer: Manufacturing Delay")</f>
        <v>Next Delivery and Estimated Recovery: December 2028; Shortage per Manufacturer: Manufacturing Delay</v>
      </c>
      <c r="H342" s="5"/>
      <c r="I342" s="5" t="str">
        <f>IFERROR(__xludf.DUMMYFUNCTION("""COMPUTED_VALUE"""),"Other")</f>
        <v>Other</v>
      </c>
      <c r="J342" s="5" t="str">
        <f>IFERROR(__xludf.DUMMYFUNCTION("""COMPUTED_VALUE"""),"Anti-Infective")</f>
        <v>Anti-Infective</v>
      </c>
      <c r="K342" s="5" t="str">
        <f>IFERROR(__xludf.DUMMYFUNCTION("""COMPUTED_VALUE"""),"Current")</f>
        <v>Current</v>
      </c>
      <c r="L342" s="5"/>
      <c r="M342" s="5"/>
      <c r="N342" s="10">
        <f>IFERROR(__xludf.DUMMYFUNCTION("""COMPUTED_VALUE"""),45006.0)</f>
        <v>45006</v>
      </c>
      <c r="O342" s="5">
        <v>2023.0</v>
      </c>
      <c r="P342" s="5" t="str">
        <f>IFERROR(__xludf.DUMMYFUNCTION("""COMPUTED_VALUE"""),"Unavailable")</f>
        <v>Unavailable</v>
      </c>
      <c r="Q342" s="5" t="s">
        <v>47</v>
      </c>
      <c r="R342" s="5" t="s">
        <v>136</v>
      </c>
      <c r="S342" s="11">
        <v>1315.0</v>
      </c>
    </row>
    <row r="343">
      <c r="A343" s="5" t="str">
        <f>IFERROR(__xludf.DUMMYFUNCTION("""COMPUTED_VALUE"""),"Clindamycin Phosphate Injection")</f>
        <v>Clindamycin Phosphate Injection</v>
      </c>
      <c r="B343" s="5" t="str">
        <f>IFERROR(__xludf.DUMMYFUNCTION("""COMPUTED_VALUE"""),"Pfizer Inc.")</f>
        <v>Pfizer Inc.</v>
      </c>
      <c r="C343" s="5" t="str">
        <f>IFERROR(__xludf.DUMMYFUNCTION("""COMPUTED_VALUE"""),"Cleocin Phosphate, Injection, Cleocin Phosphate 600 mg/4 mL (150 mg/mL) (NDC 0009-0775-26)")</f>
        <v>Cleocin Phosphate, Injection, Cleocin Phosphate 600 mg/4 mL (150 mg/mL) (NDC 0009-0775-26)</v>
      </c>
      <c r="D343" s="5" t="str">
        <f>IFERROR(__xludf.DUMMYFUNCTION("""COMPUTED_VALUE"""),"Revised")</f>
        <v>Revised</v>
      </c>
      <c r="E343" s="13">
        <f>IFERROR(__xludf.DUMMYFUNCTION("""COMPUTED_VALUE"""),46316.0)</f>
        <v>46316</v>
      </c>
      <c r="F343" s="5" t="str">
        <f>IFERROR(__xludf.DUMMYFUNCTION("""COMPUTED_VALUE"""),"Unavailable")</f>
        <v>Unavailable</v>
      </c>
      <c r="G343" s="5" t="str">
        <f>IFERROR(__xludf.DUMMYFUNCTION("""COMPUTED_VALUE"""),"Next Delivery and Estimated Recovery: December 2028; Shortage per Manufacturer: Manufacturing Delay")</f>
        <v>Next Delivery and Estimated Recovery: December 2028; Shortage per Manufacturer: Manufacturing Delay</v>
      </c>
      <c r="H343" s="5"/>
      <c r="I343" s="5" t="str">
        <f>IFERROR(__xludf.DUMMYFUNCTION("""COMPUTED_VALUE"""),"Other")</f>
        <v>Other</v>
      </c>
      <c r="J343" s="5" t="str">
        <f>IFERROR(__xludf.DUMMYFUNCTION("""COMPUTED_VALUE"""),"Anti-Infective")</f>
        <v>Anti-Infective</v>
      </c>
      <c r="K343" s="5" t="str">
        <f>IFERROR(__xludf.DUMMYFUNCTION("""COMPUTED_VALUE"""),"Current")</f>
        <v>Current</v>
      </c>
      <c r="L343" s="5"/>
      <c r="M343" s="5"/>
      <c r="N343" s="10">
        <f>IFERROR(__xludf.DUMMYFUNCTION("""COMPUTED_VALUE"""),45006.0)</f>
        <v>45006</v>
      </c>
      <c r="O343" s="5">
        <v>2023.0</v>
      </c>
      <c r="P343" s="5" t="str">
        <f>IFERROR(__xludf.DUMMYFUNCTION("""COMPUTED_VALUE"""),"Unavailable")</f>
        <v>Unavailable</v>
      </c>
      <c r="Q343" s="5" t="s">
        <v>47</v>
      </c>
      <c r="R343" s="5" t="s">
        <v>136</v>
      </c>
      <c r="S343" s="11">
        <v>1315.0</v>
      </c>
    </row>
    <row r="344">
      <c r="A344" s="5" t="str">
        <f>IFERROR(__xludf.DUMMYFUNCTION("""COMPUTED_VALUE"""),"Clindamycin Phosphate Injection")</f>
        <v>Clindamycin Phosphate Injection</v>
      </c>
      <c r="B344" s="5" t="str">
        <f>IFERROR(__xludf.DUMMYFUNCTION("""COMPUTED_VALUE"""),"Pfizer Inc.")</f>
        <v>Pfizer Inc.</v>
      </c>
      <c r="C344" s="5" t="str">
        <f>IFERROR(__xludf.DUMMYFUNCTION("""COMPUTED_VALUE"""),"Cleocin Phosphate, Injection, Cleocin Phosphate 900 mg/6 mL (150 mg/mL) (NDC 0009-0902-18)")</f>
        <v>Cleocin Phosphate, Injection, Cleocin Phosphate 900 mg/6 mL (150 mg/mL) (NDC 0009-0902-18)</v>
      </c>
      <c r="D344" s="5" t="str">
        <f>IFERROR(__xludf.DUMMYFUNCTION("""COMPUTED_VALUE"""),"Revised")</f>
        <v>Revised</v>
      </c>
      <c r="E344" s="13">
        <f>IFERROR(__xludf.DUMMYFUNCTION("""COMPUTED_VALUE"""),46316.0)</f>
        <v>46316</v>
      </c>
      <c r="F344" s="5" t="str">
        <f>IFERROR(__xludf.DUMMYFUNCTION("""COMPUTED_VALUE"""),"Unavailable")</f>
        <v>Unavailable</v>
      </c>
      <c r="G344" s="5" t="str">
        <f>IFERROR(__xludf.DUMMYFUNCTION("""COMPUTED_VALUE"""),"Next Delivery and Estimated Recovery: December 2028; Shortage per Manufacturer: Manufacturing Delay")</f>
        <v>Next Delivery and Estimated Recovery: December 2028; Shortage per Manufacturer: Manufacturing Delay</v>
      </c>
      <c r="H344" s="5"/>
      <c r="I344" s="5" t="str">
        <f>IFERROR(__xludf.DUMMYFUNCTION("""COMPUTED_VALUE"""),"Other")</f>
        <v>Other</v>
      </c>
      <c r="J344" s="5" t="str">
        <f>IFERROR(__xludf.DUMMYFUNCTION("""COMPUTED_VALUE"""),"Anti-Infective")</f>
        <v>Anti-Infective</v>
      </c>
      <c r="K344" s="5" t="str">
        <f>IFERROR(__xludf.DUMMYFUNCTION("""COMPUTED_VALUE"""),"Current")</f>
        <v>Current</v>
      </c>
      <c r="L344" s="5"/>
      <c r="M344" s="5"/>
      <c r="N344" s="10">
        <f>IFERROR(__xludf.DUMMYFUNCTION("""COMPUTED_VALUE"""),45006.0)</f>
        <v>45006</v>
      </c>
      <c r="O344" s="5">
        <v>2023.0</v>
      </c>
      <c r="P344" s="5" t="str">
        <f>IFERROR(__xludf.DUMMYFUNCTION("""COMPUTED_VALUE"""),"Unavailable")</f>
        <v>Unavailable</v>
      </c>
      <c r="Q344" s="5" t="s">
        <v>47</v>
      </c>
      <c r="R344" s="5" t="s">
        <v>136</v>
      </c>
      <c r="S344" s="11">
        <v>1315.0</v>
      </c>
    </row>
    <row r="345">
      <c r="A345" s="5" t="str">
        <f>IFERROR(__xludf.DUMMYFUNCTION("""COMPUTED_VALUE"""),"Clindamycin Phosphate Injection")</f>
        <v>Clindamycin Phosphate Injection</v>
      </c>
      <c r="B345" s="5" t="str">
        <f>IFERROR(__xludf.DUMMYFUNCTION("""COMPUTED_VALUE"""),"Sagent Pharmaceuticals")</f>
        <v>Sagent Pharmaceuticals</v>
      </c>
      <c r="C345" s="5" t="str">
        <f>IFERROR(__xludf.DUMMYFUNCTION("""COMPUTED_VALUE"""),"Clindamycin Phosphate, Injection, 150 mg/1 mL (NDC 25021-115-02)")</f>
        <v>Clindamycin Phosphate, Injection, 150 mg/1 mL (NDC 25021-115-02)</v>
      </c>
      <c r="D345" s="5" t="str">
        <f>IFERROR(__xludf.DUMMYFUNCTION("""COMPUTED_VALUE"""),"Reverified")</f>
        <v>Reverified</v>
      </c>
      <c r="E345" s="10">
        <f>IFERROR(__xludf.DUMMYFUNCTION("""COMPUTED_VALUE"""),46303.0)</f>
        <v>46303</v>
      </c>
      <c r="F345" s="5" t="str">
        <f>IFERROR(__xludf.DUMMYFUNCTION("""COMPUTED_VALUE"""),"Limited Availability")</f>
        <v>Limited Availability</v>
      </c>
      <c r="G345" s="5" t="str">
        <f>IFERROR(__xludf.DUMMYFUNCTION("""COMPUTED_VALUE"""),"Selling through remaining short-dated inventory (Dec 2026).")</f>
        <v>Selling through remaining short-dated inventory (Dec 2026).</v>
      </c>
      <c r="H345" s="5"/>
      <c r="I345" s="5" t="str">
        <f>IFERROR(__xludf.DUMMYFUNCTION("""COMPUTED_VALUE"""),"Discontinuation of the manufacture of the drug")</f>
        <v>Discontinuation of the manufacture of the drug</v>
      </c>
      <c r="J345" s="5" t="str">
        <f>IFERROR(__xludf.DUMMYFUNCTION("""COMPUTED_VALUE"""),"Anti-Infective")</f>
        <v>Anti-Infective</v>
      </c>
      <c r="K345" s="5" t="str">
        <f>IFERROR(__xludf.DUMMYFUNCTION("""COMPUTED_VALUE"""),"Current")</f>
        <v>Current</v>
      </c>
      <c r="L345" s="5"/>
      <c r="M345" s="5"/>
      <c r="N345" s="10">
        <f>IFERROR(__xludf.DUMMYFUNCTION("""COMPUTED_VALUE"""),45006.0)</f>
        <v>45006</v>
      </c>
      <c r="O345" s="5">
        <v>2023.0</v>
      </c>
      <c r="P345" s="5" t="str">
        <f>IFERROR(__xludf.DUMMYFUNCTION("""COMPUTED_VALUE"""),"Limited Availability")</f>
        <v>Limited Availability</v>
      </c>
      <c r="Q345" s="5" t="s">
        <v>33</v>
      </c>
      <c r="R345" s="5" t="s">
        <v>136</v>
      </c>
      <c r="S345" s="11">
        <v>1315.0</v>
      </c>
    </row>
    <row r="346">
      <c r="A346" s="5" t="str">
        <f>IFERROR(__xludf.DUMMYFUNCTION("""COMPUTED_VALUE"""),"Clindamycin Phosphate Injection")</f>
        <v>Clindamycin Phosphate Injection</v>
      </c>
      <c r="B346" s="5" t="str">
        <f>IFERROR(__xludf.DUMMYFUNCTION("""COMPUTED_VALUE"""),"Sagent Pharmaceuticals")</f>
        <v>Sagent Pharmaceuticals</v>
      </c>
      <c r="C346" s="5" t="str">
        <f>IFERROR(__xludf.DUMMYFUNCTION("""COMPUTED_VALUE"""),"Clindamycin Phosphate, Injection, 150 mg/1 mL (NDC 25021-115-04)")</f>
        <v>Clindamycin Phosphate, Injection, 150 mg/1 mL (NDC 25021-115-04)</v>
      </c>
      <c r="D346" s="5" t="str">
        <f>IFERROR(__xludf.DUMMYFUNCTION("""COMPUTED_VALUE"""),"Reverified")</f>
        <v>Reverified</v>
      </c>
      <c r="E346" s="10">
        <f>IFERROR(__xludf.DUMMYFUNCTION("""COMPUTED_VALUE"""),46303.0)</f>
        <v>46303</v>
      </c>
      <c r="F346" s="5" t="str">
        <f>IFERROR(__xludf.DUMMYFUNCTION("""COMPUTED_VALUE"""),"Unavailable")</f>
        <v>Unavailable</v>
      </c>
      <c r="G346" s="5" t="str">
        <f>IFERROR(__xludf.DUMMYFUNCTION("""COMPUTED_VALUE"""),"Discontinuation of the manufacture of the drug")</f>
        <v>Discontinuation of the manufacture of the drug</v>
      </c>
      <c r="H346" s="5"/>
      <c r="I346" s="5" t="str">
        <f>IFERROR(__xludf.DUMMYFUNCTION("""COMPUTED_VALUE"""),"Discontinuation of the manufacture of the drug")</f>
        <v>Discontinuation of the manufacture of the drug</v>
      </c>
      <c r="J346" s="5" t="str">
        <f>IFERROR(__xludf.DUMMYFUNCTION("""COMPUTED_VALUE"""),"Anti-Infective")</f>
        <v>Anti-Infective</v>
      </c>
      <c r="K346" s="5" t="str">
        <f>IFERROR(__xludf.DUMMYFUNCTION("""COMPUTED_VALUE"""),"Current")</f>
        <v>Current</v>
      </c>
      <c r="L346" s="5"/>
      <c r="M346" s="5"/>
      <c r="N346" s="10">
        <f>IFERROR(__xludf.DUMMYFUNCTION("""COMPUTED_VALUE"""),45006.0)</f>
        <v>45006</v>
      </c>
      <c r="O346" s="5">
        <v>2023.0</v>
      </c>
      <c r="P346" s="5" t="str">
        <f>IFERROR(__xludf.DUMMYFUNCTION("""COMPUTED_VALUE"""),"Unavailable")</f>
        <v>Unavailable</v>
      </c>
      <c r="Q346" s="5" t="s">
        <v>33</v>
      </c>
      <c r="R346" s="5" t="s">
        <v>136</v>
      </c>
      <c r="S346" s="11">
        <v>1315.0</v>
      </c>
    </row>
    <row r="347">
      <c r="A347" s="5" t="str">
        <f>IFERROR(__xludf.DUMMYFUNCTION("""COMPUTED_VALUE"""),"Clindamycin Phosphate Injection")</f>
        <v>Clindamycin Phosphate Injection</v>
      </c>
      <c r="B347" s="5" t="str">
        <f>IFERROR(__xludf.DUMMYFUNCTION("""COMPUTED_VALUE"""),"Sagent Pharmaceuticals")</f>
        <v>Sagent Pharmaceuticals</v>
      </c>
      <c r="C347" s="5" t="str">
        <f>IFERROR(__xludf.DUMMYFUNCTION("""COMPUTED_VALUE"""),"Clindamycin Phosphate, Injection, 150 mg/1 mL (NDC 25021-115-06)")</f>
        <v>Clindamycin Phosphate, Injection, 150 mg/1 mL (NDC 25021-115-06)</v>
      </c>
      <c r="D347" s="5" t="str">
        <f>IFERROR(__xludf.DUMMYFUNCTION("""COMPUTED_VALUE"""),"Reverified")</f>
        <v>Reverified</v>
      </c>
      <c r="E347" s="10">
        <f>IFERROR(__xludf.DUMMYFUNCTION("""COMPUTED_VALUE"""),46303.0)</f>
        <v>46303</v>
      </c>
      <c r="F347" s="5" t="str">
        <f>IFERROR(__xludf.DUMMYFUNCTION("""COMPUTED_VALUE"""),"Limited Availability")</f>
        <v>Limited Availability</v>
      </c>
      <c r="G347" s="5" t="str">
        <f>IFERROR(__xludf.DUMMYFUNCTION("""COMPUTED_VALUE"""),"Selling through remaining short-dated inventory (Dec 2026).")</f>
        <v>Selling through remaining short-dated inventory (Dec 2026).</v>
      </c>
      <c r="H347" s="5"/>
      <c r="I347" s="5" t="str">
        <f>IFERROR(__xludf.DUMMYFUNCTION("""COMPUTED_VALUE"""),"Discontinuation of the manufacture of the drug")</f>
        <v>Discontinuation of the manufacture of the drug</v>
      </c>
      <c r="J347" s="5" t="str">
        <f>IFERROR(__xludf.DUMMYFUNCTION("""COMPUTED_VALUE"""),"Anti-Infective")</f>
        <v>Anti-Infective</v>
      </c>
      <c r="K347" s="5" t="str">
        <f>IFERROR(__xludf.DUMMYFUNCTION("""COMPUTED_VALUE"""),"Current")</f>
        <v>Current</v>
      </c>
      <c r="L347" s="5"/>
      <c r="M347" s="5"/>
      <c r="N347" s="10">
        <f>IFERROR(__xludf.DUMMYFUNCTION("""COMPUTED_VALUE"""),45006.0)</f>
        <v>45006</v>
      </c>
      <c r="O347" s="5">
        <v>2023.0</v>
      </c>
      <c r="P347" s="5" t="str">
        <f>IFERROR(__xludf.DUMMYFUNCTION("""COMPUTED_VALUE"""),"Limited Availability")</f>
        <v>Limited Availability</v>
      </c>
      <c r="Q347" s="5" t="s">
        <v>33</v>
      </c>
      <c r="R347" s="5" t="s">
        <v>136</v>
      </c>
      <c r="S347" s="11">
        <v>1315.0</v>
      </c>
    </row>
    <row r="348">
      <c r="A348" s="5" t="str">
        <f>IFERROR(__xludf.DUMMYFUNCTION("""COMPUTED_VALUE"""),"Clindamycin Phosphate Injection")</f>
        <v>Clindamycin Phosphate Injection</v>
      </c>
      <c r="B348" s="5" t="str">
        <f>IFERROR(__xludf.DUMMYFUNCTION("""COMPUTED_VALUE"""),"Baxter Healthcare")</f>
        <v>Baxter Healthcare</v>
      </c>
      <c r="C348" s="5" t="str">
        <f>IFERROR(__xludf.DUMMYFUNCTION("""COMPUTED_VALUE"""),"Clindamycin Phosphate, Injection, 300 mg/50 mL (NDC 0338-9545-50)")</f>
        <v>Clindamycin Phosphate, Injection, 300 mg/50 mL (NDC 0338-9545-50)</v>
      </c>
      <c r="D348" s="5" t="str">
        <f>IFERROR(__xludf.DUMMYFUNCTION("""COMPUTED_VALUE"""),"Reverified")</f>
        <v>Reverified</v>
      </c>
      <c r="E348" s="13">
        <f>IFERROR(__xludf.DUMMYFUNCTION("""COMPUTED_VALUE"""),46311.0)</f>
        <v>46311</v>
      </c>
      <c r="F348" s="5" t="str">
        <f>IFERROR(__xludf.DUMMYFUNCTION("""COMPUTED_VALUE"""),"Available")</f>
        <v>Available</v>
      </c>
      <c r="G348" s="5"/>
      <c r="H348" s="5"/>
      <c r="I348" s="5"/>
      <c r="J348" s="5" t="str">
        <f>IFERROR(__xludf.DUMMYFUNCTION("""COMPUTED_VALUE"""),"Anti-Infective")</f>
        <v>Anti-Infective</v>
      </c>
      <c r="K348" s="5" t="str">
        <f>IFERROR(__xludf.DUMMYFUNCTION("""COMPUTED_VALUE"""),"Current")</f>
        <v>Current</v>
      </c>
      <c r="L348" s="5"/>
      <c r="M348" s="5"/>
      <c r="N348" s="10">
        <f>IFERROR(__xludf.DUMMYFUNCTION("""COMPUTED_VALUE"""),45006.0)</f>
        <v>45006</v>
      </c>
      <c r="O348" s="5">
        <v>2023.0</v>
      </c>
      <c r="P348" s="5" t="str">
        <f>IFERROR(__xludf.DUMMYFUNCTION("""COMPUTED_VALUE"""),"Available")</f>
        <v>Available</v>
      </c>
      <c r="Q348" s="5" t="s">
        <v>135</v>
      </c>
      <c r="R348" s="5" t="s">
        <v>136</v>
      </c>
      <c r="S348" s="11">
        <v>1315.0</v>
      </c>
    </row>
    <row r="349">
      <c r="A349" s="5" t="str">
        <f>IFERROR(__xludf.DUMMYFUNCTION("""COMPUTED_VALUE"""),"Clindamycin Phosphate Injection")</f>
        <v>Clindamycin Phosphate Injection</v>
      </c>
      <c r="B349" s="5" t="str">
        <f>IFERROR(__xludf.DUMMYFUNCTION("""COMPUTED_VALUE"""),"Baxter Healthcare")</f>
        <v>Baxter Healthcare</v>
      </c>
      <c r="C349" s="5" t="str">
        <f>IFERROR(__xludf.DUMMYFUNCTION("""COMPUTED_VALUE"""),"Clindamycin Phosphate, Injection, 300 mg/50 mL (NDC 0338-9549-50)")</f>
        <v>Clindamycin Phosphate, Injection, 300 mg/50 mL (NDC 0338-9549-50)</v>
      </c>
      <c r="D349" s="5" t="str">
        <f>IFERROR(__xludf.DUMMYFUNCTION("""COMPUTED_VALUE"""),"Reverified")</f>
        <v>Reverified</v>
      </c>
      <c r="E349" s="13">
        <f>IFERROR(__xludf.DUMMYFUNCTION("""COMPUTED_VALUE"""),46311.0)</f>
        <v>46311</v>
      </c>
      <c r="F349" s="5" t="str">
        <f>IFERROR(__xludf.DUMMYFUNCTION("""COMPUTED_VALUE"""),"Available")</f>
        <v>Available</v>
      </c>
      <c r="G349" s="5"/>
      <c r="H349" s="5"/>
      <c r="I349" s="5"/>
      <c r="J349" s="5" t="str">
        <f>IFERROR(__xludf.DUMMYFUNCTION("""COMPUTED_VALUE"""),"Anti-Infective")</f>
        <v>Anti-Infective</v>
      </c>
      <c r="K349" s="5" t="str">
        <f>IFERROR(__xludf.DUMMYFUNCTION("""COMPUTED_VALUE"""),"Current")</f>
        <v>Current</v>
      </c>
      <c r="L349" s="5"/>
      <c r="M349" s="5"/>
      <c r="N349" s="10">
        <f>IFERROR(__xludf.DUMMYFUNCTION("""COMPUTED_VALUE"""),45006.0)</f>
        <v>45006</v>
      </c>
      <c r="O349" s="5">
        <v>2023.0</v>
      </c>
      <c r="P349" s="5" t="str">
        <f>IFERROR(__xludf.DUMMYFUNCTION("""COMPUTED_VALUE"""),"Available")</f>
        <v>Available</v>
      </c>
      <c r="Q349" s="5" t="s">
        <v>135</v>
      </c>
      <c r="R349" s="5" t="s">
        <v>136</v>
      </c>
      <c r="S349" s="11">
        <v>1315.0</v>
      </c>
    </row>
    <row r="350">
      <c r="A350" s="5" t="str">
        <f>IFERROR(__xludf.DUMMYFUNCTION("""COMPUTED_VALUE"""),"Clindamycin Phosphate Injection")</f>
        <v>Clindamycin Phosphate Injection</v>
      </c>
      <c r="B350" s="5" t="str">
        <f>IFERROR(__xludf.DUMMYFUNCTION("""COMPUTED_VALUE"""),"Baxter Healthcare")</f>
        <v>Baxter Healthcare</v>
      </c>
      <c r="C350" s="5" t="str">
        <f>IFERROR(__xludf.DUMMYFUNCTION("""COMPUTED_VALUE"""),"Clindamycin Phosphate, Injection, 900 mg/50 mL (NDC 0338-9553-50)")</f>
        <v>Clindamycin Phosphate, Injection, 900 mg/50 mL (NDC 0338-9553-50)</v>
      </c>
      <c r="D350" s="5" t="str">
        <f>IFERROR(__xludf.DUMMYFUNCTION("""COMPUTED_VALUE"""),"Reverified")</f>
        <v>Reverified</v>
      </c>
      <c r="E350" s="13">
        <f>IFERROR(__xludf.DUMMYFUNCTION("""COMPUTED_VALUE"""),46311.0)</f>
        <v>46311</v>
      </c>
      <c r="F350" s="5" t="str">
        <f>IFERROR(__xludf.DUMMYFUNCTION("""COMPUTED_VALUE"""),"Available")</f>
        <v>Available</v>
      </c>
      <c r="G350" s="5"/>
      <c r="H350" s="5"/>
      <c r="I350" s="5"/>
      <c r="J350" s="5" t="str">
        <f>IFERROR(__xludf.DUMMYFUNCTION("""COMPUTED_VALUE"""),"Anti-Infective")</f>
        <v>Anti-Infective</v>
      </c>
      <c r="K350" s="5" t="str">
        <f>IFERROR(__xludf.DUMMYFUNCTION("""COMPUTED_VALUE"""),"Current")</f>
        <v>Current</v>
      </c>
      <c r="L350" s="5"/>
      <c r="M350" s="5"/>
      <c r="N350" s="10">
        <f>IFERROR(__xludf.DUMMYFUNCTION("""COMPUTED_VALUE"""),45006.0)</f>
        <v>45006</v>
      </c>
      <c r="O350" s="5">
        <v>2023.0</v>
      </c>
      <c r="P350" s="5" t="str">
        <f>IFERROR(__xludf.DUMMYFUNCTION("""COMPUTED_VALUE"""),"Available")</f>
        <v>Available</v>
      </c>
      <c r="Q350" s="5" t="s">
        <v>135</v>
      </c>
      <c r="R350" s="5" t="s">
        <v>136</v>
      </c>
      <c r="S350" s="11">
        <v>1315.0</v>
      </c>
    </row>
    <row r="351">
      <c r="A351" s="5" t="str">
        <f>IFERROR(__xludf.DUMMYFUNCTION("""COMPUTED_VALUE"""),"Clindamycin Phosphate Injection")</f>
        <v>Clindamycin Phosphate Injection</v>
      </c>
      <c r="B351" s="5" t="str">
        <f>IFERROR(__xludf.DUMMYFUNCTION("""COMPUTED_VALUE"""),"Baxter Healthcare")</f>
        <v>Baxter Healthcare</v>
      </c>
      <c r="C351" s="5" t="str">
        <f>IFERROR(__xludf.DUMMYFUNCTION("""COMPUTED_VALUE"""),"Clindamycin Phosphate, Injection, 300 mg/50 mL (NDC 0338-3410-50)")</f>
        <v>Clindamycin Phosphate, Injection, 300 mg/50 mL (NDC 0338-3410-50)</v>
      </c>
      <c r="D351" s="5" t="str">
        <f>IFERROR(__xludf.DUMMYFUNCTION("""COMPUTED_VALUE"""),"Reverified")</f>
        <v>Reverified</v>
      </c>
      <c r="E351" s="13">
        <f>IFERROR(__xludf.DUMMYFUNCTION("""COMPUTED_VALUE"""),46311.0)</f>
        <v>46311</v>
      </c>
      <c r="F351" s="5" t="str">
        <f>IFERROR(__xludf.DUMMYFUNCTION("""COMPUTED_VALUE"""),"Available")</f>
        <v>Available</v>
      </c>
      <c r="G351" s="5"/>
      <c r="H351" s="5"/>
      <c r="I351" s="5"/>
      <c r="J351" s="5" t="str">
        <f>IFERROR(__xludf.DUMMYFUNCTION("""COMPUTED_VALUE"""),"Anti-Infective")</f>
        <v>Anti-Infective</v>
      </c>
      <c r="K351" s="5" t="str">
        <f>IFERROR(__xludf.DUMMYFUNCTION("""COMPUTED_VALUE"""),"Current")</f>
        <v>Current</v>
      </c>
      <c r="L351" s="5"/>
      <c r="M351" s="5"/>
      <c r="N351" s="10">
        <f>IFERROR(__xludf.DUMMYFUNCTION("""COMPUTED_VALUE"""),45006.0)</f>
        <v>45006</v>
      </c>
      <c r="O351" s="5">
        <v>2023.0</v>
      </c>
      <c r="P351" s="5" t="str">
        <f>IFERROR(__xludf.DUMMYFUNCTION("""COMPUTED_VALUE"""),"Available")</f>
        <v>Available</v>
      </c>
      <c r="Q351" s="5" t="s">
        <v>135</v>
      </c>
      <c r="R351" s="5" t="s">
        <v>136</v>
      </c>
      <c r="S351" s="11">
        <v>1315.0</v>
      </c>
    </row>
    <row r="352">
      <c r="A352" s="5" t="str">
        <f>IFERROR(__xludf.DUMMYFUNCTION("""COMPUTED_VALUE"""),"Clindamycin Phosphate Injection")</f>
        <v>Clindamycin Phosphate Injection</v>
      </c>
      <c r="B352" s="5" t="str">
        <f>IFERROR(__xludf.DUMMYFUNCTION("""COMPUTED_VALUE"""),"Baxter Healthcare")</f>
        <v>Baxter Healthcare</v>
      </c>
      <c r="C352" s="5" t="str">
        <f>IFERROR(__xludf.DUMMYFUNCTION("""COMPUTED_VALUE"""),"Clindamycin Phosphate, Injection, 600 mg/50 mL (NDC 0338-3612-50)")</f>
        <v>Clindamycin Phosphate, Injection, 600 mg/50 mL (NDC 0338-3612-50)</v>
      </c>
      <c r="D352" s="5" t="str">
        <f>IFERROR(__xludf.DUMMYFUNCTION("""COMPUTED_VALUE"""),"Revised")</f>
        <v>Revised</v>
      </c>
      <c r="E352" s="13">
        <f>IFERROR(__xludf.DUMMYFUNCTION("""COMPUTED_VALUE"""),46311.0)</f>
        <v>46311</v>
      </c>
      <c r="F352" s="5" t="str">
        <f>IFERROR(__xludf.DUMMYFUNCTION("""COMPUTED_VALUE"""),"Available")</f>
        <v>Available</v>
      </c>
      <c r="G352" s="5"/>
      <c r="H352" s="5"/>
      <c r="I352" s="5"/>
      <c r="J352" s="5" t="str">
        <f>IFERROR(__xludf.DUMMYFUNCTION("""COMPUTED_VALUE"""),"Anti-Infective")</f>
        <v>Anti-Infective</v>
      </c>
      <c r="K352" s="5" t="str">
        <f>IFERROR(__xludf.DUMMYFUNCTION("""COMPUTED_VALUE"""),"Current")</f>
        <v>Current</v>
      </c>
      <c r="L352" s="5"/>
      <c r="M352" s="5"/>
      <c r="N352" s="10">
        <f>IFERROR(__xludf.DUMMYFUNCTION("""COMPUTED_VALUE"""),45006.0)</f>
        <v>45006</v>
      </c>
      <c r="O352" s="5">
        <v>2023.0</v>
      </c>
      <c r="P352" s="5" t="str">
        <f>IFERROR(__xludf.DUMMYFUNCTION("""COMPUTED_VALUE"""),"Available")</f>
        <v>Available</v>
      </c>
      <c r="Q352" s="5" t="s">
        <v>135</v>
      </c>
      <c r="R352" s="5" t="s">
        <v>136</v>
      </c>
      <c r="S352" s="11">
        <v>1315.0</v>
      </c>
    </row>
    <row r="353">
      <c r="A353" s="5" t="str">
        <f>IFERROR(__xludf.DUMMYFUNCTION("""COMPUTED_VALUE"""),"Clindamycin Phosphate Injection")</f>
        <v>Clindamycin Phosphate Injection</v>
      </c>
      <c r="B353" s="5" t="str">
        <f>IFERROR(__xludf.DUMMYFUNCTION("""COMPUTED_VALUE"""),"Baxter Healthcare")</f>
        <v>Baxter Healthcare</v>
      </c>
      <c r="C353" s="5" t="str">
        <f>IFERROR(__xludf.DUMMYFUNCTION("""COMPUTED_VALUE"""),"Clindamycin Phosphate, Injection, 900 mg/50 mL (NDC 0338-3814-50)")</f>
        <v>Clindamycin Phosphate, Injection, 900 mg/50 mL (NDC 0338-3814-50)</v>
      </c>
      <c r="D353" s="5" t="str">
        <f>IFERROR(__xludf.DUMMYFUNCTION("""COMPUTED_VALUE"""),"Revised")</f>
        <v>Revised</v>
      </c>
      <c r="E353" s="13">
        <f>IFERROR(__xludf.DUMMYFUNCTION("""COMPUTED_VALUE"""),46311.0)</f>
        <v>46311</v>
      </c>
      <c r="F353" s="5" t="str">
        <f>IFERROR(__xludf.DUMMYFUNCTION("""COMPUTED_VALUE"""),"Limited Availability")</f>
        <v>Limited Availability</v>
      </c>
      <c r="G353" s="5" t="str">
        <f>IFERROR(__xludf.DUMMYFUNCTION("""COMPUTED_VALUE"""),"Estimated recovery: December 2026")</f>
        <v>Estimated recovery: December 2026</v>
      </c>
      <c r="H353" s="5"/>
      <c r="I353" s="5" t="str">
        <f>IFERROR(__xludf.DUMMYFUNCTION("""COMPUTED_VALUE"""),"Other")</f>
        <v>Other</v>
      </c>
      <c r="J353" s="5" t="str">
        <f>IFERROR(__xludf.DUMMYFUNCTION("""COMPUTED_VALUE"""),"Anti-Infective")</f>
        <v>Anti-Infective</v>
      </c>
      <c r="K353" s="5" t="str">
        <f>IFERROR(__xludf.DUMMYFUNCTION("""COMPUTED_VALUE"""),"Current")</f>
        <v>Current</v>
      </c>
      <c r="L353" s="5"/>
      <c r="M353" s="5"/>
      <c r="N353" s="10">
        <f>IFERROR(__xludf.DUMMYFUNCTION("""COMPUTED_VALUE"""),45006.0)</f>
        <v>45006</v>
      </c>
      <c r="O353" s="5">
        <v>2023.0</v>
      </c>
      <c r="P353" s="5" t="str">
        <f>IFERROR(__xludf.DUMMYFUNCTION("""COMPUTED_VALUE"""),"Limited Availability")</f>
        <v>Limited Availability</v>
      </c>
      <c r="Q353" s="5" t="s">
        <v>47</v>
      </c>
      <c r="R353" s="5" t="s">
        <v>136</v>
      </c>
      <c r="S353" s="11">
        <v>1315.0</v>
      </c>
    </row>
    <row r="354">
      <c r="A354" s="5" t="str">
        <f>IFERROR(__xludf.DUMMYFUNCTION("""COMPUTED_VALUE"""),"Clindamycin Phosphate Injection")</f>
        <v>Clindamycin Phosphate Injection</v>
      </c>
      <c r="B354" s="5" t="str">
        <f>IFERROR(__xludf.DUMMYFUNCTION("""COMPUTED_VALUE"""),"Sandoz Inc.")</f>
        <v>Sandoz Inc.</v>
      </c>
      <c r="C354" s="5" t="str">
        <f>IFERROR(__xludf.DUMMYFUNCTION("""COMPUTED_VALUE"""),"Clindamycin Phosphate In 5% Dextrose In Plastic Container, Injection, 6 mg/1 mL (NDC 0781-3288-09)")</f>
        <v>Clindamycin Phosphate In 5% Dextrose In Plastic Container, Injection, 6 mg/1 mL (NDC 0781-3288-09)</v>
      </c>
      <c r="D354" s="5" t="str">
        <f>IFERROR(__xludf.DUMMYFUNCTION("""COMPUTED_VALUE"""),"Reverified")</f>
        <v>Reverified</v>
      </c>
      <c r="E354" s="13">
        <f>IFERROR(__xludf.DUMMYFUNCTION("""COMPUTED_VALUE"""),46316.0)</f>
        <v>46316</v>
      </c>
      <c r="F354" s="5" t="str">
        <f>IFERROR(__xludf.DUMMYFUNCTION("""COMPUTED_VALUE"""),"Available")</f>
        <v>Available</v>
      </c>
      <c r="G354" s="5"/>
      <c r="H354" s="5"/>
      <c r="I354" s="5"/>
      <c r="J354" s="5" t="str">
        <f>IFERROR(__xludf.DUMMYFUNCTION("""COMPUTED_VALUE"""),"Anti-Infective")</f>
        <v>Anti-Infective</v>
      </c>
      <c r="K354" s="5" t="str">
        <f>IFERROR(__xludf.DUMMYFUNCTION("""COMPUTED_VALUE"""),"Current")</f>
        <v>Current</v>
      </c>
      <c r="L354" s="5"/>
      <c r="M354" s="5"/>
      <c r="N354" s="10">
        <f>IFERROR(__xludf.DUMMYFUNCTION("""COMPUTED_VALUE"""),45006.0)</f>
        <v>45006</v>
      </c>
      <c r="O354" s="5">
        <v>2023.0</v>
      </c>
      <c r="P354" s="5" t="str">
        <f>IFERROR(__xludf.DUMMYFUNCTION("""COMPUTED_VALUE"""),"Available")</f>
        <v>Available</v>
      </c>
      <c r="Q354" s="5" t="s">
        <v>135</v>
      </c>
      <c r="R354" s="5" t="s">
        <v>136</v>
      </c>
      <c r="S354" s="11">
        <v>1315.0</v>
      </c>
    </row>
    <row r="355">
      <c r="A355" s="5" t="str">
        <f>IFERROR(__xludf.DUMMYFUNCTION("""COMPUTED_VALUE"""),"Clindamycin Phosphate Injection")</f>
        <v>Clindamycin Phosphate Injection</v>
      </c>
      <c r="B355" s="5" t="str">
        <f>IFERROR(__xludf.DUMMYFUNCTION("""COMPUTED_VALUE"""),"Sandoz Inc.")</f>
        <v>Sandoz Inc.</v>
      </c>
      <c r="C355" s="5" t="str">
        <f>IFERROR(__xludf.DUMMYFUNCTION("""COMPUTED_VALUE"""),"Clindamycin Phosphate In 5% Dextrose In Plastic Container, Injection, 12 mg/1 mL (NDC 0781-3289-09)")</f>
        <v>Clindamycin Phosphate In 5% Dextrose In Plastic Container, Injection, 12 mg/1 mL (NDC 0781-3289-09)</v>
      </c>
      <c r="D355" s="5" t="str">
        <f>IFERROR(__xludf.DUMMYFUNCTION("""COMPUTED_VALUE"""),"Reverified")</f>
        <v>Reverified</v>
      </c>
      <c r="E355" s="13">
        <f>IFERROR(__xludf.DUMMYFUNCTION("""COMPUTED_VALUE"""),46316.0)</f>
        <v>46316</v>
      </c>
      <c r="F355" s="5" t="str">
        <f>IFERROR(__xludf.DUMMYFUNCTION("""COMPUTED_VALUE"""),"Available")</f>
        <v>Available</v>
      </c>
      <c r="G355" s="5"/>
      <c r="H355" s="5"/>
      <c r="I355" s="5"/>
      <c r="J355" s="5" t="str">
        <f>IFERROR(__xludf.DUMMYFUNCTION("""COMPUTED_VALUE"""),"Anti-Infective")</f>
        <v>Anti-Infective</v>
      </c>
      <c r="K355" s="5" t="str">
        <f>IFERROR(__xludf.DUMMYFUNCTION("""COMPUTED_VALUE"""),"Current")</f>
        <v>Current</v>
      </c>
      <c r="L355" s="5"/>
      <c r="M355" s="5"/>
      <c r="N355" s="10">
        <f>IFERROR(__xludf.DUMMYFUNCTION("""COMPUTED_VALUE"""),45006.0)</f>
        <v>45006</v>
      </c>
      <c r="O355" s="5">
        <v>2023.0</v>
      </c>
      <c r="P355" s="5" t="str">
        <f>IFERROR(__xludf.DUMMYFUNCTION("""COMPUTED_VALUE"""),"Available")</f>
        <v>Available</v>
      </c>
      <c r="Q355" s="5" t="s">
        <v>135</v>
      </c>
      <c r="R355" s="5" t="s">
        <v>136</v>
      </c>
      <c r="S355" s="11">
        <v>1315.0</v>
      </c>
    </row>
    <row r="356">
      <c r="A356" s="5" t="str">
        <f>IFERROR(__xludf.DUMMYFUNCTION("""COMPUTED_VALUE"""),"Clindamycin Phosphate Injection")</f>
        <v>Clindamycin Phosphate Injection</v>
      </c>
      <c r="B356" s="5" t="str">
        <f>IFERROR(__xludf.DUMMYFUNCTION("""COMPUTED_VALUE"""),"Sandoz Inc.")</f>
        <v>Sandoz Inc.</v>
      </c>
      <c r="C356" s="5" t="str">
        <f>IFERROR(__xludf.DUMMYFUNCTION("""COMPUTED_VALUE"""),"Clindamycin Phosphate In 5% Dextrose In Plastic Container, Injection, 18 mg/1 mL (NDC 0781-3290-09)")</f>
        <v>Clindamycin Phosphate In 5% Dextrose In Plastic Container, Injection, 18 mg/1 mL (NDC 0781-3290-09)</v>
      </c>
      <c r="D356" s="5" t="str">
        <f>IFERROR(__xludf.DUMMYFUNCTION("""COMPUTED_VALUE"""),"Reverified")</f>
        <v>Reverified</v>
      </c>
      <c r="E356" s="13">
        <f>IFERROR(__xludf.DUMMYFUNCTION("""COMPUTED_VALUE"""),46316.0)</f>
        <v>46316</v>
      </c>
      <c r="F356" s="5" t="str">
        <f>IFERROR(__xludf.DUMMYFUNCTION("""COMPUTED_VALUE"""),"Available")</f>
        <v>Available</v>
      </c>
      <c r="G356" s="5"/>
      <c r="H356" s="5"/>
      <c r="I356" s="5"/>
      <c r="J356" s="5" t="str">
        <f>IFERROR(__xludf.DUMMYFUNCTION("""COMPUTED_VALUE"""),"Anti-Infective")</f>
        <v>Anti-Infective</v>
      </c>
      <c r="K356" s="5" t="str">
        <f>IFERROR(__xludf.DUMMYFUNCTION("""COMPUTED_VALUE"""),"Current")</f>
        <v>Current</v>
      </c>
      <c r="L356" s="5"/>
      <c r="M356" s="5"/>
      <c r="N356" s="10">
        <f>IFERROR(__xludf.DUMMYFUNCTION("""COMPUTED_VALUE"""),45006.0)</f>
        <v>45006</v>
      </c>
      <c r="O356" s="5">
        <v>2023.0</v>
      </c>
      <c r="P356" s="5" t="str">
        <f>IFERROR(__xludf.DUMMYFUNCTION("""COMPUTED_VALUE"""),"Available")</f>
        <v>Available</v>
      </c>
      <c r="Q356" s="5" t="s">
        <v>135</v>
      </c>
      <c r="R356" s="5" t="s">
        <v>136</v>
      </c>
      <c r="S356" s="11">
        <v>1315.0</v>
      </c>
    </row>
    <row r="357">
      <c r="A357" s="5" t="str">
        <f>IFERROR(__xludf.DUMMYFUNCTION("""COMPUTED_VALUE"""),"Clindamycin Phosphate Injection")</f>
        <v>Clindamycin Phosphate Injection</v>
      </c>
      <c r="B357" s="5" t="str">
        <f>IFERROR(__xludf.DUMMYFUNCTION("""COMPUTED_VALUE"""),"Sandoz Inc.")</f>
        <v>Sandoz Inc.</v>
      </c>
      <c r="C357" s="5" t="str">
        <f>IFERROR(__xludf.DUMMYFUNCTION("""COMPUTED_VALUE"""),"Clindamycin Phosphate In 5% Dextrose In Plastic Container, Injection, 12 mg/1 mL (NDC 72572-074-24)")</f>
        <v>Clindamycin Phosphate In 5% Dextrose In Plastic Container, Injection, 12 mg/1 mL (NDC 72572-074-24)</v>
      </c>
      <c r="D357" s="5" t="str">
        <f>IFERROR(__xludf.DUMMYFUNCTION("""COMPUTED_VALUE"""),"Reverified")</f>
        <v>Reverified</v>
      </c>
      <c r="E357" s="13">
        <f>IFERROR(__xludf.DUMMYFUNCTION("""COMPUTED_VALUE"""),46316.0)</f>
        <v>46316</v>
      </c>
      <c r="F357" s="5" t="str">
        <f>IFERROR(__xludf.DUMMYFUNCTION("""COMPUTED_VALUE"""),"Available")</f>
        <v>Available</v>
      </c>
      <c r="G357" s="5" t="str">
        <f>IFERROR(__xludf.DUMMYFUNCTION("""COMPUTED_VALUE"""),"Civica Label")</f>
        <v>Civica Label</v>
      </c>
      <c r="H357" s="5"/>
      <c r="I357" s="5"/>
      <c r="J357" s="5" t="str">
        <f>IFERROR(__xludf.DUMMYFUNCTION("""COMPUTED_VALUE"""),"Anti-Infective")</f>
        <v>Anti-Infective</v>
      </c>
      <c r="K357" s="5" t="str">
        <f>IFERROR(__xludf.DUMMYFUNCTION("""COMPUTED_VALUE"""),"Current")</f>
        <v>Current</v>
      </c>
      <c r="L357" s="5"/>
      <c r="M357" s="5"/>
      <c r="N357" s="10">
        <f>IFERROR(__xludf.DUMMYFUNCTION("""COMPUTED_VALUE"""),45006.0)</f>
        <v>45006</v>
      </c>
      <c r="O357" s="5">
        <v>2023.0</v>
      </c>
      <c r="P357" s="5" t="str">
        <f>IFERROR(__xludf.DUMMYFUNCTION("""COMPUTED_VALUE"""),"Available")</f>
        <v>Available</v>
      </c>
      <c r="Q357" s="5" t="s">
        <v>135</v>
      </c>
      <c r="R357" s="5" t="s">
        <v>136</v>
      </c>
      <c r="S357" s="11">
        <v>1315.0</v>
      </c>
    </row>
    <row r="358">
      <c r="A358" s="5" t="str">
        <f>IFERROR(__xludf.DUMMYFUNCTION("""COMPUTED_VALUE"""),"Clindamycin Phosphate Injection")</f>
        <v>Clindamycin Phosphate Injection</v>
      </c>
      <c r="B358" s="5" t="str">
        <f>IFERROR(__xludf.DUMMYFUNCTION("""COMPUTED_VALUE"""),"Sandoz Inc.")</f>
        <v>Sandoz Inc.</v>
      </c>
      <c r="C358" s="5" t="str">
        <f>IFERROR(__xludf.DUMMYFUNCTION("""COMPUTED_VALUE"""),"Clindamycin Phosphate In 5% Dextrose In Plastic Container, Injection, 18 mg/1 mL (NDC 72572-076-24)")</f>
        <v>Clindamycin Phosphate In 5% Dextrose In Plastic Container, Injection, 18 mg/1 mL (NDC 72572-076-24)</v>
      </c>
      <c r="D358" s="5" t="str">
        <f>IFERROR(__xludf.DUMMYFUNCTION("""COMPUTED_VALUE"""),"Reverified")</f>
        <v>Reverified</v>
      </c>
      <c r="E358" s="13">
        <f>IFERROR(__xludf.DUMMYFUNCTION("""COMPUTED_VALUE"""),46316.0)</f>
        <v>46316</v>
      </c>
      <c r="F358" s="5" t="str">
        <f>IFERROR(__xludf.DUMMYFUNCTION("""COMPUTED_VALUE"""),"Available")</f>
        <v>Available</v>
      </c>
      <c r="G358" s="5" t="str">
        <f>IFERROR(__xludf.DUMMYFUNCTION("""COMPUTED_VALUE"""),"Civica Label")</f>
        <v>Civica Label</v>
      </c>
      <c r="H358" s="5"/>
      <c r="I358" s="5"/>
      <c r="J358" s="5" t="str">
        <f>IFERROR(__xludf.DUMMYFUNCTION("""COMPUTED_VALUE"""),"Anti-Infective")</f>
        <v>Anti-Infective</v>
      </c>
      <c r="K358" s="5" t="str">
        <f>IFERROR(__xludf.DUMMYFUNCTION("""COMPUTED_VALUE"""),"Current")</f>
        <v>Current</v>
      </c>
      <c r="L358" s="5"/>
      <c r="M358" s="5"/>
      <c r="N358" s="10">
        <f>IFERROR(__xludf.DUMMYFUNCTION("""COMPUTED_VALUE"""),45006.0)</f>
        <v>45006</v>
      </c>
      <c r="O358" s="5">
        <v>2023.0</v>
      </c>
      <c r="P358" s="5" t="str">
        <f>IFERROR(__xludf.DUMMYFUNCTION("""COMPUTED_VALUE"""),"Available")</f>
        <v>Available</v>
      </c>
      <c r="Q358" s="5" t="s">
        <v>135</v>
      </c>
      <c r="R358" s="5" t="s">
        <v>136</v>
      </c>
      <c r="S358" s="11">
        <v>1315.0</v>
      </c>
    </row>
    <row r="359">
      <c r="A359" s="5" t="str">
        <f>IFERROR(__xludf.DUMMYFUNCTION("""COMPUTED_VALUE"""),"Clindamycin Phosphate Injection")</f>
        <v>Clindamycin Phosphate Injection</v>
      </c>
      <c r="B359" s="5" t="str">
        <f>IFERROR(__xludf.DUMMYFUNCTION("""COMPUTED_VALUE"""),"Pfizer Inc.")</f>
        <v>Pfizer Inc.</v>
      </c>
      <c r="C359" s="5" t="str">
        <f>IFERROR(__xludf.DUMMYFUNCTION("""COMPUTED_VALUE"""),"Cleocin Phosphate, Injection, 600 mg/4 mL (150 mg/mL); 4 mL Vial (NDC 0009-0775-26)")</f>
        <v>Cleocin Phosphate, Injection, 600 mg/4 mL (150 mg/mL); 4 mL Vial (NDC 0009-0775-26)</v>
      </c>
      <c r="D359" s="5" t="str">
        <f>IFERROR(__xludf.DUMMYFUNCTION("""COMPUTED_VALUE"""),"New")</f>
        <v>New</v>
      </c>
      <c r="E359" s="10">
        <f>IFERROR(__xludf.DUMMYFUNCTION("""COMPUTED_VALUE"""),46174.0)</f>
        <v>46174</v>
      </c>
      <c r="F359" s="5"/>
      <c r="G359" s="5" t="str">
        <f>IFERROR(__xludf.DUMMYFUNCTION("""COMPUTED_VALUE"""),"Discontinuation of the manufacture of the drug")</f>
        <v>Discontinuation of the manufacture of the drug</v>
      </c>
      <c r="H359" s="5"/>
      <c r="I359" s="5"/>
      <c r="J359" s="5" t="str">
        <f>IFERROR(__xludf.DUMMYFUNCTION("""COMPUTED_VALUE"""),"Anti-Infective")</f>
        <v>Anti-Infective</v>
      </c>
      <c r="K359" s="5" t="str">
        <f>IFERROR(__xludf.DUMMYFUNCTION("""COMPUTED_VALUE"""),"To Be Discontinued")</f>
        <v>To Be Discontinued</v>
      </c>
      <c r="L359" s="5"/>
      <c r="M359" s="10">
        <f>IFERROR(__xludf.DUMMYFUNCTION("""COMPUTED_VALUE"""),46174.0)</f>
        <v>46174</v>
      </c>
      <c r="N359" s="10">
        <f>IFERROR(__xludf.DUMMYFUNCTION("""COMPUTED_VALUE"""),46174.0)</f>
        <v>46174</v>
      </c>
      <c r="O359" s="5">
        <v>2026.0</v>
      </c>
      <c r="P359" s="5" t="str">
        <f>IFERROR(__xludf.DUMMYFUNCTION("""COMPUTED_VALUE"""),"Not stated")</f>
        <v>Not stated</v>
      </c>
      <c r="Q359" s="5" t="s">
        <v>135</v>
      </c>
      <c r="R359" s="5" t="s">
        <v>136</v>
      </c>
      <c r="S359" s="11">
        <v>147.0</v>
      </c>
    </row>
    <row r="360">
      <c r="A360" s="5" t="str">
        <f>IFERROR(__xludf.DUMMYFUNCTION("""COMPUTED_VALUE"""),"Clindamycin Phosphate Injection")</f>
        <v>Clindamycin Phosphate Injection</v>
      </c>
      <c r="B360" s="5" t="str">
        <f>IFERROR(__xludf.DUMMYFUNCTION("""COMPUTED_VALUE"""),"Pfizer Inc.")</f>
        <v>Pfizer Inc.</v>
      </c>
      <c r="C360" s="5" t="str">
        <f>IFERROR(__xludf.DUMMYFUNCTION("""COMPUTED_VALUE"""),"Cleocin Phosphate, Injection, 300 mg/2 mL (150 mg/mL); 2 mL Vial (NDC 0009-0870-26)")</f>
        <v>Cleocin Phosphate, Injection, 300 mg/2 mL (150 mg/mL); 2 mL Vial (NDC 0009-0870-26)</v>
      </c>
      <c r="D360" s="5" t="str">
        <f>IFERROR(__xludf.DUMMYFUNCTION("""COMPUTED_VALUE"""),"New")</f>
        <v>New</v>
      </c>
      <c r="E360" s="10">
        <f>IFERROR(__xludf.DUMMYFUNCTION("""COMPUTED_VALUE"""),46174.0)</f>
        <v>46174</v>
      </c>
      <c r="F360" s="5"/>
      <c r="G360" s="5" t="str">
        <f>IFERROR(__xludf.DUMMYFUNCTION("""COMPUTED_VALUE"""),"Discontinuation of the manufacture of the drug")</f>
        <v>Discontinuation of the manufacture of the drug</v>
      </c>
      <c r="H360" s="5"/>
      <c r="I360" s="5"/>
      <c r="J360" s="5" t="str">
        <f>IFERROR(__xludf.DUMMYFUNCTION("""COMPUTED_VALUE"""),"Anti-Infective")</f>
        <v>Anti-Infective</v>
      </c>
      <c r="K360" s="5" t="str">
        <f>IFERROR(__xludf.DUMMYFUNCTION("""COMPUTED_VALUE"""),"To Be Discontinued")</f>
        <v>To Be Discontinued</v>
      </c>
      <c r="L360" s="5"/>
      <c r="M360" s="10">
        <f>IFERROR(__xludf.DUMMYFUNCTION("""COMPUTED_VALUE"""),46174.0)</f>
        <v>46174</v>
      </c>
      <c r="N360" s="10">
        <f>IFERROR(__xludf.DUMMYFUNCTION("""COMPUTED_VALUE"""),46174.0)</f>
        <v>46174</v>
      </c>
      <c r="O360" s="5">
        <v>2026.0</v>
      </c>
      <c r="P360" s="5" t="str">
        <f>IFERROR(__xludf.DUMMYFUNCTION("""COMPUTED_VALUE"""),"Not stated")</f>
        <v>Not stated</v>
      </c>
      <c r="Q360" s="5" t="s">
        <v>135</v>
      </c>
      <c r="R360" s="5" t="s">
        <v>136</v>
      </c>
      <c r="S360" s="11">
        <v>147.0</v>
      </c>
    </row>
    <row r="361">
      <c r="A361" s="5" t="str">
        <f>IFERROR(__xludf.DUMMYFUNCTION("""COMPUTED_VALUE"""),"Clindamycin Phosphate Injection")</f>
        <v>Clindamycin Phosphate Injection</v>
      </c>
      <c r="B361" s="5" t="str">
        <f>IFERROR(__xludf.DUMMYFUNCTION("""COMPUTED_VALUE"""),"Pfizer Inc.")</f>
        <v>Pfizer Inc.</v>
      </c>
      <c r="C361" s="5" t="str">
        <f>IFERROR(__xludf.DUMMYFUNCTION("""COMPUTED_VALUE"""),"Cleocin Phosphate, Injection, 900 mg/6 mL (150 mg/mL); 6 mL Vial (NDC 0009-0902-18)")</f>
        <v>Cleocin Phosphate, Injection, 900 mg/6 mL (150 mg/mL); 6 mL Vial (NDC 0009-0902-18)</v>
      </c>
      <c r="D361" s="5" t="str">
        <f>IFERROR(__xludf.DUMMYFUNCTION("""COMPUTED_VALUE"""),"New")</f>
        <v>New</v>
      </c>
      <c r="E361" s="10">
        <f>IFERROR(__xludf.DUMMYFUNCTION("""COMPUTED_VALUE"""),46174.0)</f>
        <v>46174</v>
      </c>
      <c r="F361" s="5"/>
      <c r="G361" s="5" t="str">
        <f>IFERROR(__xludf.DUMMYFUNCTION("""COMPUTED_VALUE"""),"Discontinuation of the manufacture of the drug")</f>
        <v>Discontinuation of the manufacture of the drug</v>
      </c>
      <c r="H361" s="5"/>
      <c r="I361" s="5"/>
      <c r="J361" s="5" t="str">
        <f>IFERROR(__xludf.DUMMYFUNCTION("""COMPUTED_VALUE"""),"Anti-Infective")</f>
        <v>Anti-Infective</v>
      </c>
      <c r="K361" s="5" t="str">
        <f>IFERROR(__xludf.DUMMYFUNCTION("""COMPUTED_VALUE"""),"To Be Discontinued")</f>
        <v>To Be Discontinued</v>
      </c>
      <c r="L361" s="5"/>
      <c r="M361" s="10">
        <f>IFERROR(__xludf.DUMMYFUNCTION("""COMPUTED_VALUE"""),46174.0)</f>
        <v>46174</v>
      </c>
      <c r="N361" s="10">
        <f>IFERROR(__xludf.DUMMYFUNCTION("""COMPUTED_VALUE"""),46174.0)</f>
        <v>46174</v>
      </c>
      <c r="O361" s="5">
        <v>2026.0</v>
      </c>
      <c r="P361" s="5" t="str">
        <f>IFERROR(__xludf.DUMMYFUNCTION("""COMPUTED_VALUE"""),"Not stated")</f>
        <v>Not stated</v>
      </c>
      <c r="Q361" s="5" t="s">
        <v>135</v>
      </c>
      <c r="R361" s="5" t="s">
        <v>136</v>
      </c>
      <c r="S361" s="11">
        <v>147.0</v>
      </c>
    </row>
    <row r="362">
      <c r="A362" s="5" t="str">
        <f>IFERROR(__xludf.DUMMYFUNCTION("""COMPUTED_VALUE"""),"Clindamycin Phosphate Injection")</f>
        <v>Clindamycin Phosphate Injection</v>
      </c>
      <c r="B362" s="5" t="str">
        <f>IFERROR(__xludf.DUMMYFUNCTION("""COMPUTED_VALUE"""),"Pfizer Inc.")</f>
        <v>Pfizer Inc.</v>
      </c>
      <c r="C362" s="5" t="str">
        <f>IFERROR(__xludf.DUMMYFUNCTION("""COMPUTED_VALUE"""),"Cleocin Phosphate, Injection, 300 mg/2 mL (150 mg/mL); 2 mL Vial NovaPlus (NDC 0009-3051-02)")</f>
        <v>Cleocin Phosphate, Injection, 300 mg/2 mL (150 mg/mL); 2 mL Vial NovaPlus (NDC 0009-3051-02)</v>
      </c>
      <c r="D362" s="5" t="str">
        <f>IFERROR(__xludf.DUMMYFUNCTION("""COMPUTED_VALUE"""),"New")</f>
        <v>New</v>
      </c>
      <c r="E362" s="10">
        <f>IFERROR(__xludf.DUMMYFUNCTION("""COMPUTED_VALUE"""),46174.0)</f>
        <v>46174</v>
      </c>
      <c r="F362" s="5"/>
      <c r="G362" s="5" t="str">
        <f>IFERROR(__xludf.DUMMYFUNCTION("""COMPUTED_VALUE"""),"Discontinuation of the manufacture of the drug")</f>
        <v>Discontinuation of the manufacture of the drug</v>
      </c>
      <c r="H362" s="5"/>
      <c r="I362" s="5"/>
      <c r="J362" s="5" t="str">
        <f>IFERROR(__xludf.DUMMYFUNCTION("""COMPUTED_VALUE"""),"Anti-Infective")</f>
        <v>Anti-Infective</v>
      </c>
      <c r="K362" s="5" t="str">
        <f>IFERROR(__xludf.DUMMYFUNCTION("""COMPUTED_VALUE"""),"To Be Discontinued")</f>
        <v>To Be Discontinued</v>
      </c>
      <c r="L362" s="5"/>
      <c r="M362" s="10">
        <f>IFERROR(__xludf.DUMMYFUNCTION("""COMPUTED_VALUE"""),46174.0)</f>
        <v>46174</v>
      </c>
      <c r="N362" s="10">
        <f>IFERROR(__xludf.DUMMYFUNCTION("""COMPUTED_VALUE"""),46174.0)</f>
        <v>46174</v>
      </c>
      <c r="O362" s="5">
        <v>2026.0</v>
      </c>
      <c r="P362" s="5" t="str">
        <f>IFERROR(__xludf.DUMMYFUNCTION("""COMPUTED_VALUE"""),"Not stated")</f>
        <v>Not stated</v>
      </c>
      <c r="Q362" s="5" t="s">
        <v>135</v>
      </c>
      <c r="R362" s="5" t="s">
        <v>136</v>
      </c>
      <c r="S362" s="11">
        <v>147.0</v>
      </c>
    </row>
    <row r="363">
      <c r="A363" s="5" t="str">
        <f>IFERROR(__xludf.DUMMYFUNCTION("""COMPUTED_VALUE"""),"Clindamycin Phosphate Injection")</f>
        <v>Clindamycin Phosphate Injection</v>
      </c>
      <c r="B363" s="5" t="str">
        <f>IFERROR(__xludf.DUMMYFUNCTION("""COMPUTED_VALUE"""),"Pfizer Inc.")</f>
        <v>Pfizer Inc.</v>
      </c>
      <c r="C363" s="5" t="str">
        <f>IFERROR(__xludf.DUMMYFUNCTION("""COMPUTED_VALUE"""),"Cleocin Phosphate, Injection, 600 mg/4 mL (150 mg/mL); 4 mL Vial NovaPlus (NDC 0009-4073-04)")</f>
        <v>Cleocin Phosphate, Injection, 600 mg/4 mL (150 mg/mL); 4 mL Vial NovaPlus (NDC 0009-4073-04)</v>
      </c>
      <c r="D363" s="5" t="str">
        <f>IFERROR(__xludf.DUMMYFUNCTION("""COMPUTED_VALUE"""),"New")</f>
        <v>New</v>
      </c>
      <c r="E363" s="10">
        <f>IFERROR(__xludf.DUMMYFUNCTION("""COMPUTED_VALUE"""),46174.0)</f>
        <v>46174</v>
      </c>
      <c r="F363" s="5"/>
      <c r="G363" s="5" t="str">
        <f>IFERROR(__xludf.DUMMYFUNCTION("""COMPUTED_VALUE"""),"Discontinuation of the manufacture of the drug")</f>
        <v>Discontinuation of the manufacture of the drug</v>
      </c>
      <c r="H363" s="5"/>
      <c r="I363" s="5"/>
      <c r="J363" s="5" t="str">
        <f>IFERROR(__xludf.DUMMYFUNCTION("""COMPUTED_VALUE"""),"Anti-Infective")</f>
        <v>Anti-Infective</v>
      </c>
      <c r="K363" s="5" t="str">
        <f>IFERROR(__xludf.DUMMYFUNCTION("""COMPUTED_VALUE"""),"To Be Discontinued")</f>
        <v>To Be Discontinued</v>
      </c>
      <c r="L363" s="5"/>
      <c r="M363" s="10">
        <f>IFERROR(__xludf.DUMMYFUNCTION("""COMPUTED_VALUE"""),46174.0)</f>
        <v>46174</v>
      </c>
      <c r="N363" s="10">
        <f>IFERROR(__xludf.DUMMYFUNCTION("""COMPUTED_VALUE"""),46174.0)</f>
        <v>46174</v>
      </c>
      <c r="O363" s="5">
        <v>2026.0</v>
      </c>
      <c r="P363" s="5" t="str">
        <f>IFERROR(__xludf.DUMMYFUNCTION("""COMPUTED_VALUE"""),"Not stated")</f>
        <v>Not stated</v>
      </c>
      <c r="Q363" s="5" t="s">
        <v>135</v>
      </c>
      <c r="R363" s="5" t="s">
        <v>136</v>
      </c>
      <c r="S363" s="11">
        <v>147.0</v>
      </c>
    </row>
    <row r="364">
      <c r="A364" s="5" t="str">
        <f>IFERROR(__xludf.DUMMYFUNCTION("""COMPUTED_VALUE"""),"Clindamycin Phosphate Injection")</f>
        <v>Clindamycin Phosphate Injection</v>
      </c>
      <c r="B364" s="5" t="str">
        <f>IFERROR(__xludf.DUMMYFUNCTION("""COMPUTED_VALUE"""),"Pfizer Inc.")</f>
        <v>Pfizer Inc.</v>
      </c>
      <c r="C364" s="5" t="str">
        <f>IFERROR(__xludf.DUMMYFUNCTION("""COMPUTED_VALUE"""),"Cleocin Phosphate, Injection, 900 mg/6 mL (150 mg/mL); 6 mL Vial NovaPlus (NDC 0009-5095-06)")</f>
        <v>Cleocin Phosphate, Injection, 900 mg/6 mL (150 mg/mL); 6 mL Vial NovaPlus (NDC 0009-5095-06)</v>
      </c>
      <c r="D364" s="5" t="str">
        <f>IFERROR(__xludf.DUMMYFUNCTION("""COMPUTED_VALUE"""),"New")</f>
        <v>New</v>
      </c>
      <c r="E364" s="10">
        <f>IFERROR(__xludf.DUMMYFUNCTION("""COMPUTED_VALUE"""),46174.0)</f>
        <v>46174</v>
      </c>
      <c r="F364" s="5"/>
      <c r="G364" s="5" t="str">
        <f>IFERROR(__xludf.DUMMYFUNCTION("""COMPUTED_VALUE"""),"Discontinuation of the manufacture of the drug")</f>
        <v>Discontinuation of the manufacture of the drug</v>
      </c>
      <c r="H364" s="5"/>
      <c r="I364" s="5"/>
      <c r="J364" s="5" t="str">
        <f>IFERROR(__xludf.DUMMYFUNCTION("""COMPUTED_VALUE"""),"Anti-Infective")</f>
        <v>Anti-Infective</v>
      </c>
      <c r="K364" s="5" t="str">
        <f>IFERROR(__xludf.DUMMYFUNCTION("""COMPUTED_VALUE"""),"To Be Discontinued")</f>
        <v>To Be Discontinued</v>
      </c>
      <c r="L364" s="5"/>
      <c r="M364" s="10">
        <f>IFERROR(__xludf.DUMMYFUNCTION("""COMPUTED_VALUE"""),46174.0)</f>
        <v>46174</v>
      </c>
      <c r="N364" s="10">
        <f>IFERROR(__xludf.DUMMYFUNCTION("""COMPUTED_VALUE"""),46174.0)</f>
        <v>46174</v>
      </c>
      <c r="O364" s="5">
        <v>2026.0</v>
      </c>
      <c r="P364" s="5" t="str">
        <f>IFERROR(__xludf.DUMMYFUNCTION("""COMPUTED_VALUE"""),"Not stated")</f>
        <v>Not stated</v>
      </c>
      <c r="Q364" s="5" t="s">
        <v>135</v>
      </c>
      <c r="R364" s="5" t="s">
        <v>136</v>
      </c>
      <c r="S364" s="11">
        <v>147.0</v>
      </c>
    </row>
    <row r="365">
      <c r="A365" s="5" t="str">
        <f>IFERROR(__xludf.DUMMYFUNCTION("""COMPUTED_VALUE"""),"Clonazepam Tablet")</f>
        <v>Clonazepam Tablet</v>
      </c>
      <c r="B365" s="5" t="str">
        <f>IFERROR(__xludf.DUMMYFUNCTION("""COMPUTED_VALUE"""),"Rubicon Research Private Limited")</f>
        <v>Rubicon Research Private Limited</v>
      </c>
      <c r="C365" s="5" t="str">
        <f>IFERROR(__xludf.DUMMYFUNCTION("""COMPUTED_VALUE"""),"Clonazepam, Tablet, .5 mg (NDC 72888-152-30)")</f>
        <v>Clonazepam, Tablet, .5 mg (NDC 72888-152-30)</v>
      </c>
      <c r="D365" s="5" t="str">
        <f>IFERROR(__xludf.DUMMYFUNCTION("""COMPUTED_VALUE"""),"Reverified")</f>
        <v>Reverified</v>
      </c>
      <c r="E365" s="10">
        <f>IFERROR(__xludf.DUMMYFUNCTION("""COMPUTED_VALUE"""),46174.0)</f>
        <v>46174</v>
      </c>
      <c r="F365" s="5" t="str">
        <f>IFERROR(__xludf.DUMMYFUNCTION("""COMPUTED_VALUE"""),"Available")</f>
        <v>Available</v>
      </c>
      <c r="G365" s="5" t="str">
        <f>IFERROR(__xludf.DUMMYFUNCTION("""COMPUTED_VALUE"""),"Marketed by Advagen Pharma Ltd.")</f>
        <v>Marketed by Advagen Pharma Ltd.</v>
      </c>
      <c r="H365" s="5"/>
      <c r="I365" s="5"/>
      <c r="J365" s="5" t="str">
        <f>IFERROR(__xludf.DUMMYFUNCTION("""COMPUTED_VALUE"""),"Neurology; Pediatric; Psychiatry")</f>
        <v>Neurology; Pediatric; Psychiatry</v>
      </c>
      <c r="K365" s="5" t="str">
        <f>IFERROR(__xludf.DUMMYFUNCTION("""COMPUTED_VALUE"""),"Current")</f>
        <v>Current</v>
      </c>
      <c r="L365" s="5"/>
      <c r="M365" s="5"/>
      <c r="N365" s="10">
        <f>IFERROR(__xludf.DUMMYFUNCTION("""COMPUTED_VALUE"""),44995.0)</f>
        <v>44995</v>
      </c>
      <c r="O365" s="5">
        <v>2023.0</v>
      </c>
      <c r="P365" s="5" t="str">
        <f>IFERROR(__xludf.DUMMYFUNCTION("""COMPUTED_VALUE"""),"Available")</f>
        <v>Available</v>
      </c>
      <c r="Q365" s="5" t="s">
        <v>135</v>
      </c>
      <c r="R365" s="5" t="s">
        <v>136</v>
      </c>
      <c r="S365" s="11">
        <v>1326.0</v>
      </c>
    </row>
    <row r="366">
      <c r="A366" s="5" t="str">
        <f>IFERROR(__xludf.DUMMYFUNCTION("""COMPUTED_VALUE"""),"Clonazepam Tablet")</f>
        <v>Clonazepam Tablet</v>
      </c>
      <c r="B366" s="5" t="str">
        <f>IFERROR(__xludf.DUMMYFUNCTION("""COMPUTED_VALUE"""),"Rubicon Research Private Limited")</f>
        <v>Rubicon Research Private Limited</v>
      </c>
      <c r="C366" s="5" t="str">
        <f>IFERROR(__xludf.DUMMYFUNCTION("""COMPUTED_VALUE"""),"Clonazepam, Tablet, .5 mg (NDC 72888-152-01)")</f>
        <v>Clonazepam, Tablet, .5 mg (NDC 72888-152-01)</v>
      </c>
      <c r="D366" s="5" t="str">
        <f>IFERROR(__xludf.DUMMYFUNCTION("""COMPUTED_VALUE"""),"Reverified")</f>
        <v>Reverified</v>
      </c>
      <c r="E366" s="10">
        <f>IFERROR(__xludf.DUMMYFUNCTION("""COMPUTED_VALUE"""),46174.0)</f>
        <v>46174</v>
      </c>
      <c r="F366" s="5" t="str">
        <f>IFERROR(__xludf.DUMMYFUNCTION("""COMPUTED_VALUE"""),"Available")</f>
        <v>Available</v>
      </c>
      <c r="G366" s="5" t="str">
        <f>IFERROR(__xludf.DUMMYFUNCTION("""COMPUTED_VALUE"""),"Marketed by Advagen Pharma Ltd.")</f>
        <v>Marketed by Advagen Pharma Ltd.</v>
      </c>
      <c r="H366" s="5"/>
      <c r="I366" s="5"/>
      <c r="J366" s="5" t="str">
        <f>IFERROR(__xludf.DUMMYFUNCTION("""COMPUTED_VALUE"""),"Neurology; Pediatric; Psychiatry")</f>
        <v>Neurology; Pediatric; Psychiatry</v>
      </c>
      <c r="K366" s="5" t="str">
        <f>IFERROR(__xludf.DUMMYFUNCTION("""COMPUTED_VALUE"""),"Current")</f>
        <v>Current</v>
      </c>
      <c r="L366" s="5"/>
      <c r="M366" s="5"/>
      <c r="N366" s="10">
        <f>IFERROR(__xludf.DUMMYFUNCTION("""COMPUTED_VALUE"""),44995.0)</f>
        <v>44995</v>
      </c>
      <c r="O366" s="5">
        <v>2023.0</v>
      </c>
      <c r="P366" s="5" t="str">
        <f>IFERROR(__xludf.DUMMYFUNCTION("""COMPUTED_VALUE"""),"Available")</f>
        <v>Available</v>
      </c>
      <c r="Q366" s="5" t="s">
        <v>135</v>
      </c>
      <c r="R366" s="5" t="s">
        <v>136</v>
      </c>
      <c r="S366" s="11">
        <v>1326.0</v>
      </c>
    </row>
    <row r="367">
      <c r="A367" s="5" t="str">
        <f>IFERROR(__xludf.DUMMYFUNCTION("""COMPUTED_VALUE"""),"Clonazepam Tablet")</f>
        <v>Clonazepam Tablet</v>
      </c>
      <c r="B367" s="5" t="str">
        <f>IFERROR(__xludf.DUMMYFUNCTION("""COMPUTED_VALUE"""),"Rubicon Research Private Limited")</f>
        <v>Rubicon Research Private Limited</v>
      </c>
      <c r="C367" s="5" t="str">
        <f>IFERROR(__xludf.DUMMYFUNCTION("""COMPUTED_VALUE"""),"Clonazepam, Tablet, .5 mg (NDC 72888-152-05)")</f>
        <v>Clonazepam, Tablet, .5 mg (NDC 72888-152-05)</v>
      </c>
      <c r="D367" s="5" t="str">
        <f>IFERROR(__xludf.DUMMYFUNCTION("""COMPUTED_VALUE"""),"Reverified")</f>
        <v>Reverified</v>
      </c>
      <c r="E367" s="10">
        <f>IFERROR(__xludf.DUMMYFUNCTION("""COMPUTED_VALUE"""),46174.0)</f>
        <v>46174</v>
      </c>
      <c r="F367" s="5" t="str">
        <f>IFERROR(__xludf.DUMMYFUNCTION("""COMPUTED_VALUE"""),"Available")</f>
        <v>Available</v>
      </c>
      <c r="G367" s="5" t="str">
        <f>IFERROR(__xludf.DUMMYFUNCTION("""COMPUTED_VALUE"""),"Marketed by Advagen Pharma Ltd.")</f>
        <v>Marketed by Advagen Pharma Ltd.</v>
      </c>
      <c r="H367" s="5"/>
      <c r="I367" s="5"/>
      <c r="J367" s="5" t="str">
        <f>IFERROR(__xludf.DUMMYFUNCTION("""COMPUTED_VALUE"""),"Neurology; Pediatric; Psychiatry")</f>
        <v>Neurology; Pediatric; Psychiatry</v>
      </c>
      <c r="K367" s="5" t="str">
        <f>IFERROR(__xludf.DUMMYFUNCTION("""COMPUTED_VALUE"""),"Current")</f>
        <v>Current</v>
      </c>
      <c r="L367" s="5"/>
      <c r="M367" s="5"/>
      <c r="N367" s="10">
        <f>IFERROR(__xludf.DUMMYFUNCTION("""COMPUTED_VALUE"""),44995.0)</f>
        <v>44995</v>
      </c>
      <c r="O367" s="5">
        <v>2023.0</v>
      </c>
      <c r="P367" s="5" t="str">
        <f>IFERROR(__xludf.DUMMYFUNCTION("""COMPUTED_VALUE"""),"Available")</f>
        <v>Available</v>
      </c>
      <c r="Q367" s="5" t="s">
        <v>135</v>
      </c>
      <c r="R367" s="5" t="s">
        <v>136</v>
      </c>
      <c r="S367" s="11">
        <v>1326.0</v>
      </c>
    </row>
    <row r="368">
      <c r="A368" s="5" t="str">
        <f>IFERROR(__xludf.DUMMYFUNCTION("""COMPUTED_VALUE"""),"Clonazepam Tablet")</f>
        <v>Clonazepam Tablet</v>
      </c>
      <c r="B368" s="5" t="str">
        <f>IFERROR(__xludf.DUMMYFUNCTION("""COMPUTED_VALUE"""),"Rubicon Research Private Limited")</f>
        <v>Rubicon Research Private Limited</v>
      </c>
      <c r="C368" s="5" t="str">
        <f>IFERROR(__xludf.DUMMYFUNCTION("""COMPUTED_VALUE"""),"Clonazepam, Tablet, 1 mg (NDC 72888-153-30)")</f>
        <v>Clonazepam, Tablet, 1 mg (NDC 72888-153-30)</v>
      </c>
      <c r="D368" s="5" t="str">
        <f>IFERROR(__xludf.DUMMYFUNCTION("""COMPUTED_VALUE"""),"Reverified")</f>
        <v>Reverified</v>
      </c>
      <c r="E368" s="10">
        <f>IFERROR(__xludf.DUMMYFUNCTION("""COMPUTED_VALUE"""),46174.0)</f>
        <v>46174</v>
      </c>
      <c r="F368" s="5" t="str">
        <f>IFERROR(__xludf.DUMMYFUNCTION("""COMPUTED_VALUE"""),"Available")</f>
        <v>Available</v>
      </c>
      <c r="G368" s="5" t="str">
        <f>IFERROR(__xludf.DUMMYFUNCTION("""COMPUTED_VALUE"""),"Marketed by Advagen Pharma Ltd.")</f>
        <v>Marketed by Advagen Pharma Ltd.</v>
      </c>
      <c r="H368" s="5"/>
      <c r="I368" s="5"/>
      <c r="J368" s="5" t="str">
        <f>IFERROR(__xludf.DUMMYFUNCTION("""COMPUTED_VALUE"""),"Neurology; Pediatric; Psychiatry")</f>
        <v>Neurology; Pediatric; Psychiatry</v>
      </c>
      <c r="K368" s="5" t="str">
        <f>IFERROR(__xludf.DUMMYFUNCTION("""COMPUTED_VALUE"""),"Current")</f>
        <v>Current</v>
      </c>
      <c r="L368" s="5"/>
      <c r="M368" s="5"/>
      <c r="N368" s="10">
        <f>IFERROR(__xludf.DUMMYFUNCTION("""COMPUTED_VALUE"""),44995.0)</f>
        <v>44995</v>
      </c>
      <c r="O368" s="5">
        <v>2023.0</v>
      </c>
      <c r="P368" s="5" t="str">
        <f>IFERROR(__xludf.DUMMYFUNCTION("""COMPUTED_VALUE"""),"Available")</f>
        <v>Available</v>
      </c>
      <c r="Q368" s="5" t="s">
        <v>135</v>
      </c>
      <c r="R368" s="5" t="s">
        <v>136</v>
      </c>
      <c r="S368" s="11">
        <v>1326.0</v>
      </c>
    </row>
    <row r="369">
      <c r="A369" s="5" t="str">
        <f>IFERROR(__xludf.DUMMYFUNCTION("""COMPUTED_VALUE"""),"Clonazepam Tablet")</f>
        <v>Clonazepam Tablet</v>
      </c>
      <c r="B369" s="5" t="str">
        <f>IFERROR(__xludf.DUMMYFUNCTION("""COMPUTED_VALUE"""),"Rubicon Research Private Limited")</f>
        <v>Rubicon Research Private Limited</v>
      </c>
      <c r="C369" s="5" t="str">
        <f>IFERROR(__xludf.DUMMYFUNCTION("""COMPUTED_VALUE"""),"Clonazepam, Tablet, 1 mg (NDC 72888-153-01)")</f>
        <v>Clonazepam, Tablet, 1 mg (NDC 72888-153-01)</v>
      </c>
      <c r="D369" s="5" t="str">
        <f>IFERROR(__xludf.DUMMYFUNCTION("""COMPUTED_VALUE"""),"Reverified")</f>
        <v>Reverified</v>
      </c>
      <c r="E369" s="10">
        <f>IFERROR(__xludf.DUMMYFUNCTION("""COMPUTED_VALUE"""),46174.0)</f>
        <v>46174</v>
      </c>
      <c r="F369" s="5" t="str">
        <f>IFERROR(__xludf.DUMMYFUNCTION("""COMPUTED_VALUE"""),"Available")</f>
        <v>Available</v>
      </c>
      <c r="G369" s="5" t="str">
        <f>IFERROR(__xludf.DUMMYFUNCTION("""COMPUTED_VALUE"""),"Marketed by Advagen Pharma Ltd.")</f>
        <v>Marketed by Advagen Pharma Ltd.</v>
      </c>
      <c r="H369" s="5"/>
      <c r="I369" s="5"/>
      <c r="J369" s="5" t="str">
        <f>IFERROR(__xludf.DUMMYFUNCTION("""COMPUTED_VALUE"""),"Neurology; Pediatric; Psychiatry")</f>
        <v>Neurology; Pediatric; Psychiatry</v>
      </c>
      <c r="K369" s="5" t="str">
        <f>IFERROR(__xludf.DUMMYFUNCTION("""COMPUTED_VALUE"""),"Current")</f>
        <v>Current</v>
      </c>
      <c r="L369" s="5"/>
      <c r="M369" s="5"/>
      <c r="N369" s="10">
        <f>IFERROR(__xludf.DUMMYFUNCTION("""COMPUTED_VALUE"""),45012.0)</f>
        <v>45012</v>
      </c>
      <c r="O369" s="5">
        <v>2023.0</v>
      </c>
      <c r="P369" s="5" t="str">
        <f>IFERROR(__xludf.DUMMYFUNCTION("""COMPUTED_VALUE"""),"Available")</f>
        <v>Available</v>
      </c>
      <c r="Q369" s="5" t="s">
        <v>135</v>
      </c>
      <c r="R369" s="5" t="s">
        <v>136</v>
      </c>
      <c r="S369" s="11">
        <v>1309.0</v>
      </c>
    </row>
    <row r="370">
      <c r="A370" s="5" t="str">
        <f>IFERROR(__xludf.DUMMYFUNCTION("""COMPUTED_VALUE"""),"Clonazepam Tablet")</f>
        <v>Clonazepam Tablet</v>
      </c>
      <c r="B370" s="5" t="str">
        <f>IFERROR(__xludf.DUMMYFUNCTION("""COMPUTED_VALUE"""),"Rubicon Research Private Limited")</f>
        <v>Rubicon Research Private Limited</v>
      </c>
      <c r="C370" s="5" t="str">
        <f>IFERROR(__xludf.DUMMYFUNCTION("""COMPUTED_VALUE"""),"Clonazepam, Tablet, 1 mg (NDC 72888-153-05)")</f>
        <v>Clonazepam, Tablet, 1 mg (NDC 72888-153-05)</v>
      </c>
      <c r="D370" s="5" t="str">
        <f>IFERROR(__xludf.DUMMYFUNCTION("""COMPUTED_VALUE"""),"Reverified")</f>
        <v>Reverified</v>
      </c>
      <c r="E370" s="10">
        <f>IFERROR(__xludf.DUMMYFUNCTION("""COMPUTED_VALUE"""),46174.0)</f>
        <v>46174</v>
      </c>
      <c r="F370" s="5" t="str">
        <f>IFERROR(__xludf.DUMMYFUNCTION("""COMPUTED_VALUE"""),"Available")</f>
        <v>Available</v>
      </c>
      <c r="G370" s="5" t="str">
        <f>IFERROR(__xludf.DUMMYFUNCTION("""COMPUTED_VALUE"""),"Marketed by Advagen Pharma Ltd.")</f>
        <v>Marketed by Advagen Pharma Ltd.</v>
      </c>
      <c r="H370" s="5"/>
      <c r="I370" s="5"/>
      <c r="J370" s="5" t="str">
        <f>IFERROR(__xludf.DUMMYFUNCTION("""COMPUTED_VALUE"""),"Neurology; Pediatric; Psychiatry")</f>
        <v>Neurology; Pediatric; Psychiatry</v>
      </c>
      <c r="K370" s="5" t="str">
        <f>IFERROR(__xludf.DUMMYFUNCTION("""COMPUTED_VALUE"""),"Current")</f>
        <v>Current</v>
      </c>
      <c r="L370" s="5"/>
      <c r="M370" s="5"/>
      <c r="N370" s="10">
        <f>IFERROR(__xludf.DUMMYFUNCTION("""COMPUTED_VALUE"""),44995.0)</f>
        <v>44995</v>
      </c>
      <c r="O370" s="5">
        <v>2023.0</v>
      </c>
      <c r="P370" s="5" t="str">
        <f>IFERROR(__xludf.DUMMYFUNCTION("""COMPUTED_VALUE"""),"Available")</f>
        <v>Available</v>
      </c>
      <c r="Q370" s="5" t="s">
        <v>135</v>
      </c>
      <c r="R370" s="5" t="s">
        <v>136</v>
      </c>
      <c r="S370" s="11">
        <v>1326.0</v>
      </c>
    </row>
    <row r="371">
      <c r="A371" s="5" t="str">
        <f>IFERROR(__xludf.DUMMYFUNCTION("""COMPUTED_VALUE"""),"Clonazepam Tablet")</f>
        <v>Clonazepam Tablet</v>
      </c>
      <c r="B371" s="5" t="str">
        <f>IFERROR(__xludf.DUMMYFUNCTION("""COMPUTED_VALUE"""),"Rubicon Research Private Limited")</f>
        <v>Rubicon Research Private Limited</v>
      </c>
      <c r="C371" s="5" t="str">
        <f>IFERROR(__xludf.DUMMYFUNCTION("""COMPUTED_VALUE"""),"Clonazepam, Tablet, 2 mg (NDC 72888-154-30)")</f>
        <v>Clonazepam, Tablet, 2 mg (NDC 72888-154-30)</v>
      </c>
      <c r="D371" s="5" t="str">
        <f>IFERROR(__xludf.DUMMYFUNCTION("""COMPUTED_VALUE"""),"Reverified")</f>
        <v>Reverified</v>
      </c>
      <c r="E371" s="10">
        <f>IFERROR(__xludf.DUMMYFUNCTION("""COMPUTED_VALUE"""),46174.0)</f>
        <v>46174</v>
      </c>
      <c r="F371" s="5" t="str">
        <f>IFERROR(__xludf.DUMMYFUNCTION("""COMPUTED_VALUE"""),"Available")</f>
        <v>Available</v>
      </c>
      <c r="G371" s="5" t="str">
        <f>IFERROR(__xludf.DUMMYFUNCTION("""COMPUTED_VALUE"""),"Marketed by Advagen Pharma Ltd.")</f>
        <v>Marketed by Advagen Pharma Ltd.</v>
      </c>
      <c r="H371" s="5"/>
      <c r="I371" s="5"/>
      <c r="J371" s="5" t="str">
        <f>IFERROR(__xludf.DUMMYFUNCTION("""COMPUTED_VALUE"""),"Neurology; Pediatric; Psychiatry")</f>
        <v>Neurology; Pediatric; Psychiatry</v>
      </c>
      <c r="K371" s="5" t="str">
        <f>IFERROR(__xludf.DUMMYFUNCTION("""COMPUTED_VALUE"""),"Current")</f>
        <v>Current</v>
      </c>
      <c r="L371" s="5"/>
      <c r="M371" s="5"/>
      <c r="N371" s="10">
        <f>IFERROR(__xludf.DUMMYFUNCTION("""COMPUTED_VALUE"""),44995.0)</f>
        <v>44995</v>
      </c>
      <c r="O371" s="5">
        <v>2023.0</v>
      </c>
      <c r="P371" s="5" t="str">
        <f>IFERROR(__xludf.DUMMYFUNCTION("""COMPUTED_VALUE"""),"Available")</f>
        <v>Available</v>
      </c>
      <c r="Q371" s="5" t="s">
        <v>135</v>
      </c>
      <c r="R371" s="5" t="s">
        <v>136</v>
      </c>
      <c r="S371" s="11">
        <v>1326.0</v>
      </c>
    </row>
    <row r="372">
      <c r="A372" s="5" t="str">
        <f>IFERROR(__xludf.DUMMYFUNCTION("""COMPUTED_VALUE"""),"Clonazepam Tablet")</f>
        <v>Clonazepam Tablet</v>
      </c>
      <c r="B372" s="5" t="str">
        <f>IFERROR(__xludf.DUMMYFUNCTION("""COMPUTED_VALUE"""),"Rubicon Research Private Limited")</f>
        <v>Rubicon Research Private Limited</v>
      </c>
      <c r="C372" s="5" t="str">
        <f>IFERROR(__xludf.DUMMYFUNCTION("""COMPUTED_VALUE"""),"Clonazepam, Tablet, 2 mg (NDC 72888-154-01)")</f>
        <v>Clonazepam, Tablet, 2 mg (NDC 72888-154-01)</v>
      </c>
      <c r="D372" s="5" t="str">
        <f>IFERROR(__xludf.DUMMYFUNCTION("""COMPUTED_VALUE"""),"Reverified")</f>
        <v>Reverified</v>
      </c>
      <c r="E372" s="10">
        <f>IFERROR(__xludf.DUMMYFUNCTION("""COMPUTED_VALUE"""),46174.0)</f>
        <v>46174</v>
      </c>
      <c r="F372" s="5" t="str">
        <f>IFERROR(__xludf.DUMMYFUNCTION("""COMPUTED_VALUE"""),"Available")</f>
        <v>Available</v>
      </c>
      <c r="G372" s="5" t="str">
        <f>IFERROR(__xludf.DUMMYFUNCTION("""COMPUTED_VALUE"""),"Marketed by Advagen Pharma Ltd.")</f>
        <v>Marketed by Advagen Pharma Ltd.</v>
      </c>
      <c r="H372" s="5"/>
      <c r="I372" s="5"/>
      <c r="J372" s="5" t="str">
        <f>IFERROR(__xludf.DUMMYFUNCTION("""COMPUTED_VALUE"""),"Neurology; Pediatric; Psychiatry")</f>
        <v>Neurology; Pediatric; Psychiatry</v>
      </c>
      <c r="K372" s="5" t="str">
        <f>IFERROR(__xludf.DUMMYFUNCTION("""COMPUTED_VALUE"""),"Current")</f>
        <v>Current</v>
      </c>
      <c r="L372" s="5"/>
      <c r="M372" s="5"/>
      <c r="N372" s="10">
        <f>IFERROR(__xludf.DUMMYFUNCTION("""COMPUTED_VALUE"""),44995.0)</f>
        <v>44995</v>
      </c>
      <c r="O372" s="5">
        <v>2023.0</v>
      </c>
      <c r="P372" s="5" t="str">
        <f>IFERROR(__xludf.DUMMYFUNCTION("""COMPUTED_VALUE"""),"Available")</f>
        <v>Available</v>
      </c>
      <c r="Q372" s="5" t="s">
        <v>135</v>
      </c>
      <c r="R372" s="5" t="s">
        <v>136</v>
      </c>
      <c r="S372" s="11">
        <v>1326.0</v>
      </c>
    </row>
    <row r="373">
      <c r="A373" s="5" t="str">
        <f>IFERROR(__xludf.DUMMYFUNCTION("""COMPUTED_VALUE"""),"Clonazepam Tablet")</f>
        <v>Clonazepam Tablet</v>
      </c>
      <c r="B373" s="5" t="str">
        <f>IFERROR(__xludf.DUMMYFUNCTION("""COMPUTED_VALUE"""),"Rubicon Research Private Limited")</f>
        <v>Rubicon Research Private Limited</v>
      </c>
      <c r="C373" s="5" t="str">
        <f>IFERROR(__xludf.DUMMYFUNCTION("""COMPUTED_VALUE"""),"Clonazepam, Tablet, 2 mg (NDC 72888-154-05)")</f>
        <v>Clonazepam, Tablet, 2 mg (NDC 72888-154-05)</v>
      </c>
      <c r="D373" s="5" t="str">
        <f>IFERROR(__xludf.DUMMYFUNCTION("""COMPUTED_VALUE"""),"Reverified")</f>
        <v>Reverified</v>
      </c>
      <c r="E373" s="10">
        <f>IFERROR(__xludf.DUMMYFUNCTION("""COMPUTED_VALUE"""),46174.0)</f>
        <v>46174</v>
      </c>
      <c r="F373" s="5" t="str">
        <f>IFERROR(__xludf.DUMMYFUNCTION("""COMPUTED_VALUE"""),"Available")</f>
        <v>Available</v>
      </c>
      <c r="G373" s="5" t="str">
        <f>IFERROR(__xludf.DUMMYFUNCTION("""COMPUTED_VALUE"""),"Marketed by Advagen Pharma Ltd.")</f>
        <v>Marketed by Advagen Pharma Ltd.</v>
      </c>
      <c r="H373" s="5"/>
      <c r="I373" s="5"/>
      <c r="J373" s="5" t="str">
        <f>IFERROR(__xludf.DUMMYFUNCTION("""COMPUTED_VALUE"""),"Neurology; Pediatric; Psychiatry")</f>
        <v>Neurology; Pediatric; Psychiatry</v>
      </c>
      <c r="K373" s="5" t="str">
        <f>IFERROR(__xludf.DUMMYFUNCTION("""COMPUTED_VALUE"""),"Current")</f>
        <v>Current</v>
      </c>
      <c r="L373" s="5"/>
      <c r="M373" s="5"/>
      <c r="N373" s="10">
        <f>IFERROR(__xludf.DUMMYFUNCTION("""COMPUTED_VALUE"""),44995.0)</f>
        <v>44995</v>
      </c>
      <c r="O373" s="5">
        <v>2023.0</v>
      </c>
      <c r="P373" s="5" t="str">
        <f>IFERROR(__xludf.DUMMYFUNCTION("""COMPUTED_VALUE"""),"Available")</f>
        <v>Available</v>
      </c>
      <c r="Q373" s="5" t="s">
        <v>135</v>
      </c>
      <c r="R373" s="5" t="s">
        <v>136</v>
      </c>
      <c r="S373" s="11">
        <v>1326.0</v>
      </c>
    </row>
    <row r="374">
      <c r="A374" s="5" t="str">
        <f>IFERROR(__xludf.DUMMYFUNCTION("""COMPUTED_VALUE"""),"Clonazepam Tablet")</f>
        <v>Clonazepam Tablet</v>
      </c>
      <c r="B374" s="5" t="str">
        <f>IFERROR(__xludf.DUMMYFUNCTION("""COMPUTED_VALUE"""),"Rubicon Research Private Limited")</f>
        <v>Rubicon Research Private Limited</v>
      </c>
      <c r="C374" s="5" t="str">
        <f>IFERROR(__xludf.DUMMYFUNCTION("""COMPUTED_VALUE"""),"Clonazepam, Tablet, .5 mg (NDC 72888-152-00)")</f>
        <v>Clonazepam, Tablet, .5 mg (NDC 72888-152-00)</v>
      </c>
      <c r="D374" s="5" t="str">
        <f>IFERROR(__xludf.DUMMYFUNCTION("""COMPUTED_VALUE"""),"Reverified")</f>
        <v>Reverified</v>
      </c>
      <c r="E374" s="10">
        <f>IFERROR(__xludf.DUMMYFUNCTION("""COMPUTED_VALUE"""),46174.0)</f>
        <v>46174</v>
      </c>
      <c r="F374" s="5" t="str">
        <f>IFERROR(__xludf.DUMMYFUNCTION("""COMPUTED_VALUE"""),"Available")</f>
        <v>Available</v>
      </c>
      <c r="G374" s="5" t="str">
        <f>IFERROR(__xludf.DUMMYFUNCTION("""COMPUTED_VALUE"""),"Marketed by Advagen Pharma Ltd.")</f>
        <v>Marketed by Advagen Pharma Ltd.</v>
      </c>
      <c r="H374" s="5"/>
      <c r="I374" s="5"/>
      <c r="J374" s="5" t="str">
        <f>IFERROR(__xludf.DUMMYFUNCTION("""COMPUTED_VALUE"""),"Neurology; Pediatric; Psychiatry")</f>
        <v>Neurology; Pediatric; Psychiatry</v>
      </c>
      <c r="K374" s="5" t="str">
        <f>IFERROR(__xludf.DUMMYFUNCTION("""COMPUTED_VALUE"""),"Current")</f>
        <v>Current</v>
      </c>
      <c r="L374" s="5"/>
      <c r="M374" s="5"/>
      <c r="N374" s="10">
        <f>IFERROR(__xludf.DUMMYFUNCTION("""COMPUTED_VALUE"""),44995.0)</f>
        <v>44995</v>
      </c>
      <c r="O374" s="5">
        <v>2023.0</v>
      </c>
      <c r="P374" s="5" t="str">
        <f>IFERROR(__xludf.DUMMYFUNCTION("""COMPUTED_VALUE"""),"Available")</f>
        <v>Available</v>
      </c>
      <c r="Q374" s="5" t="s">
        <v>135</v>
      </c>
      <c r="R374" s="5" t="s">
        <v>136</v>
      </c>
      <c r="S374" s="11">
        <v>1326.0</v>
      </c>
    </row>
    <row r="375">
      <c r="A375" s="5" t="str">
        <f>IFERROR(__xludf.DUMMYFUNCTION("""COMPUTED_VALUE"""),"Clonazepam Tablet")</f>
        <v>Clonazepam Tablet</v>
      </c>
      <c r="B375" s="5" t="str">
        <f>IFERROR(__xludf.DUMMYFUNCTION("""COMPUTED_VALUE"""),"Rubicon Research Private Limited")</f>
        <v>Rubicon Research Private Limited</v>
      </c>
      <c r="C375" s="5" t="str">
        <f>IFERROR(__xludf.DUMMYFUNCTION("""COMPUTED_VALUE"""),"Clonazepam, Tablet, 1 mg (NDC 72888-153-00)")</f>
        <v>Clonazepam, Tablet, 1 mg (NDC 72888-153-00)</v>
      </c>
      <c r="D375" s="5" t="str">
        <f>IFERROR(__xludf.DUMMYFUNCTION("""COMPUTED_VALUE"""),"Reverified")</f>
        <v>Reverified</v>
      </c>
      <c r="E375" s="10">
        <f>IFERROR(__xludf.DUMMYFUNCTION("""COMPUTED_VALUE"""),46174.0)</f>
        <v>46174</v>
      </c>
      <c r="F375" s="5" t="str">
        <f>IFERROR(__xludf.DUMMYFUNCTION("""COMPUTED_VALUE"""),"Available")</f>
        <v>Available</v>
      </c>
      <c r="G375" s="5" t="str">
        <f>IFERROR(__xludf.DUMMYFUNCTION("""COMPUTED_VALUE"""),"Marketed by Advagen Pharma Ltd.")</f>
        <v>Marketed by Advagen Pharma Ltd.</v>
      </c>
      <c r="H375" s="5"/>
      <c r="I375" s="5"/>
      <c r="J375" s="5" t="str">
        <f>IFERROR(__xludf.DUMMYFUNCTION("""COMPUTED_VALUE"""),"Neurology; Pediatric; Psychiatry")</f>
        <v>Neurology; Pediatric; Psychiatry</v>
      </c>
      <c r="K375" s="5" t="str">
        <f>IFERROR(__xludf.DUMMYFUNCTION("""COMPUTED_VALUE"""),"Current")</f>
        <v>Current</v>
      </c>
      <c r="L375" s="5"/>
      <c r="M375" s="5"/>
      <c r="N375" s="10">
        <f>IFERROR(__xludf.DUMMYFUNCTION("""COMPUTED_VALUE"""),44995.0)</f>
        <v>44995</v>
      </c>
      <c r="O375" s="5">
        <v>2023.0</v>
      </c>
      <c r="P375" s="5" t="str">
        <f>IFERROR(__xludf.DUMMYFUNCTION("""COMPUTED_VALUE"""),"Available")</f>
        <v>Available</v>
      </c>
      <c r="Q375" s="5" t="s">
        <v>135</v>
      </c>
      <c r="R375" s="5" t="s">
        <v>136</v>
      </c>
      <c r="S375" s="11">
        <v>1326.0</v>
      </c>
    </row>
    <row r="376">
      <c r="A376" s="5" t="str">
        <f>IFERROR(__xludf.DUMMYFUNCTION("""COMPUTED_VALUE"""),"Clonazepam Tablet")</f>
        <v>Clonazepam Tablet</v>
      </c>
      <c r="B376" s="5" t="str">
        <f>IFERROR(__xludf.DUMMYFUNCTION("""COMPUTED_VALUE"""),"Aurobindo Pharma USA")</f>
        <v>Aurobindo Pharma USA</v>
      </c>
      <c r="C376" s="5" t="str">
        <f>IFERROR(__xludf.DUMMYFUNCTION("""COMPUTED_VALUE"""),"Clonazepam, Tablet, .5 mg (NDC 59651-722-01)")</f>
        <v>Clonazepam, Tablet, .5 mg (NDC 59651-722-01)</v>
      </c>
      <c r="D376" s="5" t="str">
        <f>IFERROR(__xludf.DUMMYFUNCTION("""COMPUTED_VALUE"""),"Reverified")</f>
        <v>Reverified</v>
      </c>
      <c r="E376" s="10">
        <f>IFERROR(__xludf.DUMMYFUNCTION("""COMPUTED_VALUE"""),46297.0)</f>
        <v>46297</v>
      </c>
      <c r="F376" s="5" t="str">
        <f>IFERROR(__xludf.DUMMYFUNCTION("""COMPUTED_VALUE"""),"Available")</f>
        <v>Available</v>
      </c>
      <c r="G376" s="5"/>
      <c r="H376" s="5"/>
      <c r="I376" s="5"/>
      <c r="J376" s="5" t="str">
        <f>IFERROR(__xludf.DUMMYFUNCTION("""COMPUTED_VALUE"""),"Neurology; Pediatric; Psychiatry")</f>
        <v>Neurology; Pediatric; Psychiatry</v>
      </c>
      <c r="K376" s="5" t="str">
        <f>IFERROR(__xludf.DUMMYFUNCTION("""COMPUTED_VALUE"""),"Current")</f>
        <v>Current</v>
      </c>
      <c r="L376" s="5"/>
      <c r="M376" s="5"/>
      <c r="N376" s="10">
        <f>IFERROR(__xludf.DUMMYFUNCTION("""COMPUTED_VALUE"""),44995.0)</f>
        <v>44995</v>
      </c>
      <c r="O376" s="5">
        <v>2023.0</v>
      </c>
      <c r="P376" s="5" t="str">
        <f>IFERROR(__xludf.DUMMYFUNCTION("""COMPUTED_VALUE"""),"Available")</f>
        <v>Available</v>
      </c>
      <c r="Q376" s="5" t="s">
        <v>135</v>
      </c>
      <c r="R376" s="5" t="s">
        <v>136</v>
      </c>
      <c r="S376" s="11">
        <v>1326.0</v>
      </c>
    </row>
    <row r="377">
      <c r="A377" s="5" t="str">
        <f>IFERROR(__xludf.DUMMYFUNCTION("""COMPUTED_VALUE"""),"Clonazepam Tablet")</f>
        <v>Clonazepam Tablet</v>
      </c>
      <c r="B377" s="5" t="str">
        <f>IFERROR(__xludf.DUMMYFUNCTION("""COMPUTED_VALUE"""),"Aurobindo Pharma USA")</f>
        <v>Aurobindo Pharma USA</v>
      </c>
      <c r="C377" s="5" t="str">
        <f>IFERROR(__xludf.DUMMYFUNCTION("""COMPUTED_VALUE"""),"Clonazepam, Tablet, .5 mg (NDC 59651-722-99)")</f>
        <v>Clonazepam, Tablet, .5 mg (NDC 59651-722-99)</v>
      </c>
      <c r="D377" s="5" t="str">
        <f>IFERROR(__xludf.DUMMYFUNCTION("""COMPUTED_VALUE"""),"Reverified")</f>
        <v>Reverified</v>
      </c>
      <c r="E377" s="10">
        <f>IFERROR(__xludf.DUMMYFUNCTION("""COMPUTED_VALUE"""),46297.0)</f>
        <v>46297</v>
      </c>
      <c r="F377" s="5" t="str">
        <f>IFERROR(__xludf.DUMMYFUNCTION("""COMPUTED_VALUE"""),"Available")</f>
        <v>Available</v>
      </c>
      <c r="G377" s="5"/>
      <c r="H377" s="5"/>
      <c r="I377" s="5"/>
      <c r="J377" s="5" t="str">
        <f>IFERROR(__xludf.DUMMYFUNCTION("""COMPUTED_VALUE"""),"Neurology; Pediatric; Psychiatry")</f>
        <v>Neurology; Pediatric; Psychiatry</v>
      </c>
      <c r="K377" s="5" t="str">
        <f>IFERROR(__xludf.DUMMYFUNCTION("""COMPUTED_VALUE"""),"Current")</f>
        <v>Current</v>
      </c>
      <c r="L377" s="5"/>
      <c r="M377" s="5"/>
      <c r="N377" s="10">
        <f>IFERROR(__xludf.DUMMYFUNCTION("""COMPUTED_VALUE"""),44995.0)</f>
        <v>44995</v>
      </c>
      <c r="O377" s="5">
        <v>2023.0</v>
      </c>
      <c r="P377" s="5" t="str">
        <f>IFERROR(__xludf.DUMMYFUNCTION("""COMPUTED_VALUE"""),"Available")</f>
        <v>Available</v>
      </c>
      <c r="Q377" s="5" t="s">
        <v>135</v>
      </c>
      <c r="R377" s="5" t="s">
        <v>136</v>
      </c>
      <c r="S377" s="11">
        <v>1326.0</v>
      </c>
    </row>
    <row r="378">
      <c r="A378" s="5" t="str">
        <f>IFERROR(__xludf.DUMMYFUNCTION("""COMPUTED_VALUE"""),"Clonazepam Tablet")</f>
        <v>Clonazepam Tablet</v>
      </c>
      <c r="B378" s="5" t="str">
        <f>IFERROR(__xludf.DUMMYFUNCTION("""COMPUTED_VALUE"""),"Aurobindo Pharma USA")</f>
        <v>Aurobindo Pharma USA</v>
      </c>
      <c r="C378" s="5" t="str">
        <f>IFERROR(__xludf.DUMMYFUNCTION("""COMPUTED_VALUE"""),"Clonazepam, Tablet, 1 mg (NDC 59651-723-01)")</f>
        <v>Clonazepam, Tablet, 1 mg (NDC 59651-723-01)</v>
      </c>
      <c r="D378" s="5" t="str">
        <f>IFERROR(__xludf.DUMMYFUNCTION("""COMPUTED_VALUE"""),"Reverified")</f>
        <v>Reverified</v>
      </c>
      <c r="E378" s="10">
        <f>IFERROR(__xludf.DUMMYFUNCTION("""COMPUTED_VALUE"""),46297.0)</f>
        <v>46297</v>
      </c>
      <c r="F378" s="5" t="str">
        <f>IFERROR(__xludf.DUMMYFUNCTION("""COMPUTED_VALUE"""),"Available")</f>
        <v>Available</v>
      </c>
      <c r="G378" s="5"/>
      <c r="H378" s="5"/>
      <c r="I378" s="5"/>
      <c r="J378" s="5" t="str">
        <f>IFERROR(__xludf.DUMMYFUNCTION("""COMPUTED_VALUE"""),"Neurology; Pediatric; Psychiatry")</f>
        <v>Neurology; Pediatric; Psychiatry</v>
      </c>
      <c r="K378" s="5" t="str">
        <f>IFERROR(__xludf.DUMMYFUNCTION("""COMPUTED_VALUE"""),"Current")</f>
        <v>Current</v>
      </c>
      <c r="L378" s="5"/>
      <c r="M378" s="5"/>
      <c r="N378" s="10">
        <f>IFERROR(__xludf.DUMMYFUNCTION("""COMPUTED_VALUE"""),44995.0)</f>
        <v>44995</v>
      </c>
      <c r="O378" s="5">
        <v>2023.0</v>
      </c>
      <c r="P378" s="5" t="str">
        <f>IFERROR(__xludf.DUMMYFUNCTION("""COMPUTED_VALUE"""),"Available")</f>
        <v>Available</v>
      </c>
      <c r="Q378" s="5" t="s">
        <v>135</v>
      </c>
      <c r="R378" s="5" t="s">
        <v>136</v>
      </c>
      <c r="S378" s="11">
        <v>1326.0</v>
      </c>
    </row>
    <row r="379">
      <c r="A379" s="5" t="str">
        <f>IFERROR(__xludf.DUMMYFUNCTION("""COMPUTED_VALUE"""),"Clonazepam Tablet")</f>
        <v>Clonazepam Tablet</v>
      </c>
      <c r="B379" s="5" t="str">
        <f>IFERROR(__xludf.DUMMYFUNCTION("""COMPUTED_VALUE"""),"Aurobindo Pharma USA")</f>
        <v>Aurobindo Pharma USA</v>
      </c>
      <c r="C379" s="5" t="str">
        <f>IFERROR(__xludf.DUMMYFUNCTION("""COMPUTED_VALUE"""),"Clonazepam, Tablet, 1 mg (NDC 59651-723-99)")</f>
        <v>Clonazepam, Tablet, 1 mg (NDC 59651-723-99)</v>
      </c>
      <c r="D379" s="5" t="str">
        <f>IFERROR(__xludf.DUMMYFUNCTION("""COMPUTED_VALUE"""),"Reverified")</f>
        <v>Reverified</v>
      </c>
      <c r="E379" s="10">
        <f>IFERROR(__xludf.DUMMYFUNCTION("""COMPUTED_VALUE"""),46297.0)</f>
        <v>46297</v>
      </c>
      <c r="F379" s="5" t="str">
        <f>IFERROR(__xludf.DUMMYFUNCTION("""COMPUTED_VALUE"""),"Available")</f>
        <v>Available</v>
      </c>
      <c r="G379" s="5"/>
      <c r="H379" s="5"/>
      <c r="I379" s="5"/>
      <c r="J379" s="5" t="str">
        <f>IFERROR(__xludf.DUMMYFUNCTION("""COMPUTED_VALUE"""),"Neurology; Pediatric; Psychiatry")</f>
        <v>Neurology; Pediatric; Psychiatry</v>
      </c>
      <c r="K379" s="5" t="str">
        <f>IFERROR(__xludf.DUMMYFUNCTION("""COMPUTED_VALUE"""),"Current")</f>
        <v>Current</v>
      </c>
      <c r="L379" s="5"/>
      <c r="M379" s="5"/>
      <c r="N379" s="10">
        <f>IFERROR(__xludf.DUMMYFUNCTION("""COMPUTED_VALUE"""),44995.0)</f>
        <v>44995</v>
      </c>
      <c r="O379" s="5">
        <v>2023.0</v>
      </c>
      <c r="P379" s="5" t="str">
        <f>IFERROR(__xludf.DUMMYFUNCTION("""COMPUTED_VALUE"""),"Available")</f>
        <v>Available</v>
      </c>
      <c r="Q379" s="5" t="s">
        <v>135</v>
      </c>
      <c r="R379" s="5" t="s">
        <v>136</v>
      </c>
      <c r="S379" s="11">
        <v>1326.0</v>
      </c>
    </row>
    <row r="380">
      <c r="A380" s="5" t="str">
        <f>IFERROR(__xludf.DUMMYFUNCTION("""COMPUTED_VALUE"""),"Clonazepam Tablet")</f>
        <v>Clonazepam Tablet</v>
      </c>
      <c r="B380" s="5" t="str">
        <f>IFERROR(__xludf.DUMMYFUNCTION("""COMPUTED_VALUE"""),"Aurobindo Pharma USA")</f>
        <v>Aurobindo Pharma USA</v>
      </c>
      <c r="C380" s="5" t="str">
        <f>IFERROR(__xludf.DUMMYFUNCTION("""COMPUTED_VALUE"""),"Clonazepam, Tablet, 2 mg (NDC 59651-724-01)")</f>
        <v>Clonazepam, Tablet, 2 mg (NDC 59651-724-01)</v>
      </c>
      <c r="D380" s="5" t="str">
        <f>IFERROR(__xludf.DUMMYFUNCTION("""COMPUTED_VALUE"""),"Reverified")</f>
        <v>Reverified</v>
      </c>
      <c r="E380" s="10">
        <f>IFERROR(__xludf.DUMMYFUNCTION("""COMPUTED_VALUE"""),46297.0)</f>
        <v>46297</v>
      </c>
      <c r="F380" s="5" t="str">
        <f>IFERROR(__xludf.DUMMYFUNCTION("""COMPUTED_VALUE"""),"Available")</f>
        <v>Available</v>
      </c>
      <c r="G380" s="5"/>
      <c r="H380" s="5"/>
      <c r="I380" s="5"/>
      <c r="J380" s="5" t="str">
        <f>IFERROR(__xludf.DUMMYFUNCTION("""COMPUTED_VALUE"""),"Neurology; Pediatric; Psychiatry")</f>
        <v>Neurology; Pediatric; Psychiatry</v>
      </c>
      <c r="K380" s="5" t="str">
        <f>IFERROR(__xludf.DUMMYFUNCTION("""COMPUTED_VALUE"""),"Current")</f>
        <v>Current</v>
      </c>
      <c r="L380" s="5"/>
      <c r="M380" s="5"/>
      <c r="N380" s="10">
        <f>IFERROR(__xludf.DUMMYFUNCTION("""COMPUTED_VALUE"""),44995.0)</f>
        <v>44995</v>
      </c>
      <c r="O380" s="5">
        <v>2023.0</v>
      </c>
      <c r="P380" s="5" t="str">
        <f>IFERROR(__xludf.DUMMYFUNCTION("""COMPUTED_VALUE"""),"Available")</f>
        <v>Available</v>
      </c>
      <c r="Q380" s="5" t="s">
        <v>135</v>
      </c>
      <c r="R380" s="5" t="s">
        <v>136</v>
      </c>
      <c r="S380" s="11">
        <v>1326.0</v>
      </c>
    </row>
    <row r="381">
      <c r="A381" s="5" t="str">
        <f>IFERROR(__xludf.DUMMYFUNCTION("""COMPUTED_VALUE"""),"Clonazepam Tablet")</f>
        <v>Clonazepam Tablet</v>
      </c>
      <c r="B381" s="5" t="str">
        <f>IFERROR(__xludf.DUMMYFUNCTION("""COMPUTED_VALUE"""),"Aurobindo Pharma USA")</f>
        <v>Aurobindo Pharma USA</v>
      </c>
      <c r="C381" s="5" t="str">
        <f>IFERROR(__xludf.DUMMYFUNCTION("""COMPUTED_VALUE"""),"Clonazepam, Tablet, 2 mg (NDC 59651-724-05)")</f>
        <v>Clonazepam, Tablet, 2 mg (NDC 59651-724-05)</v>
      </c>
      <c r="D381" s="5" t="str">
        <f>IFERROR(__xludf.DUMMYFUNCTION("""COMPUTED_VALUE"""),"Reverified")</f>
        <v>Reverified</v>
      </c>
      <c r="E381" s="10">
        <f>IFERROR(__xludf.DUMMYFUNCTION("""COMPUTED_VALUE"""),46297.0)</f>
        <v>46297</v>
      </c>
      <c r="F381" s="5" t="str">
        <f>IFERROR(__xludf.DUMMYFUNCTION("""COMPUTED_VALUE"""),"Available")</f>
        <v>Available</v>
      </c>
      <c r="G381" s="5"/>
      <c r="H381" s="5"/>
      <c r="I381" s="5"/>
      <c r="J381" s="5" t="str">
        <f>IFERROR(__xludf.DUMMYFUNCTION("""COMPUTED_VALUE"""),"Neurology; Pediatric; Psychiatry")</f>
        <v>Neurology; Pediatric; Psychiatry</v>
      </c>
      <c r="K381" s="5" t="str">
        <f>IFERROR(__xludf.DUMMYFUNCTION("""COMPUTED_VALUE"""),"Current")</f>
        <v>Current</v>
      </c>
      <c r="L381" s="5"/>
      <c r="M381" s="5"/>
      <c r="N381" s="10">
        <f>IFERROR(__xludf.DUMMYFUNCTION("""COMPUTED_VALUE"""),44995.0)</f>
        <v>44995</v>
      </c>
      <c r="O381" s="5">
        <v>2023.0</v>
      </c>
      <c r="P381" s="5" t="str">
        <f>IFERROR(__xludf.DUMMYFUNCTION("""COMPUTED_VALUE"""),"Available")</f>
        <v>Available</v>
      </c>
      <c r="Q381" s="5" t="s">
        <v>135</v>
      </c>
      <c r="R381" s="5" t="s">
        <v>136</v>
      </c>
      <c r="S381" s="11">
        <v>1326.0</v>
      </c>
    </row>
    <row r="382">
      <c r="A382" s="5" t="str">
        <f>IFERROR(__xludf.DUMMYFUNCTION("""COMPUTED_VALUE"""),"Clonazepam Tablet")</f>
        <v>Clonazepam Tablet</v>
      </c>
      <c r="B382" s="5" t="str">
        <f>IFERROR(__xludf.DUMMYFUNCTION("""COMPUTED_VALUE"""),"Accord Healthcare Inc.")</f>
        <v>Accord Healthcare Inc.</v>
      </c>
      <c r="C382" s="5" t="str">
        <f>IFERROR(__xludf.DUMMYFUNCTION("""COMPUTED_VALUE"""),"Clonazepam, Tablet, .5 mg (NDC 16729-136-00)")</f>
        <v>Clonazepam, Tablet, .5 mg (NDC 16729-136-00)</v>
      </c>
      <c r="D382" s="5" t="str">
        <f>IFERROR(__xludf.DUMMYFUNCTION("""COMPUTED_VALUE"""),"Reverified")</f>
        <v>Reverified</v>
      </c>
      <c r="E382" s="13">
        <f>IFERROR(__xludf.DUMMYFUNCTION("""COMPUTED_VALUE"""),46312.0)</f>
        <v>46312</v>
      </c>
      <c r="F382" s="5" t="str">
        <f>IFERROR(__xludf.DUMMYFUNCTION("""COMPUTED_VALUE"""),"Available")</f>
        <v>Available</v>
      </c>
      <c r="G382" s="5"/>
      <c r="H382" s="5"/>
      <c r="I382" s="5"/>
      <c r="J382" s="5" t="str">
        <f>IFERROR(__xludf.DUMMYFUNCTION("""COMPUTED_VALUE"""),"Neurology; Pediatric; Psychiatry")</f>
        <v>Neurology; Pediatric; Psychiatry</v>
      </c>
      <c r="K382" s="5" t="str">
        <f>IFERROR(__xludf.DUMMYFUNCTION("""COMPUTED_VALUE"""),"Current")</f>
        <v>Current</v>
      </c>
      <c r="L382" s="5"/>
      <c r="M382" s="5"/>
      <c r="N382" s="10">
        <f>IFERROR(__xludf.DUMMYFUNCTION("""COMPUTED_VALUE"""),44995.0)</f>
        <v>44995</v>
      </c>
      <c r="O382" s="5">
        <v>2023.0</v>
      </c>
      <c r="P382" s="5" t="str">
        <f>IFERROR(__xludf.DUMMYFUNCTION("""COMPUTED_VALUE"""),"Available")</f>
        <v>Available</v>
      </c>
      <c r="Q382" s="5" t="s">
        <v>135</v>
      </c>
      <c r="R382" s="5" t="s">
        <v>136</v>
      </c>
      <c r="S382" s="11">
        <v>1326.0</v>
      </c>
    </row>
    <row r="383">
      <c r="A383" s="5" t="str">
        <f>IFERROR(__xludf.DUMMYFUNCTION("""COMPUTED_VALUE"""),"Clonazepam Tablet")</f>
        <v>Clonazepam Tablet</v>
      </c>
      <c r="B383" s="5" t="str">
        <f>IFERROR(__xludf.DUMMYFUNCTION("""COMPUTED_VALUE"""),"Accord Healthcare Inc.")</f>
        <v>Accord Healthcare Inc.</v>
      </c>
      <c r="C383" s="5" t="str">
        <f>IFERROR(__xludf.DUMMYFUNCTION("""COMPUTED_VALUE"""),"Clonazepam, Tablet, .5 mg (NDC 16729-136-16)")</f>
        <v>Clonazepam, Tablet, .5 mg (NDC 16729-136-16)</v>
      </c>
      <c r="D383" s="5" t="str">
        <f>IFERROR(__xludf.DUMMYFUNCTION("""COMPUTED_VALUE"""),"Reverified")</f>
        <v>Reverified</v>
      </c>
      <c r="E383" s="13">
        <f>IFERROR(__xludf.DUMMYFUNCTION("""COMPUTED_VALUE"""),46312.0)</f>
        <v>46312</v>
      </c>
      <c r="F383" s="5" t="str">
        <f>IFERROR(__xludf.DUMMYFUNCTION("""COMPUTED_VALUE"""),"Available")</f>
        <v>Available</v>
      </c>
      <c r="G383" s="5"/>
      <c r="H383" s="5"/>
      <c r="I383" s="5"/>
      <c r="J383" s="5" t="str">
        <f>IFERROR(__xludf.DUMMYFUNCTION("""COMPUTED_VALUE"""),"Neurology; Pediatric; Psychiatry")</f>
        <v>Neurology; Pediatric; Psychiatry</v>
      </c>
      <c r="K383" s="5" t="str">
        <f>IFERROR(__xludf.DUMMYFUNCTION("""COMPUTED_VALUE"""),"Current")</f>
        <v>Current</v>
      </c>
      <c r="L383" s="5"/>
      <c r="M383" s="5"/>
      <c r="N383" s="10">
        <f>IFERROR(__xludf.DUMMYFUNCTION("""COMPUTED_VALUE"""),44995.0)</f>
        <v>44995</v>
      </c>
      <c r="O383" s="5">
        <v>2023.0</v>
      </c>
      <c r="P383" s="5" t="str">
        <f>IFERROR(__xludf.DUMMYFUNCTION("""COMPUTED_VALUE"""),"Available")</f>
        <v>Available</v>
      </c>
      <c r="Q383" s="5" t="s">
        <v>135</v>
      </c>
      <c r="R383" s="5" t="s">
        <v>136</v>
      </c>
      <c r="S383" s="11">
        <v>1326.0</v>
      </c>
    </row>
    <row r="384">
      <c r="A384" s="5" t="str">
        <f>IFERROR(__xludf.DUMMYFUNCTION("""COMPUTED_VALUE"""),"Clonazepam Tablet")</f>
        <v>Clonazepam Tablet</v>
      </c>
      <c r="B384" s="5" t="str">
        <f>IFERROR(__xludf.DUMMYFUNCTION("""COMPUTED_VALUE"""),"Accord Healthcare Inc.")</f>
        <v>Accord Healthcare Inc.</v>
      </c>
      <c r="C384" s="5" t="str">
        <f>IFERROR(__xludf.DUMMYFUNCTION("""COMPUTED_VALUE"""),"Clonazepam, Tablet, 1 mg (NDC 16729-137-00)")</f>
        <v>Clonazepam, Tablet, 1 mg (NDC 16729-137-00)</v>
      </c>
      <c r="D384" s="5" t="str">
        <f>IFERROR(__xludf.DUMMYFUNCTION("""COMPUTED_VALUE"""),"Reverified")</f>
        <v>Reverified</v>
      </c>
      <c r="E384" s="13">
        <f>IFERROR(__xludf.DUMMYFUNCTION("""COMPUTED_VALUE"""),46312.0)</f>
        <v>46312</v>
      </c>
      <c r="F384" s="5" t="str">
        <f>IFERROR(__xludf.DUMMYFUNCTION("""COMPUTED_VALUE"""),"Available")</f>
        <v>Available</v>
      </c>
      <c r="G384" s="5"/>
      <c r="H384" s="5"/>
      <c r="I384" s="5"/>
      <c r="J384" s="5" t="str">
        <f>IFERROR(__xludf.DUMMYFUNCTION("""COMPUTED_VALUE"""),"Neurology; Pediatric; Psychiatry")</f>
        <v>Neurology; Pediatric; Psychiatry</v>
      </c>
      <c r="K384" s="5" t="str">
        <f>IFERROR(__xludf.DUMMYFUNCTION("""COMPUTED_VALUE"""),"Current")</f>
        <v>Current</v>
      </c>
      <c r="L384" s="5"/>
      <c r="M384" s="5"/>
      <c r="N384" s="10">
        <f>IFERROR(__xludf.DUMMYFUNCTION("""COMPUTED_VALUE"""),44995.0)</f>
        <v>44995</v>
      </c>
      <c r="O384" s="5">
        <v>2023.0</v>
      </c>
      <c r="P384" s="5" t="str">
        <f>IFERROR(__xludf.DUMMYFUNCTION("""COMPUTED_VALUE"""),"Available")</f>
        <v>Available</v>
      </c>
      <c r="Q384" s="5" t="s">
        <v>135</v>
      </c>
      <c r="R384" s="5" t="s">
        <v>136</v>
      </c>
      <c r="S384" s="11">
        <v>1326.0</v>
      </c>
    </row>
    <row r="385">
      <c r="A385" s="5" t="str">
        <f>IFERROR(__xludf.DUMMYFUNCTION("""COMPUTED_VALUE"""),"Clonazepam Tablet")</f>
        <v>Clonazepam Tablet</v>
      </c>
      <c r="B385" s="5" t="str">
        <f>IFERROR(__xludf.DUMMYFUNCTION("""COMPUTED_VALUE"""),"Accord Healthcare Inc.")</f>
        <v>Accord Healthcare Inc.</v>
      </c>
      <c r="C385" s="5" t="str">
        <f>IFERROR(__xludf.DUMMYFUNCTION("""COMPUTED_VALUE"""),"Clonazepam, Tablet, 1 mg (NDC 16729-137-16)")</f>
        <v>Clonazepam, Tablet, 1 mg (NDC 16729-137-16)</v>
      </c>
      <c r="D385" s="5" t="str">
        <f>IFERROR(__xludf.DUMMYFUNCTION("""COMPUTED_VALUE"""),"Reverified")</f>
        <v>Reverified</v>
      </c>
      <c r="E385" s="13">
        <f>IFERROR(__xludf.DUMMYFUNCTION("""COMPUTED_VALUE"""),46312.0)</f>
        <v>46312</v>
      </c>
      <c r="F385" s="5" t="str">
        <f>IFERROR(__xludf.DUMMYFUNCTION("""COMPUTED_VALUE"""),"Available")</f>
        <v>Available</v>
      </c>
      <c r="G385" s="5"/>
      <c r="H385" s="5"/>
      <c r="I385" s="5"/>
      <c r="J385" s="5" t="str">
        <f>IFERROR(__xludf.DUMMYFUNCTION("""COMPUTED_VALUE"""),"Neurology; Pediatric; Psychiatry")</f>
        <v>Neurology; Pediatric; Psychiatry</v>
      </c>
      <c r="K385" s="5" t="str">
        <f>IFERROR(__xludf.DUMMYFUNCTION("""COMPUTED_VALUE"""),"Current")</f>
        <v>Current</v>
      </c>
      <c r="L385" s="5"/>
      <c r="M385" s="5"/>
      <c r="N385" s="10">
        <f>IFERROR(__xludf.DUMMYFUNCTION("""COMPUTED_VALUE"""),44995.0)</f>
        <v>44995</v>
      </c>
      <c r="O385" s="5">
        <v>2023.0</v>
      </c>
      <c r="P385" s="5" t="str">
        <f>IFERROR(__xludf.DUMMYFUNCTION("""COMPUTED_VALUE"""),"Available")</f>
        <v>Available</v>
      </c>
      <c r="Q385" s="5" t="s">
        <v>135</v>
      </c>
      <c r="R385" s="5" t="s">
        <v>136</v>
      </c>
      <c r="S385" s="11">
        <v>1326.0</v>
      </c>
    </row>
    <row r="386">
      <c r="A386" s="5" t="str">
        <f>IFERROR(__xludf.DUMMYFUNCTION("""COMPUTED_VALUE"""),"Clonazepam Tablet")</f>
        <v>Clonazepam Tablet</v>
      </c>
      <c r="B386" s="5" t="str">
        <f>IFERROR(__xludf.DUMMYFUNCTION("""COMPUTED_VALUE"""),"Accord Healthcare Inc.")</f>
        <v>Accord Healthcare Inc.</v>
      </c>
      <c r="C386" s="5" t="str">
        <f>IFERROR(__xludf.DUMMYFUNCTION("""COMPUTED_VALUE"""),"Clonazepam, Tablet, 2 mg (NDC 16729-138-00)")</f>
        <v>Clonazepam, Tablet, 2 mg (NDC 16729-138-00)</v>
      </c>
      <c r="D386" s="5" t="str">
        <f>IFERROR(__xludf.DUMMYFUNCTION("""COMPUTED_VALUE"""),"Reverified")</f>
        <v>Reverified</v>
      </c>
      <c r="E386" s="13">
        <f>IFERROR(__xludf.DUMMYFUNCTION("""COMPUTED_VALUE"""),46312.0)</f>
        <v>46312</v>
      </c>
      <c r="F386" s="5" t="str">
        <f>IFERROR(__xludf.DUMMYFUNCTION("""COMPUTED_VALUE"""),"Available")</f>
        <v>Available</v>
      </c>
      <c r="G386" s="5"/>
      <c r="H386" s="5"/>
      <c r="I386" s="5"/>
      <c r="J386" s="5" t="str">
        <f>IFERROR(__xludf.DUMMYFUNCTION("""COMPUTED_VALUE"""),"Neurology; Pediatric; Psychiatry")</f>
        <v>Neurology; Pediatric; Psychiatry</v>
      </c>
      <c r="K386" s="5" t="str">
        <f>IFERROR(__xludf.DUMMYFUNCTION("""COMPUTED_VALUE"""),"Current")</f>
        <v>Current</v>
      </c>
      <c r="L386" s="5"/>
      <c r="M386" s="5"/>
      <c r="N386" s="10">
        <f>IFERROR(__xludf.DUMMYFUNCTION("""COMPUTED_VALUE"""),44995.0)</f>
        <v>44995</v>
      </c>
      <c r="O386" s="5">
        <v>2023.0</v>
      </c>
      <c r="P386" s="5" t="str">
        <f>IFERROR(__xludf.DUMMYFUNCTION("""COMPUTED_VALUE"""),"Available")</f>
        <v>Available</v>
      </c>
      <c r="Q386" s="5" t="s">
        <v>135</v>
      </c>
      <c r="R386" s="5" t="s">
        <v>136</v>
      </c>
      <c r="S386" s="11">
        <v>1326.0</v>
      </c>
    </row>
    <row r="387">
      <c r="A387" s="5" t="str">
        <f>IFERROR(__xludf.DUMMYFUNCTION("""COMPUTED_VALUE"""),"Clonazepam Tablet")</f>
        <v>Clonazepam Tablet</v>
      </c>
      <c r="B387" s="5" t="str">
        <f>IFERROR(__xludf.DUMMYFUNCTION("""COMPUTED_VALUE"""),"Accord Healthcare Inc.")</f>
        <v>Accord Healthcare Inc.</v>
      </c>
      <c r="C387" s="5" t="str">
        <f>IFERROR(__xludf.DUMMYFUNCTION("""COMPUTED_VALUE"""),"Clonazepam, Tablet, 2 mg (NDC 16729-138-16)")</f>
        <v>Clonazepam, Tablet, 2 mg (NDC 16729-138-16)</v>
      </c>
      <c r="D387" s="5" t="str">
        <f>IFERROR(__xludf.DUMMYFUNCTION("""COMPUTED_VALUE"""),"Reverified")</f>
        <v>Reverified</v>
      </c>
      <c r="E387" s="13">
        <f>IFERROR(__xludf.DUMMYFUNCTION("""COMPUTED_VALUE"""),46312.0)</f>
        <v>46312</v>
      </c>
      <c r="F387" s="5" t="str">
        <f>IFERROR(__xludf.DUMMYFUNCTION("""COMPUTED_VALUE"""),"Available")</f>
        <v>Available</v>
      </c>
      <c r="G387" s="5"/>
      <c r="H387" s="5"/>
      <c r="I387" s="5"/>
      <c r="J387" s="5" t="str">
        <f>IFERROR(__xludf.DUMMYFUNCTION("""COMPUTED_VALUE"""),"Neurology; Pediatric; Psychiatry")</f>
        <v>Neurology; Pediatric; Psychiatry</v>
      </c>
      <c r="K387" s="5" t="str">
        <f>IFERROR(__xludf.DUMMYFUNCTION("""COMPUTED_VALUE"""),"Current")</f>
        <v>Current</v>
      </c>
      <c r="L387" s="5"/>
      <c r="M387" s="5"/>
      <c r="N387" s="10">
        <f>IFERROR(__xludf.DUMMYFUNCTION("""COMPUTED_VALUE"""),44995.0)</f>
        <v>44995</v>
      </c>
      <c r="O387" s="5">
        <v>2023.0</v>
      </c>
      <c r="P387" s="5" t="str">
        <f>IFERROR(__xludf.DUMMYFUNCTION("""COMPUTED_VALUE"""),"Available")</f>
        <v>Available</v>
      </c>
      <c r="Q387" s="5" t="s">
        <v>135</v>
      </c>
      <c r="R387" s="5" t="s">
        <v>136</v>
      </c>
      <c r="S387" s="11">
        <v>1326.0</v>
      </c>
    </row>
    <row r="388">
      <c r="A388" s="5" t="str">
        <f>IFERROR(__xludf.DUMMYFUNCTION("""COMPUTED_VALUE"""),"Clonazepam Tablet")</f>
        <v>Clonazepam Tablet</v>
      </c>
      <c r="B388" s="5" t="str">
        <f>IFERROR(__xludf.DUMMYFUNCTION("""COMPUTED_VALUE"""),"Cheplapharm Arzneimittel GmbH")</f>
        <v>Cheplapharm Arzneimittel GmbH</v>
      </c>
      <c r="C388" s="5" t="str">
        <f>IFERROR(__xludf.DUMMYFUNCTION("""COMPUTED_VALUE"""),"Klonopin, Tablet, .5 mg (NDC 61269-605-10)")</f>
        <v>Klonopin, Tablet, .5 mg (NDC 61269-605-10)</v>
      </c>
      <c r="D388" s="5" t="str">
        <f>IFERROR(__xludf.DUMMYFUNCTION("""COMPUTED_VALUE"""),"Reverified")</f>
        <v>Reverified</v>
      </c>
      <c r="E388" s="13">
        <f>IFERROR(__xludf.DUMMYFUNCTION("""COMPUTED_VALUE"""),46311.0)</f>
        <v>46311</v>
      </c>
      <c r="F388" s="5" t="str">
        <f>IFERROR(__xludf.DUMMYFUNCTION("""COMPUTED_VALUE"""),"Available")</f>
        <v>Available</v>
      </c>
      <c r="G388" s="5" t="str">
        <f>IFERROR(__xludf.DUMMYFUNCTION("""COMPUTED_VALUE"""),"Marketed by H2-Pharma")</f>
        <v>Marketed by H2-Pharma</v>
      </c>
      <c r="H388" s="5"/>
      <c r="I388" s="5"/>
      <c r="J388" s="5" t="str">
        <f>IFERROR(__xludf.DUMMYFUNCTION("""COMPUTED_VALUE"""),"Neurology; Pediatric; Psychiatry")</f>
        <v>Neurology; Pediatric; Psychiatry</v>
      </c>
      <c r="K388" s="5" t="str">
        <f>IFERROR(__xludf.DUMMYFUNCTION("""COMPUTED_VALUE"""),"Current")</f>
        <v>Current</v>
      </c>
      <c r="L388" s="5"/>
      <c r="M388" s="5"/>
      <c r="N388" s="10">
        <f>IFERROR(__xludf.DUMMYFUNCTION("""COMPUTED_VALUE"""),44995.0)</f>
        <v>44995</v>
      </c>
      <c r="O388" s="5">
        <v>2023.0</v>
      </c>
      <c r="P388" s="5" t="str">
        <f>IFERROR(__xludf.DUMMYFUNCTION("""COMPUTED_VALUE"""),"Available")</f>
        <v>Available</v>
      </c>
      <c r="Q388" s="5" t="s">
        <v>135</v>
      </c>
      <c r="R388" s="5" t="s">
        <v>136</v>
      </c>
      <c r="S388" s="11">
        <v>1326.0</v>
      </c>
    </row>
    <row r="389">
      <c r="A389" s="5" t="str">
        <f>IFERROR(__xludf.DUMMYFUNCTION("""COMPUTED_VALUE"""),"Clonazepam Tablet")</f>
        <v>Clonazepam Tablet</v>
      </c>
      <c r="B389" s="5" t="str">
        <f>IFERROR(__xludf.DUMMYFUNCTION("""COMPUTED_VALUE"""),"Cheplapharm Arzneimittel GmbH")</f>
        <v>Cheplapharm Arzneimittel GmbH</v>
      </c>
      <c r="C389" s="5" t="str">
        <f>IFERROR(__xludf.DUMMYFUNCTION("""COMPUTED_VALUE"""),"Klonopin, Tablet, 1 mg (NDC 61269-610-10)")</f>
        <v>Klonopin, Tablet, 1 mg (NDC 61269-610-10)</v>
      </c>
      <c r="D389" s="5" t="str">
        <f>IFERROR(__xludf.DUMMYFUNCTION("""COMPUTED_VALUE"""),"Reverified")</f>
        <v>Reverified</v>
      </c>
      <c r="E389" s="13">
        <f>IFERROR(__xludf.DUMMYFUNCTION("""COMPUTED_VALUE"""),46311.0)</f>
        <v>46311</v>
      </c>
      <c r="F389" s="5" t="str">
        <f>IFERROR(__xludf.DUMMYFUNCTION("""COMPUTED_VALUE"""),"Available")</f>
        <v>Available</v>
      </c>
      <c r="G389" s="5" t="str">
        <f>IFERROR(__xludf.DUMMYFUNCTION("""COMPUTED_VALUE"""),"Marketed by H2-Pharma")</f>
        <v>Marketed by H2-Pharma</v>
      </c>
      <c r="H389" s="5"/>
      <c r="I389" s="5"/>
      <c r="J389" s="5" t="str">
        <f>IFERROR(__xludf.DUMMYFUNCTION("""COMPUTED_VALUE"""),"Neurology; Pediatric; Psychiatry")</f>
        <v>Neurology; Pediatric; Psychiatry</v>
      </c>
      <c r="K389" s="5" t="str">
        <f>IFERROR(__xludf.DUMMYFUNCTION("""COMPUTED_VALUE"""),"Current")</f>
        <v>Current</v>
      </c>
      <c r="L389" s="5"/>
      <c r="M389" s="5"/>
      <c r="N389" s="10">
        <f>IFERROR(__xludf.DUMMYFUNCTION("""COMPUTED_VALUE"""),44995.0)</f>
        <v>44995</v>
      </c>
      <c r="O389" s="5">
        <v>2023.0</v>
      </c>
      <c r="P389" s="5" t="str">
        <f>IFERROR(__xludf.DUMMYFUNCTION("""COMPUTED_VALUE"""),"Available")</f>
        <v>Available</v>
      </c>
      <c r="Q389" s="5" t="s">
        <v>135</v>
      </c>
      <c r="R389" s="5" t="s">
        <v>136</v>
      </c>
      <c r="S389" s="11">
        <v>1326.0</v>
      </c>
    </row>
    <row r="390">
      <c r="A390" s="5" t="str">
        <f>IFERROR(__xludf.DUMMYFUNCTION("""COMPUTED_VALUE"""),"Clonazepam Tablet")</f>
        <v>Clonazepam Tablet</v>
      </c>
      <c r="B390" s="5" t="str">
        <f>IFERROR(__xludf.DUMMYFUNCTION("""COMPUTED_VALUE"""),"Cheplapharm Arzneimittel GmbH")</f>
        <v>Cheplapharm Arzneimittel GmbH</v>
      </c>
      <c r="C390" s="5" t="str">
        <f>IFERROR(__xludf.DUMMYFUNCTION("""COMPUTED_VALUE"""),"Klonopin, Tablet, 2 mg (NDC 61269-620-10)")</f>
        <v>Klonopin, Tablet, 2 mg (NDC 61269-620-10)</v>
      </c>
      <c r="D390" s="5" t="str">
        <f>IFERROR(__xludf.DUMMYFUNCTION("""COMPUTED_VALUE"""),"Revised")</f>
        <v>Revised</v>
      </c>
      <c r="E390" s="13">
        <f>IFERROR(__xludf.DUMMYFUNCTION("""COMPUTED_VALUE"""),46311.0)</f>
        <v>46311</v>
      </c>
      <c r="F390" s="5" t="str">
        <f>IFERROR(__xludf.DUMMYFUNCTION("""COMPUTED_VALUE"""),"Unavailable")</f>
        <v>Unavailable</v>
      </c>
      <c r="G390" s="5" t="str">
        <f>IFERROR(__xludf.DUMMYFUNCTION("""COMPUTED_VALUE"""),"Estimated duration February 2027. Manufacturing delays. Marketed by H2-Pharma.")</f>
        <v>Estimated duration February 2027. Manufacturing delays. Marketed by H2-Pharma.</v>
      </c>
      <c r="H390" s="5"/>
      <c r="I390" s="5" t="str">
        <f>IFERROR(__xludf.DUMMYFUNCTION("""COMPUTED_VALUE"""),"Other")</f>
        <v>Other</v>
      </c>
      <c r="J390" s="5" t="str">
        <f>IFERROR(__xludf.DUMMYFUNCTION("""COMPUTED_VALUE"""),"Neurology; Pediatric; Psychiatry")</f>
        <v>Neurology; Pediatric; Psychiatry</v>
      </c>
      <c r="K390" s="5" t="str">
        <f>IFERROR(__xludf.DUMMYFUNCTION("""COMPUTED_VALUE"""),"Current")</f>
        <v>Current</v>
      </c>
      <c r="L390" s="5"/>
      <c r="M390" s="5"/>
      <c r="N390" s="10">
        <f>IFERROR(__xludf.DUMMYFUNCTION("""COMPUTED_VALUE"""),44995.0)</f>
        <v>44995</v>
      </c>
      <c r="O390" s="5">
        <v>2023.0</v>
      </c>
      <c r="P390" s="5" t="str">
        <f>IFERROR(__xludf.DUMMYFUNCTION("""COMPUTED_VALUE"""),"Unavailable")</f>
        <v>Unavailable</v>
      </c>
      <c r="Q390" s="5" t="s">
        <v>47</v>
      </c>
      <c r="R390" s="5" t="s">
        <v>136</v>
      </c>
      <c r="S390" s="11">
        <v>1326.0</v>
      </c>
    </row>
    <row r="391">
      <c r="A391" s="5" t="str">
        <f>IFERROR(__xludf.DUMMYFUNCTION("""COMPUTED_VALUE"""),"Clonazepam Tablet")</f>
        <v>Clonazepam Tablet</v>
      </c>
      <c r="B391" s="5" t="str">
        <f>IFERROR(__xludf.DUMMYFUNCTION("""COMPUTED_VALUE"""),"Prinston Pharmaceutical, Inc.")</f>
        <v>Prinston Pharmaceutical, Inc.</v>
      </c>
      <c r="C391" s="5" t="str">
        <f>IFERROR(__xludf.DUMMYFUNCTION("""COMPUTED_VALUE"""),"Clonazepam, Tablet, .5 mg (NDC 43547-406-10)")</f>
        <v>Clonazepam, Tablet, .5 mg (NDC 43547-406-10)</v>
      </c>
      <c r="D391" s="5" t="str">
        <f>IFERROR(__xludf.DUMMYFUNCTION("""COMPUTED_VALUE"""),"Reverified")</f>
        <v>Reverified</v>
      </c>
      <c r="E391" s="10">
        <f>IFERROR(__xludf.DUMMYFUNCTION("""COMPUTED_VALUE"""),46267.0)</f>
        <v>46267</v>
      </c>
      <c r="F391" s="5" t="str">
        <f>IFERROR(__xludf.DUMMYFUNCTION("""COMPUTED_VALUE"""),"Available")</f>
        <v>Available</v>
      </c>
      <c r="G391" s="5" t="str">
        <f>IFERROR(__xludf.DUMMYFUNCTION("""COMPUTED_VALUE"""),"Marketed by Solco Healthcare")</f>
        <v>Marketed by Solco Healthcare</v>
      </c>
      <c r="H391" s="5"/>
      <c r="I391" s="5"/>
      <c r="J391" s="5" t="str">
        <f>IFERROR(__xludf.DUMMYFUNCTION("""COMPUTED_VALUE"""),"Neurology; Pediatric; Psychiatry")</f>
        <v>Neurology; Pediatric; Psychiatry</v>
      </c>
      <c r="K391" s="5" t="str">
        <f>IFERROR(__xludf.DUMMYFUNCTION("""COMPUTED_VALUE"""),"Current")</f>
        <v>Current</v>
      </c>
      <c r="L391" s="5"/>
      <c r="M391" s="5"/>
      <c r="N391" s="10">
        <f>IFERROR(__xludf.DUMMYFUNCTION("""COMPUTED_VALUE"""),44995.0)</f>
        <v>44995</v>
      </c>
      <c r="O391" s="5">
        <v>2023.0</v>
      </c>
      <c r="P391" s="5" t="str">
        <f>IFERROR(__xludf.DUMMYFUNCTION("""COMPUTED_VALUE"""),"Available")</f>
        <v>Available</v>
      </c>
      <c r="Q391" s="5" t="s">
        <v>135</v>
      </c>
      <c r="R391" s="5" t="s">
        <v>136</v>
      </c>
      <c r="S391" s="11">
        <v>1326.0</v>
      </c>
    </row>
    <row r="392">
      <c r="A392" s="5" t="str">
        <f>IFERROR(__xludf.DUMMYFUNCTION("""COMPUTED_VALUE"""),"Clonazepam Tablet")</f>
        <v>Clonazepam Tablet</v>
      </c>
      <c r="B392" s="5" t="str">
        <f>IFERROR(__xludf.DUMMYFUNCTION("""COMPUTED_VALUE"""),"Prinston Pharmaceutical, Inc.")</f>
        <v>Prinston Pharmaceutical, Inc.</v>
      </c>
      <c r="C392" s="5" t="str">
        <f>IFERROR(__xludf.DUMMYFUNCTION("""COMPUTED_VALUE"""),"Clonazepam, Tablet, .5 mg (NDC 43547-406-11)")</f>
        <v>Clonazepam, Tablet, .5 mg (NDC 43547-406-11)</v>
      </c>
      <c r="D392" s="5" t="str">
        <f>IFERROR(__xludf.DUMMYFUNCTION("""COMPUTED_VALUE"""),"Reverified")</f>
        <v>Reverified</v>
      </c>
      <c r="E392" s="10">
        <f>IFERROR(__xludf.DUMMYFUNCTION("""COMPUTED_VALUE"""),46267.0)</f>
        <v>46267</v>
      </c>
      <c r="F392" s="5" t="str">
        <f>IFERROR(__xludf.DUMMYFUNCTION("""COMPUTED_VALUE"""),"Available")</f>
        <v>Available</v>
      </c>
      <c r="G392" s="5" t="str">
        <f>IFERROR(__xludf.DUMMYFUNCTION("""COMPUTED_VALUE"""),"Marketed by Solco Healthcare")</f>
        <v>Marketed by Solco Healthcare</v>
      </c>
      <c r="H392" s="5"/>
      <c r="I392" s="5"/>
      <c r="J392" s="5" t="str">
        <f>IFERROR(__xludf.DUMMYFUNCTION("""COMPUTED_VALUE"""),"Neurology; Pediatric; Psychiatry")</f>
        <v>Neurology; Pediatric; Psychiatry</v>
      </c>
      <c r="K392" s="5" t="str">
        <f>IFERROR(__xludf.DUMMYFUNCTION("""COMPUTED_VALUE"""),"Current")</f>
        <v>Current</v>
      </c>
      <c r="L392" s="5"/>
      <c r="M392" s="5"/>
      <c r="N392" s="10">
        <f>IFERROR(__xludf.DUMMYFUNCTION("""COMPUTED_VALUE"""),44995.0)</f>
        <v>44995</v>
      </c>
      <c r="O392" s="5">
        <v>2023.0</v>
      </c>
      <c r="P392" s="5" t="str">
        <f>IFERROR(__xludf.DUMMYFUNCTION("""COMPUTED_VALUE"""),"Available")</f>
        <v>Available</v>
      </c>
      <c r="Q392" s="5" t="s">
        <v>135</v>
      </c>
      <c r="R392" s="5" t="s">
        <v>136</v>
      </c>
      <c r="S392" s="11">
        <v>1326.0</v>
      </c>
    </row>
    <row r="393">
      <c r="A393" s="5" t="str">
        <f>IFERROR(__xludf.DUMMYFUNCTION("""COMPUTED_VALUE"""),"Clonazepam Tablet")</f>
        <v>Clonazepam Tablet</v>
      </c>
      <c r="B393" s="5" t="str">
        <f>IFERROR(__xludf.DUMMYFUNCTION("""COMPUTED_VALUE"""),"Prinston Pharmaceutical, Inc.")</f>
        <v>Prinston Pharmaceutical, Inc.</v>
      </c>
      <c r="C393" s="5" t="str">
        <f>IFERROR(__xludf.DUMMYFUNCTION("""COMPUTED_VALUE"""),"Clonazepam, Tablet, .5 mg (NDC 43547-406-50)")</f>
        <v>Clonazepam, Tablet, .5 mg (NDC 43547-406-50)</v>
      </c>
      <c r="D393" s="5" t="str">
        <f>IFERROR(__xludf.DUMMYFUNCTION("""COMPUTED_VALUE"""),"Reverified")</f>
        <v>Reverified</v>
      </c>
      <c r="E393" s="10">
        <f>IFERROR(__xludf.DUMMYFUNCTION("""COMPUTED_VALUE"""),46267.0)</f>
        <v>46267</v>
      </c>
      <c r="F393" s="5" t="str">
        <f>IFERROR(__xludf.DUMMYFUNCTION("""COMPUTED_VALUE"""),"Available")</f>
        <v>Available</v>
      </c>
      <c r="G393" s="5" t="str">
        <f>IFERROR(__xludf.DUMMYFUNCTION("""COMPUTED_VALUE"""),"Marketed by Solco Healthcare")</f>
        <v>Marketed by Solco Healthcare</v>
      </c>
      <c r="H393" s="5"/>
      <c r="I393" s="5"/>
      <c r="J393" s="5" t="str">
        <f>IFERROR(__xludf.DUMMYFUNCTION("""COMPUTED_VALUE"""),"Neurology; Pediatric; Psychiatry")</f>
        <v>Neurology; Pediatric; Psychiatry</v>
      </c>
      <c r="K393" s="5" t="str">
        <f>IFERROR(__xludf.DUMMYFUNCTION("""COMPUTED_VALUE"""),"Current")</f>
        <v>Current</v>
      </c>
      <c r="L393" s="5"/>
      <c r="M393" s="5"/>
      <c r="N393" s="10">
        <f>IFERROR(__xludf.DUMMYFUNCTION("""COMPUTED_VALUE"""),44995.0)</f>
        <v>44995</v>
      </c>
      <c r="O393" s="5">
        <v>2023.0</v>
      </c>
      <c r="P393" s="5" t="str">
        <f>IFERROR(__xludf.DUMMYFUNCTION("""COMPUTED_VALUE"""),"Available")</f>
        <v>Available</v>
      </c>
      <c r="Q393" s="5" t="s">
        <v>135</v>
      </c>
      <c r="R393" s="5" t="s">
        <v>136</v>
      </c>
      <c r="S393" s="11">
        <v>1326.0</v>
      </c>
    </row>
    <row r="394">
      <c r="A394" s="5" t="str">
        <f>IFERROR(__xludf.DUMMYFUNCTION("""COMPUTED_VALUE"""),"Clonazepam Tablet")</f>
        <v>Clonazepam Tablet</v>
      </c>
      <c r="B394" s="5" t="str">
        <f>IFERROR(__xludf.DUMMYFUNCTION("""COMPUTED_VALUE"""),"Prinston Pharmaceutical, Inc.")</f>
        <v>Prinston Pharmaceutical, Inc.</v>
      </c>
      <c r="C394" s="5" t="str">
        <f>IFERROR(__xludf.DUMMYFUNCTION("""COMPUTED_VALUE"""),"Clonazepam, Tablet, 1 mg (NDC 43547-407-10)")</f>
        <v>Clonazepam, Tablet, 1 mg (NDC 43547-407-10)</v>
      </c>
      <c r="D394" s="5" t="str">
        <f>IFERROR(__xludf.DUMMYFUNCTION("""COMPUTED_VALUE"""),"Reverified")</f>
        <v>Reverified</v>
      </c>
      <c r="E394" s="10">
        <f>IFERROR(__xludf.DUMMYFUNCTION("""COMPUTED_VALUE"""),46267.0)</f>
        <v>46267</v>
      </c>
      <c r="F394" s="5" t="str">
        <f>IFERROR(__xludf.DUMMYFUNCTION("""COMPUTED_VALUE"""),"Available")</f>
        <v>Available</v>
      </c>
      <c r="G394" s="5" t="str">
        <f>IFERROR(__xludf.DUMMYFUNCTION("""COMPUTED_VALUE"""),"Marketed by Solco Healthcare")</f>
        <v>Marketed by Solco Healthcare</v>
      </c>
      <c r="H394" s="5"/>
      <c r="I394" s="5"/>
      <c r="J394" s="5" t="str">
        <f>IFERROR(__xludf.DUMMYFUNCTION("""COMPUTED_VALUE"""),"Neurology; Pediatric; Psychiatry")</f>
        <v>Neurology; Pediatric; Psychiatry</v>
      </c>
      <c r="K394" s="5" t="str">
        <f>IFERROR(__xludf.DUMMYFUNCTION("""COMPUTED_VALUE"""),"Current")</f>
        <v>Current</v>
      </c>
      <c r="L394" s="5"/>
      <c r="M394" s="5"/>
      <c r="N394" s="10">
        <f>IFERROR(__xludf.DUMMYFUNCTION("""COMPUTED_VALUE"""),44995.0)</f>
        <v>44995</v>
      </c>
      <c r="O394" s="5">
        <v>2023.0</v>
      </c>
      <c r="P394" s="5" t="str">
        <f>IFERROR(__xludf.DUMMYFUNCTION("""COMPUTED_VALUE"""),"Available")</f>
        <v>Available</v>
      </c>
      <c r="Q394" s="5" t="s">
        <v>135</v>
      </c>
      <c r="R394" s="5" t="s">
        <v>136</v>
      </c>
      <c r="S394" s="11">
        <v>1326.0</v>
      </c>
    </row>
    <row r="395">
      <c r="A395" s="5" t="str">
        <f>IFERROR(__xludf.DUMMYFUNCTION("""COMPUTED_VALUE"""),"Clonazepam Tablet")</f>
        <v>Clonazepam Tablet</v>
      </c>
      <c r="B395" s="5" t="str">
        <f>IFERROR(__xludf.DUMMYFUNCTION("""COMPUTED_VALUE"""),"Prinston Pharmaceutical, Inc.")</f>
        <v>Prinston Pharmaceutical, Inc.</v>
      </c>
      <c r="C395" s="5" t="str">
        <f>IFERROR(__xludf.DUMMYFUNCTION("""COMPUTED_VALUE"""),"Clonazepam, Tablet, 1 mg (NDC 43547-407-11)")</f>
        <v>Clonazepam, Tablet, 1 mg (NDC 43547-407-11)</v>
      </c>
      <c r="D395" s="5" t="str">
        <f>IFERROR(__xludf.DUMMYFUNCTION("""COMPUTED_VALUE"""),"Reverified")</f>
        <v>Reverified</v>
      </c>
      <c r="E395" s="10">
        <f>IFERROR(__xludf.DUMMYFUNCTION("""COMPUTED_VALUE"""),46267.0)</f>
        <v>46267</v>
      </c>
      <c r="F395" s="5" t="str">
        <f>IFERROR(__xludf.DUMMYFUNCTION("""COMPUTED_VALUE"""),"Available")</f>
        <v>Available</v>
      </c>
      <c r="G395" s="5" t="str">
        <f>IFERROR(__xludf.DUMMYFUNCTION("""COMPUTED_VALUE"""),"Marketed by Solco Healthcare")</f>
        <v>Marketed by Solco Healthcare</v>
      </c>
      <c r="H395" s="5"/>
      <c r="I395" s="5"/>
      <c r="J395" s="5" t="str">
        <f>IFERROR(__xludf.DUMMYFUNCTION("""COMPUTED_VALUE"""),"Neurology; Pediatric; Psychiatry")</f>
        <v>Neurology; Pediatric; Psychiatry</v>
      </c>
      <c r="K395" s="5" t="str">
        <f>IFERROR(__xludf.DUMMYFUNCTION("""COMPUTED_VALUE"""),"Current")</f>
        <v>Current</v>
      </c>
      <c r="L395" s="5"/>
      <c r="M395" s="5"/>
      <c r="N395" s="10">
        <f>IFERROR(__xludf.DUMMYFUNCTION("""COMPUTED_VALUE"""),44995.0)</f>
        <v>44995</v>
      </c>
      <c r="O395" s="5">
        <v>2023.0</v>
      </c>
      <c r="P395" s="5" t="str">
        <f>IFERROR(__xludf.DUMMYFUNCTION("""COMPUTED_VALUE"""),"Available")</f>
        <v>Available</v>
      </c>
      <c r="Q395" s="5" t="s">
        <v>135</v>
      </c>
      <c r="R395" s="5" t="s">
        <v>136</v>
      </c>
      <c r="S395" s="11">
        <v>1326.0</v>
      </c>
    </row>
    <row r="396">
      <c r="A396" s="5" t="str">
        <f>IFERROR(__xludf.DUMMYFUNCTION("""COMPUTED_VALUE"""),"Clonazepam Tablet")</f>
        <v>Clonazepam Tablet</v>
      </c>
      <c r="B396" s="5" t="str">
        <f>IFERROR(__xludf.DUMMYFUNCTION("""COMPUTED_VALUE"""),"Prinston Pharmaceutical, Inc.")</f>
        <v>Prinston Pharmaceutical, Inc.</v>
      </c>
      <c r="C396" s="5" t="str">
        <f>IFERROR(__xludf.DUMMYFUNCTION("""COMPUTED_VALUE"""),"Clonazepam, Tablet, 1 mg (NDC 43547-407-50)")</f>
        <v>Clonazepam, Tablet, 1 mg (NDC 43547-407-50)</v>
      </c>
      <c r="D396" s="5" t="str">
        <f>IFERROR(__xludf.DUMMYFUNCTION("""COMPUTED_VALUE"""),"Reverified")</f>
        <v>Reverified</v>
      </c>
      <c r="E396" s="10">
        <f>IFERROR(__xludf.DUMMYFUNCTION("""COMPUTED_VALUE"""),46267.0)</f>
        <v>46267</v>
      </c>
      <c r="F396" s="5" t="str">
        <f>IFERROR(__xludf.DUMMYFUNCTION("""COMPUTED_VALUE"""),"Available")</f>
        <v>Available</v>
      </c>
      <c r="G396" s="5" t="str">
        <f>IFERROR(__xludf.DUMMYFUNCTION("""COMPUTED_VALUE"""),"Marketed by Solco Healthcare")</f>
        <v>Marketed by Solco Healthcare</v>
      </c>
      <c r="H396" s="5"/>
      <c r="I396" s="5"/>
      <c r="J396" s="5" t="str">
        <f>IFERROR(__xludf.DUMMYFUNCTION("""COMPUTED_VALUE"""),"Neurology; Pediatric; Psychiatry")</f>
        <v>Neurology; Pediatric; Psychiatry</v>
      </c>
      <c r="K396" s="5" t="str">
        <f>IFERROR(__xludf.DUMMYFUNCTION("""COMPUTED_VALUE"""),"Current")</f>
        <v>Current</v>
      </c>
      <c r="L396" s="5"/>
      <c r="M396" s="5"/>
      <c r="N396" s="10">
        <f>IFERROR(__xludf.DUMMYFUNCTION("""COMPUTED_VALUE"""),44995.0)</f>
        <v>44995</v>
      </c>
      <c r="O396" s="5">
        <v>2023.0</v>
      </c>
      <c r="P396" s="5" t="str">
        <f>IFERROR(__xludf.DUMMYFUNCTION("""COMPUTED_VALUE"""),"Available")</f>
        <v>Available</v>
      </c>
      <c r="Q396" s="5" t="s">
        <v>135</v>
      </c>
      <c r="R396" s="5" t="s">
        <v>136</v>
      </c>
      <c r="S396" s="11">
        <v>1326.0</v>
      </c>
    </row>
    <row r="397">
      <c r="A397" s="5" t="str">
        <f>IFERROR(__xludf.DUMMYFUNCTION("""COMPUTED_VALUE"""),"Clonazepam Tablet")</f>
        <v>Clonazepam Tablet</v>
      </c>
      <c r="B397" s="5" t="str">
        <f>IFERROR(__xludf.DUMMYFUNCTION("""COMPUTED_VALUE"""),"Prinston Pharmaceutical, Inc.")</f>
        <v>Prinston Pharmaceutical, Inc.</v>
      </c>
      <c r="C397" s="5" t="str">
        <f>IFERROR(__xludf.DUMMYFUNCTION("""COMPUTED_VALUE"""),"Clonazepam, Tablet, 2 mg (NDC 43547-408-10)")</f>
        <v>Clonazepam, Tablet, 2 mg (NDC 43547-408-10)</v>
      </c>
      <c r="D397" s="5" t="str">
        <f>IFERROR(__xludf.DUMMYFUNCTION("""COMPUTED_VALUE"""),"Reverified")</f>
        <v>Reverified</v>
      </c>
      <c r="E397" s="10">
        <f>IFERROR(__xludf.DUMMYFUNCTION("""COMPUTED_VALUE"""),46267.0)</f>
        <v>46267</v>
      </c>
      <c r="F397" s="5" t="str">
        <f>IFERROR(__xludf.DUMMYFUNCTION("""COMPUTED_VALUE"""),"Available")</f>
        <v>Available</v>
      </c>
      <c r="G397" s="5" t="str">
        <f>IFERROR(__xludf.DUMMYFUNCTION("""COMPUTED_VALUE"""),"Marketed by Solco Healthcare")</f>
        <v>Marketed by Solco Healthcare</v>
      </c>
      <c r="H397" s="5"/>
      <c r="I397" s="5"/>
      <c r="J397" s="5" t="str">
        <f>IFERROR(__xludf.DUMMYFUNCTION("""COMPUTED_VALUE"""),"Neurology; Pediatric; Psychiatry")</f>
        <v>Neurology; Pediatric; Psychiatry</v>
      </c>
      <c r="K397" s="5" t="str">
        <f>IFERROR(__xludf.DUMMYFUNCTION("""COMPUTED_VALUE"""),"Current")</f>
        <v>Current</v>
      </c>
      <c r="L397" s="5"/>
      <c r="M397" s="5"/>
      <c r="N397" s="10">
        <f>IFERROR(__xludf.DUMMYFUNCTION("""COMPUTED_VALUE"""),44995.0)</f>
        <v>44995</v>
      </c>
      <c r="O397" s="5">
        <v>2023.0</v>
      </c>
      <c r="P397" s="5" t="str">
        <f>IFERROR(__xludf.DUMMYFUNCTION("""COMPUTED_VALUE"""),"Available")</f>
        <v>Available</v>
      </c>
      <c r="Q397" s="5" t="s">
        <v>135</v>
      </c>
      <c r="R397" s="5" t="s">
        <v>136</v>
      </c>
      <c r="S397" s="11">
        <v>1326.0</v>
      </c>
    </row>
    <row r="398">
      <c r="A398" s="5" t="str">
        <f>IFERROR(__xludf.DUMMYFUNCTION("""COMPUTED_VALUE"""),"Clonazepam Tablet")</f>
        <v>Clonazepam Tablet</v>
      </c>
      <c r="B398" s="5" t="str">
        <f>IFERROR(__xludf.DUMMYFUNCTION("""COMPUTED_VALUE"""),"Prinston Pharmaceutical, Inc.")</f>
        <v>Prinston Pharmaceutical, Inc.</v>
      </c>
      <c r="C398" s="5" t="str">
        <f>IFERROR(__xludf.DUMMYFUNCTION("""COMPUTED_VALUE"""),"Clonazepam, Tablet, 2 mg (NDC 43547-408-50)")</f>
        <v>Clonazepam, Tablet, 2 mg (NDC 43547-408-50)</v>
      </c>
      <c r="D398" s="5" t="str">
        <f>IFERROR(__xludf.DUMMYFUNCTION("""COMPUTED_VALUE"""),"Reverified")</f>
        <v>Reverified</v>
      </c>
      <c r="E398" s="10">
        <f>IFERROR(__xludf.DUMMYFUNCTION("""COMPUTED_VALUE"""),46267.0)</f>
        <v>46267</v>
      </c>
      <c r="F398" s="5" t="str">
        <f>IFERROR(__xludf.DUMMYFUNCTION("""COMPUTED_VALUE"""),"Available")</f>
        <v>Available</v>
      </c>
      <c r="G398" s="5" t="str">
        <f>IFERROR(__xludf.DUMMYFUNCTION("""COMPUTED_VALUE"""),"Marketed by Solco Healthcare")</f>
        <v>Marketed by Solco Healthcare</v>
      </c>
      <c r="H398" s="5"/>
      <c r="I398" s="5"/>
      <c r="J398" s="5" t="str">
        <f>IFERROR(__xludf.DUMMYFUNCTION("""COMPUTED_VALUE"""),"Neurology; Pediatric; Psychiatry")</f>
        <v>Neurology; Pediatric; Psychiatry</v>
      </c>
      <c r="K398" s="5" t="str">
        <f>IFERROR(__xludf.DUMMYFUNCTION("""COMPUTED_VALUE"""),"Current")</f>
        <v>Current</v>
      </c>
      <c r="L398" s="5"/>
      <c r="M398" s="5"/>
      <c r="N398" s="10">
        <f>IFERROR(__xludf.DUMMYFUNCTION("""COMPUTED_VALUE"""),44995.0)</f>
        <v>44995</v>
      </c>
      <c r="O398" s="5">
        <v>2023.0</v>
      </c>
      <c r="P398" s="5" t="str">
        <f>IFERROR(__xludf.DUMMYFUNCTION("""COMPUTED_VALUE"""),"Available")</f>
        <v>Available</v>
      </c>
      <c r="Q398" s="5" t="s">
        <v>135</v>
      </c>
      <c r="R398" s="5" t="s">
        <v>136</v>
      </c>
      <c r="S398" s="11">
        <v>1326.0</v>
      </c>
    </row>
    <row r="399">
      <c r="A399" s="5" t="str">
        <f>IFERROR(__xludf.DUMMYFUNCTION("""COMPUTED_VALUE"""),"Clonazepam Tablet")</f>
        <v>Clonazepam Tablet</v>
      </c>
      <c r="B399" s="5" t="str">
        <f>IFERROR(__xludf.DUMMYFUNCTION("""COMPUTED_VALUE"""),"Teva Pharmaceuticals USA, Inc.")</f>
        <v>Teva Pharmaceuticals USA, Inc.</v>
      </c>
      <c r="C399" s="5" t="str">
        <f>IFERROR(__xludf.DUMMYFUNCTION("""COMPUTED_VALUE"""),"Clonazepam, Tablet, .5 mg (NDC 0093-0832-01)")</f>
        <v>Clonazepam, Tablet, .5 mg (NDC 0093-0832-01)</v>
      </c>
      <c r="D399" s="5" t="str">
        <f>IFERROR(__xludf.DUMMYFUNCTION("""COMPUTED_VALUE"""),"Revised")</f>
        <v>Revised</v>
      </c>
      <c r="E399" s="13">
        <f>IFERROR(__xludf.DUMMYFUNCTION("""COMPUTED_VALUE"""),46318.0)</f>
        <v>46318</v>
      </c>
      <c r="F399" s="5" t="str">
        <f>IFERROR(__xludf.DUMMYFUNCTION("""COMPUTED_VALUE"""),"Available")</f>
        <v>Available</v>
      </c>
      <c r="G399" s="5"/>
      <c r="H399" s="5"/>
      <c r="I399" s="5"/>
      <c r="J399" s="5" t="str">
        <f>IFERROR(__xludf.DUMMYFUNCTION("""COMPUTED_VALUE"""),"Neurology; Pediatric; Psychiatry")</f>
        <v>Neurology; Pediatric; Psychiatry</v>
      </c>
      <c r="K399" s="5" t="str">
        <f>IFERROR(__xludf.DUMMYFUNCTION("""COMPUTED_VALUE"""),"Current")</f>
        <v>Current</v>
      </c>
      <c r="L399" s="5"/>
      <c r="M399" s="5"/>
      <c r="N399" s="10">
        <f>IFERROR(__xludf.DUMMYFUNCTION("""COMPUTED_VALUE"""),44995.0)</f>
        <v>44995</v>
      </c>
      <c r="O399" s="5">
        <v>2023.0</v>
      </c>
      <c r="P399" s="5" t="str">
        <f>IFERROR(__xludf.DUMMYFUNCTION("""COMPUTED_VALUE"""),"Available")</f>
        <v>Available</v>
      </c>
      <c r="Q399" s="5" t="s">
        <v>135</v>
      </c>
      <c r="R399" s="5" t="s">
        <v>136</v>
      </c>
      <c r="S399" s="11">
        <v>1326.0</v>
      </c>
    </row>
    <row r="400">
      <c r="A400" s="5" t="str">
        <f>IFERROR(__xludf.DUMMYFUNCTION("""COMPUTED_VALUE"""),"Clonazepam Tablet")</f>
        <v>Clonazepam Tablet</v>
      </c>
      <c r="B400" s="5" t="str">
        <f>IFERROR(__xludf.DUMMYFUNCTION("""COMPUTED_VALUE"""),"Teva Pharmaceuticals USA, Inc.")</f>
        <v>Teva Pharmaceuticals USA, Inc.</v>
      </c>
      <c r="C400" s="5" t="str">
        <f>IFERROR(__xludf.DUMMYFUNCTION("""COMPUTED_VALUE"""),"Clonazepam, Tablet, .5 mg (NDC 0093-0832-05)")</f>
        <v>Clonazepam, Tablet, .5 mg (NDC 0093-0832-05)</v>
      </c>
      <c r="D400" s="5" t="str">
        <f>IFERROR(__xludf.DUMMYFUNCTION("""COMPUTED_VALUE"""),"Revised")</f>
        <v>Revised</v>
      </c>
      <c r="E400" s="13">
        <f>IFERROR(__xludf.DUMMYFUNCTION("""COMPUTED_VALUE"""),46318.0)</f>
        <v>46318</v>
      </c>
      <c r="F400" s="5" t="str">
        <f>IFERROR(__xludf.DUMMYFUNCTION("""COMPUTED_VALUE"""),"Available")</f>
        <v>Available</v>
      </c>
      <c r="G400" s="5"/>
      <c r="H400" s="5"/>
      <c r="I400" s="5"/>
      <c r="J400" s="5" t="str">
        <f>IFERROR(__xludf.DUMMYFUNCTION("""COMPUTED_VALUE"""),"Neurology; Pediatric; Psychiatry")</f>
        <v>Neurology; Pediatric; Psychiatry</v>
      </c>
      <c r="K400" s="5" t="str">
        <f>IFERROR(__xludf.DUMMYFUNCTION("""COMPUTED_VALUE"""),"Current")</f>
        <v>Current</v>
      </c>
      <c r="L400" s="5"/>
      <c r="M400" s="5"/>
      <c r="N400" s="10">
        <f>IFERROR(__xludf.DUMMYFUNCTION("""COMPUTED_VALUE"""),44995.0)</f>
        <v>44995</v>
      </c>
      <c r="O400" s="5">
        <v>2023.0</v>
      </c>
      <c r="P400" s="5" t="str">
        <f>IFERROR(__xludf.DUMMYFUNCTION("""COMPUTED_VALUE"""),"Available")</f>
        <v>Available</v>
      </c>
      <c r="Q400" s="5" t="s">
        <v>135</v>
      </c>
      <c r="R400" s="5" t="s">
        <v>136</v>
      </c>
      <c r="S400" s="11">
        <v>1326.0</v>
      </c>
    </row>
    <row r="401">
      <c r="A401" s="5" t="str">
        <f>IFERROR(__xludf.DUMMYFUNCTION("""COMPUTED_VALUE"""),"Clonazepam Tablet")</f>
        <v>Clonazepam Tablet</v>
      </c>
      <c r="B401" s="5" t="str">
        <f>IFERROR(__xludf.DUMMYFUNCTION("""COMPUTED_VALUE"""),"Teva Pharmaceuticals USA, Inc.")</f>
        <v>Teva Pharmaceuticals USA, Inc.</v>
      </c>
      <c r="C401" s="5" t="str">
        <f>IFERROR(__xludf.DUMMYFUNCTION("""COMPUTED_VALUE"""),"Clonazepam, Tablet, 1 mg (NDC 0093-3212-01)")</f>
        <v>Clonazepam, Tablet, 1 mg (NDC 0093-3212-01)</v>
      </c>
      <c r="D401" s="5" t="str">
        <f>IFERROR(__xludf.DUMMYFUNCTION("""COMPUTED_VALUE"""),"Revised")</f>
        <v>Revised</v>
      </c>
      <c r="E401" s="13">
        <f>IFERROR(__xludf.DUMMYFUNCTION("""COMPUTED_VALUE"""),46318.0)</f>
        <v>46318</v>
      </c>
      <c r="F401" s="5" t="str">
        <f>IFERROR(__xludf.DUMMYFUNCTION("""COMPUTED_VALUE"""),"Available")</f>
        <v>Available</v>
      </c>
      <c r="G401" s="5"/>
      <c r="H401" s="5"/>
      <c r="I401" s="5"/>
      <c r="J401" s="5" t="str">
        <f>IFERROR(__xludf.DUMMYFUNCTION("""COMPUTED_VALUE"""),"Neurology; Pediatric; Psychiatry")</f>
        <v>Neurology; Pediatric; Psychiatry</v>
      </c>
      <c r="K401" s="5" t="str">
        <f>IFERROR(__xludf.DUMMYFUNCTION("""COMPUTED_VALUE"""),"Current")</f>
        <v>Current</v>
      </c>
      <c r="L401" s="5"/>
      <c r="M401" s="5"/>
      <c r="N401" s="10">
        <f>IFERROR(__xludf.DUMMYFUNCTION("""COMPUTED_VALUE"""),44995.0)</f>
        <v>44995</v>
      </c>
      <c r="O401" s="5">
        <v>2023.0</v>
      </c>
      <c r="P401" s="5" t="str">
        <f>IFERROR(__xludf.DUMMYFUNCTION("""COMPUTED_VALUE"""),"Available")</f>
        <v>Available</v>
      </c>
      <c r="Q401" s="5" t="s">
        <v>135</v>
      </c>
      <c r="R401" s="5" t="s">
        <v>136</v>
      </c>
      <c r="S401" s="11">
        <v>1326.0</v>
      </c>
    </row>
    <row r="402">
      <c r="A402" s="5" t="str">
        <f>IFERROR(__xludf.DUMMYFUNCTION("""COMPUTED_VALUE"""),"Clonazepam Tablet")</f>
        <v>Clonazepam Tablet</v>
      </c>
      <c r="B402" s="5" t="str">
        <f>IFERROR(__xludf.DUMMYFUNCTION("""COMPUTED_VALUE"""),"Teva Pharmaceuticals USA, Inc.")</f>
        <v>Teva Pharmaceuticals USA, Inc.</v>
      </c>
      <c r="C402" s="5" t="str">
        <f>IFERROR(__xludf.DUMMYFUNCTION("""COMPUTED_VALUE"""),"Clonazepam, Tablet, 1 mg (NDC 0093-3212-05)")</f>
        <v>Clonazepam, Tablet, 1 mg (NDC 0093-3212-05)</v>
      </c>
      <c r="D402" s="5" t="str">
        <f>IFERROR(__xludf.DUMMYFUNCTION("""COMPUTED_VALUE"""),"Revised")</f>
        <v>Revised</v>
      </c>
      <c r="E402" s="13">
        <f>IFERROR(__xludf.DUMMYFUNCTION("""COMPUTED_VALUE"""),46318.0)</f>
        <v>46318</v>
      </c>
      <c r="F402" s="5" t="str">
        <f>IFERROR(__xludf.DUMMYFUNCTION("""COMPUTED_VALUE"""),"Available")</f>
        <v>Available</v>
      </c>
      <c r="G402" s="5"/>
      <c r="H402" s="5"/>
      <c r="I402" s="5"/>
      <c r="J402" s="5" t="str">
        <f>IFERROR(__xludf.DUMMYFUNCTION("""COMPUTED_VALUE"""),"Neurology; Pediatric; Psychiatry")</f>
        <v>Neurology; Pediatric; Psychiatry</v>
      </c>
      <c r="K402" s="5" t="str">
        <f>IFERROR(__xludf.DUMMYFUNCTION("""COMPUTED_VALUE"""),"Current")</f>
        <v>Current</v>
      </c>
      <c r="L402" s="5"/>
      <c r="M402" s="5"/>
      <c r="N402" s="10">
        <f>IFERROR(__xludf.DUMMYFUNCTION("""COMPUTED_VALUE"""),44995.0)</f>
        <v>44995</v>
      </c>
      <c r="O402" s="5">
        <v>2023.0</v>
      </c>
      <c r="P402" s="5" t="str">
        <f>IFERROR(__xludf.DUMMYFUNCTION("""COMPUTED_VALUE"""),"Available")</f>
        <v>Available</v>
      </c>
      <c r="Q402" s="5" t="s">
        <v>135</v>
      </c>
      <c r="R402" s="5" t="s">
        <v>136</v>
      </c>
      <c r="S402" s="11">
        <v>1326.0</v>
      </c>
    </row>
    <row r="403">
      <c r="A403" s="5" t="str">
        <f>IFERROR(__xludf.DUMMYFUNCTION("""COMPUTED_VALUE"""),"Clonazepam Tablet")</f>
        <v>Clonazepam Tablet</v>
      </c>
      <c r="B403" s="5" t="str">
        <f>IFERROR(__xludf.DUMMYFUNCTION("""COMPUTED_VALUE"""),"Teva Pharmaceuticals USA, Inc.")</f>
        <v>Teva Pharmaceuticals USA, Inc.</v>
      </c>
      <c r="C403" s="5" t="str">
        <f>IFERROR(__xludf.DUMMYFUNCTION("""COMPUTED_VALUE"""),"Clonazepam, Tablet, 2 mg (NDC 0093-3213-01)")</f>
        <v>Clonazepam, Tablet, 2 mg (NDC 0093-3213-01)</v>
      </c>
      <c r="D403" s="5" t="str">
        <f>IFERROR(__xludf.DUMMYFUNCTION("""COMPUTED_VALUE"""),"Revised")</f>
        <v>Revised</v>
      </c>
      <c r="E403" s="13">
        <f>IFERROR(__xludf.DUMMYFUNCTION("""COMPUTED_VALUE"""),46318.0)</f>
        <v>46318</v>
      </c>
      <c r="F403" s="5" t="str">
        <f>IFERROR(__xludf.DUMMYFUNCTION("""COMPUTED_VALUE"""),"Available")</f>
        <v>Available</v>
      </c>
      <c r="G403" s="5"/>
      <c r="H403" s="5"/>
      <c r="I403" s="5"/>
      <c r="J403" s="5" t="str">
        <f>IFERROR(__xludf.DUMMYFUNCTION("""COMPUTED_VALUE"""),"Neurology; Pediatric; Psychiatry")</f>
        <v>Neurology; Pediatric; Psychiatry</v>
      </c>
      <c r="K403" s="5" t="str">
        <f>IFERROR(__xludf.DUMMYFUNCTION("""COMPUTED_VALUE"""),"Current")</f>
        <v>Current</v>
      </c>
      <c r="L403" s="5"/>
      <c r="M403" s="5"/>
      <c r="N403" s="10">
        <f>IFERROR(__xludf.DUMMYFUNCTION("""COMPUTED_VALUE"""),44995.0)</f>
        <v>44995</v>
      </c>
      <c r="O403" s="5">
        <v>2023.0</v>
      </c>
      <c r="P403" s="5" t="str">
        <f>IFERROR(__xludf.DUMMYFUNCTION("""COMPUTED_VALUE"""),"Available")</f>
        <v>Available</v>
      </c>
      <c r="Q403" s="5" t="s">
        <v>135</v>
      </c>
      <c r="R403" s="5" t="s">
        <v>136</v>
      </c>
      <c r="S403" s="11">
        <v>1326.0</v>
      </c>
    </row>
    <row r="404">
      <c r="A404" s="5" t="str">
        <f>IFERROR(__xludf.DUMMYFUNCTION("""COMPUTED_VALUE"""),"Clonazepam Tablet")</f>
        <v>Clonazepam Tablet</v>
      </c>
      <c r="B404" s="5" t="str">
        <f>IFERROR(__xludf.DUMMYFUNCTION("""COMPUTED_VALUE"""),"Teva Pharmaceuticals USA, Inc.")</f>
        <v>Teva Pharmaceuticals USA, Inc.</v>
      </c>
      <c r="C404" s="5" t="str">
        <f>IFERROR(__xludf.DUMMYFUNCTION("""COMPUTED_VALUE"""),"Clonazepam, Tablet, 2 mg (NDC 0093-3213-05)")</f>
        <v>Clonazepam, Tablet, 2 mg (NDC 0093-3213-05)</v>
      </c>
      <c r="D404" s="5" t="str">
        <f>IFERROR(__xludf.DUMMYFUNCTION("""COMPUTED_VALUE"""),"Revised")</f>
        <v>Revised</v>
      </c>
      <c r="E404" s="13">
        <f>IFERROR(__xludf.DUMMYFUNCTION("""COMPUTED_VALUE"""),46318.0)</f>
        <v>46318</v>
      </c>
      <c r="F404" s="5" t="str">
        <f>IFERROR(__xludf.DUMMYFUNCTION("""COMPUTED_VALUE"""),"Available")</f>
        <v>Available</v>
      </c>
      <c r="G404" s="5"/>
      <c r="H404" s="5"/>
      <c r="I404" s="5"/>
      <c r="J404" s="5" t="str">
        <f>IFERROR(__xludf.DUMMYFUNCTION("""COMPUTED_VALUE"""),"Neurology; Pediatric; Psychiatry")</f>
        <v>Neurology; Pediatric; Psychiatry</v>
      </c>
      <c r="K404" s="5" t="str">
        <f>IFERROR(__xludf.DUMMYFUNCTION("""COMPUTED_VALUE"""),"Current")</f>
        <v>Current</v>
      </c>
      <c r="L404" s="5"/>
      <c r="M404" s="5"/>
      <c r="N404" s="10">
        <f>IFERROR(__xludf.DUMMYFUNCTION("""COMPUTED_VALUE"""),44995.0)</f>
        <v>44995</v>
      </c>
      <c r="O404" s="5">
        <v>2023.0</v>
      </c>
      <c r="P404" s="5" t="str">
        <f>IFERROR(__xludf.DUMMYFUNCTION("""COMPUTED_VALUE"""),"Available")</f>
        <v>Available</v>
      </c>
      <c r="Q404" s="5" t="s">
        <v>135</v>
      </c>
      <c r="R404" s="5" t="s">
        <v>136</v>
      </c>
      <c r="S404" s="11">
        <v>1326.0</v>
      </c>
    </row>
    <row r="405">
      <c r="A405" s="5" t="str">
        <f>IFERROR(__xludf.DUMMYFUNCTION("""COMPUTED_VALUE"""),"Conivaptan Hydrochloride Injection")</f>
        <v>Conivaptan Hydrochloride Injection</v>
      </c>
      <c r="B405" s="5" t="str">
        <f>IFERROR(__xludf.DUMMYFUNCTION("""COMPUTED_VALUE"""),"Cumberland Pharmaceuticals Inc.")</f>
        <v>Cumberland Pharmaceuticals Inc.</v>
      </c>
      <c r="C405" s="5" t="str">
        <f>IFERROR(__xludf.DUMMYFUNCTION("""COMPUTED_VALUE"""),"Vaprisol Dextrose In Plastic Container, Injection, 20 mg/100 mL (NDC 66220-160-10)")</f>
        <v>Vaprisol Dextrose In Plastic Container, Injection, 20 mg/100 mL (NDC 66220-160-10)</v>
      </c>
      <c r="D405" s="5" t="str">
        <f>IFERROR(__xludf.DUMMYFUNCTION("""COMPUTED_VALUE"""),"Reverified")</f>
        <v>Reverified</v>
      </c>
      <c r="E405" s="13">
        <f>IFERROR(__xludf.DUMMYFUNCTION("""COMPUTED_VALUE"""),46310.0)</f>
        <v>46310</v>
      </c>
      <c r="F405" s="5" t="str">
        <f>IFERROR(__xludf.DUMMYFUNCTION("""COMPUTED_VALUE"""),"Unavailable")</f>
        <v>Unavailable</v>
      </c>
      <c r="G405" s="5" t="str">
        <f>IFERROR(__xludf.DUMMYFUNCTION("""COMPUTED_VALUE"""),"Estimated recovery: TBD")</f>
        <v>Estimated recovery: TBD</v>
      </c>
      <c r="H405" s="5"/>
      <c r="I405" s="5" t="str">
        <f>IFERROR(__xludf.DUMMYFUNCTION("""COMPUTED_VALUE"""),"Delay in shipping of the drug")</f>
        <v>Delay in shipping of the drug</v>
      </c>
      <c r="J405" s="5" t="str">
        <f>IFERROR(__xludf.DUMMYFUNCTION("""COMPUTED_VALUE"""),"Cardiovascular")</f>
        <v>Cardiovascular</v>
      </c>
      <c r="K405" s="5" t="str">
        <f>IFERROR(__xludf.DUMMYFUNCTION("""COMPUTED_VALUE"""),"Current")</f>
        <v>Current</v>
      </c>
      <c r="L405" s="5"/>
      <c r="M405" s="5"/>
      <c r="N405" s="10">
        <f>IFERROR(__xludf.DUMMYFUNCTION("""COMPUTED_VALUE"""),44634.0)</f>
        <v>44634</v>
      </c>
      <c r="O405" s="5">
        <v>2022.0</v>
      </c>
      <c r="P405" s="5" t="str">
        <f>IFERROR(__xludf.DUMMYFUNCTION("""COMPUTED_VALUE"""),"Unavailable")</f>
        <v>Unavailable</v>
      </c>
      <c r="Q405" s="5" t="s">
        <v>562</v>
      </c>
      <c r="R405" s="5" t="s">
        <v>136</v>
      </c>
      <c r="S405" s="11">
        <v>1687.0</v>
      </c>
    </row>
    <row r="406">
      <c r="A406" s="5" t="str">
        <f>IFERROR(__xludf.DUMMYFUNCTION("""COMPUTED_VALUE"""),"Crinecerfont Capsule")</f>
        <v>Crinecerfont Capsule</v>
      </c>
      <c r="B406" s="5" t="str">
        <f>IFERROR(__xludf.DUMMYFUNCTION("""COMPUTED_VALUE"""),"Neurocrine Biosciences, Inc.")</f>
        <v>Neurocrine Biosciences, Inc.</v>
      </c>
      <c r="C406" s="5" t="str">
        <f>IFERROR(__xludf.DUMMYFUNCTION("""COMPUTED_VALUE"""),"Crenessity, Capsule, 25 mg (NDC 70370-5025-1)")</f>
        <v>Crenessity, Capsule, 25 mg (NDC 70370-5025-1)</v>
      </c>
      <c r="D406" s="5" t="str">
        <f>IFERROR(__xludf.DUMMYFUNCTION("""COMPUTED_VALUE"""),"New")</f>
        <v>New</v>
      </c>
      <c r="E406" s="10">
        <f>IFERROR(__xludf.DUMMYFUNCTION("""COMPUTED_VALUE"""),46140.0)</f>
        <v>46140</v>
      </c>
      <c r="F406" s="5"/>
      <c r="G406" s="5" t="str">
        <f>IFERROR(__xludf.DUMMYFUNCTION("""COMPUTED_VALUE"""),"Neurocrine is discontinuing only the 25 mg soft gel capsule dose strength (NDC 70370-5025-01). The 50mg and 100mg soft gel capsule dose strength (NDC 70370-5050-1 and 70370-5100-1), and 50 mg/mL oral solution will continue to be marketed (NDC 70370-5250-1"&amp;").")</f>
        <v>Neurocrine is discontinuing only the 25 mg soft gel capsule dose strength (NDC 70370-5025-01). The 50mg and 100mg soft gel capsule dose strength (NDC 70370-5050-1 and 70370-5100-1), and 50 mg/mL oral solution will continue to be marketed (NDC 70370-5250-1).</v>
      </c>
      <c r="H406" s="5"/>
      <c r="I406" s="5"/>
      <c r="J406" s="5" t="str">
        <f>IFERROR(__xludf.DUMMYFUNCTION("""COMPUTED_VALUE"""),"Endocrinology/Metabolism")</f>
        <v>Endocrinology/Metabolism</v>
      </c>
      <c r="K406" s="5" t="str">
        <f>IFERROR(__xludf.DUMMYFUNCTION("""COMPUTED_VALUE"""),"To Be Discontinued")</f>
        <v>To Be Discontinued</v>
      </c>
      <c r="L406" s="5"/>
      <c r="M406" s="10">
        <f>IFERROR(__xludf.DUMMYFUNCTION("""COMPUTED_VALUE"""),46140.0)</f>
        <v>46140</v>
      </c>
      <c r="N406" s="10">
        <f>IFERROR(__xludf.DUMMYFUNCTION("""COMPUTED_VALUE"""),46140.0)</f>
        <v>46140</v>
      </c>
      <c r="O406" s="5">
        <v>2026.0</v>
      </c>
      <c r="P406" s="5" t="str">
        <f>IFERROR(__xludf.DUMMYFUNCTION("""COMPUTED_VALUE"""),"Not stated")</f>
        <v>Not stated</v>
      </c>
      <c r="Q406" s="5" t="s">
        <v>135</v>
      </c>
      <c r="R406" s="5" t="s">
        <v>136</v>
      </c>
      <c r="S406" s="11">
        <v>181.0</v>
      </c>
    </row>
    <row r="407">
      <c r="A407" s="5" t="str">
        <f>IFERROR(__xludf.DUMMYFUNCTION("""COMPUTED_VALUE"""),"Cromolyn Sodium Concentrate")</f>
        <v>Cromolyn Sodium Concentrate</v>
      </c>
      <c r="B407" s="5" t="str">
        <f>IFERROR(__xludf.DUMMYFUNCTION("""COMPUTED_VALUE"""),"Ailex Pharmaceuticals")</f>
        <v>Ailex Pharmaceuticals</v>
      </c>
      <c r="C407" s="5" t="str">
        <f>IFERROR(__xludf.DUMMYFUNCTION("""COMPUTED_VALUE"""),"Cromolyn Sodium, Concentrate, 100 mg/5 mL (NDC 81665-104-96)")</f>
        <v>Cromolyn Sodium, Concentrate, 100 mg/5 mL (NDC 81665-104-96)</v>
      </c>
      <c r="D407" s="5" t="str">
        <f>IFERROR(__xludf.DUMMYFUNCTION("""COMPUTED_VALUE"""),"Reverified")</f>
        <v>Reverified</v>
      </c>
      <c r="E407" s="10">
        <f>IFERROR(__xludf.DUMMYFUNCTION("""COMPUTED_VALUE"""),46295.0)</f>
        <v>46295</v>
      </c>
      <c r="F407" s="5" t="str">
        <f>IFERROR(__xludf.DUMMYFUNCTION("""COMPUTED_VALUE"""),"Available")</f>
        <v>Available</v>
      </c>
      <c r="G407" s="5" t="str">
        <f>IFERROR(__xludf.DUMMYFUNCTION("""COMPUTED_VALUE"""),"Distributed by Omnivium Pharmaceuticals LLC (888) 807-9195")</f>
        <v>Distributed by Omnivium Pharmaceuticals LLC (888) 807-9195</v>
      </c>
      <c r="H407" s="5"/>
      <c r="I407" s="5"/>
      <c r="J407" s="5" t="str">
        <f>IFERROR(__xludf.DUMMYFUNCTION("""COMPUTED_VALUE"""),"Pulmonary/Allergy")</f>
        <v>Pulmonary/Allergy</v>
      </c>
      <c r="K407" s="5" t="str">
        <f>IFERROR(__xludf.DUMMYFUNCTION("""COMPUTED_VALUE"""),"Current")</f>
        <v>Current</v>
      </c>
      <c r="L407" s="5"/>
      <c r="M407" s="5"/>
      <c r="N407" s="10">
        <f>IFERROR(__xludf.DUMMYFUNCTION("""COMPUTED_VALUE"""),45233.0)</f>
        <v>45233</v>
      </c>
      <c r="O407" s="5">
        <v>2023.0</v>
      </c>
      <c r="P407" s="5" t="str">
        <f>IFERROR(__xludf.DUMMYFUNCTION("""COMPUTED_VALUE"""),"Available")</f>
        <v>Available</v>
      </c>
      <c r="Q407" s="5" t="s">
        <v>135</v>
      </c>
      <c r="R407" s="5" t="s">
        <v>136</v>
      </c>
      <c r="S407" s="11">
        <v>1088.0</v>
      </c>
    </row>
    <row r="408">
      <c r="A408" s="5" t="str">
        <f>IFERROR(__xludf.DUMMYFUNCTION("""COMPUTED_VALUE"""),"Cromolyn Sodium Concentrate")</f>
        <v>Cromolyn Sodium Concentrate</v>
      </c>
      <c r="B408" s="5" t="str">
        <f>IFERROR(__xludf.DUMMYFUNCTION("""COMPUTED_VALUE"""),"Ailex Pharmaceuticals")</f>
        <v>Ailex Pharmaceuticals</v>
      </c>
      <c r="C408" s="5" t="str">
        <f>IFERROR(__xludf.DUMMYFUNCTION("""COMPUTED_VALUE"""),"Cromolyn Sodium, Concentrate, 100 mg/5 mL (NDC 69784-200-96)")</f>
        <v>Cromolyn Sodium, Concentrate, 100 mg/5 mL (NDC 69784-200-96)</v>
      </c>
      <c r="D408" s="5" t="str">
        <f>IFERROR(__xludf.DUMMYFUNCTION("""COMPUTED_VALUE"""),"Reverified")</f>
        <v>Reverified</v>
      </c>
      <c r="E408" s="10">
        <f>IFERROR(__xludf.DUMMYFUNCTION("""COMPUTED_VALUE"""),46295.0)</f>
        <v>46295</v>
      </c>
      <c r="F408" s="5" t="str">
        <f>IFERROR(__xludf.DUMMYFUNCTION("""COMPUTED_VALUE"""),"Limited Availability")</f>
        <v>Limited Availability</v>
      </c>
      <c r="G408" s="5" t="str">
        <f>IFERROR(__xludf.DUMMYFUNCTION("""COMPUTED_VALUE"""),"No longer manufactured, some supplies still available in supply chain. Distributed by Woodward Pharma Services LLC (248) 308-1120 Ext 2")</f>
        <v>No longer manufactured, some supplies still available in supply chain. Distributed by Woodward Pharma Services LLC (248) 308-1120 Ext 2</v>
      </c>
      <c r="H408" s="5"/>
      <c r="I408" s="5" t="str">
        <f>IFERROR(__xludf.DUMMYFUNCTION("""COMPUTED_VALUE"""),"Other")</f>
        <v>Other</v>
      </c>
      <c r="J408" s="5" t="str">
        <f>IFERROR(__xludf.DUMMYFUNCTION("""COMPUTED_VALUE"""),"Pulmonary/Allergy")</f>
        <v>Pulmonary/Allergy</v>
      </c>
      <c r="K408" s="5" t="str">
        <f>IFERROR(__xludf.DUMMYFUNCTION("""COMPUTED_VALUE"""),"Current")</f>
        <v>Current</v>
      </c>
      <c r="L408" s="5"/>
      <c r="M408" s="5"/>
      <c r="N408" s="10">
        <f>IFERROR(__xludf.DUMMYFUNCTION("""COMPUTED_VALUE"""),45233.0)</f>
        <v>45233</v>
      </c>
      <c r="O408" s="5">
        <v>2023.0</v>
      </c>
      <c r="P408" s="5" t="str">
        <f>IFERROR(__xludf.DUMMYFUNCTION("""COMPUTED_VALUE"""),"Limited Availability")</f>
        <v>Limited Availability</v>
      </c>
      <c r="Q408" s="5" t="s">
        <v>47</v>
      </c>
      <c r="R408" s="5" t="s">
        <v>136</v>
      </c>
      <c r="S408" s="11">
        <v>1088.0</v>
      </c>
    </row>
    <row r="409">
      <c r="A409" s="5" t="str">
        <f>IFERROR(__xludf.DUMMYFUNCTION("""COMPUTED_VALUE"""),"Cromolyn Sodium Concentrate")</f>
        <v>Cromolyn Sodium Concentrate</v>
      </c>
      <c r="B409" s="5" t="str">
        <f>IFERROR(__xludf.DUMMYFUNCTION("""COMPUTED_VALUE"""),"Ailex Pharmaceuticals")</f>
        <v>Ailex Pharmaceuticals</v>
      </c>
      <c r="C409" s="5" t="str">
        <f>IFERROR(__xludf.DUMMYFUNCTION("""COMPUTED_VALUE"""),"Cromolyn Sodium, Concentrate, 100 mg/5 mL (NDC 76204-025-96)")</f>
        <v>Cromolyn Sodium, Concentrate, 100 mg/5 mL (NDC 76204-025-96)</v>
      </c>
      <c r="D409" s="5" t="str">
        <f>IFERROR(__xludf.DUMMYFUNCTION("""COMPUTED_VALUE"""),"Reverified")</f>
        <v>Reverified</v>
      </c>
      <c r="E409" s="10">
        <f>IFERROR(__xludf.DUMMYFUNCTION("""COMPUTED_VALUE"""),46295.0)</f>
        <v>46295</v>
      </c>
      <c r="F409" s="5" t="str">
        <f>IFERROR(__xludf.DUMMYFUNCTION("""COMPUTED_VALUE"""),"Limited Availability")</f>
        <v>Limited Availability</v>
      </c>
      <c r="G409" s="5" t="str">
        <f>IFERROR(__xludf.DUMMYFUNCTION("""COMPUTED_VALUE"""),"No longer manufactured, some supplies still available in supply chain. Distributed by Ritedose Pharmaceuticals, LLC (855) 806 3300")</f>
        <v>No longer manufactured, some supplies still available in supply chain. Distributed by Ritedose Pharmaceuticals, LLC (855) 806 3300</v>
      </c>
      <c r="H409" s="5"/>
      <c r="I409" s="5" t="str">
        <f>IFERROR(__xludf.DUMMYFUNCTION("""COMPUTED_VALUE"""),"Other")</f>
        <v>Other</v>
      </c>
      <c r="J409" s="5" t="str">
        <f>IFERROR(__xludf.DUMMYFUNCTION("""COMPUTED_VALUE"""),"Pulmonary/Allergy")</f>
        <v>Pulmonary/Allergy</v>
      </c>
      <c r="K409" s="5" t="str">
        <f>IFERROR(__xludf.DUMMYFUNCTION("""COMPUTED_VALUE"""),"Current")</f>
        <v>Current</v>
      </c>
      <c r="L409" s="5"/>
      <c r="M409" s="5"/>
      <c r="N409" s="10">
        <f>IFERROR(__xludf.DUMMYFUNCTION("""COMPUTED_VALUE"""),45233.0)</f>
        <v>45233</v>
      </c>
      <c r="O409" s="5">
        <v>2023.0</v>
      </c>
      <c r="P409" s="5" t="str">
        <f>IFERROR(__xludf.DUMMYFUNCTION("""COMPUTED_VALUE"""),"Limited Availability")</f>
        <v>Limited Availability</v>
      </c>
      <c r="Q409" s="5" t="s">
        <v>47</v>
      </c>
      <c r="R409" s="5" t="s">
        <v>136</v>
      </c>
      <c r="S409" s="11">
        <v>1088.0</v>
      </c>
    </row>
    <row r="410">
      <c r="A410" s="5" t="str">
        <f>IFERROR(__xludf.DUMMYFUNCTION("""COMPUTED_VALUE"""),"Cromolyn Sodium Concentrate")</f>
        <v>Cromolyn Sodium Concentrate</v>
      </c>
      <c r="B410" s="5" t="str">
        <f>IFERROR(__xludf.DUMMYFUNCTION("""COMPUTED_VALUE"""),"Rising Pharma Holdings, Inc.")</f>
        <v>Rising Pharma Holdings, Inc.</v>
      </c>
      <c r="C410" s="5" t="str">
        <f>IFERROR(__xludf.DUMMYFUNCTION("""COMPUTED_VALUE"""),"Cromolyn Sodium, Concentrate, 100 mg/5 mL (NDC 16571-600-96)")</f>
        <v>Cromolyn Sodium, Concentrate, 100 mg/5 mL (NDC 16571-600-96)</v>
      </c>
      <c r="D410" s="5" t="str">
        <f>IFERROR(__xludf.DUMMYFUNCTION("""COMPUTED_VALUE"""),"Reverified")</f>
        <v>Reverified</v>
      </c>
      <c r="E410" s="10">
        <f>IFERROR(__xludf.DUMMYFUNCTION("""COMPUTED_VALUE"""),46266.0)</f>
        <v>46266</v>
      </c>
      <c r="F410" s="5" t="str">
        <f>IFERROR(__xludf.DUMMYFUNCTION("""COMPUTED_VALUE"""),"Available")</f>
        <v>Available</v>
      </c>
      <c r="G410" s="5"/>
      <c r="H410" s="5"/>
      <c r="I410" s="5"/>
      <c r="J410" s="5" t="str">
        <f>IFERROR(__xludf.DUMMYFUNCTION("""COMPUTED_VALUE"""),"Pulmonary/Allergy")</f>
        <v>Pulmonary/Allergy</v>
      </c>
      <c r="K410" s="5" t="str">
        <f>IFERROR(__xludf.DUMMYFUNCTION("""COMPUTED_VALUE"""),"Current")</f>
        <v>Current</v>
      </c>
      <c r="L410" s="5"/>
      <c r="M410" s="5"/>
      <c r="N410" s="10">
        <f>IFERROR(__xludf.DUMMYFUNCTION("""COMPUTED_VALUE"""),45233.0)</f>
        <v>45233</v>
      </c>
      <c r="O410" s="5">
        <v>2023.0</v>
      </c>
      <c r="P410" s="5" t="str">
        <f>IFERROR(__xludf.DUMMYFUNCTION("""COMPUTED_VALUE"""),"Available")</f>
        <v>Available</v>
      </c>
      <c r="Q410" s="5" t="s">
        <v>135</v>
      </c>
      <c r="R410" s="5" t="s">
        <v>136</v>
      </c>
      <c r="S410" s="11">
        <v>1088.0</v>
      </c>
    </row>
    <row r="411">
      <c r="A411" s="5" t="str">
        <f>IFERROR(__xludf.DUMMYFUNCTION("""COMPUTED_VALUE"""),"Cromolyn Sodium Concentrate")</f>
        <v>Cromolyn Sodium Concentrate</v>
      </c>
      <c r="B411" s="5" t="str">
        <f>IFERROR(__xludf.DUMMYFUNCTION("""COMPUTED_VALUE"""),"Micro Labs LTD")</f>
        <v>Micro Labs LTD</v>
      </c>
      <c r="C411" s="5" t="str">
        <f>IFERROR(__xludf.DUMMYFUNCTION("""COMPUTED_VALUE"""),"Cromolyn Sodium, Concentrate, 100 mg/5 mL (NDC 42571-132-52)")</f>
        <v>Cromolyn Sodium, Concentrate, 100 mg/5 mL (NDC 42571-132-52)</v>
      </c>
      <c r="D411" s="5" t="str">
        <f>IFERROR(__xludf.DUMMYFUNCTION("""COMPUTED_VALUE"""),"Reverified")</f>
        <v>Reverified</v>
      </c>
      <c r="E411" s="13">
        <f>IFERROR(__xludf.DUMMYFUNCTION("""COMPUTED_VALUE"""),46311.0)</f>
        <v>46311</v>
      </c>
      <c r="F411" s="5" t="str">
        <f>IFERROR(__xludf.DUMMYFUNCTION("""COMPUTED_VALUE"""),"Available")</f>
        <v>Available</v>
      </c>
      <c r="G411" s="5"/>
      <c r="H411" s="5"/>
      <c r="I411" s="5"/>
      <c r="J411" s="5" t="str">
        <f>IFERROR(__xludf.DUMMYFUNCTION("""COMPUTED_VALUE"""),"Pulmonary/Allergy")</f>
        <v>Pulmonary/Allergy</v>
      </c>
      <c r="K411" s="5" t="str">
        <f>IFERROR(__xludf.DUMMYFUNCTION("""COMPUTED_VALUE"""),"Current")</f>
        <v>Current</v>
      </c>
      <c r="L411" s="5"/>
      <c r="M411" s="5"/>
      <c r="N411" s="10">
        <f>IFERROR(__xludf.DUMMYFUNCTION("""COMPUTED_VALUE"""),45233.0)</f>
        <v>45233</v>
      </c>
      <c r="O411" s="5">
        <v>2023.0</v>
      </c>
      <c r="P411" s="5" t="str">
        <f>IFERROR(__xludf.DUMMYFUNCTION("""COMPUTED_VALUE"""),"Available")</f>
        <v>Available</v>
      </c>
      <c r="Q411" s="5" t="s">
        <v>135</v>
      </c>
      <c r="R411" s="5" t="s">
        <v>136</v>
      </c>
      <c r="S411" s="11">
        <v>1088.0</v>
      </c>
    </row>
    <row r="412">
      <c r="A412" s="5" t="str">
        <f>IFERROR(__xludf.DUMMYFUNCTION("""COMPUTED_VALUE"""),"Cromolyn Sodium Concentrate")</f>
        <v>Cromolyn Sodium Concentrate</v>
      </c>
      <c r="B412" s="5" t="str">
        <f>IFERROR(__xludf.DUMMYFUNCTION("""COMPUTED_VALUE"""),"Mylan Specialty, a Viatris Company")</f>
        <v>Mylan Specialty, a Viatris Company</v>
      </c>
      <c r="C412" s="5" t="str">
        <f>IFERROR(__xludf.DUMMYFUNCTION("""COMPUTED_VALUE"""),"Gastrocrom, Concentrate, 20 mg/1 mL (NDC 0037-0678-96)")</f>
        <v>Gastrocrom, Concentrate, 20 mg/1 mL (NDC 0037-0678-96)</v>
      </c>
      <c r="D412" s="5" t="str">
        <f>IFERROR(__xludf.DUMMYFUNCTION("""COMPUTED_VALUE"""),"Reverified")</f>
        <v>Reverified</v>
      </c>
      <c r="E412" s="13">
        <f>IFERROR(__xludf.DUMMYFUNCTION("""COMPUTED_VALUE"""),46314.0)</f>
        <v>46314</v>
      </c>
      <c r="F412" s="5" t="str">
        <f>IFERROR(__xludf.DUMMYFUNCTION("""COMPUTED_VALUE"""),"Available")</f>
        <v>Available</v>
      </c>
      <c r="G412" s="5"/>
      <c r="H412" s="5"/>
      <c r="I412" s="5"/>
      <c r="J412" s="5" t="str">
        <f>IFERROR(__xludf.DUMMYFUNCTION("""COMPUTED_VALUE"""),"Pulmonary/Allergy")</f>
        <v>Pulmonary/Allergy</v>
      </c>
      <c r="K412" s="5" t="str">
        <f>IFERROR(__xludf.DUMMYFUNCTION("""COMPUTED_VALUE"""),"Current")</f>
        <v>Current</v>
      </c>
      <c r="L412" s="5"/>
      <c r="M412" s="5"/>
      <c r="N412" s="10">
        <f>IFERROR(__xludf.DUMMYFUNCTION("""COMPUTED_VALUE"""),45233.0)</f>
        <v>45233</v>
      </c>
      <c r="O412" s="5">
        <v>2023.0</v>
      </c>
      <c r="P412" s="5" t="str">
        <f>IFERROR(__xludf.DUMMYFUNCTION("""COMPUTED_VALUE"""),"Available")</f>
        <v>Available</v>
      </c>
      <c r="Q412" s="5" t="s">
        <v>135</v>
      </c>
      <c r="R412" s="5" t="s">
        <v>136</v>
      </c>
      <c r="S412" s="11">
        <v>1088.0</v>
      </c>
    </row>
    <row r="413">
      <c r="A413" s="5" t="str">
        <f>IFERROR(__xludf.DUMMYFUNCTION("""COMPUTED_VALUE"""),"Dacomitinib Tablet")</f>
        <v>Dacomitinib Tablet</v>
      </c>
      <c r="B413" s="5" t="str">
        <f>IFERROR(__xludf.DUMMYFUNCTION("""COMPUTED_VALUE"""),"Pfizer Inc.")</f>
        <v>Pfizer Inc.</v>
      </c>
      <c r="C413" s="5" t="str">
        <f>IFERROR(__xludf.DUMMYFUNCTION("""COMPUTED_VALUE"""),"Vizimpro, Tablet, 15 mg (NDC 0069-0197-30)")</f>
        <v>Vizimpro, Tablet, 15 mg (NDC 0069-0197-30)</v>
      </c>
      <c r="D413" s="5" t="str">
        <f>IFERROR(__xludf.DUMMYFUNCTION("""COMPUTED_VALUE"""),"New")</f>
        <v>New</v>
      </c>
      <c r="E413" s="10">
        <f>IFERROR(__xludf.DUMMYFUNCTION("""COMPUTED_VALUE"""),46181.0)</f>
        <v>46181</v>
      </c>
      <c r="F413" s="5"/>
      <c r="G413" s="5" t="str">
        <f>IFERROR(__xludf.DUMMYFUNCTION("""COMPUTED_VALUE"""),"Discontinuation of the manufacture of the drug")</f>
        <v>Discontinuation of the manufacture of the drug</v>
      </c>
      <c r="H413" s="5"/>
      <c r="I413" s="5"/>
      <c r="J413" s="5" t="str">
        <f>IFERROR(__xludf.DUMMYFUNCTION("""COMPUTED_VALUE"""),"Oncology")</f>
        <v>Oncology</v>
      </c>
      <c r="K413" s="5" t="str">
        <f>IFERROR(__xludf.DUMMYFUNCTION("""COMPUTED_VALUE"""),"To Be Discontinued")</f>
        <v>To Be Discontinued</v>
      </c>
      <c r="L413" s="5"/>
      <c r="M413" s="10">
        <f>IFERROR(__xludf.DUMMYFUNCTION("""COMPUTED_VALUE"""),46181.0)</f>
        <v>46181</v>
      </c>
      <c r="N413" s="10">
        <f>IFERROR(__xludf.DUMMYFUNCTION("""COMPUTED_VALUE"""),46181.0)</f>
        <v>46181</v>
      </c>
      <c r="O413" s="5">
        <v>2026.0</v>
      </c>
      <c r="P413" s="5" t="str">
        <f>IFERROR(__xludf.DUMMYFUNCTION("""COMPUTED_VALUE"""),"Not stated")</f>
        <v>Not stated</v>
      </c>
      <c r="Q413" s="5" t="s">
        <v>135</v>
      </c>
      <c r="R413" s="5" t="s">
        <v>136</v>
      </c>
      <c r="S413" s="11">
        <v>140.0</v>
      </c>
    </row>
    <row r="414">
      <c r="A414" s="5" t="str">
        <f>IFERROR(__xludf.DUMMYFUNCTION("""COMPUTED_VALUE"""),"Dacomitinib Tablet")</f>
        <v>Dacomitinib Tablet</v>
      </c>
      <c r="B414" s="5" t="str">
        <f>IFERROR(__xludf.DUMMYFUNCTION("""COMPUTED_VALUE"""),"Pfizer Inc.")</f>
        <v>Pfizer Inc.</v>
      </c>
      <c r="C414" s="5" t="str">
        <f>IFERROR(__xludf.DUMMYFUNCTION("""COMPUTED_VALUE"""),"Vizimpro, Tablet, 30 mg (NDC 0069-1198-30)")</f>
        <v>Vizimpro, Tablet, 30 mg (NDC 0069-1198-30)</v>
      </c>
      <c r="D414" s="5" t="str">
        <f>IFERROR(__xludf.DUMMYFUNCTION("""COMPUTED_VALUE"""),"New")</f>
        <v>New</v>
      </c>
      <c r="E414" s="10">
        <f>IFERROR(__xludf.DUMMYFUNCTION("""COMPUTED_VALUE"""),46181.0)</f>
        <v>46181</v>
      </c>
      <c r="F414" s="5"/>
      <c r="G414" s="5" t="str">
        <f>IFERROR(__xludf.DUMMYFUNCTION("""COMPUTED_VALUE"""),"Discontinuation of the manufacture of the drug")</f>
        <v>Discontinuation of the manufacture of the drug</v>
      </c>
      <c r="H414" s="5"/>
      <c r="I414" s="5"/>
      <c r="J414" s="5" t="str">
        <f>IFERROR(__xludf.DUMMYFUNCTION("""COMPUTED_VALUE"""),"Oncology")</f>
        <v>Oncology</v>
      </c>
      <c r="K414" s="5" t="str">
        <f>IFERROR(__xludf.DUMMYFUNCTION("""COMPUTED_VALUE"""),"To Be Discontinued")</f>
        <v>To Be Discontinued</v>
      </c>
      <c r="L414" s="5"/>
      <c r="M414" s="10">
        <f>IFERROR(__xludf.DUMMYFUNCTION("""COMPUTED_VALUE"""),46181.0)</f>
        <v>46181</v>
      </c>
      <c r="N414" s="10">
        <f>IFERROR(__xludf.DUMMYFUNCTION("""COMPUTED_VALUE"""),46181.0)</f>
        <v>46181</v>
      </c>
      <c r="O414" s="5">
        <v>2026.0</v>
      </c>
      <c r="P414" s="5" t="str">
        <f>IFERROR(__xludf.DUMMYFUNCTION("""COMPUTED_VALUE"""),"Not stated")</f>
        <v>Not stated</v>
      </c>
      <c r="Q414" s="5" t="s">
        <v>135</v>
      </c>
      <c r="R414" s="5" t="s">
        <v>136</v>
      </c>
      <c r="S414" s="11">
        <v>140.0</v>
      </c>
    </row>
    <row r="415">
      <c r="A415" s="5" t="str">
        <f>IFERROR(__xludf.DUMMYFUNCTION("""COMPUTED_VALUE"""),"Dacomitinib Tablet")</f>
        <v>Dacomitinib Tablet</v>
      </c>
      <c r="B415" s="5" t="str">
        <f>IFERROR(__xludf.DUMMYFUNCTION("""COMPUTED_VALUE"""),"Pfizer Inc.")</f>
        <v>Pfizer Inc.</v>
      </c>
      <c r="C415" s="5" t="str">
        <f>IFERROR(__xludf.DUMMYFUNCTION("""COMPUTED_VALUE"""),"Vizimpro, Tablet, 45 mg (NDC 0069-2299-30)")</f>
        <v>Vizimpro, Tablet, 45 mg (NDC 0069-2299-30)</v>
      </c>
      <c r="D415" s="5" t="str">
        <f>IFERROR(__xludf.DUMMYFUNCTION("""COMPUTED_VALUE"""),"New")</f>
        <v>New</v>
      </c>
      <c r="E415" s="10">
        <f>IFERROR(__xludf.DUMMYFUNCTION("""COMPUTED_VALUE"""),46181.0)</f>
        <v>46181</v>
      </c>
      <c r="F415" s="5"/>
      <c r="G415" s="5" t="str">
        <f>IFERROR(__xludf.DUMMYFUNCTION("""COMPUTED_VALUE"""),"Discontinuation of the manufacture of the drug")</f>
        <v>Discontinuation of the manufacture of the drug</v>
      </c>
      <c r="H415" s="5"/>
      <c r="I415" s="5"/>
      <c r="J415" s="5" t="str">
        <f>IFERROR(__xludf.DUMMYFUNCTION("""COMPUTED_VALUE"""),"Oncology")</f>
        <v>Oncology</v>
      </c>
      <c r="K415" s="5" t="str">
        <f>IFERROR(__xludf.DUMMYFUNCTION("""COMPUTED_VALUE"""),"To Be Discontinued")</f>
        <v>To Be Discontinued</v>
      </c>
      <c r="L415" s="5"/>
      <c r="M415" s="10">
        <f>IFERROR(__xludf.DUMMYFUNCTION("""COMPUTED_VALUE"""),46181.0)</f>
        <v>46181</v>
      </c>
      <c r="N415" s="10">
        <f>IFERROR(__xludf.DUMMYFUNCTION("""COMPUTED_VALUE"""),46181.0)</f>
        <v>46181</v>
      </c>
      <c r="O415" s="5">
        <v>2026.0</v>
      </c>
      <c r="P415" s="5" t="str">
        <f>IFERROR(__xludf.DUMMYFUNCTION("""COMPUTED_VALUE"""),"Not stated")</f>
        <v>Not stated</v>
      </c>
      <c r="Q415" s="5" t="s">
        <v>135</v>
      </c>
      <c r="R415" s="5" t="s">
        <v>136</v>
      </c>
      <c r="S415" s="11">
        <v>140.0</v>
      </c>
    </row>
    <row r="416">
      <c r="A416" s="5" t="str">
        <f>IFERROR(__xludf.DUMMYFUNCTION("""COMPUTED_VALUE"""),"Dapsone Gel")</f>
        <v>Dapsone Gel</v>
      </c>
      <c r="B416" s="5" t="str">
        <f>IFERROR(__xludf.DUMMYFUNCTION("""COMPUTED_VALUE"""),"Amneal Pharmaceuticals")</f>
        <v>Amneal Pharmaceuticals</v>
      </c>
      <c r="C416" s="5" t="str">
        <f>IFERROR(__xludf.DUMMYFUNCTION("""COMPUTED_VALUE"""),"Dapsone, Gel, 7.5% (NDC 69238-1627-6)")</f>
        <v>Dapsone, Gel, 7.5% (NDC 69238-1627-6)</v>
      </c>
      <c r="D416" s="5" t="str">
        <f>IFERROR(__xludf.DUMMYFUNCTION("""COMPUTED_VALUE"""),"New")</f>
        <v>New</v>
      </c>
      <c r="E416" s="10">
        <f>IFERROR(__xludf.DUMMYFUNCTION("""COMPUTED_VALUE"""),46108.0)</f>
        <v>46108</v>
      </c>
      <c r="F416" s="5"/>
      <c r="G416" s="5" t="str">
        <f>IFERROR(__xludf.DUMMYFUNCTION("""COMPUTED_VALUE"""),"Discontinuation of the manufacture of the drug")</f>
        <v>Discontinuation of the manufacture of the drug</v>
      </c>
      <c r="H416" s="5"/>
      <c r="I416" s="5"/>
      <c r="J416" s="5" t="str">
        <f>IFERROR(__xludf.DUMMYFUNCTION("""COMPUTED_VALUE"""),"Dermatology")</f>
        <v>Dermatology</v>
      </c>
      <c r="K416" s="5" t="str">
        <f>IFERROR(__xludf.DUMMYFUNCTION("""COMPUTED_VALUE"""),"To Be Discontinued")</f>
        <v>To Be Discontinued</v>
      </c>
      <c r="L416" s="5"/>
      <c r="M416" s="10">
        <f>IFERROR(__xludf.DUMMYFUNCTION("""COMPUTED_VALUE"""),46108.0)</f>
        <v>46108</v>
      </c>
      <c r="N416" s="10">
        <f>IFERROR(__xludf.DUMMYFUNCTION("""COMPUTED_VALUE"""),46108.0)</f>
        <v>46108</v>
      </c>
      <c r="O416" s="5">
        <v>2026.0</v>
      </c>
      <c r="P416" s="5" t="str">
        <f>IFERROR(__xludf.DUMMYFUNCTION("""COMPUTED_VALUE"""),"Not stated")</f>
        <v>Not stated</v>
      </c>
      <c r="Q416" s="5" t="s">
        <v>135</v>
      </c>
      <c r="R416" s="5" t="s">
        <v>136</v>
      </c>
      <c r="S416" s="11">
        <v>213.0</v>
      </c>
    </row>
    <row r="417">
      <c r="A417" s="5" t="str">
        <f>IFERROR(__xludf.DUMMYFUNCTION("""COMPUTED_VALUE"""),"Daptomycin Injection")</f>
        <v>Daptomycin Injection</v>
      </c>
      <c r="B417" s="5" t="str">
        <f>IFERROR(__xludf.DUMMYFUNCTION("""COMPUTED_VALUE"""),"Jiangsu Hengrui Pharmaceuticals Co. (US Agent eVenus Pharmaceutical Laboratories, Inc.)")</f>
        <v>Jiangsu Hengrui Pharmaceuticals Co. (US Agent eVenus Pharmaceutical Laboratories, Inc.)</v>
      </c>
      <c r="C417" s="5" t="str">
        <f>IFERROR(__xludf.DUMMYFUNCTION("""COMPUTED_VALUE"""),"Daptomycin, Injection, 500 mg/10 mL (NDC 0143-9378-01)")</f>
        <v>Daptomycin, Injection, 500 mg/10 mL (NDC 0143-9378-01)</v>
      </c>
      <c r="D417" s="5" t="str">
        <f>IFERROR(__xludf.DUMMYFUNCTION("""COMPUTED_VALUE"""),"New")</f>
        <v>New</v>
      </c>
      <c r="E417" s="10">
        <f>IFERROR(__xludf.DUMMYFUNCTION("""COMPUTED_VALUE"""),46203.0)</f>
        <v>46203</v>
      </c>
      <c r="F417" s="5"/>
      <c r="G417" s="5" t="str">
        <f>IFERROR(__xludf.DUMMYFUNCTION("""COMPUTED_VALUE"""),"Discontinuation of the manufacture of the drug; Marketed by Hikma Pharmaceuticals USA, Inc.")</f>
        <v>Discontinuation of the manufacture of the drug; Marketed by Hikma Pharmaceuticals USA, Inc.</v>
      </c>
      <c r="H417" s="5"/>
      <c r="I417" s="5"/>
      <c r="J417" s="5" t="str">
        <f>IFERROR(__xludf.DUMMYFUNCTION("""COMPUTED_VALUE"""),"Anti-Infective")</f>
        <v>Anti-Infective</v>
      </c>
      <c r="K417" s="5" t="str">
        <f>IFERROR(__xludf.DUMMYFUNCTION("""COMPUTED_VALUE"""),"To Be Discontinued")</f>
        <v>To Be Discontinued</v>
      </c>
      <c r="L417" s="5"/>
      <c r="M417" s="10">
        <f>IFERROR(__xludf.DUMMYFUNCTION("""COMPUTED_VALUE"""),46203.0)</f>
        <v>46203</v>
      </c>
      <c r="N417" s="10">
        <f>IFERROR(__xludf.DUMMYFUNCTION("""COMPUTED_VALUE"""),46203.0)</f>
        <v>46203</v>
      </c>
      <c r="O417" s="5">
        <v>2026.0</v>
      </c>
      <c r="P417" s="5" t="str">
        <f>IFERROR(__xludf.DUMMYFUNCTION("""COMPUTED_VALUE"""),"Not stated")</f>
        <v>Not stated</v>
      </c>
      <c r="Q417" s="5" t="s">
        <v>135</v>
      </c>
      <c r="R417" s="5" t="s">
        <v>136</v>
      </c>
      <c r="S417" s="11">
        <v>118.0</v>
      </c>
    </row>
    <row r="418">
      <c r="A418" s="5" t="str">
        <f>IFERROR(__xludf.DUMMYFUNCTION("""COMPUTED_VALUE"""),"Daptomycin Injection")</f>
        <v>Daptomycin Injection</v>
      </c>
      <c r="B418" s="5" t="str">
        <f>IFERROR(__xludf.DUMMYFUNCTION("""COMPUTED_VALUE"""),"Jiangsu Hengrui Pharmaceuticals Co. (US Agent eVenus Pharmaceutical Laboratories, Inc.)")</f>
        <v>Jiangsu Hengrui Pharmaceuticals Co. (US Agent eVenus Pharmaceutical Laboratories, Inc.)</v>
      </c>
      <c r="C418" s="5" t="str">
        <f>IFERROR(__xludf.DUMMYFUNCTION("""COMPUTED_VALUE"""),"Daptomycin, Injection, 500 mg/10 mL (NDC 57884-3151-1)")</f>
        <v>Daptomycin, Injection, 500 mg/10 mL (NDC 57884-3151-1)</v>
      </c>
      <c r="D418" s="5" t="str">
        <f>IFERROR(__xludf.DUMMYFUNCTION("""COMPUTED_VALUE"""),"New")</f>
        <v>New</v>
      </c>
      <c r="E418" s="10">
        <f>IFERROR(__xludf.DUMMYFUNCTION("""COMPUTED_VALUE"""),46203.0)</f>
        <v>46203</v>
      </c>
      <c r="F418" s="5"/>
      <c r="G418" s="5" t="str">
        <f>IFERROR(__xludf.DUMMYFUNCTION("""COMPUTED_VALUE"""),"Discontinuation of the manufacture of the drug")</f>
        <v>Discontinuation of the manufacture of the drug</v>
      </c>
      <c r="H418" s="5"/>
      <c r="I418" s="5"/>
      <c r="J418" s="5" t="str">
        <f>IFERROR(__xludf.DUMMYFUNCTION("""COMPUTED_VALUE"""),"Anti-Infective")</f>
        <v>Anti-Infective</v>
      </c>
      <c r="K418" s="5" t="str">
        <f>IFERROR(__xludf.DUMMYFUNCTION("""COMPUTED_VALUE"""),"To Be Discontinued")</f>
        <v>To Be Discontinued</v>
      </c>
      <c r="L418" s="5"/>
      <c r="M418" s="10">
        <f>IFERROR(__xludf.DUMMYFUNCTION("""COMPUTED_VALUE"""),46203.0)</f>
        <v>46203</v>
      </c>
      <c r="N418" s="10">
        <f>IFERROR(__xludf.DUMMYFUNCTION("""COMPUTED_VALUE"""),46203.0)</f>
        <v>46203</v>
      </c>
      <c r="O418" s="5">
        <v>2026.0</v>
      </c>
      <c r="P418" s="5" t="str">
        <f>IFERROR(__xludf.DUMMYFUNCTION("""COMPUTED_VALUE"""),"Not stated")</f>
        <v>Not stated</v>
      </c>
      <c r="Q418" s="5" t="s">
        <v>135</v>
      </c>
      <c r="R418" s="5" t="s">
        <v>136</v>
      </c>
      <c r="S418" s="11">
        <v>118.0</v>
      </c>
    </row>
    <row r="419">
      <c r="A419" s="5" t="str">
        <f>IFERROR(__xludf.DUMMYFUNCTION("""COMPUTED_VALUE"""),"Decitabine Injection")</f>
        <v>Decitabine Injection</v>
      </c>
      <c r="B419" s="5" t="str">
        <f>IFERROR(__xludf.DUMMYFUNCTION("""COMPUTED_VALUE"""),"Ingenus Pharmaceuticals LLC")</f>
        <v>Ingenus Pharmaceuticals LLC</v>
      </c>
      <c r="C419" s="5" t="str">
        <f>IFERROR(__xludf.DUMMYFUNCTION("""COMPUTED_VALUE"""),"Decitabine, Injection, 50 mg (NDC 50742-430-01)")</f>
        <v>Decitabine, Injection, 50 mg (NDC 50742-430-01)</v>
      </c>
      <c r="D419" s="5" t="str">
        <f>IFERROR(__xludf.DUMMYFUNCTION("""COMPUTED_VALUE"""),"New")</f>
        <v>New</v>
      </c>
      <c r="E419" s="10">
        <f>IFERROR(__xludf.DUMMYFUNCTION("""COMPUTED_VALUE"""),46073.0)</f>
        <v>46073</v>
      </c>
      <c r="F419" s="5"/>
      <c r="G419" s="5" t="str">
        <f>IFERROR(__xludf.DUMMYFUNCTION("""COMPUTED_VALUE"""),"Discontinuation of the manufacture of the drug")</f>
        <v>Discontinuation of the manufacture of the drug</v>
      </c>
      <c r="H419" s="5"/>
      <c r="I419" s="5"/>
      <c r="J419" s="5" t="str">
        <f>IFERROR(__xludf.DUMMYFUNCTION("""COMPUTED_VALUE"""),"Oncology")</f>
        <v>Oncology</v>
      </c>
      <c r="K419" s="5" t="str">
        <f>IFERROR(__xludf.DUMMYFUNCTION("""COMPUTED_VALUE"""),"To Be Discontinued")</f>
        <v>To Be Discontinued</v>
      </c>
      <c r="L419" s="5"/>
      <c r="M419" s="10">
        <f>IFERROR(__xludf.DUMMYFUNCTION("""COMPUTED_VALUE"""),46073.0)</f>
        <v>46073</v>
      </c>
      <c r="N419" s="10">
        <f>IFERROR(__xludf.DUMMYFUNCTION("""COMPUTED_VALUE"""),46073.0)</f>
        <v>46073</v>
      </c>
      <c r="O419" s="5">
        <v>2026.0</v>
      </c>
      <c r="P419" s="5" t="str">
        <f>IFERROR(__xludf.DUMMYFUNCTION("""COMPUTED_VALUE"""),"Not stated")</f>
        <v>Not stated</v>
      </c>
      <c r="Q419" s="5" t="s">
        <v>135</v>
      </c>
      <c r="R419" s="5" t="s">
        <v>136</v>
      </c>
      <c r="S419" s="11">
        <v>248.0</v>
      </c>
    </row>
    <row r="420">
      <c r="A420" s="5" t="str">
        <f>IFERROR(__xludf.DUMMYFUNCTION("""COMPUTED_VALUE"""),"Decitabine Injection")</f>
        <v>Decitabine Injection</v>
      </c>
      <c r="B420" s="5" t="str">
        <f>IFERROR(__xludf.DUMMYFUNCTION("""COMPUTED_VALUE"""),"Ingenus Pharmaceuticals LLC")</f>
        <v>Ingenus Pharmaceuticals LLC</v>
      </c>
      <c r="C420" s="5" t="str">
        <f>IFERROR(__xludf.DUMMYFUNCTION("""COMPUTED_VALUE"""),"Decitabine, Injection, 50 mg (NDC 68001-573-41)")</f>
        <v>Decitabine, Injection, 50 mg (NDC 68001-573-41)</v>
      </c>
      <c r="D420" s="5" t="str">
        <f>IFERROR(__xludf.DUMMYFUNCTION("""COMPUTED_VALUE"""),"New")</f>
        <v>New</v>
      </c>
      <c r="E420" s="10">
        <f>IFERROR(__xludf.DUMMYFUNCTION("""COMPUTED_VALUE"""),46073.0)</f>
        <v>46073</v>
      </c>
      <c r="F420" s="5"/>
      <c r="G420" s="5" t="str">
        <f>IFERROR(__xludf.DUMMYFUNCTION("""COMPUTED_VALUE"""),"Labeler: BluePoint Laboratories; Discontinuation of the manufacture of the drug")</f>
        <v>Labeler: BluePoint Laboratories; Discontinuation of the manufacture of the drug</v>
      </c>
      <c r="H420" s="5"/>
      <c r="I420" s="5"/>
      <c r="J420" s="5" t="str">
        <f>IFERROR(__xludf.DUMMYFUNCTION("""COMPUTED_VALUE"""),"Oncology")</f>
        <v>Oncology</v>
      </c>
      <c r="K420" s="5" t="str">
        <f>IFERROR(__xludf.DUMMYFUNCTION("""COMPUTED_VALUE"""),"To Be Discontinued")</f>
        <v>To Be Discontinued</v>
      </c>
      <c r="L420" s="5"/>
      <c r="M420" s="10">
        <f>IFERROR(__xludf.DUMMYFUNCTION("""COMPUTED_VALUE"""),46073.0)</f>
        <v>46073</v>
      </c>
      <c r="N420" s="10">
        <f>IFERROR(__xludf.DUMMYFUNCTION("""COMPUTED_VALUE"""),46073.0)</f>
        <v>46073</v>
      </c>
      <c r="O420" s="5">
        <v>2026.0</v>
      </c>
      <c r="P420" s="5" t="str">
        <f>IFERROR(__xludf.DUMMYFUNCTION("""COMPUTED_VALUE"""),"Not stated")</f>
        <v>Not stated</v>
      </c>
      <c r="Q420" s="5" t="s">
        <v>135</v>
      </c>
      <c r="R420" s="5" t="s">
        <v>136</v>
      </c>
      <c r="S420" s="11">
        <v>248.0</v>
      </c>
    </row>
    <row r="421">
      <c r="A421" s="5" t="str">
        <f>IFERROR(__xludf.DUMMYFUNCTION("""COMPUTED_VALUE"""),"Deferiprone Tablet")</f>
        <v>Deferiprone Tablet</v>
      </c>
      <c r="B421" s="5" t="str">
        <f>IFERROR(__xludf.DUMMYFUNCTION("""COMPUTED_VALUE"""),"Chiesi USA, Inc.")</f>
        <v>Chiesi USA, Inc.</v>
      </c>
      <c r="C421" s="5" t="str">
        <f>IFERROR(__xludf.DUMMYFUNCTION("""COMPUTED_VALUE"""),"Ferriprox, Tablet, 500 mg (NDC 10122-100-10)")</f>
        <v>Ferriprox, Tablet, 500 mg (NDC 10122-100-10)</v>
      </c>
      <c r="D421" s="5" t="str">
        <f>IFERROR(__xludf.DUMMYFUNCTION("""COMPUTED_VALUE"""),"New")</f>
        <v>New</v>
      </c>
      <c r="E421" s="10">
        <f>IFERROR(__xludf.DUMMYFUNCTION("""COMPUTED_VALUE"""),45968.0)</f>
        <v>45968</v>
      </c>
      <c r="F421" s="5"/>
      <c r="G421" s="5" t="str">
        <f>IFERROR(__xludf.DUMMYFUNCTION("""COMPUTED_VALUE"""),"Discontinuation of the manufacture of the drug.")</f>
        <v>Discontinuation of the manufacture of the drug.</v>
      </c>
      <c r="H421" s="5"/>
      <c r="I421" s="5"/>
      <c r="J421" s="5" t="str">
        <f>IFERROR(__xludf.DUMMYFUNCTION("""COMPUTED_VALUE"""),"Hematology")</f>
        <v>Hematology</v>
      </c>
      <c r="K421" s="5" t="str">
        <f>IFERROR(__xludf.DUMMYFUNCTION("""COMPUTED_VALUE"""),"To Be Discontinued")</f>
        <v>To Be Discontinued</v>
      </c>
      <c r="L421" s="5"/>
      <c r="M421" s="10">
        <f>IFERROR(__xludf.DUMMYFUNCTION("""COMPUTED_VALUE"""),45968.0)</f>
        <v>45968</v>
      </c>
      <c r="N421" s="10">
        <f>IFERROR(__xludf.DUMMYFUNCTION("""COMPUTED_VALUE"""),45968.0)</f>
        <v>45968</v>
      </c>
      <c r="O421" s="5">
        <v>2025.0</v>
      </c>
      <c r="P421" s="5" t="str">
        <f>IFERROR(__xludf.DUMMYFUNCTION("""COMPUTED_VALUE"""),"Not stated")</f>
        <v>Not stated</v>
      </c>
      <c r="Q421" s="5" t="s">
        <v>135</v>
      </c>
      <c r="R421" s="5" t="s">
        <v>136</v>
      </c>
      <c r="S421" s="11">
        <v>353.0</v>
      </c>
    </row>
    <row r="422">
      <c r="A422" s="5" t="str">
        <f>IFERROR(__xludf.DUMMYFUNCTION("""COMPUTED_VALUE"""),"Dehydrated Alcohol Injection, Solution")</f>
        <v>Dehydrated Alcohol Injection, Solution</v>
      </c>
      <c r="B422" s="5" t="str">
        <f>IFERROR(__xludf.DUMMYFUNCTION("""COMPUTED_VALUE"""),"Accord Healthcare Inc.")</f>
        <v>Accord Healthcare Inc.</v>
      </c>
      <c r="C422" s="5" t="str">
        <f>IFERROR(__xludf.DUMMYFUNCTION("""COMPUTED_VALUE"""),"Dehydrated Alcohol, Injection, Solution, 1 mL/1 mL (10 pack) (NDC 16729-710-45)")</f>
        <v>Dehydrated Alcohol, Injection, Solution, 1 mL/1 mL (10 pack) (NDC 16729-710-45)</v>
      </c>
      <c r="D422" s="5" t="str">
        <f>IFERROR(__xludf.DUMMYFUNCTION("""COMPUTED_VALUE"""),"New")</f>
        <v>New</v>
      </c>
      <c r="E422" s="10">
        <f>IFERROR(__xludf.DUMMYFUNCTION("""COMPUTED_VALUE"""),46169.0)</f>
        <v>46169</v>
      </c>
      <c r="F422" s="5"/>
      <c r="G422" s="5" t="str">
        <f>IFERROR(__xludf.DUMMYFUNCTION("""COMPUTED_VALUE"""),"Accord is transitioning to the 5-pack configuration (NDC 16729-710-53).")</f>
        <v>Accord is transitioning to the 5-pack configuration (NDC 16729-710-53).</v>
      </c>
      <c r="H422" s="5"/>
      <c r="I422" s="5"/>
      <c r="J422" s="5" t="str">
        <f>IFERROR(__xludf.DUMMYFUNCTION("""COMPUTED_VALUE"""),"Cardiovascular")</f>
        <v>Cardiovascular</v>
      </c>
      <c r="K422" s="5" t="str">
        <f>IFERROR(__xludf.DUMMYFUNCTION("""COMPUTED_VALUE"""),"To Be Discontinued")</f>
        <v>To Be Discontinued</v>
      </c>
      <c r="L422" s="5"/>
      <c r="M422" s="10">
        <f>IFERROR(__xludf.DUMMYFUNCTION("""COMPUTED_VALUE"""),46169.0)</f>
        <v>46169</v>
      </c>
      <c r="N422" s="10">
        <f>IFERROR(__xludf.DUMMYFUNCTION("""COMPUTED_VALUE"""),46169.0)</f>
        <v>46169</v>
      </c>
      <c r="O422" s="5">
        <v>2026.0</v>
      </c>
      <c r="P422" s="5" t="str">
        <f>IFERROR(__xludf.DUMMYFUNCTION("""COMPUTED_VALUE"""),"Not stated")</f>
        <v>Not stated</v>
      </c>
      <c r="Q422" s="5" t="s">
        <v>135</v>
      </c>
      <c r="R422" s="5" t="s">
        <v>136</v>
      </c>
      <c r="S422" s="11">
        <v>152.0</v>
      </c>
    </row>
    <row r="423">
      <c r="A423" s="5" t="str">
        <f>IFERROR(__xludf.DUMMYFUNCTION("""COMPUTED_VALUE"""),"Desflurane Liquid for Inhalation")</f>
        <v>Desflurane Liquid for Inhalation</v>
      </c>
      <c r="B423" s="5" t="str">
        <f>IFERROR(__xludf.DUMMYFUNCTION("""COMPUTED_VALUE"""),"Jiangsu Hengrui Pharmaceuticals Co. (US Agent eVenus Pharmaceutical Laboratories, Inc.)")</f>
        <v>Jiangsu Hengrui Pharmaceuticals Co. (US Agent eVenus Pharmaceutical Laboratories, Inc.)</v>
      </c>
      <c r="C423" s="5" t="str">
        <f>IFERROR(__xludf.DUMMYFUNCTION("""COMPUTED_VALUE"""),"Desflurane, Liquid for Inhalation, 240 mL/240 mL (NDC 0781-6172-86)")</f>
        <v>Desflurane, Liquid for Inhalation, 240 mL/240 mL (NDC 0781-6172-86)</v>
      </c>
      <c r="D423" s="5" t="str">
        <f>IFERROR(__xludf.DUMMYFUNCTION("""COMPUTED_VALUE"""),"New")</f>
        <v>New</v>
      </c>
      <c r="E423" s="10">
        <f>IFERROR(__xludf.DUMMYFUNCTION("""COMPUTED_VALUE"""),46205.0)</f>
        <v>46205</v>
      </c>
      <c r="F423" s="5"/>
      <c r="G423" s="5" t="str">
        <f>IFERROR(__xludf.DUMMYFUNCTION("""COMPUTED_VALUE"""),"Discontinuation of the manufacture of the drug; Distributed by Sandoz, Inc.")</f>
        <v>Discontinuation of the manufacture of the drug; Distributed by Sandoz, Inc.</v>
      </c>
      <c r="H423" s="5"/>
      <c r="I423" s="5"/>
      <c r="J423" s="5" t="str">
        <f>IFERROR(__xludf.DUMMYFUNCTION("""COMPUTED_VALUE"""),"Anesthesia")</f>
        <v>Anesthesia</v>
      </c>
      <c r="K423" s="5" t="str">
        <f>IFERROR(__xludf.DUMMYFUNCTION("""COMPUTED_VALUE"""),"To Be Discontinued")</f>
        <v>To Be Discontinued</v>
      </c>
      <c r="L423" s="5"/>
      <c r="M423" s="10">
        <f>IFERROR(__xludf.DUMMYFUNCTION("""COMPUTED_VALUE"""),46205.0)</f>
        <v>46205</v>
      </c>
      <c r="N423" s="10">
        <f>IFERROR(__xludf.DUMMYFUNCTION("""COMPUTED_VALUE"""),46205.0)</f>
        <v>46205</v>
      </c>
      <c r="O423" s="5">
        <v>2026.0</v>
      </c>
      <c r="P423" s="5" t="str">
        <f>IFERROR(__xludf.DUMMYFUNCTION("""COMPUTED_VALUE"""),"Not stated")</f>
        <v>Not stated</v>
      </c>
      <c r="Q423" s="5" t="s">
        <v>135</v>
      </c>
      <c r="R423" s="5" t="s">
        <v>136</v>
      </c>
      <c r="S423" s="11">
        <v>116.0</v>
      </c>
    </row>
    <row r="424">
      <c r="A424" s="5" t="str">
        <f>IFERROR(__xludf.DUMMYFUNCTION("""COMPUTED_VALUE"""),"Desmopressin Acetate Spray")</f>
        <v>Desmopressin Acetate Spray</v>
      </c>
      <c r="B424" s="5" t="str">
        <f>IFERROR(__xludf.DUMMYFUNCTION("""COMPUTED_VALUE"""),"Ferring")</f>
        <v>Ferring</v>
      </c>
      <c r="C424" s="5" t="str">
        <f>IFERROR(__xludf.DUMMYFUNCTION("""COMPUTED_VALUE"""),"Desmopressin Acetate, Spray, 10 ug/.1 mL (NDC 69918-501-05)")</f>
        <v>Desmopressin Acetate, Spray, 10 ug/.1 mL (NDC 69918-501-05)</v>
      </c>
      <c r="D424" s="5" t="str">
        <f>IFERROR(__xludf.DUMMYFUNCTION("""COMPUTED_VALUE"""),"Reverified")</f>
        <v>Reverified</v>
      </c>
      <c r="E424" s="10">
        <f>IFERROR(__xludf.DUMMYFUNCTION("""COMPUTED_VALUE"""),46143.0)</f>
        <v>46143</v>
      </c>
      <c r="F424" s="5" t="str">
        <f>IFERROR(__xludf.DUMMYFUNCTION("""COMPUTED_VALUE"""),"Unavailable")</f>
        <v>Unavailable</v>
      </c>
      <c r="G424" s="5" t="str">
        <f>IFERROR(__xludf.DUMMYFUNCTION("""COMPUTED_VALUE"""),"Estimated recovery: TBD")</f>
        <v>Estimated recovery: TBD</v>
      </c>
      <c r="H424" s="5"/>
      <c r="I424" s="5" t="str">
        <f>IFERROR(__xludf.DUMMYFUNCTION("""COMPUTED_VALUE"""),"Requirements related to complying with good manufacturing practices")</f>
        <v>Requirements related to complying with good manufacturing practices</v>
      </c>
      <c r="J424" s="5" t="str">
        <f>IFERROR(__xludf.DUMMYFUNCTION("""COMPUTED_VALUE"""),"Hematology")</f>
        <v>Hematology</v>
      </c>
      <c r="K424" s="5" t="str">
        <f>IFERROR(__xludf.DUMMYFUNCTION("""COMPUTED_VALUE"""),"Current")</f>
        <v>Current</v>
      </c>
      <c r="L424" s="5"/>
      <c r="M424" s="5"/>
      <c r="N424" s="10">
        <f>IFERROR(__xludf.DUMMYFUNCTION("""COMPUTED_VALUE"""),44267.0)</f>
        <v>44267</v>
      </c>
      <c r="O424" s="5">
        <v>2021.0</v>
      </c>
      <c r="P424" s="5" t="str">
        <f>IFERROR(__xludf.DUMMYFUNCTION("""COMPUTED_VALUE"""),"Unavailable")</f>
        <v>Unavailable</v>
      </c>
      <c r="Q424" s="5" t="s">
        <v>295</v>
      </c>
      <c r="R424" s="5" t="s">
        <v>136</v>
      </c>
      <c r="S424" s="11">
        <v>2054.0</v>
      </c>
    </row>
    <row r="425">
      <c r="A425" s="5" t="str">
        <f>IFERROR(__xludf.DUMMYFUNCTION("""COMPUTED_VALUE"""),"Desmopressin Acetate Spray")</f>
        <v>Desmopressin Acetate Spray</v>
      </c>
      <c r="B425" s="5" t="str">
        <f>IFERROR(__xludf.DUMMYFUNCTION("""COMPUTED_VALUE"""),"Ferring")</f>
        <v>Ferring</v>
      </c>
      <c r="C425" s="5" t="str">
        <f>IFERROR(__xludf.DUMMYFUNCTION("""COMPUTED_VALUE"""),"Stimate, Spray, 1.5 mg/1 mL (NDC 0053-6871-00)")</f>
        <v>Stimate, Spray, 1.5 mg/1 mL (NDC 0053-6871-00)</v>
      </c>
      <c r="D425" s="5" t="str">
        <f>IFERROR(__xludf.DUMMYFUNCTION("""COMPUTED_VALUE"""),"Reverified")</f>
        <v>Reverified</v>
      </c>
      <c r="E425" s="10">
        <f>IFERROR(__xludf.DUMMYFUNCTION("""COMPUTED_VALUE"""),46143.0)</f>
        <v>46143</v>
      </c>
      <c r="F425" s="5" t="str">
        <f>IFERROR(__xludf.DUMMYFUNCTION("""COMPUTED_VALUE"""),"Unavailable")</f>
        <v>Unavailable</v>
      </c>
      <c r="G425" s="5" t="str">
        <f>IFERROR(__xludf.DUMMYFUNCTION("""COMPUTED_VALUE"""),"Estimated recovery: TBD")</f>
        <v>Estimated recovery: TBD</v>
      </c>
      <c r="H425" s="5"/>
      <c r="I425" s="5" t="str">
        <f>IFERROR(__xludf.DUMMYFUNCTION("""COMPUTED_VALUE"""),"Requirements related to complying with good manufacturing practices")</f>
        <v>Requirements related to complying with good manufacturing practices</v>
      </c>
      <c r="J425" s="5" t="str">
        <f>IFERROR(__xludf.DUMMYFUNCTION("""COMPUTED_VALUE"""),"Hematology")</f>
        <v>Hematology</v>
      </c>
      <c r="K425" s="5" t="str">
        <f>IFERROR(__xludf.DUMMYFUNCTION("""COMPUTED_VALUE"""),"Current")</f>
        <v>Current</v>
      </c>
      <c r="L425" s="5"/>
      <c r="M425" s="5"/>
      <c r="N425" s="10">
        <f>IFERROR(__xludf.DUMMYFUNCTION("""COMPUTED_VALUE"""),44267.0)</f>
        <v>44267</v>
      </c>
      <c r="O425" s="5">
        <v>2021.0</v>
      </c>
      <c r="P425" s="5" t="str">
        <f>IFERROR(__xludf.DUMMYFUNCTION("""COMPUTED_VALUE"""),"Unavailable")</f>
        <v>Unavailable</v>
      </c>
      <c r="Q425" s="5" t="s">
        <v>295</v>
      </c>
      <c r="R425" s="5" t="s">
        <v>136</v>
      </c>
      <c r="S425" s="11">
        <v>2054.0</v>
      </c>
    </row>
    <row r="426">
      <c r="A426" s="5" t="str">
        <f>IFERROR(__xludf.DUMMYFUNCTION("""COMPUTED_VALUE"""),"Desmopressin Acetate Spray")</f>
        <v>Desmopressin Acetate Spray</v>
      </c>
      <c r="B426" s="5" t="str">
        <f>IFERROR(__xludf.DUMMYFUNCTION("""COMPUTED_VALUE"""),"Ferring")</f>
        <v>Ferring</v>
      </c>
      <c r="C426" s="5" t="str">
        <f>IFERROR(__xludf.DUMMYFUNCTION("""COMPUTED_VALUE"""),"Ddavp, Spray, .1 ug/1 mL (NDC 55566-2500-0)")</f>
        <v>Ddavp, Spray, .1 ug/1 mL (NDC 55566-2500-0)</v>
      </c>
      <c r="D426" s="5" t="str">
        <f>IFERROR(__xludf.DUMMYFUNCTION("""COMPUTED_VALUE"""),"Reverified")</f>
        <v>Reverified</v>
      </c>
      <c r="E426" s="10">
        <f>IFERROR(__xludf.DUMMYFUNCTION("""COMPUTED_VALUE"""),46143.0)</f>
        <v>46143</v>
      </c>
      <c r="F426" s="5" t="str">
        <f>IFERROR(__xludf.DUMMYFUNCTION("""COMPUTED_VALUE"""),"Unavailable")</f>
        <v>Unavailable</v>
      </c>
      <c r="G426" s="5" t="str">
        <f>IFERROR(__xludf.DUMMYFUNCTION("""COMPUTED_VALUE"""),"Estimated recovery: TBD")</f>
        <v>Estimated recovery: TBD</v>
      </c>
      <c r="H426" s="5"/>
      <c r="I426" s="5" t="str">
        <f>IFERROR(__xludf.DUMMYFUNCTION("""COMPUTED_VALUE"""),"Requirements related to complying with good manufacturing practices")</f>
        <v>Requirements related to complying with good manufacturing practices</v>
      </c>
      <c r="J426" s="5" t="str">
        <f>IFERROR(__xludf.DUMMYFUNCTION("""COMPUTED_VALUE"""),"Hematology")</f>
        <v>Hematology</v>
      </c>
      <c r="K426" s="5" t="str">
        <f>IFERROR(__xludf.DUMMYFUNCTION("""COMPUTED_VALUE"""),"Current")</f>
        <v>Current</v>
      </c>
      <c r="L426" s="5"/>
      <c r="M426" s="5"/>
      <c r="N426" s="10">
        <f>IFERROR(__xludf.DUMMYFUNCTION("""COMPUTED_VALUE"""),44267.0)</f>
        <v>44267</v>
      </c>
      <c r="O426" s="5">
        <v>2021.0</v>
      </c>
      <c r="P426" s="5" t="str">
        <f>IFERROR(__xludf.DUMMYFUNCTION("""COMPUTED_VALUE"""),"Unavailable")</f>
        <v>Unavailable</v>
      </c>
      <c r="Q426" s="5" t="s">
        <v>295</v>
      </c>
      <c r="R426" s="5" t="s">
        <v>136</v>
      </c>
      <c r="S426" s="11">
        <v>2054.0</v>
      </c>
    </row>
    <row r="427">
      <c r="A427" s="5" t="str">
        <f>IFERROR(__xludf.DUMMYFUNCTION("""COMPUTED_VALUE"""),"Desmopressin Acetate Spray")</f>
        <v>Desmopressin Acetate Spray</v>
      </c>
      <c r="B427" s="5" t="str">
        <f>IFERROR(__xludf.DUMMYFUNCTION("""COMPUTED_VALUE"""),"Apotex Corp.")</f>
        <v>Apotex Corp.</v>
      </c>
      <c r="C427" s="5" t="str">
        <f>IFERROR(__xludf.DUMMYFUNCTION("""COMPUTED_VALUE"""),"Desmopressin Acetate (needs No Refrigeration), Spray, 10 ug (NDC 60505-0815-0)")</f>
        <v>Desmopressin Acetate (needs No Refrigeration), Spray, 10 ug (NDC 60505-0815-0)</v>
      </c>
      <c r="D427" s="5" t="str">
        <f>IFERROR(__xludf.DUMMYFUNCTION("""COMPUTED_VALUE"""),"Revised")</f>
        <v>Revised</v>
      </c>
      <c r="E427" s="13">
        <f>IFERROR(__xludf.DUMMYFUNCTION("""COMPUTED_VALUE"""),46310.0)</f>
        <v>46310</v>
      </c>
      <c r="F427" s="5" t="str">
        <f>IFERROR(__xludf.DUMMYFUNCTION("""COMPUTED_VALUE"""),"Limited Availability")</f>
        <v>Limited Availability</v>
      </c>
      <c r="G427" s="5" t="str">
        <f>IFERROR(__xludf.DUMMYFUNCTION("""COMPUTED_VALUE"""),"Replenishment expected mid to late November 2026")</f>
        <v>Replenishment expected mid to late November 2026</v>
      </c>
      <c r="H427" s="5"/>
      <c r="I427" s="5" t="str">
        <f>IFERROR(__xludf.DUMMYFUNCTION("""COMPUTED_VALUE"""),"Delay in shipping of the drug")</f>
        <v>Delay in shipping of the drug</v>
      </c>
      <c r="J427" s="5" t="str">
        <f>IFERROR(__xludf.DUMMYFUNCTION("""COMPUTED_VALUE"""),"Hematology")</f>
        <v>Hematology</v>
      </c>
      <c r="K427" s="5" t="str">
        <f>IFERROR(__xludf.DUMMYFUNCTION("""COMPUTED_VALUE"""),"Current")</f>
        <v>Current</v>
      </c>
      <c r="L427" s="5"/>
      <c r="M427" s="5"/>
      <c r="N427" s="10">
        <f>IFERROR(__xludf.DUMMYFUNCTION("""COMPUTED_VALUE"""),44267.0)</f>
        <v>44267</v>
      </c>
      <c r="O427" s="5">
        <v>2021.0</v>
      </c>
      <c r="P427" s="5" t="str">
        <f>IFERROR(__xludf.DUMMYFUNCTION("""COMPUTED_VALUE"""),"Limited Availability")</f>
        <v>Limited Availability</v>
      </c>
      <c r="Q427" s="5" t="s">
        <v>562</v>
      </c>
      <c r="R427" s="5" t="s">
        <v>136</v>
      </c>
      <c r="S427" s="11">
        <v>2054.0</v>
      </c>
    </row>
    <row r="428">
      <c r="A428" s="5" t="str">
        <f>IFERROR(__xludf.DUMMYFUNCTION("""COMPUTED_VALUE"""),"Dexamethasone Sodium Phosphate Injection")</f>
        <v>Dexamethasone Sodium Phosphate Injection</v>
      </c>
      <c r="B428" s="5" t="str">
        <f>IFERROR(__xludf.DUMMYFUNCTION("""COMPUTED_VALUE"""),"Eugia US LLC")</f>
        <v>Eugia US LLC</v>
      </c>
      <c r="C428" s="5" t="str">
        <f>IFERROR(__xludf.DUMMYFUNCTION("""COMPUTED_VALUE"""),"Dexamethasone Sodium Phosphate, Injection, 10 mg/1 mL (NDC 55150-304-25)")</f>
        <v>Dexamethasone Sodium Phosphate, Injection, 10 mg/1 mL (NDC 55150-304-25)</v>
      </c>
      <c r="D428" s="5" t="str">
        <f>IFERROR(__xludf.DUMMYFUNCTION("""COMPUTED_VALUE"""),"Reverified")</f>
        <v>Reverified</v>
      </c>
      <c r="E428" s="13">
        <f>IFERROR(__xludf.DUMMYFUNCTION("""COMPUTED_VALUE"""),46314.0)</f>
        <v>46314</v>
      </c>
      <c r="F428" s="5" t="str">
        <f>IFERROR(__xludf.DUMMYFUNCTION("""COMPUTED_VALUE"""),"Available")</f>
        <v>Available</v>
      </c>
      <c r="G428" s="5" t="str">
        <f>IFERROR(__xludf.DUMMYFUNCTION("""COMPUTED_VALUE"""),"Check wholesalers for inventory")</f>
        <v>Check wholesalers for inventory</v>
      </c>
      <c r="H428" s="5"/>
      <c r="I428" s="5"/>
      <c r="J428"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28" s="5" t="str">
        <f>IFERROR(__xludf.DUMMYFUNCTION("""COMPUTED_VALUE"""),"Current")</f>
        <v>Current</v>
      </c>
      <c r="L428" s="5"/>
      <c r="M428" s="5"/>
      <c r="N428" s="10">
        <f>IFERROR(__xludf.DUMMYFUNCTION("""COMPUTED_VALUE"""),43504.0)</f>
        <v>43504</v>
      </c>
      <c r="O428" s="5">
        <v>2019.0</v>
      </c>
      <c r="P428" s="5" t="str">
        <f>IFERROR(__xludf.DUMMYFUNCTION("""COMPUTED_VALUE"""),"Available")</f>
        <v>Available</v>
      </c>
      <c r="Q428" s="5" t="s">
        <v>135</v>
      </c>
      <c r="R428" s="5" t="s">
        <v>136</v>
      </c>
      <c r="S428" s="11">
        <v>2817.0</v>
      </c>
    </row>
    <row r="429">
      <c r="A429" s="5" t="str">
        <f>IFERROR(__xludf.DUMMYFUNCTION("""COMPUTED_VALUE"""),"Dexamethasone Sodium Phosphate Injection")</f>
        <v>Dexamethasone Sodium Phosphate Injection</v>
      </c>
      <c r="B429" s="5" t="str">
        <f>IFERROR(__xludf.DUMMYFUNCTION("""COMPUTED_VALUE"""),"Fresenius Kabi USA, LLC")</f>
        <v>Fresenius Kabi USA, LLC</v>
      </c>
      <c r="C429" s="5" t="str">
        <f>IFERROR(__xludf.DUMMYFUNCTION("""COMPUTED_VALUE"""),"Dexamethasone Sodium Phosphate, Injection, 4 mg/1 mL (NDC 76045-0210-10)")</f>
        <v>Dexamethasone Sodium Phosphate, Injection, 4 mg/1 mL (NDC 76045-0210-10)</v>
      </c>
      <c r="D429" s="5" t="str">
        <f>IFERROR(__xludf.DUMMYFUNCTION("""COMPUTED_VALUE"""),"Reverified")</f>
        <v>Reverified</v>
      </c>
      <c r="E429" s="13">
        <f>IFERROR(__xludf.DUMMYFUNCTION("""COMPUTED_VALUE"""),46310.0)</f>
        <v>46310</v>
      </c>
      <c r="F429" s="5" t="str">
        <f>IFERROR(__xludf.DUMMYFUNCTION("""COMPUTED_VALUE"""),"Available")</f>
        <v>Available</v>
      </c>
      <c r="G429" s="5" t="str">
        <f>IFERROR(__xludf.DUMMYFUNCTION("""COMPUTED_VALUE"""),"Checkwholesalers for inventory")</f>
        <v>Checkwholesalers for inventory</v>
      </c>
      <c r="H429" s="5"/>
      <c r="I429" s="5"/>
      <c r="J429"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29" s="5" t="str">
        <f>IFERROR(__xludf.DUMMYFUNCTION("""COMPUTED_VALUE"""),"Current")</f>
        <v>Current</v>
      </c>
      <c r="L429" s="5"/>
      <c r="M429" s="5"/>
      <c r="N429" s="10">
        <f>IFERROR(__xludf.DUMMYFUNCTION("""COMPUTED_VALUE"""),43504.0)</f>
        <v>43504</v>
      </c>
      <c r="O429" s="5">
        <v>2019.0</v>
      </c>
      <c r="P429" s="5" t="str">
        <f>IFERROR(__xludf.DUMMYFUNCTION("""COMPUTED_VALUE"""),"Available")</f>
        <v>Available</v>
      </c>
      <c r="Q429" s="5" t="s">
        <v>135</v>
      </c>
      <c r="R429" s="5" t="s">
        <v>136</v>
      </c>
      <c r="S429" s="11">
        <v>2817.0</v>
      </c>
    </row>
    <row r="430">
      <c r="A430" s="5" t="str">
        <f>IFERROR(__xludf.DUMMYFUNCTION("""COMPUTED_VALUE"""),"Dexamethasone Sodium Phosphate Injection")</f>
        <v>Dexamethasone Sodium Phosphate Injection</v>
      </c>
      <c r="B430" s="5" t="str">
        <f>IFERROR(__xludf.DUMMYFUNCTION("""COMPUTED_VALUE"""),"Fresenius Kabi USA, LLC")</f>
        <v>Fresenius Kabi USA, LLC</v>
      </c>
      <c r="C430" s="5" t="str">
        <f>IFERROR(__xludf.DUMMYFUNCTION("""COMPUTED_VALUE"""),"Dexamethasone Sodium Phosphate, Injection, 10 mg/1 mL (NDC 76045-0212-10)")</f>
        <v>Dexamethasone Sodium Phosphate, Injection, 10 mg/1 mL (NDC 76045-0212-10)</v>
      </c>
      <c r="D430" s="5" t="str">
        <f>IFERROR(__xludf.DUMMYFUNCTION("""COMPUTED_VALUE"""),"Revised")</f>
        <v>Revised</v>
      </c>
      <c r="E430" s="13">
        <f>IFERROR(__xludf.DUMMYFUNCTION("""COMPUTED_VALUE"""),46310.0)</f>
        <v>46310</v>
      </c>
      <c r="F430" s="5" t="str">
        <f>IFERROR(__xludf.DUMMYFUNCTION("""COMPUTED_VALUE"""),"Unavailable")</f>
        <v>Unavailable</v>
      </c>
      <c r="G430" s="5" t="str">
        <f>IFERROR(__xludf.DUMMYFUNCTION("""COMPUTED_VALUE"""),"Next release January 2027. Check wholesalers for inventory.")</f>
        <v>Next release January 2027. Check wholesalers for inventory.</v>
      </c>
      <c r="H430" s="5"/>
      <c r="I430" s="5" t="str">
        <f>IFERROR(__xludf.DUMMYFUNCTION("""COMPUTED_VALUE"""),"Demand increase for the drug")</f>
        <v>Demand increase for the drug</v>
      </c>
      <c r="J430"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30" s="5" t="str">
        <f>IFERROR(__xludf.DUMMYFUNCTION("""COMPUTED_VALUE"""),"Current")</f>
        <v>Current</v>
      </c>
      <c r="L430" s="5"/>
      <c r="M430" s="5"/>
      <c r="N430" s="10">
        <f>IFERROR(__xludf.DUMMYFUNCTION("""COMPUTED_VALUE"""),43504.0)</f>
        <v>43504</v>
      </c>
      <c r="O430" s="5">
        <v>2019.0</v>
      </c>
      <c r="P430" s="5" t="str">
        <f>IFERROR(__xludf.DUMMYFUNCTION("""COMPUTED_VALUE"""),"Unavailable")</f>
        <v>Unavailable</v>
      </c>
      <c r="Q430" s="5" t="s">
        <v>134</v>
      </c>
      <c r="R430" s="5" t="s">
        <v>136</v>
      </c>
      <c r="S430" s="11">
        <v>2817.0</v>
      </c>
    </row>
    <row r="431">
      <c r="A431" s="5" t="str">
        <f>IFERROR(__xludf.DUMMYFUNCTION("""COMPUTED_VALUE"""),"Dexamethasone Sodium Phosphate Injection")</f>
        <v>Dexamethasone Sodium Phosphate Injection</v>
      </c>
      <c r="B431" s="5" t="str">
        <f>IFERROR(__xludf.DUMMYFUNCTION("""COMPUTED_VALUE"""),"Mylan Institutional, a Viatris Company")</f>
        <v>Mylan Institutional, a Viatris Company</v>
      </c>
      <c r="C431" s="5" t="str">
        <f>IFERROR(__xludf.DUMMYFUNCTION("""COMPUTED_VALUE"""),"Dexamethasone Sodium Phosphate, Injection, 4 mg/1 mL (NDC 67457-423-12)")</f>
        <v>Dexamethasone Sodium Phosphate, Injection, 4 mg/1 mL (NDC 67457-423-12)</v>
      </c>
      <c r="D431" s="5" t="str">
        <f>IFERROR(__xludf.DUMMYFUNCTION("""COMPUTED_VALUE"""),"Reverified")</f>
        <v>Reverified</v>
      </c>
      <c r="E431" s="13">
        <f>IFERROR(__xludf.DUMMYFUNCTION("""COMPUTED_VALUE"""),46314.0)</f>
        <v>46314</v>
      </c>
      <c r="F431" s="5" t="str">
        <f>IFERROR(__xludf.DUMMYFUNCTION("""COMPUTED_VALUE"""),"Available")</f>
        <v>Available</v>
      </c>
      <c r="G431" s="5"/>
      <c r="H431" s="5"/>
      <c r="I431" s="5"/>
      <c r="J431"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31" s="5" t="str">
        <f>IFERROR(__xludf.DUMMYFUNCTION("""COMPUTED_VALUE"""),"Current")</f>
        <v>Current</v>
      </c>
      <c r="L431" s="5"/>
      <c r="M431" s="5"/>
      <c r="N431" s="10">
        <f>IFERROR(__xludf.DUMMYFUNCTION("""COMPUTED_VALUE"""),43504.0)</f>
        <v>43504</v>
      </c>
      <c r="O431" s="5">
        <v>2019.0</v>
      </c>
      <c r="P431" s="5" t="str">
        <f>IFERROR(__xludf.DUMMYFUNCTION("""COMPUTED_VALUE"""),"Available")</f>
        <v>Available</v>
      </c>
      <c r="Q431" s="5" t="s">
        <v>135</v>
      </c>
      <c r="R431" s="5" t="s">
        <v>136</v>
      </c>
      <c r="S431" s="11">
        <v>2817.0</v>
      </c>
    </row>
    <row r="432">
      <c r="A432" s="5" t="str">
        <f>IFERROR(__xludf.DUMMYFUNCTION("""COMPUTED_VALUE"""),"Dexamethasone Sodium Phosphate Injection")</f>
        <v>Dexamethasone Sodium Phosphate Injection</v>
      </c>
      <c r="B432" s="5" t="str">
        <f>IFERROR(__xludf.DUMMYFUNCTION("""COMPUTED_VALUE"""),"Mylan Institutional, a Viatris Company")</f>
        <v>Mylan Institutional, a Viatris Company</v>
      </c>
      <c r="C432" s="5" t="str">
        <f>IFERROR(__xludf.DUMMYFUNCTION("""COMPUTED_VALUE"""),"Dexamethasone Sodium Phosphate, Injection, 4 mg/1 mL (NDC 67457-422-54)")</f>
        <v>Dexamethasone Sodium Phosphate, Injection, 4 mg/1 mL (NDC 67457-422-54)</v>
      </c>
      <c r="D432" s="5" t="str">
        <f>IFERROR(__xludf.DUMMYFUNCTION("""COMPUTED_VALUE"""),"Reverified")</f>
        <v>Reverified</v>
      </c>
      <c r="E432" s="13">
        <f>IFERROR(__xludf.DUMMYFUNCTION("""COMPUTED_VALUE"""),46314.0)</f>
        <v>46314</v>
      </c>
      <c r="F432" s="5" t="str">
        <f>IFERROR(__xludf.DUMMYFUNCTION("""COMPUTED_VALUE"""),"Available")</f>
        <v>Available</v>
      </c>
      <c r="G432" s="5"/>
      <c r="H432" s="5"/>
      <c r="I432" s="5"/>
      <c r="J432"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32" s="5" t="str">
        <f>IFERROR(__xludf.DUMMYFUNCTION("""COMPUTED_VALUE"""),"Current")</f>
        <v>Current</v>
      </c>
      <c r="L432" s="5"/>
      <c r="M432" s="5"/>
      <c r="N432" s="10">
        <f>IFERROR(__xludf.DUMMYFUNCTION("""COMPUTED_VALUE"""),43504.0)</f>
        <v>43504</v>
      </c>
      <c r="O432" s="5">
        <v>2019.0</v>
      </c>
      <c r="P432" s="5" t="str">
        <f>IFERROR(__xludf.DUMMYFUNCTION("""COMPUTED_VALUE"""),"Available")</f>
        <v>Available</v>
      </c>
      <c r="Q432" s="5" t="s">
        <v>135</v>
      </c>
      <c r="R432" s="5" t="s">
        <v>136</v>
      </c>
      <c r="S432" s="11">
        <v>2817.0</v>
      </c>
    </row>
    <row r="433">
      <c r="A433" s="5" t="str">
        <f>IFERROR(__xludf.DUMMYFUNCTION("""COMPUTED_VALUE"""),"Dexamethasone Sodium Phosphate Injection")</f>
        <v>Dexamethasone Sodium Phosphate Injection</v>
      </c>
      <c r="B433" s="5" t="str">
        <f>IFERROR(__xludf.DUMMYFUNCTION("""COMPUTED_VALUE"""),"Mylan Institutional, a Viatris Company")</f>
        <v>Mylan Institutional, a Viatris Company</v>
      </c>
      <c r="C433" s="5" t="str">
        <f>IFERROR(__xludf.DUMMYFUNCTION("""COMPUTED_VALUE"""),"Dexamethasone Sodium Phosphate, Injection, 4 mg/1 mL (NDC 67457-421-30)")</f>
        <v>Dexamethasone Sodium Phosphate, Injection, 4 mg/1 mL (NDC 67457-421-30)</v>
      </c>
      <c r="D433" s="5" t="str">
        <f>IFERROR(__xludf.DUMMYFUNCTION("""COMPUTED_VALUE"""),"Reverified")</f>
        <v>Reverified</v>
      </c>
      <c r="E433" s="13">
        <f>IFERROR(__xludf.DUMMYFUNCTION("""COMPUTED_VALUE"""),46314.0)</f>
        <v>46314</v>
      </c>
      <c r="F433" s="5" t="str">
        <f>IFERROR(__xludf.DUMMYFUNCTION("""COMPUTED_VALUE"""),"Available")</f>
        <v>Available</v>
      </c>
      <c r="G433" s="5"/>
      <c r="H433" s="5"/>
      <c r="I433" s="5"/>
      <c r="J433"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33" s="5" t="str">
        <f>IFERROR(__xludf.DUMMYFUNCTION("""COMPUTED_VALUE"""),"Current")</f>
        <v>Current</v>
      </c>
      <c r="L433" s="5"/>
      <c r="M433" s="5"/>
      <c r="N433" s="10">
        <f>IFERROR(__xludf.DUMMYFUNCTION("""COMPUTED_VALUE"""),43504.0)</f>
        <v>43504</v>
      </c>
      <c r="O433" s="5">
        <v>2019.0</v>
      </c>
      <c r="P433" s="5" t="str">
        <f>IFERROR(__xludf.DUMMYFUNCTION("""COMPUTED_VALUE"""),"Available")</f>
        <v>Available</v>
      </c>
      <c r="Q433" s="5" t="s">
        <v>135</v>
      </c>
      <c r="R433" s="5" t="s">
        <v>136</v>
      </c>
      <c r="S433" s="11">
        <v>2817.0</v>
      </c>
    </row>
    <row r="434">
      <c r="A434" s="5" t="str">
        <f>IFERROR(__xludf.DUMMYFUNCTION("""COMPUTED_VALUE"""),"Dexamethasone Sodium Phosphate Injection")</f>
        <v>Dexamethasone Sodium Phosphate Injection</v>
      </c>
      <c r="B434" s="5" t="str">
        <f>IFERROR(__xludf.DUMMYFUNCTION("""COMPUTED_VALUE"""),"Mylan Institutional, a Viatris Company")</f>
        <v>Mylan Institutional, a Viatris Company</v>
      </c>
      <c r="C434" s="5" t="str">
        <f>IFERROR(__xludf.DUMMYFUNCTION("""COMPUTED_VALUE"""),"Dexamethasone Sodium Phosphate, Injection, 10 mg/1 mL (NDC 67457-420-10)")</f>
        <v>Dexamethasone Sodium Phosphate, Injection, 10 mg/1 mL (NDC 67457-420-10)</v>
      </c>
      <c r="D434" s="5" t="str">
        <f>IFERROR(__xludf.DUMMYFUNCTION("""COMPUTED_VALUE"""),"Reverified")</f>
        <v>Reverified</v>
      </c>
      <c r="E434" s="13">
        <f>IFERROR(__xludf.DUMMYFUNCTION("""COMPUTED_VALUE"""),46314.0)</f>
        <v>46314</v>
      </c>
      <c r="F434" s="5" t="str">
        <f>IFERROR(__xludf.DUMMYFUNCTION("""COMPUTED_VALUE"""),"Available")</f>
        <v>Available</v>
      </c>
      <c r="G434" s="5"/>
      <c r="H434" s="5"/>
      <c r="I434" s="5"/>
      <c r="J434"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34" s="5" t="str">
        <f>IFERROR(__xludf.DUMMYFUNCTION("""COMPUTED_VALUE"""),"Current")</f>
        <v>Current</v>
      </c>
      <c r="L434" s="5"/>
      <c r="M434" s="5"/>
      <c r="N434" s="10">
        <f>IFERROR(__xludf.DUMMYFUNCTION("""COMPUTED_VALUE"""),43504.0)</f>
        <v>43504</v>
      </c>
      <c r="O434" s="5">
        <v>2019.0</v>
      </c>
      <c r="P434" s="5" t="str">
        <f>IFERROR(__xludf.DUMMYFUNCTION("""COMPUTED_VALUE"""),"Available")</f>
        <v>Available</v>
      </c>
      <c r="Q434" s="5" t="s">
        <v>135</v>
      </c>
      <c r="R434" s="5" t="s">
        <v>136</v>
      </c>
      <c r="S434" s="11">
        <v>2817.0</v>
      </c>
    </row>
    <row r="435">
      <c r="A435" s="5" t="str">
        <f>IFERROR(__xludf.DUMMYFUNCTION("""COMPUTED_VALUE"""),"Dexamethasone Sodium Phosphate Injection")</f>
        <v>Dexamethasone Sodium Phosphate Injection</v>
      </c>
      <c r="B435" s="5" t="str">
        <f>IFERROR(__xludf.DUMMYFUNCTION("""COMPUTED_VALUE"""),"Somerset Therapeutics, LLC")</f>
        <v>Somerset Therapeutics, LLC</v>
      </c>
      <c r="C435" s="5" t="str">
        <f>IFERROR(__xludf.DUMMYFUNCTION("""COMPUTED_VALUE"""),"Dexamethasone Sodium Phosphate Preservative Free, Injection, 10 mg/1 mL (NDC 70069-021-25)")</f>
        <v>Dexamethasone Sodium Phosphate Preservative Free, Injection, 10 mg/1 mL (NDC 70069-021-25)</v>
      </c>
      <c r="D435" s="5" t="str">
        <f>IFERROR(__xludf.DUMMYFUNCTION("""COMPUTED_VALUE"""),"Reverified")</f>
        <v>Reverified</v>
      </c>
      <c r="E435" s="10">
        <f>IFERROR(__xludf.DUMMYFUNCTION("""COMPUTED_VALUE"""),46276.0)</f>
        <v>46276</v>
      </c>
      <c r="F435" s="5" t="str">
        <f>IFERROR(__xludf.DUMMYFUNCTION("""COMPUTED_VALUE"""),"Available")</f>
        <v>Available</v>
      </c>
      <c r="G435" s="5"/>
      <c r="H435" s="5"/>
      <c r="I435" s="5"/>
      <c r="J435"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35" s="5" t="str">
        <f>IFERROR(__xludf.DUMMYFUNCTION("""COMPUTED_VALUE"""),"Current")</f>
        <v>Current</v>
      </c>
      <c r="L435" s="5"/>
      <c r="M435" s="5"/>
      <c r="N435" s="10">
        <f>IFERROR(__xludf.DUMMYFUNCTION("""COMPUTED_VALUE"""),43504.0)</f>
        <v>43504</v>
      </c>
      <c r="O435" s="5">
        <v>2019.0</v>
      </c>
      <c r="P435" s="5" t="str">
        <f>IFERROR(__xludf.DUMMYFUNCTION("""COMPUTED_VALUE"""),"Available")</f>
        <v>Available</v>
      </c>
      <c r="Q435" s="5" t="s">
        <v>135</v>
      </c>
      <c r="R435" s="5" t="s">
        <v>136</v>
      </c>
      <c r="S435" s="11">
        <v>2817.0</v>
      </c>
    </row>
    <row r="436">
      <c r="A436" s="5" t="str">
        <f>IFERROR(__xludf.DUMMYFUNCTION("""COMPUTED_VALUE"""),"Dexamethasone Sodium Phosphate Injection")</f>
        <v>Dexamethasone Sodium Phosphate Injection</v>
      </c>
      <c r="B436" s="5" t="str">
        <f>IFERROR(__xludf.DUMMYFUNCTION("""COMPUTED_VALUE"""),"Fresenius Kabi USA, LLC")</f>
        <v>Fresenius Kabi USA, LLC</v>
      </c>
      <c r="C436" s="5" t="str">
        <f>IFERROR(__xludf.DUMMYFUNCTION("""COMPUTED_VALUE"""),"Dexamethasone Sodium Phosphate, Injection, 4 mg/1 mL (NDC 63323-165-05)")</f>
        <v>Dexamethasone Sodium Phosphate, Injection, 4 mg/1 mL (NDC 63323-165-05)</v>
      </c>
      <c r="D436" s="5" t="str">
        <f>IFERROR(__xludf.DUMMYFUNCTION("""COMPUTED_VALUE"""),"Reverified")</f>
        <v>Reverified</v>
      </c>
      <c r="E436" s="13">
        <f>IFERROR(__xludf.DUMMYFUNCTION("""COMPUTED_VALUE"""),46310.0)</f>
        <v>46310</v>
      </c>
      <c r="F436" s="5" t="str">
        <f>IFERROR(__xludf.DUMMYFUNCTION("""COMPUTED_VALUE"""),"Available")</f>
        <v>Available</v>
      </c>
      <c r="G436" s="5" t="str">
        <f>IFERROR(__xludf.DUMMYFUNCTION("""COMPUTED_VALUE"""),"Check wholesalers for inventory")</f>
        <v>Check wholesalers for inventory</v>
      </c>
      <c r="H436" s="5"/>
      <c r="I436" s="5"/>
      <c r="J436"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36" s="5" t="str">
        <f>IFERROR(__xludf.DUMMYFUNCTION("""COMPUTED_VALUE"""),"Current")</f>
        <v>Current</v>
      </c>
      <c r="L436" s="5"/>
      <c r="M436" s="5"/>
      <c r="N436" s="10">
        <f>IFERROR(__xludf.DUMMYFUNCTION("""COMPUTED_VALUE"""),43504.0)</f>
        <v>43504</v>
      </c>
      <c r="O436" s="5">
        <v>2019.0</v>
      </c>
      <c r="P436" s="5" t="str">
        <f>IFERROR(__xludf.DUMMYFUNCTION("""COMPUTED_VALUE"""),"Available")</f>
        <v>Available</v>
      </c>
      <c r="Q436" s="5" t="s">
        <v>135</v>
      </c>
      <c r="R436" s="5" t="s">
        <v>136</v>
      </c>
      <c r="S436" s="11">
        <v>2817.0</v>
      </c>
    </row>
    <row r="437">
      <c r="A437" s="5" t="str">
        <f>IFERROR(__xludf.DUMMYFUNCTION("""COMPUTED_VALUE"""),"Dexamethasone Sodium Phosphate Injection")</f>
        <v>Dexamethasone Sodium Phosphate Injection</v>
      </c>
      <c r="B437" s="5" t="str">
        <f>IFERROR(__xludf.DUMMYFUNCTION("""COMPUTED_VALUE"""),"Fresenius Kabi USA, LLC")</f>
        <v>Fresenius Kabi USA, LLC</v>
      </c>
      <c r="C437" s="5" t="str">
        <f>IFERROR(__xludf.DUMMYFUNCTION("""COMPUTED_VALUE"""),"Dexamethasone Sodium Phosphate, Injection, 10 mg/1 mL (NDC 63323-516-10)")</f>
        <v>Dexamethasone Sodium Phosphate, Injection, 10 mg/1 mL (NDC 63323-516-10)</v>
      </c>
      <c r="D437" s="5" t="str">
        <f>IFERROR(__xludf.DUMMYFUNCTION("""COMPUTED_VALUE"""),"Reverified")</f>
        <v>Reverified</v>
      </c>
      <c r="E437" s="13">
        <f>IFERROR(__xludf.DUMMYFUNCTION("""COMPUTED_VALUE"""),46310.0)</f>
        <v>46310</v>
      </c>
      <c r="F437" s="5" t="str">
        <f>IFERROR(__xludf.DUMMYFUNCTION("""COMPUTED_VALUE"""),"Available")</f>
        <v>Available</v>
      </c>
      <c r="G437" s="5" t="str">
        <f>IFERROR(__xludf.DUMMYFUNCTION("""COMPUTED_VALUE"""),"Check wholesalers for inventory")</f>
        <v>Check wholesalers for inventory</v>
      </c>
      <c r="H437" s="5"/>
      <c r="I437" s="5"/>
      <c r="J437"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37" s="5" t="str">
        <f>IFERROR(__xludf.DUMMYFUNCTION("""COMPUTED_VALUE"""),"Current")</f>
        <v>Current</v>
      </c>
      <c r="L437" s="5"/>
      <c r="M437" s="5"/>
      <c r="N437" s="10">
        <f>IFERROR(__xludf.DUMMYFUNCTION("""COMPUTED_VALUE"""),43504.0)</f>
        <v>43504</v>
      </c>
      <c r="O437" s="5">
        <v>2019.0</v>
      </c>
      <c r="P437" s="5" t="str">
        <f>IFERROR(__xludf.DUMMYFUNCTION("""COMPUTED_VALUE"""),"Available")</f>
        <v>Available</v>
      </c>
      <c r="Q437" s="5" t="s">
        <v>135</v>
      </c>
      <c r="R437" s="5" t="s">
        <v>136</v>
      </c>
      <c r="S437" s="11">
        <v>2817.0</v>
      </c>
    </row>
    <row r="438">
      <c r="A438" s="5" t="str">
        <f>IFERROR(__xludf.DUMMYFUNCTION("""COMPUTED_VALUE"""),"Dexamethasone Sodium Phosphate Injection")</f>
        <v>Dexamethasone Sodium Phosphate Injection</v>
      </c>
      <c r="B438" s="5" t="str">
        <f>IFERROR(__xludf.DUMMYFUNCTION("""COMPUTED_VALUE"""),"Fresenius Kabi USA, LLC")</f>
        <v>Fresenius Kabi USA, LLC</v>
      </c>
      <c r="C438" s="5" t="str">
        <f>IFERROR(__xludf.DUMMYFUNCTION("""COMPUTED_VALUE"""),"Dexamethasone Sodium Phosphate, Injection, 4 mg/1 mL (NDC 63323-165-30)")</f>
        <v>Dexamethasone Sodium Phosphate, Injection, 4 mg/1 mL (NDC 63323-165-30)</v>
      </c>
      <c r="D438" s="5" t="str">
        <f>IFERROR(__xludf.DUMMYFUNCTION("""COMPUTED_VALUE"""),"Reverified")</f>
        <v>Reverified</v>
      </c>
      <c r="E438" s="13">
        <f>IFERROR(__xludf.DUMMYFUNCTION("""COMPUTED_VALUE"""),46310.0)</f>
        <v>46310</v>
      </c>
      <c r="F438" s="5" t="str">
        <f>IFERROR(__xludf.DUMMYFUNCTION("""COMPUTED_VALUE"""),"Available")</f>
        <v>Available</v>
      </c>
      <c r="G438" s="5" t="str">
        <f>IFERROR(__xludf.DUMMYFUNCTION("""COMPUTED_VALUE"""),"Check wholesalers for inventory")</f>
        <v>Check wholesalers for inventory</v>
      </c>
      <c r="H438" s="5"/>
      <c r="I438" s="5"/>
      <c r="J438"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38" s="5" t="str">
        <f>IFERROR(__xludf.DUMMYFUNCTION("""COMPUTED_VALUE"""),"Current")</f>
        <v>Current</v>
      </c>
      <c r="L438" s="5"/>
      <c r="M438" s="5"/>
      <c r="N438" s="10">
        <f>IFERROR(__xludf.DUMMYFUNCTION("""COMPUTED_VALUE"""),43504.0)</f>
        <v>43504</v>
      </c>
      <c r="O438" s="5">
        <v>2019.0</v>
      </c>
      <c r="P438" s="5" t="str">
        <f>IFERROR(__xludf.DUMMYFUNCTION("""COMPUTED_VALUE"""),"Available")</f>
        <v>Available</v>
      </c>
      <c r="Q438" s="5" t="s">
        <v>135</v>
      </c>
      <c r="R438" s="5" t="s">
        <v>136</v>
      </c>
      <c r="S438" s="11">
        <v>2817.0</v>
      </c>
    </row>
    <row r="439">
      <c r="A439" s="5" t="str">
        <f>IFERROR(__xludf.DUMMYFUNCTION("""COMPUTED_VALUE"""),"Dexamethasone Sodium Phosphate Injection")</f>
        <v>Dexamethasone Sodium Phosphate Injection</v>
      </c>
      <c r="B439" s="5" t="str">
        <f>IFERROR(__xludf.DUMMYFUNCTION("""COMPUTED_VALUE"""),"Fresenius Kabi USA, LLC")</f>
        <v>Fresenius Kabi USA, LLC</v>
      </c>
      <c r="C439" s="5" t="str">
        <f>IFERROR(__xludf.DUMMYFUNCTION("""COMPUTED_VALUE"""),"Dexamethasone Sodium Phosphate, Injection, 4 mg/1 mL (NDC 63323-165-01)")</f>
        <v>Dexamethasone Sodium Phosphate, Injection, 4 mg/1 mL (NDC 63323-165-01)</v>
      </c>
      <c r="D439" s="5" t="str">
        <f>IFERROR(__xludf.DUMMYFUNCTION("""COMPUTED_VALUE"""),"Revised")</f>
        <v>Revised</v>
      </c>
      <c r="E439" s="13">
        <f>IFERROR(__xludf.DUMMYFUNCTION("""COMPUTED_VALUE"""),46310.0)</f>
        <v>46310</v>
      </c>
      <c r="F439" s="5" t="str">
        <f>IFERROR(__xludf.DUMMYFUNCTION("""COMPUTED_VALUE"""),"Unavailable")</f>
        <v>Unavailable</v>
      </c>
      <c r="G439" s="5" t="str">
        <f>IFERROR(__xludf.DUMMYFUNCTION("""COMPUTED_VALUE"""),"Next release October 2026. Check wholesalers for inventory.")</f>
        <v>Next release October 2026. Check wholesalers for inventory.</v>
      </c>
      <c r="H439" s="5"/>
      <c r="I439" s="5" t="str">
        <f>IFERROR(__xludf.DUMMYFUNCTION("""COMPUTED_VALUE"""),"Demand increase for the drug")</f>
        <v>Demand increase for the drug</v>
      </c>
      <c r="J439"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39" s="5" t="str">
        <f>IFERROR(__xludf.DUMMYFUNCTION("""COMPUTED_VALUE"""),"Current")</f>
        <v>Current</v>
      </c>
      <c r="L439" s="5"/>
      <c r="M439" s="5"/>
      <c r="N439" s="10">
        <f>IFERROR(__xludf.DUMMYFUNCTION("""COMPUTED_VALUE"""),43504.0)</f>
        <v>43504</v>
      </c>
      <c r="O439" s="5">
        <v>2019.0</v>
      </c>
      <c r="P439" s="5" t="str">
        <f>IFERROR(__xludf.DUMMYFUNCTION("""COMPUTED_VALUE"""),"Unavailable")</f>
        <v>Unavailable</v>
      </c>
      <c r="Q439" s="5" t="s">
        <v>134</v>
      </c>
      <c r="R439" s="5" t="s">
        <v>136</v>
      </c>
      <c r="S439" s="11">
        <v>2817.0</v>
      </c>
    </row>
    <row r="440">
      <c r="A440" s="5" t="str">
        <f>IFERROR(__xludf.DUMMYFUNCTION("""COMPUTED_VALUE"""),"Dexamethasone Sodium Phosphate Injection")</f>
        <v>Dexamethasone Sodium Phosphate Injection</v>
      </c>
      <c r="B440" s="5" t="str">
        <f>IFERROR(__xludf.DUMMYFUNCTION("""COMPUTED_VALUE"""),"Fresenius Kabi USA, LLC")</f>
        <v>Fresenius Kabi USA, LLC</v>
      </c>
      <c r="C440" s="5" t="str">
        <f>IFERROR(__xludf.DUMMYFUNCTION("""COMPUTED_VALUE"""),"Dexamethasone Sodium Phosphate Preservative Free, Injection, 10 mg/1 mL (NDC 63323-506-01)")</f>
        <v>Dexamethasone Sodium Phosphate Preservative Free, Injection, 10 mg/1 mL (NDC 63323-506-01)</v>
      </c>
      <c r="D440" s="5" t="str">
        <f>IFERROR(__xludf.DUMMYFUNCTION("""COMPUTED_VALUE"""),"Reverified")</f>
        <v>Reverified</v>
      </c>
      <c r="E440" s="13">
        <f>IFERROR(__xludf.DUMMYFUNCTION("""COMPUTED_VALUE"""),46310.0)</f>
        <v>46310</v>
      </c>
      <c r="F440" s="5" t="str">
        <f>IFERROR(__xludf.DUMMYFUNCTION("""COMPUTED_VALUE"""),"Available")</f>
        <v>Available</v>
      </c>
      <c r="G440" s="5" t="str">
        <f>IFERROR(__xludf.DUMMYFUNCTION("""COMPUTED_VALUE"""),"Check wholesalers for inventory")</f>
        <v>Check wholesalers for inventory</v>
      </c>
      <c r="H440" s="5"/>
      <c r="I440" s="5"/>
      <c r="J440"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40" s="5" t="str">
        <f>IFERROR(__xludf.DUMMYFUNCTION("""COMPUTED_VALUE"""),"Current")</f>
        <v>Current</v>
      </c>
      <c r="L440" s="5"/>
      <c r="M440" s="5"/>
      <c r="N440" s="10">
        <f>IFERROR(__xludf.DUMMYFUNCTION("""COMPUTED_VALUE"""),43504.0)</f>
        <v>43504</v>
      </c>
      <c r="O440" s="5">
        <v>2019.0</v>
      </c>
      <c r="P440" s="5" t="str">
        <f>IFERROR(__xludf.DUMMYFUNCTION("""COMPUTED_VALUE"""),"Available")</f>
        <v>Available</v>
      </c>
      <c r="Q440" s="5" t="s">
        <v>135</v>
      </c>
      <c r="R440" s="5" t="s">
        <v>136</v>
      </c>
      <c r="S440" s="11">
        <v>2817.0</v>
      </c>
    </row>
    <row r="441">
      <c r="A441" s="5" t="str">
        <f>IFERROR(__xludf.DUMMYFUNCTION("""COMPUTED_VALUE"""),"Dexamethasone Sodium Phosphate Injection")</f>
        <v>Dexamethasone Sodium Phosphate Injection</v>
      </c>
      <c r="B441" s="5" t="str">
        <f>IFERROR(__xludf.DUMMYFUNCTION("""COMPUTED_VALUE"""),"Hikma Pharmaceuticals USA, Inc.")</f>
        <v>Hikma Pharmaceuticals USA, Inc.</v>
      </c>
      <c r="C441" s="5" t="str">
        <f>IFERROR(__xludf.DUMMYFUNCTION("""COMPUTED_VALUE"""),"Dexamethasone Sodium Phosphate, Injection, 4 mg/1 mL (NDC 0641-6145-25)")</f>
        <v>Dexamethasone Sodium Phosphate, Injection, 4 mg/1 mL (NDC 0641-6145-25)</v>
      </c>
      <c r="D441" s="5" t="str">
        <f>IFERROR(__xludf.DUMMYFUNCTION("""COMPUTED_VALUE"""),"Revised")</f>
        <v>Revised</v>
      </c>
      <c r="E441" s="13">
        <f>IFERROR(__xludf.DUMMYFUNCTION("""COMPUTED_VALUE"""),46309.0)</f>
        <v>46309</v>
      </c>
      <c r="F441" s="5" t="str">
        <f>IFERROR(__xludf.DUMMYFUNCTION("""COMPUTED_VALUE"""),"Unavailable")</f>
        <v>Unavailable</v>
      </c>
      <c r="G441" s="5" t="str">
        <f>IFERROR(__xludf.DUMMYFUNCTION("""COMPUTED_VALUE"""),"Product temporarily on backorder.  Additional lots will be available in the November 2026 timeframe.")</f>
        <v>Product temporarily on backorder.  Additional lots will be available in the November 2026 timeframe.</v>
      </c>
      <c r="H441" s="5"/>
      <c r="I441" s="5" t="str">
        <f>IFERROR(__xludf.DUMMYFUNCTION("""COMPUTED_VALUE"""),"Demand increase for the drug")</f>
        <v>Demand increase for the drug</v>
      </c>
      <c r="J441"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41" s="5" t="str">
        <f>IFERROR(__xludf.DUMMYFUNCTION("""COMPUTED_VALUE"""),"Current")</f>
        <v>Current</v>
      </c>
      <c r="L441" s="5"/>
      <c r="M441" s="5"/>
      <c r="N441" s="10">
        <f>IFERROR(__xludf.DUMMYFUNCTION("""COMPUTED_VALUE"""),43504.0)</f>
        <v>43504</v>
      </c>
      <c r="O441" s="5">
        <v>2019.0</v>
      </c>
      <c r="P441" s="5" t="str">
        <f>IFERROR(__xludf.DUMMYFUNCTION("""COMPUTED_VALUE"""),"Unavailable")</f>
        <v>Unavailable</v>
      </c>
      <c r="Q441" s="5" t="s">
        <v>134</v>
      </c>
      <c r="R441" s="5" t="s">
        <v>136</v>
      </c>
      <c r="S441" s="11">
        <v>2817.0</v>
      </c>
    </row>
    <row r="442">
      <c r="A442" s="5" t="str">
        <f>IFERROR(__xludf.DUMMYFUNCTION("""COMPUTED_VALUE"""),"Dexamethasone Sodium Phosphate Injection")</f>
        <v>Dexamethasone Sodium Phosphate Injection</v>
      </c>
      <c r="B442" s="5" t="str">
        <f>IFERROR(__xludf.DUMMYFUNCTION("""COMPUTED_VALUE"""),"Hikma Pharmaceuticals USA, Inc.")</f>
        <v>Hikma Pharmaceuticals USA, Inc.</v>
      </c>
      <c r="C442" s="5" t="str">
        <f>IFERROR(__xludf.DUMMYFUNCTION("""COMPUTED_VALUE"""),"Dexamethasone Sodium Phosphate, Injection, 4 mg/1 mL (NDC 0641-6146-25)")</f>
        <v>Dexamethasone Sodium Phosphate, Injection, 4 mg/1 mL (NDC 0641-6146-25)</v>
      </c>
      <c r="D442" s="5" t="str">
        <f>IFERROR(__xludf.DUMMYFUNCTION("""COMPUTED_VALUE"""),"Reverified")</f>
        <v>Reverified</v>
      </c>
      <c r="E442" s="13">
        <f>IFERROR(__xludf.DUMMYFUNCTION("""COMPUTED_VALUE"""),46309.0)</f>
        <v>46309</v>
      </c>
      <c r="F442" s="5" t="str">
        <f>IFERROR(__xludf.DUMMYFUNCTION("""COMPUTED_VALUE"""),"Available")</f>
        <v>Available</v>
      </c>
      <c r="G442" s="5" t="str">
        <f>IFERROR(__xludf.DUMMYFUNCTION("""COMPUTED_VALUE"""),"Additional product will be made available as it is released.")</f>
        <v>Additional product will be made available as it is released.</v>
      </c>
      <c r="H442" s="5"/>
      <c r="I442" s="5"/>
      <c r="J442"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42" s="5" t="str">
        <f>IFERROR(__xludf.DUMMYFUNCTION("""COMPUTED_VALUE"""),"Current")</f>
        <v>Current</v>
      </c>
      <c r="L442" s="5"/>
      <c r="M442" s="5"/>
      <c r="N442" s="10">
        <f>IFERROR(__xludf.DUMMYFUNCTION("""COMPUTED_VALUE"""),43504.0)</f>
        <v>43504</v>
      </c>
      <c r="O442" s="5">
        <v>2019.0</v>
      </c>
      <c r="P442" s="5" t="str">
        <f>IFERROR(__xludf.DUMMYFUNCTION("""COMPUTED_VALUE"""),"Available")</f>
        <v>Available</v>
      </c>
      <c r="Q442" s="5" t="s">
        <v>135</v>
      </c>
      <c r="R442" s="5" t="s">
        <v>136</v>
      </c>
      <c r="S442" s="11">
        <v>2817.0</v>
      </c>
    </row>
    <row r="443">
      <c r="A443" s="5" t="str">
        <f>IFERROR(__xludf.DUMMYFUNCTION("""COMPUTED_VALUE"""),"Dexamethasone Sodium Phosphate Injection")</f>
        <v>Dexamethasone Sodium Phosphate Injection</v>
      </c>
      <c r="B443" s="5" t="str">
        <f>IFERROR(__xludf.DUMMYFUNCTION("""COMPUTED_VALUE"""),"Hikma Pharmaceuticals USA, Inc.")</f>
        <v>Hikma Pharmaceuticals USA, Inc.</v>
      </c>
      <c r="C443" s="5" t="str">
        <f>IFERROR(__xludf.DUMMYFUNCTION("""COMPUTED_VALUE"""),"Dexamethasone Sodium Phosphate, Injection, 10 mg/1 mL (NDC 0641-0367-25)")</f>
        <v>Dexamethasone Sodium Phosphate, Injection, 10 mg/1 mL (NDC 0641-0367-25)</v>
      </c>
      <c r="D443" s="5" t="str">
        <f>IFERROR(__xludf.DUMMYFUNCTION("""COMPUTED_VALUE"""),"Reverified")</f>
        <v>Reverified</v>
      </c>
      <c r="E443" s="13">
        <f>IFERROR(__xludf.DUMMYFUNCTION("""COMPUTED_VALUE"""),46309.0)</f>
        <v>46309</v>
      </c>
      <c r="F443" s="5" t="str">
        <f>IFERROR(__xludf.DUMMYFUNCTION("""COMPUTED_VALUE"""),"Available")</f>
        <v>Available</v>
      </c>
      <c r="G443" s="5" t="str">
        <f>IFERROR(__xludf.DUMMYFUNCTION("""COMPUTED_VALUE"""),"Product will be made available as it is released.")</f>
        <v>Product will be made available as it is released.</v>
      </c>
      <c r="H443" s="5"/>
      <c r="I443" s="5"/>
      <c r="J443"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43" s="5" t="str">
        <f>IFERROR(__xludf.DUMMYFUNCTION("""COMPUTED_VALUE"""),"Current")</f>
        <v>Current</v>
      </c>
      <c r="L443" s="5"/>
      <c r="M443" s="5"/>
      <c r="N443" s="10">
        <f>IFERROR(__xludf.DUMMYFUNCTION("""COMPUTED_VALUE"""),43504.0)</f>
        <v>43504</v>
      </c>
      <c r="O443" s="5">
        <v>2019.0</v>
      </c>
      <c r="P443" s="5" t="str">
        <f>IFERROR(__xludf.DUMMYFUNCTION("""COMPUTED_VALUE"""),"Available")</f>
        <v>Available</v>
      </c>
      <c r="Q443" s="5" t="s">
        <v>135</v>
      </c>
      <c r="R443" s="5" t="s">
        <v>136</v>
      </c>
      <c r="S443" s="11">
        <v>2817.0</v>
      </c>
    </row>
    <row r="444">
      <c r="A444" s="5" t="str">
        <f>IFERROR(__xludf.DUMMYFUNCTION("""COMPUTED_VALUE"""),"Dexamethasone Sodium Phosphate Injection")</f>
        <v>Dexamethasone Sodium Phosphate Injection</v>
      </c>
      <c r="B444" s="5" t="str">
        <f>IFERROR(__xludf.DUMMYFUNCTION("""COMPUTED_VALUE"""),"Somerset Therapeutics, LLC")</f>
        <v>Somerset Therapeutics, LLC</v>
      </c>
      <c r="C444" s="5" t="str">
        <f>IFERROR(__xludf.DUMMYFUNCTION("""COMPUTED_VALUE"""),"Dexamethasone Sodium Phosphate, Injection, 10 mg/1 mL (NDC 70069-025-10)")</f>
        <v>Dexamethasone Sodium Phosphate, Injection, 10 mg/1 mL (NDC 70069-025-10)</v>
      </c>
      <c r="D444" s="5" t="str">
        <f>IFERROR(__xludf.DUMMYFUNCTION("""COMPUTED_VALUE"""),"Reverified")</f>
        <v>Reverified</v>
      </c>
      <c r="E444" s="10">
        <f>IFERROR(__xludf.DUMMYFUNCTION("""COMPUTED_VALUE"""),46276.0)</f>
        <v>46276</v>
      </c>
      <c r="F444" s="5" t="str">
        <f>IFERROR(__xludf.DUMMYFUNCTION("""COMPUTED_VALUE"""),"Available")</f>
        <v>Available</v>
      </c>
      <c r="G444" s="5"/>
      <c r="H444" s="5"/>
      <c r="I444" s="5"/>
      <c r="J444"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44" s="5" t="str">
        <f>IFERROR(__xludf.DUMMYFUNCTION("""COMPUTED_VALUE"""),"Current")</f>
        <v>Current</v>
      </c>
      <c r="L444" s="5"/>
      <c r="M444" s="5"/>
      <c r="N444" s="10">
        <f>IFERROR(__xludf.DUMMYFUNCTION("""COMPUTED_VALUE"""),43504.0)</f>
        <v>43504</v>
      </c>
      <c r="O444" s="5">
        <v>2019.0</v>
      </c>
      <c r="P444" s="5" t="str">
        <f>IFERROR(__xludf.DUMMYFUNCTION("""COMPUTED_VALUE"""),"Available")</f>
        <v>Available</v>
      </c>
      <c r="Q444" s="5" t="s">
        <v>135</v>
      </c>
      <c r="R444" s="5" t="s">
        <v>136</v>
      </c>
      <c r="S444" s="11">
        <v>2817.0</v>
      </c>
    </row>
    <row r="445">
      <c r="A445" s="5" t="str">
        <f>IFERROR(__xludf.DUMMYFUNCTION("""COMPUTED_VALUE"""),"Dexamethasone Sodium Phosphate Injection")</f>
        <v>Dexamethasone Sodium Phosphate Injection</v>
      </c>
      <c r="B445" s="5" t="str">
        <f>IFERROR(__xludf.DUMMYFUNCTION("""COMPUTED_VALUE"""),"Fresenius Kabi USA, LLC")</f>
        <v>Fresenius Kabi USA, LLC</v>
      </c>
      <c r="C445" s="5" t="str">
        <f>IFERROR(__xludf.DUMMYFUNCTION("""COMPUTED_VALUE"""),"Dexamethasone Sodium Phosphate, Injection, 10 mg/1 mL (NDC 76045-212-10)")</f>
        <v>Dexamethasone Sodium Phosphate, Injection, 10 mg/1 mL (NDC 76045-212-10)</v>
      </c>
      <c r="D445" s="5" t="str">
        <f>IFERROR(__xludf.DUMMYFUNCTION("""COMPUTED_VALUE"""),"Revised")</f>
        <v>Revised</v>
      </c>
      <c r="E445" s="13">
        <f>IFERROR(__xludf.DUMMYFUNCTION("""COMPUTED_VALUE"""),46310.0)</f>
        <v>46310</v>
      </c>
      <c r="F445" s="5" t="str">
        <f>IFERROR(__xludf.DUMMYFUNCTION("""COMPUTED_VALUE"""),"Unavailable")</f>
        <v>Unavailable</v>
      </c>
      <c r="G445" s="5" t="str">
        <f>IFERROR(__xludf.DUMMYFUNCTION("""COMPUTED_VALUE"""),"Next release January 2027. Check wholesalers for inventory.")</f>
        <v>Next release January 2027. Check wholesalers for inventory.</v>
      </c>
      <c r="H445" s="5"/>
      <c r="I445" s="5" t="str">
        <f>IFERROR(__xludf.DUMMYFUNCTION("""COMPUTED_VALUE"""),"Demand increase for the drug")</f>
        <v>Demand increase for the drug</v>
      </c>
      <c r="J445"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45" s="5" t="str">
        <f>IFERROR(__xludf.DUMMYFUNCTION("""COMPUTED_VALUE"""),"Current")</f>
        <v>Current</v>
      </c>
      <c r="L445" s="5"/>
      <c r="M445" s="5"/>
      <c r="N445" s="10">
        <f>IFERROR(__xludf.DUMMYFUNCTION("""COMPUTED_VALUE"""),43504.0)</f>
        <v>43504</v>
      </c>
      <c r="O445" s="5">
        <v>2019.0</v>
      </c>
      <c r="P445" s="5" t="str">
        <f>IFERROR(__xludf.DUMMYFUNCTION("""COMPUTED_VALUE"""),"Unavailable")</f>
        <v>Unavailable</v>
      </c>
      <c r="Q445" s="5" t="s">
        <v>134</v>
      </c>
      <c r="R445" s="5" t="s">
        <v>136</v>
      </c>
      <c r="S445" s="11">
        <v>2817.0</v>
      </c>
    </row>
    <row r="446">
      <c r="A446" s="5" t="str">
        <f>IFERROR(__xludf.DUMMYFUNCTION("""COMPUTED_VALUE"""),"Dexamethasone Sodium Phosphate Injection")</f>
        <v>Dexamethasone Sodium Phosphate Injection</v>
      </c>
      <c r="B446" s="5" t="str">
        <f>IFERROR(__xludf.DUMMYFUNCTION("""COMPUTED_VALUE"""),"Fresenius Kabi USA, LLC")</f>
        <v>Fresenius Kabi USA, LLC</v>
      </c>
      <c r="C446" s="5" t="str">
        <f>IFERROR(__xludf.DUMMYFUNCTION("""COMPUTED_VALUE"""),"Dexamethasone Sodium Phosphate, Injection, 4 mg/1 mL (NDC 76045-210-10)")</f>
        <v>Dexamethasone Sodium Phosphate, Injection, 4 mg/1 mL (NDC 76045-210-10)</v>
      </c>
      <c r="D446" s="5" t="str">
        <f>IFERROR(__xludf.DUMMYFUNCTION("""COMPUTED_VALUE"""),"Reverified")</f>
        <v>Reverified</v>
      </c>
      <c r="E446" s="13">
        <f>IFERROR(__xludf.DUMMYFUNCTION("""COMPUTED_VALUE"""),46310.0)</f>
        <v>46310</v>
      </c>
      <c r="F446" s="5" t="str">
        <f>IFERROR(__xludf.DUMMYFUNCTION("""COMPUTED_VALUE"""),"Available")</f>
        <v>Available</v>
      </c>
      <c r="G446" s="5" t="str">
        <f>IFERROR(__xludf.DUMMYFUNCTION("""COMPUTED_VALUE"""),"Check wholesalers for inventory")</f>
        <v>Check wholesalers for inventory</v>
      </c>
      <c r="H446" s="5"/>
      <c r="I446" s="5"/>
      <c r="J446" s="5" t="str">
        <f>IFERROR(__xludf.DUMMYFUNCTION("""COMPUTED_VALUE"""),"Dermatology; Endocrinology/Metabolism; Gastroenterology; Hematology; Neurology; Oncology; Ophthalmology; Other; Pulmonary/Allergy; Rheumatology")</f>
        <v>Dermatology; Endocrinology/Metabolism; Gastroenterology; Hematology; Neurology; Oncology; Ophthalmology; Other; Pulmonary/Allergy; Rheumatology</v>
      </c>
      <c r="K446" s="5" t="str">
        <f>IFERROR(__xludf.DUMMYFUNCTION("""COMPUTED_VALUE"""),"Current")</f>
        <v>Current</v>
      </c>
      <c r="L446" s="5"/>
      <c r="M446" s="5"/>
      <c r="N446" s="10">
        <f>IFERROR(__xludf.DUMMYFUNCTION("""COMPUTED_VALUE"""),43504.0)</f>
        <v>43504</v>
      </c>
      <c r="O446" s="5">
        <v>2019.0</v>
      </c>
      <c r="P446" s="5" t="str">
        <f>IFERROR(__xludf.DUMMYFUNCTION("""COMPUTED_VALUE"""),"Available")</f>
        <v>Available</v>
      </c>
      <c r="Q446" s="5" t="s">
        <v>135</v>
      </c>
      <c r="R446" s="5" t="s">
        <v>136</v>
      </c>
      <c r="S446" s="11">
        <v>2817.0</v>
      </c>
    </row>
    <row r="447">
      <c r="A447" s="5" t="str">
        <f>IFERROR(__xludf.DUMMYFUNCTION("""COMPUTED_VALUE"""),"Dexmedetomidine Hydrochloride Injection")</f>
        <v>Dexmedetomidine Hydrochloride Injection</v>
      </c>
      <c r="B447" s="5" t="str">
        <f>IFERROR(__xludf.DUMMYFUNCTION("""COMPUTED_VALUE"""),"Somerset Therapeutics, LLC")</f>
        <v>Somerset Therapeutics, LLC</v>
      </c>
      <c r="C447" s="5" t="str">
        <f>IFERROR(__xludf.DUMMYFUNCTION("""COMPUTED_VALUE"""),"Dexmedetomidine Hydrochloride, Injection, 100 ug/1 mL (NDC 70069-758-04)")</f>
        <v>Dexmedetomidine Hydrochloride, Injection, 100 ug/1 mL (NDC 70069-758-04)</v>
      </c>
      <c r="D447" s="5" t="str">
        <f>IFERROR(__xludf.DUMMYFUNCTION("""COMPUTED_VALUE"""),"Reverified")</f>
        <v>Reverified</v>
      </c>
      <c r="E447" s="10">
        <f>IFERROR(__xludf.DUMMYFUNCTION("""COMPUTED_VALUE"""),46276.0)</f>
        <v>46276</v>
      </c>
      <c r="F447" s="5" t="str">
        <f>IFERROR(__xludf.DUMMYFUNCTION("""COMPUTED_VALUE"""),"Available")</f>
        <v>Available</v>
      </c>
      <c r="G447" s="5"/>
      <c r="H447" s="5"/>
      <c r="I447" s="5"/>
      <c r="J447" s="5" t="str">
        <f>IFERROR(__xludf.DUMMYFUNCTION("""COMPUTED_VALUE"""),"Anesthesia")</f>
        <v>Anesthesia</v>
      </c>
      <c r="K447" s="5" t="str">
        <f>IFERROR(__xludf.DUMMYFUNCTION("""COMPUTED_VALUE"""),"Current")</f>
        <v>Current</v>
      </c>
      <c r="L447" s="5"/>
      <c r="M447" s="5"/>
      <c r="N447" s="10">
        <f>IFERROR(__xludf.DUMMYFUNCTION("""COMPUTED_VALUE"""),43931.0)</f>
        <v>43931</v>
      </c>
      <c r="O447" s="5">
        <v>2020.0</v>
      </c>
      <c r="P447" s="5" t="str">
        <f>IFERROR(__xludf.DUMMYFUNCTION("""COMPUTED_VALUE"""),"Available")</f>
        <v>Available</v>
      </c>
      <c r="Q447" s="5" t="s">
        <v>135</v>
      </c>
      <c r="R447" s="5" t="s">
        <v>136</v>
      </c>
      <c r="S447" s="11">
        <v>2390.0</v>
      </c>
    </row>
    <row r="448">
      <c r="A448" s="5" t="str">
        <f>IFERROR(__xludf.DUMMYFUNCTION("""COMPUTED_VALUE"""),"Dexmedetomidine Hydrochloride Injection")</f>
        <v>Dexmedetomidine Hydrochloride Injection</v>
      </c>
      <c r="B448" s="5" t="str">
        <f>IFERROR(__xludf.DUMMYFUNCTION("""COMPUTED_VALUE"""),"Somerset Therapeutics, LLC")</f>
        <v>Somerset Therapeutics, LLC</v>
      </c>
      <c r="C448" s="5" t="str">
        <f>IFERROR(__xludf.DUMMYFUNCTION("""COMPUTED_VALUE"""),"Dexmedetomidine Hydrochloride, Injection, 100 ug/1 mL (NDC 70069-759-04)")</f>
        <v>Dexmedetomidine Hydrochloride, Injection, 100 ug/1 mL (NDC 70069-759-04)</v>
      </c>
      <c r="D448" s="5" t="str">
        <f>IFERROR(__xludf.DUMMYFUNCTION("""COMPUTED_VALUE"""),"Reverified")</f>
        <v>Reverified</v>
      </c>
      <c r="E448" s="10">
        <f>IFERROR(__xludf.DUMMYFUNCTION("""COMPUTED_VALUE"""),46276.0)</f>
        <v>46276</v>
      </c>
      <c r="F448" s="5" t="str">
        <f>IFERROR(__xludf.DUMMYFUNCTION("""COMPUTED_VALUE"""),"Available")</f>
        <v>Available</v>
      </c>
      <c r="G448" s="5"/>
      <c r="H448" s="5"/>
      <c r="I448" s="5"/>
      <c r="J448" s="5" t="str">
        <f>IFERROR(__xludf.DUMMYFUNCTION("""COMPUTED_VALUE"""),"Anesthesia")</f>
        <v>Anesthesia</v>
      </c>
      <c r="K448" s="5" t="str">
        <f>IFERROR(__xludf.DUMMYFUNCTION("""COMPUTED_VALUE"""),"Current")</f>
        <v>Current</v>
      </c>
      <c r="L448" s="5"/>
      <c r="M448" s="5"/>
      <c r="N448" s="10">
        <f>IFERROR(__xludf.DUMMYFUNCTION("""COMPUTED_VALUE"""),43931.0)</f>
        <v>43931</v>
      </c>
      <c r="O448" s="5">
        <v>2020.0</v>
      </c>
      <c r="P448" s="5" t="str">
        <f>IFERROR(__xludf.DUMMYFUNCTION("""COMPUTED_VALUE"""),"Available")</f>
        <v>Available</v>
      </c>
      <c r="Q448" s="5" t="s">
        <v>135</v>
      </c>
      <c r="R448" s="5" t="s">
        <v>136</v>
      </c>
      <c r="S448" s="11">
        <v>2390.0</v>
      </c>
    </row>
    <row r="449">
      <c r="A449" s="5" t="str">
        <f>IFERROR(__xludf.DUMMYFUNCTION("""COMPUTED_VALUE"""),"Dexmedetomidine Hydrochloride Injection")</f>
        <v>Dexmedetomidine Hydrochloride Injection</v>
      </c>
      <c r="B449" s="5" t="str">
        <f>IFERROR(__xludf.DUMMYFUNCTION("""COMPUTED_VALUE"""),"Slayback Pharma")</f>
        <v>Slayback Pharma</v>
      </c>
      <c r="C449" s="5" t="str">
        <f>IFERROR(__xludf.DUMMYFUNCTION("""COMPUTED_VALUE"""),"Dexmedetomidine Hydrochloride, Injection, 4 ug/1 mL (NDC 71225-126-05)")</f>
        <v>Dexmedetomidine Hydrochloride, Injection, 4 ug/1 mL (NDC 71225-126-05)</v>
      </c>
      <c r="D449" s="5" t="str">
        <f>IFERROR(__xludf.DUMMYFUNCTION("""COMPUTED_VALUE"""),"New")</f>
        <v>New</v>
      </c>
      <c r="E449" s="10">
        <f>IFERROR(__xludf.DUMMYFUNCTION("""COMPUTED_VALUE"""),46178.0)</f>
        <v>46178</v>
      </c>
      <c r="F449" s="5"/>
      <c r="G449" s="5" t="str">
        <f>IFERROR(__xludf.DUMMYFUNCTION("""COMPUTED_VALUE"""),"Discontinuation of the manufacture of the drug")</f>
        <v>Discontinuation of the manufacture of the drug</v>
      </c>
      <c r="H449" s="5"/>
      <c r="I449" s="5"/>
      <c r="J449" s="5" t="str">
        <f>IFERROR(__xludf.DUMMYFUNCTION("""COMPUTED_VALUE"""),"Anesthesia")</f>
        <v>Anesthesia</v>
      </c>
      <c r="K449" s="5" t="str">
        <f>IFERROR(__xludf.DUMMYFUNCTION("""COMPUTED_VALUE"""),"To Be Discontinued")</f>
        <v>To Be Discontinued</v>
      </c>
      <c r="L449" s="5"/>
      <c r="M449" s="10">
        <f>IFERROR(__xludf.DUMMYFUNCTION("""COMPUTED_VALUE"""),46178.0)</f>
        <v>46178</v>
      </c>
      <c r="N449" s="10">
        <f>IFERROR(__xludf.DUMMYFUNCTION("""COMPUTED_VALUE"""),46178.0)</f>
        <v>46178</v>
      </c>
      <c r="O449" s="5">
        <v>2026.0</v>
      </c>
      <c r="P449" s="5" t="str">
        <f>IFERROR(__xludf.DUMMYFUNCTION("""COMPUTED_VALUE"""),"Not stated")</f>
        <v>Not stated</v>
      </c>
      <c r="Q449" s="5" t="s">
        <v>135</v>
      </c>
      <c r="R449" s="5" t="s">
        <v>136</v>
      </c>
      <c r="S449" s="11">
        <v>143.0</v>
      </c>
    </row>
    <row r="450">
      <c r="A450" s="5" t="str">
        <f>IFERROR(__xludf.DUMMYFUNCTION("""COMPUTED_VALUE"""),"Dexmedetomidine Hydrochloride Injection")</f>
        <v>Dexmedetomidine Hydrochloride Injection</v>
      </c>
      <c r="B450" s="5" t="str">
        <f>IFERROR(__xludf.DUMMYFUNCTION("""COMPUTED_VALUE"""),"Slayback Pharma")</f>
        <v>Slayback Pharma</v>
      </c>
      <c r="C450" s="5" t="str">
        <f>IFERROR(__xludf.DUMMYFUNCTION("""COMPUTED_VALUE"""),"Dexmedetomidine Hydrochloride, Injection, 4 ug/1 mL (NDC 71225-126-06)")</f>
        <v>Dexmedetomidine Hydrochloride, Injection, 4 ug/1 mL (NDC 71225-126-06)</v>
      </c>
      <c r="D450" s="5" t="str">
        <f>IFERROR(__xludf.DUMMYFUNCTION("""COMPUTED_VALUE"""),"New")</f>
        <v>New</v>
      </c>
      <c r="E450" s="10">
        <f>IFERROR(__xludf.DUMMYFUNCTION("""COMPUTED_VALUE"""),46178.0)</f>
        <v>46178</v>
      </c>
      <c r="F450" s="5"/>
      <c r="G450" s="5" t="str">
        <f>IFERROR(__xludf.DUMMYFUNCTION("""COMPUTED_VALUE"""),"Discontinuation of the manufacture of the drug")</f>
        <v>Discontinuation of the manufacture of the drug</v>
      </c>
      <c r="H450" s="5"/>
      <c r="I450" s="5"/>
      <c r="J450" s="5" t="str">
        <f>IFERROR(__xludf.DUMMYFUNCTION("""COMPUTED_VALUE"""),"Anesthesia")</f>
        <v>Anesthesia</v>
      </c>
      <c r="K450" s="5" t="str">
        <f>IFERROR(__xludf.DUMMYFUNCTION("""COMPUTED_VALUE"""),"To Be Discontinued")</f>
        <v>To Be Discontinued</v>
      </c>
      <c r="L450" s="5"/>
      <c r="M450" s="10">
        <f>IFERROR(__xludf.DUMMYFUNCTION("""COMPUTED_VALUE"""),46178.0)</f>
        <v>46178</v>
      </c>
      <c r="N450" s="10">
        <f>IFERROR(__xludf.DUMMYFUNCTION("""COMPUTED_VALUE"""),46178.0)</f>
        <v>46178</v>
      </c>
      <c r="O450" s="5">
        <v>2026.0</v>
      </c>
      <c r="P450" s="5" t="str">
        <f>IFERROR(__xludf.DUMMYFUNCTION("""COMPUTED_VALUE"""),"Not stated")</f>
        <v>Not stated</v>
      </c>
      <c r="Q450" s="5" t="s">
        <v>135</v>
      </c>
      <c r="R450" s="5" t="s">
        <v>136</v>
      </c>
      <c r="S450" s="11">
        <v>143.0</v>
      </c>
    </row>
    <row r="451">
      <c r="A451" s="5" t="str">
        <f>IFERROR(__xludf.DUMMYFUNCTION("""COMPUTED_VALUE"""),"Dexmedetomidine Hydrochloride Injection")</f>
        <v>Dexmedetomidine Hydrochloride Injection</v>
      </c>
      <c r="B451" s="5" t="str">
        <f>IFERROR(__xludf.DUMMYFUNCTION("""COMPUTED_VALUE"""),"Azurity Pharmaceuticals, Inc")</f>
        <v>Azurity Pharmaceuticals, Inc</v>
      </c>
      <c r="C451" s="5" t="str">
        <f>IFERROR(__xludf.DUMMYFUNCTION("""COMPUTED_VALUE"""),"Dexmedetomidine Hydrochloride, Injection, 200 mcg/50 mL (4 ug/1 mL) (NDC 72572-127-10)")</f>
        <v>Dexmedetomidine Hydrochloride, Injection, 200 mcg/50 mL (4 ug/1 mL) (NDC 72572-127-10)</v>
      </c>
      <c r="D451" s="5" t="str">
        <f>IFERROR(__xludf.DUMMYFUNCTION("""COMPUTED_VALUE"""),"Reverified")</f>
        <v>Reverified</v>
      </c>
      <c r="E451" s="13">
        <f>IFERROR(__xludf.DUMMYFUNCTION("""COMPUTED_VALUE"""),46310.0)</f>
        <v>46310</v>
      </c>
      <c r="F451" s="5" t="str">
        <f>IFERROR(__xludf.DUMMYFUNCTION("""COMPUTED_VALUE"""),"Available")</f>
        <v>Available</v>
      </c>
      <c r="G451" s="5" t="str">
        <f>IFERROR(__xludf.DUMMYFUNCTION("""COMPUTED_VALUE"""),"Distributed by Civica")</f>
        <v>Distributed by Civica</v>
      </c>
      <c r="H451" s="5"/>
      <c r="I451" s="5"/>
      <c r="J451" s="5" t="str">
        <f>IFERROR(__xludf.DUMMYFUNCTION("""COMPUTED_VALUE"""),"Anesthesia")</f>
        <v>Anesthesia</v>
      </c>
      <c r="K451" s="5" t="str">
        <f>IFERROR(__xludf.DUMMYFUNCTION("""COMPUTED_VALUE"""),"Current")</f>
        <v>Current</v>
      </c>
      <c r="L451" s="5"/>
      <c r="M451" s="5"/>
      <c r="N451" s="10">
        <f>IFERROR(__xludf.DUMMYFUNCTION("""COMPUTED_VALUE"""),43931.0)</f>
        <v>43931</v>
      </c>
      <c r="O451" s="5">
        <v>2020.0</v>
      </c>
      <c r="P451" s="5" t="str">
        <f>IFERROR(__xludf.DUMMYFUNCTION("""COMPUTED_VALUE"""),"Available")</f>
        <v>Available</v>
      </c>
      <c r="Q451" s="5" t="s">
        <v>135</v>
      </c>
      <c r="R451" s="5" t="s">
        <v>136</v>
      </c>
      <c r="S451" s="11">
        <v>2390.0</v>
      </c>
    </row>
    <row r="452">
      <c r="A452" s="5" t="str">
        <f>IFERROR(__xludf.DUMMYFUNCTION("""COMPUTED_VALUE"""),"Dexmedetomidine Hydrochloride Injection")</f>
        <v>Dexmedetomidine Hydrochloride Injection</v>
      </c>
      <c r="B452" s="5" t="str">
        <f>IFERROR(__xludf.DUMMYFUNCTION("""COMPUTED_VALUE"""),"Azurity Pharmaceuticals, Inc")</f>
        <v>Azurity Pharmaceuticals, Inc</v>
      </c>
      <c r="C452" s="5" t="str">
        <f>IFERROR(__xludf.DUMMYFUNCTION("""COMPUTED_VALUE"""),"Dexmedetomidine Hydrochloride, Injection, 400 mcg/100 mL (4 ug/1 mL) (NDC 72572-128-08)")</f>
        <v>Dexmedetomidine Hydrochloride, Injection, 400 mcg/100 mL (4 ug/1 mL) (NDC 72572-128-08)</v>
      </c>
      <c r="D452" s="5" t="str">
        <f>IFERROR(__xludf.DUMMYFUNCTION("""COMPUTED_VALUE"""),"Reverified")</f>
        <v>Reverified</v>
      </c>
      <c r="E452" s="13">
        <f>IFERROR(__xludf.DUMMYFUNCTION("""COMPUTED_VALUE"""),46310.0)</f>
        <v>46310</v>
      </c>
      <c r="F452" s="5" t="str">
        <f>IFERROR(__xludf.DUMMYFUNCTION("""COMPUTED_VALUE"""),"Available")</f>
        <v>Available</v>
      </c>
      <c r="G452" s="5" t="str">
        <f>IFERROR(__xludf.DUMMYFUNCTION("""COMPUTED_VALUE"""),"Distributed by Civica")</f>
        <v>Distributed by Civica</v>
      </c>
      <c r="H452" s="5"/>
      <c r="I452" s="5"/>
      <c r="J452" s="5" t="str">
        <f>IFERROR(__xludf.DUMMYFUNCTION("""COMPUTED_VALUE"""),"Anesthesia")</f>
        <v>Anesthesia</v>
      </c>
      <c r="K452" s="5" t="str">
        <f>IFERROR(__xludf.DUMMYFUNCTION("""COMPUTED_VALUE"""),"Current")</f>
        <v>Current</v>
      </c>
      <c r="L452" s="5"/>
      <c r="M452" s="5"/>
      <c r="N452" s="10">
        <f>IFERROR(__xludf.DUMMYFUNCTION("""COMPUTED_VALUE"""),43931.0)</f>
        <v>43931</v>
      </c>
      <c r="O452" s="5">
        <v>2020.0</v>
      </c>
      <c r="P452" s="5" t="str">
        <f>IFERROR(__xludf.DUMMYFUNCTION("""COMPUTED_VALUE"""),"Available")</f>
        <v>Available</v>
      </c>
      <c r="Q452" s="5" t="s">
        <v>135</v>
      </c>
      <c r="R452" s="5" t="s">
        <v>136</v>
      </c>
      <c r="S452" s="11">
        <v>2390.0</v>
      </c>
    </row>
    <row r="453">
      <c r="A453" s="5" t="str">
        <f>IFERROR(__xludf.DUMMYFUNCTION("""COMPUTED_VALUE"""),"Dexmedetomidine Hydrochloride Injection")</f>
        <v>Dexmedetomidine Hydrochloride Injection</v>
      </c>
      <c r="B453" s="5" t="str">
        <f>IFERROR(__xludf.DUMMYFUNCTION("""COMPUTED_VALUE"""),"Jiangsu Hengrui Pharmaceuticals Co. (US Agent eVenus Pharmaceutical Laboratories, Inc.)")</f>
        <v>Jiangsu Hengrui Pharmaceuticals Co. (US Agent eVenus Pharmaceutical Laboratories, Inc.)</v>
      </c>
      <c r="C453" s="5" t="str">
        <f>IFERROR(__xludf.DUMMYFUNCTION("""COMPUTED_VALUE"""),"Dexmedetomidine Hydrochloride, Injection, 200 mcg/2 mL (NDC 83634-600-02)")</f>
        <v>Dexmedetomidine Hydrochloride, Injection, 200 mcg/2 mL (NDC 83634-600-02)</v>
      </c>
      <c r="D453" s="5" t="str">
        <f>IFERROR(__xludf.DUMMYFUNCTION("""COMPUTED_VALUE"""),"New")</f>
        <v>New</v>
      </c>
      <c r="E453" s="13">
        <f>IFERROR(__xludf.DUMMYFUNCTION("""COMPUTED_VALUE"""),46309.0)</f>
        <v>46309</v>
      </c>
      <c r="F453" s="5"/>
      <c r="G453" s="5" t="str">
        <f>IFERROR(__xludf.DUMMYFUNCTION("""COMPUTED_VALUE"""),"Discontinuation of the manufacture of the drug; Distributed by Avenacy; Contact information: 877-283-6229")</f>
        <v>Discontinuation of the manufacture of the drug; Distributed by Avenacy; Contact information: 877-283-6229</v>
      </c>
      <c r="H453" s="5"/>
      <c r="I453" s="5"/>
      <c r="J453" s="5" t="str">
        <f>IFERROR(__xludf.DUMMYFUNCTION("""COMPUTED_VALUE"""),"Anesthesia")</f>
        <v>Anesthesia</v>
      </c>
      <c r="K453" s="5" t="str">
        <f>IFERROR(__xludf.DUMMYFUNCTION("""COMPUTED_VALUE"""),"To Be Discontinued")</f>
        <v>To Be Discontinued</v>
      </c>
      <c r="L453" s="5"/>
      <c r="M453" s="13">
        <f>IFERROR(__xludf.DUMMYFUNCTION("""COMPUTED_VALUE"""),46309.0)</f>
        <v>46309</v>
      </c>
      <c r="N453" s="13">
        <f>IFERROR(__xludf.DUMMYFUNCTION("""COMPUTED_VALUE"""),46309.0)</f>
        <v>46309</v>
      </c>
      <c r="O453" s="5">
        <v>2026.0</v>
      </c>
      <c r="P453" s="5" t="str">
        <f>IFERROR(__xludf.DUMMYFUNCTION("""COMPUTED_VALUE"""),"Not stated")</f>
        <v>Not stated</v>
      </c>
      <c r="Q453" s="5" t="s">
        <v>135</v>
      </c>
      <c r="R453" s="5" t="s">
        <v>434</v>
      </c>
      <c r="S453" s="11">
        <v>12.0</v>
      </c>
    </row>
    <row r="454">
      <c r="A454" s="5" t="str">
        <f>IFERROR(__xludf.DUMMYFUNCTION("""COMPUTED_VALUE"""),"Dexmedetomidine Hydrochloride Injection")</f>
        <v>Dexmedetomidine Hydrochloride Injection</v>
      </c>
      <c r="B454" s="5" t="str">
        <f>IFERROR(__xludf.DUMMYFUNCTION("""COMPUTED_VALUE"""),"Accord Healthcare Inc.")</f>
        <v>Accord Healthcare Inc.</v>
      </c>
      <c r="C454" s="5" t="str">
        <f>IFERROR(__xludf.DUMMYFUNCTION("""COMPUTED_VALUE"""),"Dexmedetomidine Hydrochloride, Injection, 100 ug/1 mL (NDC 16729-239-93)")</f>
        <v>Dexmedetomidine Hydrochloride, Injection, 100 ug/1 mL (NDC 16729-239-93)</v>
      </c>
      <c r="D454" s="5" t="str">
        <f>IFERROR(__xludf.DUMMYFUNCTION("""COMPUTED_VALUE"""),"Reverified")</f>
        <v>Reverified</v>
      </c>
      <c r="E454" s="10">
        <f>IFERROR(__xludf.DUMMYFUNCTION("""COMPUTED_VALUE"""),46280.0)</f>
        <v>46280</v>
      </c>
      <c r="F454" s="5" t="str">
        <f>IFERROR(__xludf.DUMMYFUNCTION("""COMPUTED_VALUE"""),"Unavailable")</f>
        <v>Unavailable</v>
      </c>
      <c r="G454" s="5" t="str">
        <f>IFERROR(__xludf.DUMMYFUNCTION("""COMPUTED_VALUE"""),"Discontinuation of the manufacture of the drug")</f>
        <v>Discontinuation of the manufacture of the drug</v>
      </c>
      <c r="H454" s="5"/>
      <c r="I454" s="5" t="str">
        <f>IFERROR(__xludf.DUMMYFUNCTION("""COMPUTED_VALUE"""),"Discontinuation of the manufacture of the drug")</f>
        <v>Discontinuation of the manufacture of the drug</v>
      </c>
      <c r="J454" s="5" t="str">
        <f>IFERROR(__xludf.DUMMYFUNCTION("""COMPUTED_VALUE"""),"Anesthesia")</f>
        <v>Anesthesia</v>
      </c>
      <c r="K454" s="5" t="str">
        <f>IFERROR(__xludf.DUMMYFUNCTION("""COMPUTED_VALUE"""),"Current")</f>
        <v>Current</v>
      </c>
      <c r="L454" s="5"/>
      <c r="M454" s="5"/>
      <c r="N454" s="10">
        <f>IFERROR(__xludf.DUMMYFUNCTION("""COMPUTED_VALUE"""),43931.0)</f>
        <v>43931</v>
      </c>
      <c r="O454" s="5">
        <v>2020.0</v>
      </c>
      <c r="P454" s="5" t="str">
        <f>IFERROR(__xludf.DUMMYFUNCTION("""COMPUTED_VALUE"""),"Unavailable")</f>
        <v>Unavailable</v>
      </c>
      <c r="Q454" s="5" t="s">
        <v>33</v>
      </c>
      <c r="R454" s="5" t="s">
        <v>434</v>
      </c>
      <c r="S454" s="11">
        <v>2390.0</v>
      </c>
    </row>
    <row r="455">
      <c r="A455" s="5" t="str">
        <f>IFERROR(__xludf.DUMMYFUNCTION("""COMPUTED_VALUE"""),"Dexmedetomidine Hydrochloride Injection")</f>
        <v>Dexmedetomidine Hydrochloride Injection</v>
      </c>
      <c r="B455" s="5" t="str">
        <f>IFERROR(__xludf.DUMMYFUNCTION("""COMPUTED_VALUE"""),"Accord Healthcare Inc.")</f>
        <v>Accord Healthcare Inc.</v>
      </c>
      <c r="C455" s="5" t="str">
        <f>IFERROR(__xludf.DUMMYFUNCTION("""COMPUTED_VALUE"""),"Dexmedetomidine Hydrochloride, Injection, 100 ug/1 mL (NDC 16729-432-93)")</f>
        <v>Dexmedetomidine Hydrochloride, Injection, 100 ug/1 mL (NDC 16729-432-93)</v>
      </c>
      <c r="D455" s="5" t="str">
        <f>IFERROR(__xludf.DUMMYFUNCTION("""COMPUTED_VALUE"""),"Reverified")</f>
        <v>Reverified</v>
      </c>
      <c r="E455" s="10">
        <f>IFERROR(__xludf.DUMMYFUNCTION("""COMPUTED_VALUE"""),46280.0)</f>
        <v>46280</v>
      </c>
      <c r="F455" s="5" t="str">
        <f>IFERROR(__xludf.DUMMYFUNCTION("""COMPUTED_VALUE"""),"Unavailable")</f>
        <v>Unavailable</v>
      </c>
      <c r="G455" s="5" t="str">
        <f>IFERROR(__xludf.DUMMYFUNCTION("""COMPUTED_VALUE"""),"Discontinuation of the manufacture of the drug")</f>
        <v>Discontinuation of the manufacture of the drug</v>
      </c>
      <c r="H455" s="5"/>
      <c r="I455" s="5" t="str">
        <f>IFERROR(__xludf.DUMMYFUNCTION("""COMPUTED_VALUE"""),"Discontinuation of the manufacture of the drug")</f>
        <v>Discontinuation of the manufacture of the drug</v>
      </c>
      <c r="J455" s="5" t="str">
        <f>IFERROR(__xludf.DUMMYFUNCTION("""COMPUTED_VALUE"""),"Anesthesia")</f>
        <v>Anesthesia</v>
      </c>
      <c r="K455" s="5" t="str">
        <f>IFERROR(__xludf.DUMMYFUNCTION("""COMPUTED_VALUE"""),"Current")</f>
        <v>Current</v>
      </c>
      <c r="L455" s="5"/>
      <c r="M455" s="5"/>
      <c r="N455" s="10">
        <f>IFERROR(__xludf.DUMMYFUNCTION("""COMPUTED_VALUE"""),43931.0)</f>
        <v>43931</v>
      </c>
      <c r="O455" s="5">
        <v>2020.0</v>
      </c>
      <c r="P455" s="5" t="str">
        <f>IFERROR(__xludf.DUMMYFUNCTION("""COMPUTED_VALUE"""),"Unavailable")</f>
        <v>Unavailable</v>
      </c>
      <c r="Q455" s="5" t="s">
        <v>33</v>
      </c>
      <c r="R455" s="5" t="s">
        <v>136</v>
      </c>
      <c r="S455" s="11">
        <v>2390.0</v>
      </c>
    </row>
    <row r="456">
      <c r="A456" s="5" t="str">
        <f>IFERROR(__xludf.DUMMYFUNCTION("""COMPUTED_VALUE"""),"Dexmedetomidine Hydrochloride Injection")</f>
        <v>Dexmedetomidine Hydrochloride Injection</v>
      </c>
      <c r="B456" s="5" t="str">
        <f>IFERROR(__xludf.DUMMYFUNCTION("""COMPUTED_VALUE"""),"Eugia US LLC")</f>
        <v>Eugia US LLC</v>
      </c>
      <c r="C456" s="5" t="str">
        <f>IFERROR(__xludf.DUMMYFUNCTION("""COMPUTED_VALUE"""),"Dexmedetomidine Hydrochloride, Injection, 100 ug/1 mL (NDC 55150-209-02)")</f>
        <v>Dexmedetomidine Hydrochloride, Injection, 100 ug/1 mL (NDC 55150-209-02)</v>
      </c>
      <c r="D456" s="5" t="str">
        <f>IFERROR(__xludf.DUMMYFUNCTION("""COMPUTED_VALUE"""),"Reverified")</f>
        <v>Reverified</v>
      </c>
      <c r="E456" s="13">
        <f>IFERROR(__xludf.DUMMYFUNCTION("""COMPUTED_VALUE"""),46314.0)</f>
        <v>46314</v>
      </c>
      <c r="F456" s="5" t="str">
        <f>IFERROR(__xludf.DUMMYFUNCTION("""COMPUTED_VALUE"""),"Available")</f>
        <v>Available</v>
      </c>
      <c r="G456" s="5" t="str">
        <f>IFERROR(__xludf.DUMMYFUNCTION("""COMPUTED_VALUE"""),"Check wholesalers for inventory")</f>
        <v>Check wholesalers for inventory</v>
      </c>
      <c r="H456" s="5"/>
      <c r="I456" s="5"/>
      <c r="J456" s="5" t="str">
        <f>IFERROR(__xludf.DUMMYFUNCTION("""COMPUTED_VALUE"""),"Anesthesia")</f>
        <v>Anesthesia</v>
      </c>
      <c r="K456" s="5" t="str">
        <f>IFERROR(__xludf.DUMMYFUNCTION("""COMPUTED_VALUE"""),"Current")</f>
        <v>Current</v>
      </c>
      <c r="L456" s="5"/>
      <c r="M456" s="5"/>
      <c r="N456" s="10">
        <f>IFERROR(__xludf.DUMMYFUNCTION("""COMPUTED_VALUE"""),43931.0)</f>
        <v>43931</v>
      </c>
      <c r="O456" s="5">
        <v>2020.0</v>
      </c>
      <c r="P456" s="5" t="str">
        <f>IFERROR(__xludf.DUMMYFUNCTION("""COMPUTED_VALUE"""),"Available")</f>
        <v>Available</v>
      </c>
      <c r="Q456" s="5" t="s">
        <v>135</v>
      </c>
      <c r="R456" s="5" t="s">
        <v>136</v>
      </c>
      <c r="S456" s="11">
        <v>2390.0</v>
      </c>
    </row>
    <row r="457">
      <c r="A457" s="5" t="str">
        <f>IFERROR(__xludf.DUMMYFUNCTION("""COMPUTED_VALUE"""),"Dexmedetomidine Hydrochloride Injection")</f>
        <v>Dexmedetomidine Hydrochloride Injection</v>
      </c>
      <c r="B457" s="5" t="str">
        <f>IFERROR(__xludf.DUMMYFUNCTION("""COMPUTED_VALUE"""),"Baxter Healthcare")</f>
        <v>Baxter Healthcare</v>
      </c>
      <c r="C457" s="5" t="str">
        <f>IFERROR(__xludf.DUMMYFUNCTION("""COMPUTED_VALUE"""),"Dexmedetomidine Hydrochloride, Injection, 200 ug/50 mL (NDC 0338-9555-24)")</f>
        <v>Dexmedetomidine Hydrochloride, Injection, 200 ug/50 mL (NDC 0338-9555-24)</v>
      </c>
      <c r="D457" s="5" t="str">
        <f>IFERROR(__xludf.DUMMYFUNCTION("""COMPUTED_VALUE"""),"Reverified")</f>
        <v>Reverified</v>
      </c>
      <c r="E457" s="13">
        <f>IFERROR(__xludf.DUMMYFUNCTION("""COMPUTED_VALUE"""),46311.0)</f>
        <v>46311</v>
      </c>
      <c r="F457" s="5" t="str">
        <f>IFERROR(__xludf.DUMMYFUNCTION("""COMPUTED_VALUE"""),"Available")</f>
        <v>Available</v>
      </c>
      <c r="G457" s="5"/>
      <c r="H457" s="5"/>
      <c r="I457" s="5"/>
      <c r="J457" s="5" t="str">
        <f>IFERROR(__xludf.DUMMYFUNCTION("""COMPUTED_VALUE"""),"Anesthesia")</f>
        <v>Anesthesia</v>
      </c>
      <c r="K457" s="5" t="str">
        <f>IFERROR(__xludf.DUMMYFUNCTION("""COMPUTED_VALUE"""),"Current")</f>
        <v>Current</v>
      </c>
      <c r="L457" s="5"/>
      <c r="M457" s="5"/>
      <c r="N457" s="10">
        <f>IFERROR(__xludf.DUMMYFUNCTION("""COMPUTED_VALUE"""),43931.0)</f>
        <v>43931</v>
      </c>
      <c r="O457" s="5">
        <v>2020.0</v>
      </c>
      <c r="P457" s="5" t="str">
        <f>IFERROR(__xludf.DUMMYFUNCTION("""COMPUTED_VALUE"""),"Available")</f>
        <v>Available</v>
      </c>
      <c r="Q457" s="5" t="s">
        <v>135</v>
      </c>
      <c r="R457" s="5" t="s">
        <v>136</v>
      </c>
      <c r="S457" s="11">
        <v>2390.0</v>
      </c>
    </row>
    <row r="458">
      <c r="A458" s="5" t="str">
        <f>IFERROR(__xludf.DUMMYFUNCTION("""COMPUTED_VALUE"""),"Dexmedetomidine Hydrochloride Injection")</f>
        <v>Dexmedetomidine Hydrochloride Injection</v>
      </c>
      <c r="B458" s="5" t="str">
        <f>IFERROR(__xludf.DUMMYFUNCTION("""COMPUTED_VALUE"""),"Baxter Healthcare")</f>
        <v>Baxter Healthcare</v>
      </c>
      <c r="C458" s="5" t="str">
        <f>IFERROR(__xludf.DUMMYFUNCTION("""COMPUTED_VALUE"""),"Dexmedetomidine Hydrochloride, Injection, 400 ug/100 mL (NDC 0338-9557-12)")</f>
        <v>Dexmedetomidine Hydrochloride, Injection, 400 ug/100 mL (NDC 0338-9557-12)</v>
      </c>
      <c r="D458" s="5" t="str">
        <f>IFERROR(__xludf.DUMMYFUNCTION("""COMPUTED_VALUE"""),"Reverified")</f>
        <v>Reverified</v>
      </c>
      <c r="E458" s="13">
        <f>IFERROR(__xludf.DUMMYFUNCTION("""COMPUTED_VALUE"""),46311.0)</f>
        <v>46311</v>
      </c>
      <c r="F458" s="5" t="str">
        <f>IFERROR(__xludf.DUMMYFUNCTION("""COMPUTED_VALUE"""),"Available")</f>
        <v>Available</v>
      </c>
      <c r="G458" s="5"/>
      <c r="H458" s="5"/>
      <c r="I458" s="5"/>
      <c r="J458" s="5" t="str">
        <f>IFERROR(__xludf.DUMMYFUNCTION("""COMPUTED_VALUE"""),"Anesthesia")</f>
        <v>Anesthesia</v>
      </c>
      <c r="K458" s="5" t="str">
        <f>IFERROR(__xludf.DUMMYFUNCTION("""COMPUTED_VALUE"""),"Current")</f>
        <v>Current</v>
      </c>
      <c r="L458" s="5"/>
      <c r="M458" s="5"/>
      <c r="N458" s="10">
        <f>IFERROR(__xludf.DUMMYFUNCTION("""COMPUTED_VALUE"""),43931.0)</f>
        <v>43931</v>
      </c>
      <c r="O458" s="5">
        <v>2020.0</v>
      </c>
      <c r="P458" s="5" t="str">
        <f>IFERROR(__xludf.DUMMYFUNCTION("""COMPUTED_VALUE"""),"Available")</f>
        <v>Available</v>
      </c>
      <c r="Q458" s="5" t="s">
        <v>135</v>
      </c>
      <c r="R458" s="5" t="s">
        <v>136</v>
      </c>
      <c r="S458" s="11">
        <v>2390.0</v>
      </c>
    </row>
    <row r="459">
      <c r="A459" s="5" t="str">
        <f>IFERROR(__xludf.DUMMYFUNCTION("""COMPUTED_VALUE"""),"Dexmedetomidine Hydrochloride Injection")</f>
        <v>Dexmedetomidine Hydrochloride Injection</v>
      </c>
      <c r="B459" s="5" t="str">
        <f>IFERROR(__xludf.DUMMYFUNCTION("""COMPUTED_VALUE"""),"Baxter Healthcare")</f>
        <v>Baxter Healthcare</v>
      </c>
      <c r="C459" s="5" t="str">
        <f>IFERROR(__xludf.DUMMYFUNCTION("""COMPUTED_VALUE"""),"Dexmedetomidine Hydrochloride, Injection, 200 ug/50 mL (NDC 43066-555-24)")</f>
        <v>Dexmedetomidine Hydrochloride, Injection, 200 ug/50 mL (NDC 43066-555-24)</v>
      </c>
      <c r="D459" s="5" t="str">
        <f>IFERROR(__xludf.DUMMYFUNCTION("""COMPUTED_VALUE"""),"Reverified")</f>
        <v>Reverified</v>
      </c>
      <c r="E459" s="13">
        <f>IFERROR(__xludf.DUMMYFUNCTION("""COMPUTED_VALUE"""),46311.0)</f>
        <v>46311</v>
      </c>
      <c r="F459" s="5" t="str">
        <f>IFERROR(__xludf.DUMMYFUNCTION("""COMPUTED_VALUE"""),"Available")</f>
        <v>Available</v>
      </c>
      <c r="G459" s="5"/>
      <c r="H459" s="5"/>
      <c r="I459" s="5"/>
      <c r="J459" s="5" t="str">
        <f>IFERROR(__xludf.DUMMYFUNCTION("""COMPUTED_VALUE"""),"Anesthesia")</f>
        <v>Anesthesia</v>
      </c>
      <c r="K459" s="5" t="str">
        <f>IFERROR(__xludf.DUMMYFUNCTION("""COMPUTED_VALUE"""),"Current")</f>
        <v>Current</v>
      </c>
      <c r="L459" s="5"/>
      <c r="M459" s="5"/>
      <c r="N459" s="10">
        <f>IFERROR(__xludf.DUMMYFUNCTION("""COMPUTED_VALUE"""),43931.0)</f>
        <v>43931</v>
      </c>
      <c r="O459" s="5">
        <v>2020.0</v>
      </c>
      <c r="P459" s="5" t="str">
        <f>IFERROR(__xludf.DUMMYFUNCTION("""COMPUTED_VALUE"""),"Available")</f>
        <v>Available</v>
      </c>
      <c r="Q459" s="5" t="s">
        <v>135</v>
      </c>
      <c r="R459" s="5" t="s">
        <v>136</v>
      </c>
      <c r="S459" s="11">
        <v>2390.0</v>
      </c>
    </row>
    <row r="460">
      <c r="A460" s="5" t="str">
        <f>IFERROR(__xludf.DUMMYFUNCTION("""COMPUTED_VALUE"""),"Dexmedetomidine Hydrochloride Injection")</f>
        <v>Dexmedetomidine Hydrochloride Injection</v>
      </c>
      <c r="B460" s="5" t="str">
        <f>IFERROR(__xludf.DUMMYFUNCTION("""COMPUTED_VALUE"""),"Baxter Healthcare")</f>
        <v>Baxter Healthcare</v>
      </c>
      <c r="C460" s="5" t="str">
        <f>IFERROR(__xludf.DUMMYFUNCTION("""COMPUTED_VALUE"""),"Dexmedetomidine Hydrochloride, Injection, 400 ug/100 mL (NDC 43066-557-12)")</f>
        <v>Dexmedetomidine Hydrochloride, Injection, 400 ug/100 mL (NDC 43066-557-12)</v>
      </c>
      <c r="D460" s="5" t="str">
        <f>IFERROR(__xludf.DUMMYFUNCTION("""COMPUTED_VALUE"""),"Reverified")</f>
        <v>Reverified</v>
      </c>
      <c r="E460" s="13">
        <f>IFERROR(__xludf.DUMMYFUNCTION("""COMPUTED_VALUE"""),46311.0)</f>
        <v>46311</v>
      </c>
      <c r="F460" s="5" t="str">
        <f>IFERROR(__xludf.DUMMYFUNCTION("""COMPUTED_VALUE"""),"Available")</f>
        <v>Available</v>
      </c>
      <c r="G460" s="5"/>
      <c r="H460" s="5"/>
      <c r="I460" s="5"/>
      <c r="J460" s="5" t="str">
        <f>IFERROR(__xludf.DUMMYFUNCTION("""COMPUTED_VALUE"""),"Anesthesia")</f>
        <v>Anesthesia</v>
      </c>
      <c r="K460" s="5" t="str">
        <f>IFERROR(__xludf.DUMMYFUNCTION("""COMPUTED_VALUE"""),"Current")</f>
        <v>Current</v>
      </c>
      <c r="L460" s="5"/>
      <c r="M460" s="5"/>
      <c r="N460" s="10">
        <f>IFERROR(__xludf.DUMMYFUNCTION("""COMPUTED_VALUE"""),43931.0)</f>
        <v>43931</v>
      </c>
      <c r="O460" s="5">
        <v>2020.0</v>
      </c>
      <c r="P460" s="5" t="str">
        <f>IFERROR(__xludf.DUMMYFUNCTION("""COMPUTED_VALUE"""),"Available")</f>
        <v>Available</v>
      </c>
      <c r="Q460" s="5" t="s">
        <v>135</v>
      </c>
      <c r="R460" s="5" t="s">
        <v>136</v>
      </c>
      <c r="S460" s="11">
        <v>2390.0</v>
      </c>
    </row>
    <row r="461">
      <c r="A461" s="5" t="str">
        <f>IFERROR(__xludf.DUMMYFUNCTION("""COMPUTED_VALUE"""),"Dexmedetomidine Hydrochloride Injection")</f>
        <v>Dexmedetomidine Hydrochloride Injection</v>
      </c>
      <c r="B461" s="5" t="str">
        <f>IFERROR(__xludf.DUMMYFUNCTION("""COMPUTED_VALUE"""),"Fresenius Kabi USA, LLC")</f>
        <v>Fresenius Kabi USA, LLC</v>
      </c>
      <c r="C461" s="5" t="str">
        <f>IFERROR(__xludf.DUMMYFUNCTION("""COMPUTED_VALUE"""),"Dexmedetomidine Hydrochloride, Injection, 4 ug/1 mL (NDC 63323-671-20)")</f>
        <v>Dexmedetomidine Hydrochloride, Injection, 4 ug/1 mL (NDC 63323-671-20)</v>
      </c>
      <c r="D461" s="5" t="str">
        <f>IFERROR(__xludf.DUMMYFUNCTION("""COMPUTED_VALUE"""),"Reverified")</f>
        <v>Reverified</v>
      </c>
      <c r="E461" s="13">
        <f>IFERROR(__xludf.DUMMYFUNCTION("""COMPUTED_VALUE"""),46310.0)</f>
        <v>46310</v>
      </c>
      <c r="F461" s="5" t="str">
        <f>IFERROR(__xludf.DUMMYFUNCTION("""COMPUTED_VALUE"""),"Unavailable")</f>
        <v>Unavailable</v>
      </c>
      <c r="G461" s="5" t="str">
        <f>IFERROR(__xludf.DUMMYFUNCTION("""COMPUTED_VALUE"""),"Expected recovery: TBD")</f>
        <v>Expected recovery: TBD</v>
      </c>
      <c r="H461" s="5"/>
      <c r="I461" s="5" t="str">
        <f>IFERROR(__xludf.DUMMYFUNCTION("""COMPUTED_VALUE"""),"Other")</f>
        <v>Other</v>
      </c>
      <c r="J461" s="5" t="str">
        <f>IFERROR(__xludf.DUMMYFUNCTION("""COMPUTED_VALUE"""),"Anesthesia")</f>
        <v>Anesthesia</v>
      </c>
      <c r="K461" s="5" t="str">
        <f>IFERROR(__xludf.DUMMYFUNCTION("""COMPUTED_VALUE"""),"Current")</f>
        <v>Current</v>
      </c>
      <c r="L461" s="5"/>
      <c r="M461" s="5"/>
      <c r="N461" s="10">
        <f>IFERROR(__xludf.DUMMYFUNCTION("""COMPUTED_VALUE"""),43931.0)</f>
        <v>43931</v>
      </c>
      <c r="O461" s="5">
        <v>2020.0</v>
      </c>
      <c r="P461" s="5" t="str">
        <f>IFERROR(__xludf.DUMMYFUNCTION("""COMPUTED_VALUE"""),"Unavailable")</f>
        <v>Unavailable</v>
      </c>
      <c r="Q461" s="5" t="s">
        <v>47</v>
      </c>
      <c r="R461" s="5" t="s">
        <v>136</v>
      </c>
      <c r="S461" s="11">
        <v>2390.0</v>
      </c>
    </row>
    <row r="462">
      <c r="A462" s="5" t="str">
        <f>IFERROR(__xludf.DUMMYFUNCTION("""COMPUTED_VALUE"""),"Dexmedetomidine Hydrochloride Injection")</f>
        <v>Dexmedetomidine Hydrochloride Injection</v>
      </c>
      <c r="B462" s="5" t="str">
        <f>IFERROR(__xludf.DUMMYFUNCTION("""COMPUTED_VALUE"""),"Fresenius Kabi USA, LLC")</f>
        <v>Fresenius Kabi USA, LLC</v>
      </c>
      <c r="C462" s="5" t="str">
        <f>IFERROR(__xludf.DUMMYFUNCTION("""COMPUTED_VALUE"""),"Dexmedetomidine Hydrochloride, Injection, 4 ug/1 mL (NDC 63323-671-50)")</f>
        <v>Dexmedetomidine Hydrochloride, Injection, 4 ug/1 mL (NDC 63323-671-50)</v>
      </c>
      <c r="D462" s="5" t="str">
        <f>IFERROR(__xludf.DUMMYFUNCTION("""COMPUTED_VALUE"""),"Reverified")</f>
        <v>Reverified</v>
      </c>
      <c r="E462" s="13">
        <f>IFERROR(__xludf.DUMMYFUNCTION("""COMPUTED_VALUE"""),46310.0)</f>
        <v>46310</v>
      </c>
      <c r="F462" s="5" t="str">
        <f>IFERROR(__xludf.DUMMYFUNCTION("""COMPUTED_VALUE"""),"Unavailable")</f>
        <v>Unavailable</v>
      </c>
      <c r="G462" s="5" t="str">
        <f>IFERROR(__xludf.DUMMYFUNCTION("""COMPUTED_VALUE"""),"Estimated recovery: TBD")</f>
        <v>Estimated recovery: TBD</v>
      </c>
      <c r="H462" s="5"/>
      <c r="I462" s="5" t="str">
        <f>IFERROR(__xludf.DUMMYFUNCTION("""COMPUTED_VALUE"""),"Delay in shipping of the drug")</f>
        <v>Delay in shipping of the drug</v>
      </c>
      <c r="J462" s="5" t="str">
        <f>IFERROR(__xludf.DUMMYFUNCTION("""COMPUTED_VALUE"""),"Anesthesia")</f>
        <v>Anesthesia</v>
      </c>
      <c r="K462" s="5" t="str">
        <f>IFERROR(__xludf.DUMMYFUNCTION("""COMPUTED_VALUE"""),"Current")</f>
        <v>Current</v>
      </c>
      <c r="L462" s="5"/>
      <c r="M462" s="5"/>
      <c r="N462" s="10">
        <f>IFERROR(__xludf.DUMMYFUNCTION("""COMPUTED_VALUE"""),43931.0)</f>
        <v>43931</v>
      </c>
      <c r="O462" s="5">
        <v>2020.0</v>
      </c>
      <c r="P462" s="5" t="str">
        <f>IFERROR(__xludf.DUMMYFUNCTION("""COMPUTED_VALUE"""),"Unavailable")</f>
        <v>Unavailable</v>
      </c>
      <c r="Q462" s="5" t="s">
        <v>562</v>
      </c>
      <c r="R462" s="5" t="s">
        <v>136</v>
      </c>
      <c r="S462" s="11">
        <v>2390.0</v>
      </c>
    </row>
    <row r="463">
      <c r="A463" s="5" t="str">
        <f>IFERROR(__xludf.DUMMYFUNCTION("""COMPUTED_VALUE"""),"Dexmedetomidine Hydrochloride Injection")</f>
        <v>Dexmedetomidine Hydrochloride Injection</v>
      </c>
      <c r="B463" s="5" t="str">
        <f>IFERROR(__xludf.DUMMYFUNCTION("""COMPUTED_VALUE"""),"Fresenius Kabi USA, LLC")</f>
        <v>Fresenius Kabi USA, LLC</v>
      </c>
      <c r="C463" s="5" t="str">
        <f>IFERROR(__xludf.DUMMYFUNCTION("""COMPUTED_VALUE"""),"Dexmedetomidine Hydrochloride, Injection, 4 ug/1 mL (NDC 63323-671-00)")</f>
        <v>Dexmedetomidine Hydrochloride, Injection, 4 ug/1 mL (NDC 63323-671-00)</v>
      </c>
      <c r="D463" s="5" t="str">
        <f>IFERROR(__xludf.DUMMYFUNCTION("""COMPUTED_VALUE"""),"Reverified")</f>
        <v>Reverified</v>
      </c>
      <c r="E463" s="13">
        <f>IFERROR(__xludf.DUMMYFUNCTION("""COMPUTED_VALUE"""),46310.0)</f>
        <v>46310</v>
      </c>
      <c r="F463" s="5" t="str">
        <f>IFERROR(__xludf.DUMMYFUNCTION("""COMPUTED_VALUE"""),"Unavailable")</f>
        <v>Unavailable</v>
      </c>
      <c r="G463" s="5" t="str">
        <f>IFERROR(__xludf.DUMMYFUNCTION("""COMPUTED_VALUE"""),"Expected recovery: TBD")</f>
        <v>Expected recovery: TBD</v>
      </c>
      <c r="H463" s="5"/>
      <c r="I463" s="5" t="str">
        <f>IFERROR(__xludf.DUMMYFUNCTION("""COMPUTED_VALUE"""),"Delay in shipping of the drug")</f>
        <v>Delay in shipping of the drug</v>
      </c>
      <c r="J463" s="5" t="str">
        <f>IFERROR(__xludf.DUMMYFUNCTION("""COMPUTED_VALUE"""),"Anesthesia")</f>
        <v>Anesthesia</v>
      </c>
      <c r="K463" s="5" t="str">
        <f>IFERROR(__xludf.DUMMYFUNCTION("""COMPUTED_VALUE"""),"Current")</f>
        <v>Current</v>
      </c>
      <c r="L463" s="5"/>
      <c r="M463" s="5"/>
      <c r="N463" s="10">
        <f>IFERROR(__xludf.DUMMYFUNCTION("""COMPUTED_VALUE"""),43931.0)</f>
        <v>43931</v>
      </c>
      <c r="O463" s="5">
        <v>2020.0</v>
      </c>
      <c r="P463" s="5" t="str">
        <f>IFERROR(__xludf.DUMMYFUNCTION("""COMPUTED_VALUE"""),"Unavailable")</f>
        <v>Unavailable</v>
      </c>
      <c r="Q463" s="5" t="s">
        <v>562</v>
      </c>
      <c r="R463" s="5" t="s">
        <v>136</v>
      </c>
      <c r="S463" s="11">
        <v>2390.0</v>
      </c>
    </row>
    <row r="464">
      <c r="A464" s="5" t="str">
        <f>IFERROR(__xludf.DUMMYFUNCTION("""COMPUTED_VALUE"""),"Dexmedetomidine Hydrochloride Injection")</f>
        <v>Dexmedetomidine Hydrochloride Injection</v>
      </c>
      <c r="B464" s="5" t="str">
        <f>IFERROR(__xludf.DUMMYFUNCTION("""COMPUTED_VALUE"""),"Fresenius Kabi USA, LLC")</f>
        <v>Fresenius Kabi USA, LLC</v>
      </c>
      <c r="C464" s="5" t="str">
        <f>IFERROR(__xludf.DUMMYFUNCTION("""COMPUTED_VALUE"""),"Dexmedetomidine Hydrochloride, Injection, 100 ug/1 mL (NDC 63323-421-02)")</f>
        <v>Dexmedetomidine Hydrochloride, Injection, 100 ug/1 mL (NDC 63323-421-02)</v>
      </c>
      <c r="D464" s="5" t="str">
        <f>IFERROR(__xludf.DUMMYFUNCTION("""COMPUTED_VALUE"""),"Reverified")</f>
        <v>Reverified</v>
      </c>
      <c r="E464" s="13">
        <f>IFERROR(__xludf.DUMMYFUNCTION("""COMPUTED_VALUE"""),46310.0)</f>
        <v>46310</v>
      </c>
      <c r="F464" s="5" t="str">
        <f>IFERROR(__xludf.DUMMYFUNCTION("""COMPUTED_VALUE"""),"Unavailable")</f>
        <v>Unavailable</v>
      </c>
      <c r="G464" s="5" t="str">
        <f>IFERROR(__xludf.DUMMYFUNCTION("""COMPUTED_VALUE"""),"Estimated recovery: TBD")</f>
        <v>Estimated recovery: TBD</v>
      </c>
      <c r="H464" s="5"/>
      <c r="I464" s="5" t="str">
        <f>IFERROR(__xludf.DUMMYFUNCTION("""COMPUTED_VALUE"""),"Demand increase for the drug")</f>
        <v>Demand increase for the drug</v>
      </c>
      <c r="J464" s="5" t="str">
        <f>IFERROR(__xludf.DUMMYFUNCTION("""COMPUTED_VALUE"""),"Anesthesia")</f>
        <v>Anesthesia</v>
      </c>
      <c r="K464" s="5" t="str">
        <f>IFERROR(__xludf.DUMMYFUNCTION("""COMPUTED_VALUE"""),"Current")</f>
        <v>Current</v>
      </c>
      <c r="L464" s="5"/>
      <c r="M464" s="5"/>
      <c r="N464" s="10">
        <f>IFERROR(__xludf.DUMMYFUNCTION("""COMPUTED_VALUE"""),43931.0)</f>
        <v>43931</v>
      </c>
      <c r="O464" s="5">
        <v>2020.0</v>
      </c>
      <c r="P464" s="5" t="str">
        <f>IFERROR(__xludf.DUMMYFUNCTION("""COMPUTED_VALUE"""),"Unavailable")</f>
        <v>Unavailable</v>
      </c>
      <c r="Q464" s="5" t="s">
        <v>134</v>
      </c>
      <c r="R464" s="5" t="s">
        <v>136</v>
      </c>
      <c r="S464" s="11">
        <v>2390.0</v>
      </c>
    </row>
    <row r="465">
      <c r="A465" s="5" t="str">
        <f>IFERROR(__xludf.DUMMYFUNCTION("""COMPUTED_VALUE"""),"Dexmedetomidine Hydrochloride Injection")</f>
        <v>Dexmedetomidine Hydrochloride Injection</v>
      </c>
      <c r="B465" s="5" t="str">
        <f>IFERROR(__xludf.DUMMYFUNCTION("""COMPUTED_VALUE"""),"HQ Specialty Pharma")</f>
        <v>HQ Specialty Pharma</v>
      </c>
      <c r="C465" s="5" t="str">
        <f>IFERROR(__xludf.DUMMYFUNCTION("""COMPUTED_VALUE"""),"Dexmedetomidine Hydrochloride, Injection, 100 ug/1 mL (NDC 44567-600-04)")</f>
        <v>Dexmedetomidine Hydrochloride, Injection, 100 ug/1 mL (NDC 44567-600-04)</v>
      </c>
      <c r="D465" s="5" t="str">
        <f>IFERROR(__xludf.DUMMYFUNCTION("""COMPUTED_VALUE"""),"Reverified")</f>
        <v>Reverified</v>
      </c>
      <c r="E465" s="10">
        <f>IFERROR(__xludf.DUMMYFUNCTION("""COMPUTED_VALUE"""),46296.0)</f>
        <v>46296</v>
      </c>
      <c r="F465" s="5" t="str">
        <f>IFERROR(__xludf.DUMMYFUNCTION("""COMPUTED_VALUE"""),"Available")</f>
        <v>Available</v>
      </c>
      <c r="G465" s="5" t="str">
        <f>IFERROR(__xludf.DUMMYFUNCTION("""COMPUTED_VALUE"""),"Marketed by WG Critical Care")</f>
        <v>Marketed by WG Critical Care</v>
      </c>
      <c r="H465" s="5"/>
      <c r="I465" s="5"/>
      <c r="J465" s="5" t="str">
        <f>IFERROR(__xludf.DUMMYFUNCTION("""COMPUTED_VALUE"""),"Anesthesia")</f>
        <v>Anesthesia</v>
      </c>
      <c r="K465" s="5" t="str">
        <f>IFERROR(__xludf.DUMMYFUNCTION("""COMPUTED_VALUE"""),"Current")</f>
        <v>Current</v>
      </c>
      <c r="L465" s="5"/>
      <c r="M465" s="5"/>
      <c r="N465" s="10">
        <f>IFERROR(__xludf.DUMMYFUNCTION("""COMPUTED_VALUE"""),43931.0)</f>
        <v>43931</v>
      </c>
      <c r="O465" s="5">
        <v>2020.0</v>
      </c>
      <c r="P465" s="5" t="str">
        <f>IFERROR(__xludf.DUMMYFUNCTION("""COMPUTED_VALUE"""),"Available")</f>
        <v>Available</v>
      </c>
      <c r="Q465" s="5" t="s">
        <v>135</v>
      </c>
      <c r="R465" s="5" t="s">
        <v>136</v>
      </c>
      <c r="S465" s="11">
        <v>2390.0</v>
      </c>
    </row>
    <row r="466">
      <c r="A466" s="5" t="str">
        <f>IFERROR(__xludf.DUMMYFUNCTION("""COMPUTED_VALUE"""),"Dexmedetomidine Hydrochloride Injection")</f>
        <v>Dexmedetomidine Hydrochloride Injection</v>
      </c>
      <c r="B466" s="5" t="str">
        <f>IFERROR(__xludf.DUMMYFUNCTION("""COMPUTED_VALUE"""),"HQ Specialty Pharma")</f>
        <v>HQ Specialty Pharma</v>
      </c>
      <c r="C466" s="5" t="str">
        <f>IFERROR(__xludf.DUMMYFUNCTION("""COMPUTED_VALUE"""),"Dexmedetomidine Hydrochloride, Injection, 100 ug/1 mL (NDC 44567-601-04)")</f>
        <v>Dexmedetomidine Hydrochloride, Injection, 100 ug/1 mL (NDC 44567-601-04)</v>
      </c>
      <c r="D466" s="5" t="str">
        <f>IFERROR(__xludf.DUMMYFUNCTION("""COMPUTED_VALUE"""),"Reverified")</f>
        <v>Reverified</v>
      </c>
      <c r="E466" s="10">
        <f>IFERROR(__xludf.DUMMYFUNCTION("""COMPUTED_VALUE"""),46296.0)</f>
        <v>46296</v>
      </c>
      <c r="F466" s="5" t="str">
        <f>IFERROR(__xludf.DUMMYFUNCTION("""COMPUTED_VALUE"""),"Available")</f>
        <v>Available</v>
      </c>
      <c r="G466" s="5" t="str">
        <f>IFERROR(__xludf.DUMMYFUNCTION("""COMPUTED_VALUE"""),"Marketed by WG Critical Care")</f>
        <v>Marketed by WG Critical Care</v>
      </c>
      <c r="H466" s="5"/>
      <c r="I466" s="5"/>
      <c r="J466" s="5" t="str">
        <f>IFERROR(__xludf.DUMMYFUNCTION("""COMPUTED_VALUE"""),"Anesthesia")</f>
        <v>Anesthesia</v>
      </c>
      <c r="K466" s="5" t="str">
        <f>IFERROR(__xludf.DUMMYFUNCTION("""COMPUTED_VALUE"""),"Current")</f>
        <v>Current</v>
      </c>
      <c r="L466" s="5"/>
      <c r="M466" s="5"/>
      <c r="N466" s="10">
        <f>IFERROR(__xludf.DUMMYFUNCTION("""COMPUTED_VALUE"""),43931.0)</f>
        <v>43931</v>
      </c>
      <c r="O466" s="5">
        <v>2020.0</v>
      </c>
      <c r="P466" s="5" t="str">
        <f>IFERROR(__xludf.DUMMYFUNCTION("""COMPUTED_VALUE"""),"Available")</f>
        <v>Available</v>
      </c>
      <c r="Q466" s="5" t="s">
        <v>135</v>
      </c>
      <c r="R466" s="5" t="s">
        <v>136</v>
      </c>
      <c r="S466" s="11">
        <v>2390.0</v>
      </c>
    </row>
    <row r="467">
      <c r="A467" s="5" t="str">
        <f>IFERROR(__xludf.DUMMYFUNCTION("""COMPUTED_VALUE"""),"Dexmedetomidine Hydrochloride Injection")</f>
        <v>Dexmedetomidine Hydrochloride Injection</v>
      </c>
      <c r="B467" s="5" t="str">
        <f>IFERROR(__xludf.DUMMYFUNCTION("""COMPUTED_VALUE"""),"HQ Specialty Pharma")</f>
        <v>HQ Specialty Pharma</v>
      </c>
      <c r="C467" s="5" t="str">
        <f>IFERROR(__xludf.DUMMYFUNCTION("""COMPUTED_VALUE"""),"Dexmedetomidine Hydrochloride, Injection, 4 ug/1 mL (NDC 44567-602-24)")</f>
        <v>Dexmedetomidine Hydrochloride, Injection, 4 ug/1 mL (NDC 44567-602-24)</v>
      </c>
      <c r="D467" s="5" t="str">
        <f>IFERROR(__xludf.DUMMYFUNCTION("""COMPUTED_VALUE"""),"Reverified")</f>
        <v>Reverified</v>
      </c>
      <c r="E467" s="10">
        <f>IFERROR(__xludf.DUMMYFUNCTION("""COMPUTED_VALUE"""),46296.0)</f>
        <v>46296</v>
      </c>
      <c r="F467" s="5" t="str">
        <f>IFERROR(__xludf.DUMMYFUNCTION("""COMPUTED_VALUE"""),"Available")</f>
        <v>Available</v>
      </c>
      <c r="G467" s="5" t="str">
        <f>IFERROR(__xludf.DUMMYFUNCTION("""COMPUTED_VALUE"""),"Marketed by WG Critical Care")</f>
        <v>Marketed by WG Critical Care</v>
      </c>
      <c r="H467" s="5"/>
      <c r="I467" s="5"/>
      <c r="J467" s="5" t="str">
        <f>IFERROR(__xludf.DUMMYFUNCTION("""COMPUTED_VALUE"""),"Anesthesia")</f>
        <v>Anesthesia</v>
      </c>
      <c r="K467" s="5" t="str">
        <f>IFERROR(__xludf.DUMMYFUNCTION("""COMPUTED_VALUE"""),"Current")</f>
        <v>Current</v>
      </c>
      <c r="L467" s="5"/>
      <c r="M467" s="5"/>
      <c r="N467" s="10">
        <f>IFERROR(__xludf.DUMMYFUNCTION("""COMPUTED_VALUE"""),43931.0)</f>
        <v>43931</v>
      </c>
      <c r="O467" s="5">
        <v>2020.0</v>
      </c>
      <c r="P467" s="5" t="str">
        <f>IFERROR(__xludf.DUMMYFUNCTION("""COMPUTED_VALUE"""),"Available")</f>
        <v>Available</v>
      </c>
      <c r="Q467" s="5" t="s">
        <v>135</v>
      </c>
      <c r="R467" s="5" t="s">
        <v>136</v>
      </c>
      <c r="S467" s="11">
        <v>2390.0</v>
      </c>
    </row>
    <row r="468">
      <c r="A468" s="5" t="str">
        <f>IFERROR(__xludf.DUMMYFUNCTION("""COMPUTED_VALUE"""),"Dexmedetomidine Hydrochloride Injection")</f>
        <v>Dexmedetomidine Hydrochloride Injection</v>
      </c>
      <c r="B468" s="5" t="str">
        <f>IFERROR(__xludf.DUMMYFUNCTION("""COMPUTED_VALUE"""),"HQ Specialty Pharma")</f>
        <v>HQ Specialty Pharma</v>
      </c>
      <c r="C468" s="5" t="str">
        <f>IFERROR(__xludf.DUMMYFUNCTION("""COMPUTED_VALUE"""),"Dexmedetomidine Hydrochloride, Injection, 4 ug/1 mL (NDC 44567-603-24)")</f>
        <v>Dexmedetomidine Hydrochloride, Injection, 4 ug/1 mL (NDC 44567-603-24)</v>
      </c>
      <c r="D468" s="5" t="str">
        <f>IFERROR(__xludf.DUMMYFUNCTION("""COMPUTED_VALUE"""),"Reverified")</f>
        <v>Reverified</v>
      </c>
      <c r="E468" s="10">
        <f>IFERROR(__xludf.DUMMYFUNCTION("""COMPUTED_VALUE"""),46296.0)</f>
        <v>46296</v>
      </c>
      <c r="F468" s="5" t="str">
        <f>IFERROR(__xludf.DUMMYFUNCTION("""COMPUTED_VALUE"""),"Available")</f>
        <v>Available</v>
      </c>
      <c r="G468" s="5" t="str">
        <f>IFERROR(__xludf.DUMMYFUNCTION("""COMPUTED_VALUE"""),"Marketed by WG Critical Care")</f>
        <v>Marketed by WG Critical Care</v>
      </c>
      <c r="H468" s="5"/>
      <c r="I468" s="5"/>
      <c r="J468" s="5" t="str">
        <f>IFERROR(__xludf.DUMMYFUNCTION("""COMPUTED_VALUE"""),"Anesthesia")</f>
        <v>Anesthesia</v>
      </c>
      <c r="K468" s="5" t="str">
        <f>IFERROR(__xludf.DUMMYFUNCTION("""COMPUTED_VALUE"""),"Current")</f>
        <v>Current</v>
      </c>
      <c r="L468" s="5"/>
      <c r="M468" s="5"/>
      <c r="N468" s="10">
        <f>IFERROR(__xludf.DUMMYFUNCTION("""COMPUTED_VALUE"""),43931.0)</f>
        <v>43931</v>
      </c>
      <c r="O468" s="5">
        <v>2020.0</v>
      </c>
      <c r="P468" s="5" t="str">
        <f>IFERROR(__xludf.DUMMYFUNCTION("""COMPUTED_VALUE"""),"Available")</f>
        <v>Available</v>
      </c>
      <c r="Q468" s="5" t="s">
        <v>135</v>
      </c>
      <c r="R468" s="5" t="s">
        <v>136</v>
      </c>
      <c r="S468" s="11">
        <v>2390.0</v>
      </c>
    </row>
    <row r="469">
      <c r="A469" s="5" t="str">
        <f>IFERROR(__xludf.DUMMYFUNCTION("""COMPUTED_VALUE"""),"Dexmedetomidine Hydrochloride Injection")</f>
        <v>Dexmedetomidine Hydrochloride Injection</v>
      </c>
      <c r="B469" s="5" t="str">
        <f>IFERROR(__xludf.DUMMYFUNCTION("""COMPUTED_VALUE"""),"Mylan Institutional, a Viatris Company")</f>
        <v>Mylan Institutional, a Viatris Company</v>
      </c>
      <c r="C469" s="5" t="str">
        <f>IFERROR(__xludf.DUMMYFUNCTION("""COMPUTED_VALUE"""),"Dexmedetomidine Hydrochloride, Injection, 100 ug/1 mL (NDC 67457-251-02)")</f>
        <v>Dexmedetomidine Hydrochloride, Injection, 100 ug/1 mL (NDC 67457-251-02)</v>
      </c>
      <c r="D469" s="5" t="str">
        <f>IFERROR(__xludf.DUMMYFUNCTION("""COMPUTED_VALUE"""),"Reverified")</f>
        <v>Reverified</v>
      </c>
      <c r="E469" s="13">
        <f>IFERROR(__xludf.DUMMYFUNCTION("""COMPUTED_VALUE"""),46314.0)</f>
        <v>46314</v>
      </c>
      <c r="F469" s="5" t="str">
        <f>IFERROR(__xludf.DUMMYFUNCTION("""COMPUTED_VALUE"""),"Available")</f>
        <v>Available</v>
      </c>
      <c r="G469" s="5"/>
      <c r="H469" s="5"/>
      <c r="I469" s="5"/>
      <c r="J469" s="5" t="str">
        <f>IFERROR(__xludf.DUMMYFUNCTION("""COMPUTED_VALUE"""),"Anesthesia")</f>
        <v>Anesthesia</v>
      </c>
      <c r="K469" s="5" t="str">
        <f>IFERROR(__xludf.DUMMYFUNCTION("""COMPUTED_VALUE"""),"Current")</f>
        <v>Current</v>
      </c>
      <c r="L469" s="5"/>
      <c r="M469" s="5"/>
      <c r="N469" s="10">
        <f>IFERROR(__xludf.DUMMYFUNCTION("""COMPUTED_VALUE"""),43931.0)</f>
        <v>43931</v>
      </c>
      <c r="O469" s="5">
        <v>2020.0</v>
      </c>
      <c r="P469" s="5" t="str">
        <f>IFERROR(__xludf.DUMMYFUNCTION("""COMPUTED_VALUE"""),"Available")</f>
        <v>Available</v>
      </c>
      <c r="Q469" s="5" t="s">
        <v>135</v>
      </c>
      <c r="R469" s="5" t="s">
        <v>136</v>
      </c>
      <c r="S469" s="11">
        <v>2390.0</v>
      </c>
    </row>
    <row r="470">
      <c r="A470" s="5" t="str">
        <f>IFERROR(__xludf.DUMMYFUNCTION("""COMPUTED_VALUE"""),"Dexmedetomidine Hydrochloride Injection")</f>
        <v>Dexmedetomidine Hydrochloride Injection</v>
      </c>
      <c r="B470" s="5" t="str">
        <f>IFERROR(__xludf.DUMMYFUNCTION("""COMPUTED_VALUE"""),"Par Health, USA LLC")</f>
        <v>Par Health, USA LLC</v>
      </c>
      <c r="C470" s="5" t="str">
        <f>IFERROR(__xludf.DUMMYFUNCTION("""COMPUTED_VALUE"""),"Dexmedetomidine Hydrochloride, Injection, 100 ug/1 mL (NDC 42023-146-25)")</f>
        <v>Dexmedetomidine Hydrochloride, Injection, 100 ug/1 mL (NDC 42023-146-25)</v>
      </c>
      <c r="D470" s="5" t="str">
        <f>IFERROR(__xludf.DUMMYFUNCTION("""COMPUTED_VALUE"""),"Reverified")</f>
        <v>Reverified</v>
      </c>
      <c r="E470" s="13">
        <f>IFERROR(__xludf.DUMMYFUNCTION("""COMPUTED_VALUE"""),46310.0)</f>
        <v>46310</v>
      </c>
      <c r="F470" s="5" t="str">
        <f>IFERROR(__xludf.DUMMYFUNCTION("""COMPUTED_VALUE"""),"Unavailable")</f>
        <v>Unavailable</v>
      </c>
      <c r="G470" s="5" t="str">
        <f>IFERROR(__xludf.DUMMYFUNCTION("""COMPUTED_VALUE"""),"Please check wholesalers for inventory")</f>
        <v>Please check wholesalers for inventory</v>
      </c>
      <c r="H470" s="5"/>
      <c r="I470" s="5" t="str">
        <f>IFERROR(__xludf.DUMMYFUNCTION("""COMPUTED_VALUE"""),"Other")</f>
        <v>Other</v>
      </c>
      <c r="J470" s="5" t="str">
        <f>IFERROR(__xludf.DUMMYFUNCTION("""COMPUTED_VALUE"""),"Anesthesia")</f>
        <v>Anesthesia</v>
      </c>
      <c r="K470" s="5" t="str">
        <f>IFERROR(__xludf.DUMMYFUNCTION("""COMPUTED_VALUE"""),"Current")</f>
        <v>Current</v>
      </c>
      <c r="L470" s="5"/>
      <c r="M470" s="5"/>
      <c r="N470" s="10">
        <f>IFERROR(__xludf.DUMMYFUNCTION("""COMPUTED_VALUE"""),43931.0)</f>
        <v>43931</v>
      </c>
      <c r="O470" s="5">
        <v>2020.0</v>
      </c>
      <c r="P470" s="5" t="str">
        <f>IFERROR(__xludf.DUMMYFUNCTION("""COMPUTED_VALUE"""),"Unavailable")</f>
        <v>Unavailable</v>
      </c>
      <c r="Q470" s="5" t="s">
        <v>47</v>
      </c>
      <c r="R470" s="5" t="s">
        <v>136</v>
      </c>
      <c r="S470" s="11">
        <v>2390.0</v>
      </c>
    </row>
    <row r="471">
      <c r="A471" s="5" t="str">
        <f>IFERROR(__xludf.DUMMYFUNCTION("""COMPUTED_VALUE"""),"Dexmedetomidine Hydrochloride Injection")</f>
        <v>Dexmedetomidine Hydrochloride Injection</v>
      </c>
      <c r="B471" s="5" t="str">
        <f>IFERROR(__xludf.DUMMYFUNCTION("""COMPUTED_VALUE"""),"Pfizer Inc.")</f>
        <v>Pfizer Inc.</v>
      </c>
      <c r="C471" s="5" t="str">
        <f>IFERROR(__xludf.DUMMYFUNCTION("""COMPUTED_VALUE"""),"Precedex, Injection, 80 mcg/20 mL (4 mcg/mL) (NDC 0409-1660-20)")</f>
        <v>Precedex, Injection, 80 mcg/20 mL (4 mcg/mL) (NDC 0409-1660-20)</v>
      </c>
      <c r="D471" s="5" t="str">
        <f>IFERROR(__xludf.DUMMYFUNCTION("""COMPUTED_VALUE"""),"Reverified")</f>
        <v>Reverified</v>
      </c>
      <c r="E471" s="10">
        <f>IFERROR(__xludf.DUMMYFUNCTION("""COMPUTED_VALUE"""),46286.0)</f>
        <v>46286</v>
      </c>
      <c r="F471" s="5" t="str">
        <f>IFERROR(__xludf.DUMMYFUNCTION("""COMPUTED_VALUE"""),"Available")</f>
        <v>Available</v>
      </c>
      <c r="G471" s="5"/>
      <c r="H471" s="5"/>
      <c r="I471" s="5"/>
      <c r="J471" s="5" t="str">
        <f>IFERROR(__xludf.DUMMYFUNCTION("""COMPUTED_VALUE"""),"Anesthesia")</f>
        <v>Anesthesia</v>
      </c>
      <c r="K471" s="5" t="str">
        <f>IFERROR(__xludf.DUMMYFUNCTION("""COMPUTED_VALUE"""),"Current")</f>
        <v>Current</v>
      </c>
      <c r="L471" s="5"/>
      <c r="M471" s="5"/>
      <c r="N471" s="10">
        <f>IFERROR(__xludf.DUMMYFUNCTION("""COMPUTED_VALUE"""),43931.0)</f>
        <v>43931</v>
      </c>
      <c r="O471" s="5">
        <v>2020.0</v>
      </c>
      <c r="P471" s="5" t="str">
        <f>IFERROR(__xludf.DUMMYFUNCTION("""COMPUTED_VALUE"""),"Available")</f>
        <v>Available</v>
      </c>
      <c r="Q471" s="5" t="s">
        <v>135</v>
      </c>
      <c r="R471" s="5" t="s">
        <v>136</v>
      </c>
      <c r="S471" s="11">
        <v>2390.0</v>
      </c>
    </row>
    <row r="472">
      <c r="A472" s="5" t="str">
        <f>IFERROR(__xludf.DUMMYFUNCTION("""COMPUTED_VALUE"""),"Dexmedetomidine Hydrochloride Injection")</f>
        <v>Dexmedetomidine Hydrochloride Injection</v>
      </c>
      <c r="B472" s="5" t="str">
        <f>IFERROR(__xludf.DUMMYFUNCTION("""COMPUTED_VALUE"""),"Pfizer Inc.")</f>
        <v>Pfizer Inc.</v>
      </c>
      <c r="C472" s="5" t="str">
        <f>IFERROR(__xludf.DUMMYFUNCTION("""COMPUTED_VALUE"""),"Precedex, Injection, 200 mcg/50 mL (4 mcg/mL) (NDC 0409-1660-50)")</f>
        <v>Precedex, Injection, 200 mcg/50 mL (4 mcg/mL) (NDC 0409-1660-50)</v>
      </c>
      <c r="D472" s="5" t="str">
        <f>IFERROR(__xludf.DUMMYFUNCTION("""COMPUTED_VALUE"""),"Reverified")</f>
        <v>Reverified</v>
      </c>
      <c r="E472" s="13">
        <f>IFERROR(__xludf.DUMMYFUNCTION("""COMPUTED_VALUE"""),46316.0)</f>
        <v>46316</v>
      </c>
      <c r="F472" s="5" t="str">
        <f>IFERROR(__xludf.DUMMYFUNCTION("""COMPUTED_VALUE"""),"Available")</f>
        <v>Available</v>
      </c>
      <c r="G472" s="5"/>
      <c r="H472" s="5"/>
      <c r="I472" s="5"/>
      <c r="J472" s="5" t="str">
        <f>IFERROR(__xludf.DUMMYFUNCTION("""COMPUTED_VALUE"""),"Anesthesia")</f>
        <v>Anesthesia</v>
      </c>
      <c r="K472" s="5" t="str">
        <f>IFERROR(__xludf.DUMMYFUNCTION("""COMPUTED_VALUE"""),"Current")</f>
        <v>Current</v>
      </c>
      <c r="L472" s="5"/>
      <c r="M472" s="5"/>
      <c r="N472" s="10">
        <f>IFERROR(__xludf.DUMMYFUNCTION("""COMPUTED_VALUE"""),43931.0)</f>
        <v>43931</v>
      </c>
      <c r="O472" s="5">
        <v>2020.0</v>
      </c>
      <c r="P472" s="5" t="str">
        <f>IFERROR(__xludf.DUMMYFUNCTION("""COMPUTED_VALUE"""),"Available")</f>
        <v>Available</v>
      </c>
      <c r="Q472" s="5" t="s">
        <v>135</v>
      </c>
      <c r="R472" s="5" t="s">
        <v>136</v>
      </c>
      <c r="S472" s="11">
        <v>2390.0</v>
      </c>
    </row>
    <row r="473">
      <c r="A473" s="5" t="str">
        <f>IFERROR(__xludf.DUMMYFUNCTION("""COMPUTED_VALUE"""),"Dexmedetomidine Hydrochloride Injection")</f>
        <v>Dexmedetomidine Hydrochloride Injection</v>
      </c>
      <c r="B473" s="5" t="str">
        <f>IFERROR(__xludf.DUMMYFUNCTION("""COMPUTED_VALUE"""),"Pfizer Inc.")</f>
        <v>Pfizer Inc.</v>
      </c>
      <c r="C473" s="5" t="str">
        <f>IFERROR(__xludf.DUMMYFUNCTION("""COMPUTED_VALUE"""),"Precedex, Injection, 400 mcg/100 mL (4 mcg/mL) (NDC 0409-1596-10)")</f>
        <v>Precedex, Injection, 400 mcg/100 mL (4 mcg/mL) (NDC 0409-1596-10)</v>
      </c>
      <c r="D473" s="5" t="str">
        <f>IFERROR(__xludf.DUMMYFUNCTION("""COMPUTED_VALUE"""),"Reverified")</f>
        <v>Reverified</v>
      </c>
      <c r="E473" s="13">
        <f>IFERROR(__xludf.DUMMYFUNCTION("""COMPUTED_VALUE"""),46316.0)</f>
        <v>46316</v>
      </c>
      <c r="F473" s="5" t="str">
        <f>IFERROR(__xludf.DUMMYFUNCTION("""COMPUTED_VALUE"""),"Available")</f>
        <v>Available</v>
      </c>
      <c r="G473" s="5"/>
      <c r="H473" s="5"/>
      <c r="I473" s="5"/>
      <c r="J473" s="5" t="str">
        <f>IFERROR(__xludf.DUMMYFUNCTION("""COMPUTED_VALUE"""),"Anesthesia")</f>
        <v>Anesthesia</v>
      </c>
      <c r="K473" s="5" t="str">
        <f>IFERROR(__xludf.DUMMYFUNCTION("""COMPUTED_VALUE"""),"Current")</f>
        <v>Current</v>
      </c>
      <c r="L473" s="5"/>
      <c r="M473" s="5"/>
      <c r="N473" s="10">
        <f>IFERROR(__xludf.DUMMYFUNCTION("""COMPUTED_VALUE"""),43931.0)</f>
        <v>43931</v>
      </c>
      <c r="O473" s="5">
        <v>2020.0</v>
      </c>
      <c r="P473" s="5" t="str">
        <f>IFERROR(__xludf.DUMMYFUNCTION("""COMPUTED_VALUE"""),"Available")</f>
        <v>Available</v>
      </c>
      <c r="Q473" s="5" t="s">
        <v>135</v>
      </c>
      <c r="R473" s="5" t="s">
        <v>136</v>
      </c>
      <c r="S473" s="11">
        <v>2390.0</v>
      </c>
    </row>
    <row r="474">
      <c r="A474" s="5" t="str">
        <f>IFERROR(__xludf.DUMMYFUNCTION("""COMPUTED_VALUE"""),"Dexmedetomidine Hydrochloride Injection")</f>
        <v>Dexmedetomidine Hydrochloride Injection</v>
      </c>
      <c r="B474" s="5" t="str">
        <f>IFERROR(__xludf.DUMMYFUNCTION("""COMPUTED_VALUE"""),"Pfizer Inc.")</f>
        <v>Pfizer Inc.</v>
      </c>
      <c r="C474" s="5" t="str">
        <f>IFERROR(__xludf.DUMMYFUNCTION("""COMPUTED_VALUE"""),"Precedex, Injection, 200 mcg/2 mL (100 mcg/mL) (NDC 0409-1638-02)")</f>
        <v>Precedex, Injection, 200 mcg/2 mL (100 mcg/mL) (NDC 0409-1638-02)</v>
      </c>
      <c r="D474" s="5" t="str">
        <f>IFERROR(__xludf.DUMMYFUNCTION("""COMPUTED_VALUE"""),"Reverified")</f>
        <v>Reverified</v>
      </c>
      <c r="E474" s="10">
        <f>IFERROR(__xludf.DUMMYFUNCTION("""COMPUTED_VALUE"""),46273.0)</f>
        <v>46273</v>
      </c>
      <c r="F474" s="5" t="str">
        <f>IFERROR(__xludf.DUMMYFUNCTION("""COMPUTED_VALUE"""),"Available")</f>
        <v>Available</v>
      </c>
      <c r="G474" s="5"/>
      <c r="H474" s="5"/>
      <c r="I474" s="5"/>
      <c r="J474" s="5" t="str">
        <f>IFERROR(__xludf.DUMMYFUNCTION("""COMPUTED_VALUE"""),"Anesthesia")</f>
        <v>Anesthesia</v>
      </c>
      <c r="K474" s="5" t="str">
        <f>IFERROR(__xludf.DUMMYFUNCTION("""COMPUTED_VALUE"""),"Current")</f>
        <v>Current</v>
      </c>
      <c r="L474" s="5"/>
      <c r="M474" s="5"/>
      <c r="N474" s="10">
        <f>IFERROR(__xludf.DUMMYFUNCTION("""COMPUTED_VALUE"""),43931.0)</f>
        <v>43931</v>
      </c>
      <c r="O474" s="5">
        <v>2020.0</v>
      </c>
      <c r="P474" s="5" t="str">
        <f>IFERROR(__xludf.DUMMYFUNCTION("""COMPUTED_VALUE"""),"Available")</f>
        <v>Available</v>
      </c>
      <c r="Q474" s="5" t="s">
        <v>135</v>
      </c>
      <c r="R474" s="5" t="s">
        <v>136</v>
      </c>
      <c r="S474" s="11">
        <v>2390.0</v>
      </c>
    </row>
    <row r="475">
      <c r="A475" s="5" t="str">
        <f>IFERROR(__xludf.DUMMYFUNCTION("""COMPUTED_VALUE"""),"Dexmedetomidine Hydrochloride Injection")</f>
        <v>Dexmedetomidine Hydrochloride Injection</v>
      </c>
      <c r="B475" s="5" t="str">
        <f>IFERROR(__xludf.DUMMYFUNCTION("""COMPUTED_VALUE"""),"Azurity Pharmaceuticals, Inc")</f>
        <v>Azurity Pharmaceuticals, Inc</v>
      </c>
      <c r="C475" s="5" t="str">
        <f>IFERROR(__xludf.DUMMYFUNCTION("""COMPUTED_VALUE"""),"Dexmedetomidine Hydrochloride, Injection, 200 mcg/50 mL (4 ug/1 mL) (NDC 52536-125-10)")</f>
        <v>Dexmedetomidine Hydrochloride, Injection, 200 mcg/50 mL (4 ug/1 mL) (NDC 52536-125-10)</v>
      </c>
      <c r="D475" s="5" t="str">
        <f>IFERROR(__xludf.DUMMYFUNCTION("""COMPUTED_VALUE"""),"Reverified")</f>
        <v>Reverified</v>
      </c>
      <c r="E475" s="13">
        <f>IFERROR(__xludf.DUMMYFUNCTION("""COMPUTED_VALUE"""),46310.0)</f>
        <v>46310</v>
      </c>
      <c r="F475" s="5" t="str">
        <f>IFERROR(__xludf.DUMMYFUNCTION("""COMPUTED_VALUE"""),"Available")</f>
        <v>Available</v>
      </c>
      <c r="G475" s="5" t="str">
        <f>IFERROR(__xludf.DUMMYFUNCTION("""COMPUTED_VALUE"""),"Distributed by Wilshire Pharmaceuticals, Inc.")</f>
        <v>Distributed by Wilshire Pharmaceuticals, Inc.</v>
      </c>
      <c r="H475" s="5"/>
      <c r="I475" s="5"/>
      <c r="J475" s="5" t="str">
        <f>IFERROR(__xludf.DUMMYFUNCTION("""COMPUTED_VALUE"""),"Anesthesia")</f>
        <v>Anesthesia</v>
      </c>
      <c r="K475" s="5" t="str">
        <f>IFERROR(__xludf.DUMMYFUNCTION("""COMPUTED_VALUE"""),"Current")</f>
        <v>Current</v>
      </c>
      <c r="L475" s="5"/>
      <c r="M475" s="5"/>
      <c r="N475" s="10">
        <f>IFERROR(__xludf.DUMMYFUNCTION("""COMPUTED_VALUE"""),43931.0)</f>
        <v>43931</v>
      </c>
      <c r="O475" s="5">
        <v>2020.0</v>
      </c>
      <c r="P475" s="5" t="str">
        <f>IFERROR(__xludf.DUMMYFUNCTION("""COMPUTED_VALUE"""),"Available")</f>
        <v>Available</v>
      </c>
      <c r="Q475" s="5" t="s">
        <v>135</v>
      </c>
      <c r="R475" s="5" t="s">
        <v>136</v>
      </c>
      <c r="S475" s="11">
        <v>2390.0</v>
      </c>
    </row>
    <row r="476">
      <c r="A476" s="5" t="str">
        <f>IFERROR(__xludf.DUMMYFUNCTION("""COMPUTED_VALUE"""),"Dexmedetomidine Hydrochloride Injection")</f>
        <v>Dexmedetomidine Hydrochloride Injection</v>
      </c>
      <c r="B476" s="5" t="str">
        <f>IFERROR(__xludf.DUMMYFUNCTION("""COMPUTED_VALUE"""),"Azurity Pharmaceuticals, Inc")</f>
        <v>Azurity Pharmaceuticals, Inc</v>
      </c>
      <c r="C476" s="5" t="str">
        <f>IFERROR(__xludf.DUMMYFUNCTION("""COMPUTED_VALUE"""),"Dexmedetomidine Hydrochloride, Injection, 400 mcg/100 mL (4 ug/1 mL) (NDC 52536-126-08)")</f>
        <v>Dexmedetomidine Hydrochloride, Injection, 400 mcg/100 mL (4 ug/1 mL) (NDC 52536-126-08)</v>
      </c>
      <c r="D476" s="5" t="str">
        <f>IFERROR(__xludf.DUMMYFUNCTION("""COMPUTED_VALUE"""),"Reverified")</f>
        <v>Reverified</v>
      </c>
      <c r="E476" s="13">
        <f>IFERROR(__xludf.DUMMYFUNCTION("""COMPUTED_VALUE"""),46310.0)</f>
        <v>46310</v>
      </c>
      <c r="F476" s="5" t="str">
        <f>IFERROR(__xludf.DUMMYFUNCTION("""COMPUTED_VALUE"""),"Available")</f>
        <v>Available</v>
      </c>
      <c r="G476" s="5" t="str">
        <f>IFERROR(__xludf.DUMMYFUNCTION("""COMPUTED_VALUE"""),"Distributed by Wilshire Pharmaceuticals, Inc.")</f>
        <v>Distributed by Wilshire Pharmaceuticals, Inc.</v>
      </c>
      <c r="H476" s="5"/>
      <c r="I476" s="5"/>
      <c r="J476" s="5" t="str">
        <f>IFERROR(__xludf.DUMMYFUNCTION("""COMPUTED_VALUE"""),"Anesthesia")</f>
        <v>Anesthesia</v>
      </c>
      <c r="K476" s="5" t="str">
        <f>IFERROR(__xludf.DUMMYFUNCTION("""COMPUTED_VALUE"""),"Current")</f>
        <v>Current</v>
      </c>
      <c r="L476" s="5"/>
      <c r="M476" s="5"/>
      <c r="N476" s="10">
        <f>IFERROR(__xludf.DUMMYFUNCTION("""COMPUTED_VALUE"""),43931.0)</f>
        <v>43931</v>
      </c>
      <c r="O476" s="5">
        <v>2020.0</v>
      </c>
      <c r="P476" s="5" t="str">
        <f>IFERROR(__xludf.DUMMYFUNCTION("""COMPUTED_VALUE"""),"Available")</f>
        <v>Available</v>
      </c>
      <c r="Q476" s="5" t="s">
        <v>135</v>
      </c>
      <c r="R476" s="5" t="s">
        <v>136</v>
      </c>
      <c r="S476" s="11">
        <v>2390.0</v>
      </c>
    </row>
    <row r="477">
      <c r="A477" s="5" t="str">
        <f>IFERROR(__xludf.DUMMYFUNCTION("""COMPUTED_VALUE"""),"Dexmedetomidine Hydrochloride Injection")</f>
        <v>Dexmedetomidine Hydrochloride Injection</v>
      </c>
      <c r="B477" s="5" t="str">
        <f>IFERROR(__xludf.DUMMYFUNCTION("""COMPUTED_VALUE"""),"Par Health, USA LLC")</f>
        <v>Par Health, USA LLC</v>
      </c>
      <c r="C477" s="5" t="str">
        <f>IFERROR(__xludf.DUMMYFUNCTION("""COMPUTED_VALUE"""),"Dexmedetomidine Hydrochloride, Injection, 4 ug/1 mL (NDC 42023-186-20)")</f>
        <v>Dexmedetomidine Hydrochloride, Injection, 4 ug/1 mL (NDC 42023-186-20)</v>
      </c>
      <c r="D477" s="5" t="str">
        <f>IFERROR(__xludf.DUMMYFUNCTION("""COMPUTED_VALUE"""),"Reverified")</f>
        <v>Reverified</v>
      </c>
      <c r="E477" s="13">
        <f>IFERROR(__xludf.DUMMYFUNCTION("""COMPUTED_VALUE"""),46310.0)</f>
        <v>46310</v>
      </c>
      <c r="F477" s="5" t="str">
        <f>IFERROR(__xludf.DUMMYFUNCTION("""COMPUTED_VALUE"""),"Unavailable")</f>
        <v>Unavailable</v>
      </c>
      <c r="G477" s="5" t="str">
        <f>IFERROR(__xludf.DUMMYFUNCTION("""COMPUTED_VALUE"""),"Estimated recovery: TBD; Please check wholesalers for inventory")</f>
        <v>Estimated recovery: TBD; Please check wholesalers for inventory</v>
      </c>
      <c r="H477" s="5"/>
      <c r="I477" s="5" t="str">
        <f>IFERROR(__xludf.DUMMYFUNCTION("""COMPUTED_VALUE"""),"Other")</f>
        <v>Other</v>
      </c>
      <c r="J477" s="5" t="str">
        <f>IFERROR(__xludf.DUMMYFUNCTION("""COMPUTED_VALUE"""),"Anesthesia")</f>
        <v>Anesthesia</v>
      </c>
      <c r="K477" s="5" t="str">
        <f>IFERROR(__xludf.DUMMYFUNCTION("""COMPUTED_VALUE"""),"Current")</f>
        <v>Current</v>
      </c>
      <c r="L477" s="5"/>
      <c r="M477" s="5"/>
      <c r="N477" s="10">
        <f>IFERROR(__xludf.DUMMYFUNCTION("""COMPUTED_VALUE"""),43931.0)</f>
        <v>43931</v>
      </c>
      <c r="O477" s="5">
        <v>2020.0</v>
      </c>
      <c r="P477" s="5" t="str">
        <f>IFERROR(__xludf.DUMMYFUNCTION("""COMPUTED_VALUE"""),"Unavailable")</f>
        <v>Unavailable</v>
      </c>
      <c r="Q477" s="5" t="s">
        <v>47</v>
      </c>
      <c r="R477" s="5" t="s">
        <v>136</v>
      </c>
      <c r="S477" s="11">
        <v>2390.0</v>
      </c>
    </row>
    <row r="478">
      <c r="A478" s="5" t="str">
        <f>IFERROR(__xludf.DUMMYFUNCTION("""COMPUTED_VALUE"""),"Dexmedetomidine Hydrochloride Injection")</f>
        <v>Dexmedetomidine Hydrochloride Injection</v>
      </c>
      <c r="B478" s="5" t="str">
        <f>IFERROR(__xludf.DUMMYFUNCTION("""COMPUTED_VALUE"""),"Par Health, USA LLC")</f>
        <v>Par Health, USA LLC</v>
      </c>
      <c r="C478" s="5" t="str">
        <f>IFERROR(__xludf.DUMMYFUNCTION("""COMPUTED_VALUE"""),"Dexmedetomidine Hydrochloride, Injection, 4 ug/1 mL (NDC 42023-187-10)")</f>
        <v>Dexmedetomidine Hydrochloride, Injection, 4 ug/1 mL (NDC 42023-187-10)</v>
      </c>
      <c r="D478" s="5" t="str">
        <f>IFERROR(__xludf.DUMMYFUNCTION("""COMPUTED_VALUE"""),"Reverified")</f>
        <v>Reverified</v>
      </c>
      <c r="E478" s="13">
        <f>IFERROR(__xludf.DUMMYFUNCTION("""COMPUTED_VALUE"""),46310.0)</f>
        <v>46310</v>
      </c>
      <c r="F478" s="5" t="str">
        <f>IFERROR(__xludf.DUMMYFUNCTION("""COMPUTED_VALUE"""),"Unavailable")</f>
        <v>Unavailable</v>
      </c>
      <c r="G478" s="5" t="str">
        <f>IFERROR(__xludf.DUMMYFUNCTION("""COMPUTED_VALUE"""),"Estimated recovery: TBD; Please check wholesalers for inventory")</f>
        <v>Estimated recovery: TBD; Please check wholesalers for inventory</v>
      </c>
      <c r="H478" s="5"/>
      <c r="I478" s="5" t="str">
        <f>IFERROR(__xludf.DUMMYFUNCTION("""COMPUTED_VALUE"""),"Other")</f>
        <v>Other</v>
      </c>
      <c r="J478" s="5" t="str">
        <f>IFERROR(__xludf.DUMMYFUNCTION("""COMPUTED_VALUE"""),"Anesthesia")</f>
        <v>Anesthesia</v>
      </c>
      <c r="K478" s="5" t="str">
        <f>IFERROR(__xludf.DUMMYFUNCTION("""COMPUTED_VALUE"""),"Current")</f>
        <v>Current</v>
      </c>
      <c r="L478" s="5"/>
      <c r="M478" s="5"/>
      <c r="N478" s="10">
        <f>IFERROR(__xludf.DUMMYFUNCTION("""COMPUTED_VALUE"""),43931.0)</f>
        <v>43931</v>
      </c>
      <c r="O478" s="5">
        <v>2020.0</v>
      </c>
      <c r="P478" s="5" t="str">
        <f>IFERROR(__xludf.DUMMYFUNCTION("""COMPUTED_VALUE"""),"Unavailable")</f>
        <v>Unavailable</v>
      </c>
      <c r="Q478" s="5" t="s">
        <v>47</v>
      </c>
      <c r="R478" s="5" t="s">
        <v>136</v>
      </c>
      <c r="S478" s="11">
        <v>2390.0</v>
      </c>
    </row>
    <row r="479">
      <c r="A479" s="5" t="str">
        <f>IFERROR(__xludf.DUMMYFUNCTION("""COMPUTED_VALUE"""),"Dexmedetomidine Hydrochloride Injection")</f>
        <v>Dexmedetomidine Hydrochloride Injection</v>
      </c>
      <c r="B479" s="5" t="str">
        <f>IFERROR(__xludf.DUMMYFUNCTION("""COMPUTED_VALUE"""),"Mylan Institutional, a Viatris Company")</f>
        <v>Mylan Institutional, a Viatris Company</v>
      </c>
      <c r="C479" s="5" t="str">
        <f>IFERROR(__xludf.DUMMYFUNCTION("""COMPUTED_VALUE"""),"Dexmedetomidine Hydrochloride, Injection, 200 ug/50 mL (NDC 67457-924-50)")</f>
        <v>Dexmedetomidine Hydrochloride, Injection, 200 ug/50 mL (NDC 67457-924-50)</v>
      </c>
      <c r="D479" s="5" t="str">
        <f>IFERROR(__xludf.DUMMYFUNCTION("""COMPUTED_VALUE"""),"Reverified")</f>
        <v>Reverified</v>
      </c>
      <c r="E479" s="13">
        <f>IFERROR(__xludf.DUMMYFUNCTION("""COMPUTED_VALUE"""),46314.0)</f>
        <v>46314</v>
      </c>
      <c r="F479" s="5" t="str">
        <f>IFERROR(__xludf.DUMMYFUNCTION("""COMPUTED_VALUE"""),"Available")</f>
        <v>Available</v>
      </c>
      <c r="G479" s="5"/>
      <c r="H479" s="5"/>
      <c r="I479" s="5"/>
      <c r="J479" s="5" t="str">
        <f>IFERROR(__xludf.DUMMYFUNCTION("""COMPUTED_VALUE"""),"Anesthesia")</f>
        <v>Anesthesia</v>
      </c>
      <c r="K479" s="5" t="str">
        <f>IFERROR(__xludf.DUMMYFUNCTION("""COMPUTED_VALUE"""),"Current")</f>
        <v>Current</v>
      </c>
      <c r="L479" s="5"/>
      <c r="M479" s="5"/>
      <c r="N479" s="10">
        <f>IFERROR(__xludf.DUMMYFUNCTION("""COMPUTED_VALUE"""),43931.0)</f>
        <v>43931</v>
      </c>
      <c r="O479" s="5">
        <v>2020.0</v>
      </c>
      <c r="P479" s="5" t="str">
        <f>IFERROR(__xludf.DUMMYFUNCTION("""COMPUTED_VALUE"""),"Available")</f>
        <v>Available</v>
      </c>
      <c r="Q479" s="5" t="s">
        <v>135</v>
      </c>
      <c r="R479" s="5" t="s">
        <v>136</v>
      </c>
      <c r="S479" s="11">
        <v>2390.0</v>
      </c>
    </row>
    <row r="480">
      <c r="A480" s="5" t="str">
        <f>IFERROR(__xludf.DUMMYFUNCTION("""COMPUTED_VALUE"""),"Dexmedetomidine Hydrochloride Injection")</f>
        <v>Dexmedetomidine Hydrochloride Injection</v>
      </c>
      <c r="B480" s="5" t="str">
        <f>IFERROR(__xludf.DUMMYFUNCTION("""COMPUTED_VALUE"""),"Mylan Institutional, a Viatris Company")</f>
        <v>Mylan Institutional, a Viatris Company</v>
      </c>
      <c r="C480" s="5" t="str">
        <f>IFERROR(__xludf.DUMMYFUNCTION("""COMPUTED_VALUE"""),"Dexmedetomidine Hydrochloride, Injection, 400 ug/100 mL (NDC 67457-925-10)")</f>
        <v>Dexmedetomidine Hydrochloride, Injection, 400 ug/100 mL (NDC 67457-925-10)</v>
      </c>
      <c r="D480" s="5" t="str">
        <f>IFERROR(__xludf.DUMMYFUNCTION("""COMPUTED_VALUE"""),"Reverified")</f>
        <v>Reverified</v>
      </c>
      <c r="E480" s="13">
        <f>IFERROR(__xludf.DUMMYFUNCTION("""COMPUTED_VALUE"""),46314.0)</f>
        <v>46314</v>
      </c>
      <c r="F480" s="5" t="str">
        <f>IFERROR(__xludf.DUMMYFUNCTION("""COMPUTED_VALUE"""),"Available")</f>
        <v>Available</v>
      </c>
      <c r="G480" s="5"/>
      <c r="H480" s="5"/>
      <c r="I480" s="5"/>
      <c r="J480" s="5" t="str">
        <f>IFERROR(__xludf.DUMMYFUNCTION("""COMPUTED_VALUE"""),"Anesthesia")</f>
        <v>Anesthesia</v>
      </c>
      <c r="K480" s="5" t="str">
        <f>IFERROR(__xludf.DUMMYFUNCTION("""COMPUTED_VALUE"""),"Current")</f>
        <v>Current</v>
      </c>
      <c r="L480" s="5"/>
      <c r="M480" s="5"/>
      <c r="N480" s="10">
        <f>IFERROR(__xludf.DUMMYFUNCTION("""COMPUTED_VALUE"""),43931.0)</f>
        <v>43931</v>
      </c>
      <c r="O480" s="5">
        <v>2020.0</v>
      </c>
      <c r="P480" s="5" t="str">
        <f>IFERROR(__xludf.DUMMYFUNCTION("""COMPUTED_VALUE"""),"Available")</f>
        <v>Available</v>
      </c>
      <c r="Q480" s="5" t="s">
        <v>135</v>
      </c>
      <c r="R480" s="5" t="s">
        <v>136</v>
      </c>
      <c r="S480" s="11">
        <v>2390.0</v>
      </c>
    </row>
    <row r="481">
      <c r="A481" s="5" t="str">
        <f>IFERROR(__xludf.DUMMYFUNCTION("""COMPUTED_VALUE"""),"Dexmedetomidine Hydrochloride Injection")</f>
        <v>Dexmedetomidine Hydrochloride Injection</v>
      </c>
      <c r="B481" s="5" t="str">
        <f>IFERROR(__xludf.DUMMYFUNCTION("""COMPUTED_VALUE"""),"Amneal Pharmaceuticals")</f>
        <v>Amneal Pharmaceuticals</v>
      </c>
      <c r="C481" s="5" t="str">
        <f>IFERROR(__xludf.DUMMYFUNCTION("""COMPUTED_VALUE"""),"Dexmedetomidine Hydrochloride, Injection, 4 ug/1 mL (NDC 70121-1388-8)")</f>
        <v>Dexmedetomidine Hydrochloride, Injection, 4 ug/1 mL (NDC 70121-1388-8)</v>
      </c>
      <c r="D481" s="5" t="str">
        <f>IFERROR(__xludf.DUMMYFUNCTION("""COMPUTED_VALUE"""),"Reverified")</f>
        <v>Reverified</v>
      </c>
      <c r="E481" s="10">
        <f>IFERROR(__xludf.DUMMYFUNCTION("""COMPUTED_VALUE"""),46301.0)</f>
        <v>46301</v>
      </c>
      <c r="F481" s="5" t="str">
        <f>IFERROR(__xludf.DUMMYFUNCTION("""COMPUTED_VALUE"""),"Available")</f>
        <v>Available</v>
      </c>
      <c r="G481" s="5"/>
      <c r="H481" s="5"/>
      <c r="I481" s="5"/>
      <c r="J481" s="5" t="str">
        <f>IFERROR(__xludf.DUMMYFUNCTION("""COMPUTED_VALUE"""),"Anesthesia")</f>
        <v>Anesthesia</v>
      </c>
      <c r="K481" s="5" t="str">
        <f>IFERROR(__xludf.DUMMYFUNCTION("""COMPUTED_VALUE"""),"Current")</f>
        <v>Current</v>
      </c>
      <c r="L481" s="5"/>
      <c r="M481" s="5"/>
      <c r="N481" s="10">
        <f>IFERROR(__xludf.DUMMYFUNCTION("""COMPUTED_VALUE"""),43931.0)</f>
        <v>43931</v>
      </c>
      <c r="O481" s="5">
        <v>2020.0</v>
      </c>
      <c r="P481" s="5" t="str">
        <f>IFERROR(__xludf.DUMMYFUNCTION("""COMPUTED_VALUE"""),"Available")</f>
        <v>Available</v>
      </c>
      <c r="Q481" s="5" t="s">
        <v>135</v>
      </c>
      <c r="R481" s="5" t="s">
        <v>136</v>
      </c>
      <c r="S481" s="11">
        <v>2390.0</v>
      </c>
    </row>
    <row r="482">
      <c r="A482" s="5" t="str">
        <f>IFERROR(__xludf.DUMMYFUNCTION("""COMPUTED_VALUE"""),"Dexmedetomidine Hydrochloride Injection")</f>
        <v>Dexmedetomidine Hydrochloride Injection</v>
      </c>
      <c r="B482" s="5" t="str">
        <f>IFERROR(__xludf.DUMMYFUNCTION("""COMPUTED_VALUE"""),"Amneal Pharmaceuticals")</f>
        <v>Amneal Pharmaceuticals</v>
      </c>
      <c r="C482" s="5" t="str">
        <f>IFERROR(__xludf.DUMMYFUNCTION("""COMPUTED_VALUE"""),"Dexmedetomidine Hydrochloride, Injection, 4 ug/1 mL (NDC 70121-1389-7)")</f>
        <v>Dexmedetomidine Hydrochloride, Injection, 4 ug/1 mL (NDC 70121-1389-7)</v>
      </c>
      <c r="D482" s="5" t="str">
        <f>IFERROR(__xludf.DUMMYFUNCTION("""COMPUTED_VALUE"""),"Reverified")</f>
        <v>Reverified</v>
      </c>
      <c r="E482" s="10">
        <f>IFERROR(__xludf.DUMMYFUNCTION("""COMPUTED_VALUE"""),46301.0)</f>
        <v>46301</v>
      </c>
      <c r="F482" s="5" t="str">
        <f>IFERROR(__xludf.DUMMYFUNCTION("""COMPUTED_VALUE"""),"Available")</f>
        <v>Available</v>
      </c>
      <c r="G482" s="5"/>
      <c r="H482" s="5"/>
      <c r="I482" s="5"/>
      <c r="J482" s="5" t="str">
        <f>IFERROR(__xludf.DUMMYFUNCTION("""COMPUTED_VALUE"""),"Anesthesia")</f>
        <v>Anesthesia</v>
      </c>
      <c r="K482" s="5" t="str">
        <f>IFERROR(__xludf.DUMMYFUNCTION("""COMPUTED_VALUE"""),"Current")</f>
        <v>Current</v>
      </c>
      <c r="L482" s="5"/>
      <c r="M482" s="5"/>
      <c r="N482" s="10">
        <f>IFERROR(__xludf.DUMMYFUNCTION("""COMPUTED_VALUE"""),43931.0)</f>
        <v>43931</v>
      </c>
      <c r="O482" s="5">
        <v>2020.0</v>
      </c>
      <c r="P482" s="5" t="str">
        <f>IFERROR(__xludf.DUMMYFUNCTION("""COMPUTED_VALUE"""),"Available")</f>
        <v>Available</v>
      </c>
      <c r="Q482" s="5" t="s">
        <v>135</v>
      </c>
      <c r="R482" s="5" t="s">
        <v>136</v>
      </c>
      <c r="S482" s="11">
        <v>2390.0</v>
      </c>
    </row>
    <row r="483">
      <c r="A483" s="5" t="str">
        <f>IFERROR(__xludf.DUMMYFUNCTION("""COMPUTED_VALUE"""),"Dexmedetomidine Hydrochloride Injection")</f>
        <v>Dexmedetomidine Hydrochloride Injection</v>
      </c>
      <c r="B483" s="5" t="str">
        <f>IFERROR(__xludf.DUMMYFUNCTION("""COMPUTED_VALUE"""),"Eugia US LLC")</f>
        <v>Eugia US LLC</v>
      </c>
      <c r="C483" s="5" t="str">
        <f>IFERROR(__xludf.DUMMYFUNCTION("""COMPUTED_VALUE"""),"Dexmedetomidine Hydrochloride, Injection, 4 ug/1 mL (NDC 55150-296-10)")</f>
        <v>Dexmedetomidine Hydrochloride, Injection, 4 ug/1 mL (NDC 55150-296-10)</v>
      </c>
      <c r="D483" s="5" t="str">
        <f>IFERROR(__xludf.DUMMYFUNCTION("""COMPUTED_VALUE"""),"Reverified")</f>
        <v>Reverified</v>
      </c>
      <c r="E483" s="13">
        <f>IFERROR(__xludf.DUMMYFUNCTION("""COMPUTED_VALUE"""),46314.0)</f>
        <v>46314</v>
      </c>
      <c r="F483" s="5" t="str">
        <f>IFERROR(__xludf.DUMMYFUNCTION("""COMPUTED_VALUE"""),"Available")</f>
        <v>Available</v>
      </c>
      <c r="G483" s="5" t="str">
        <f>IFERROR(__xludf.DUMMYFUNCTION("""COMPUTED_VALUE"""),"Check wholesalers for inventory")</f>
        <v>Check wholesalers for inventory</v>
      </c>
      <c r="H483" s="5"/>
      <c r="I483" s="5"/>
      <c r="J483" s="5" t="str">
        <f>IFERROR(__xludf.DUMMYFUNCTION("""COMPUTED_VALUE"""),"Anesthesia")</f>
        <v>Anesthesia</v>
      </c>
      <c r="K483" s="5" t="str">
        <f>IFERROR(__xludf.DUMMYFUNCTION("""COMPUTED_VALUE"""),"Current")</f>
        <v>Current</v>
      </c>
      <c r="L483" s="5"/>
      <c r="M483" s="5"/>
      <c r="N483" s="10">
        <f>IFERROR(__xludf.DUMMYFUNCTION("""COMPUTED_VALUE"""),43931.0)</f>
        <v>43931</v>
      </c>
      <c r="O483" s="5">
        <v>2020.0</v>
      </c>
      <c r="P483" s="5" t="str">
        <f>IFERROR(__xludf.DUMMYFUNCTION("""COMPUTED_VALUE"""),"Available")</f>
        <v>Available</v>
      </c>
      <c r="Q483" s="5" t="s">
        <v>135</v>
      </c>
      <c r="R483" s="5" t="s">
        <v>136</v>
      </c>
      <c r="S483" s="11">
        <v>2390.0</v>
      </c>
    </row>
    <row r="484">
      <c r="A484" s="5" t="str">
        <f>IFERROR(__xludf.DUMMYFUNCTION("""COMPUTED_VALUE"""),"Dexmedetomidine Hydrochloride Injection")</f>
        <v>Dexmedetomidine Hydrochloride Injection</v>
      </c>
      <c r="B484" s="5" t="str">
        <f>IFERROR(__xludf.DUMMYFUNCTION("""COMPUTED_VALUE"""),"Eugia US LLC")</f>
        <v>Eugia US LLC</v>
      </c>
      <c r="C484" s="5" t="str">
        <f>IFERROR(__xludf.DUMMYFUNCTION("""COMPUTED_VALUE"""),"Dexmedetomidine Hydrochloride, Injection, 4 ug/1 mL (NDC 55150-297-10)")</f>
        <v>Dexmedetomidine Hydrochloride, Injection, 4 ug/1 mL (NDC 55150-297-10)</v>
      </c>
      <c r="D484" s="5" t="str">
        <f>IFERROR(__xludf.DUMMYFUNCTION("""COMPUTED_VALUE"""),"Reverified")</f>
        <v>Reverified</v>
      </c>
      <c r="E484" s="13">
        <f>IFERROR(__xludf.DUMMYFUNCTION("""COMPUTED_VALUE"""),46314.0)</f>
        <v>46314</v>
      </c>
      <c r="F484" s="5" t="str">
        <f>IFERROR(__xludf.DUMMYFUNCTION("""COMPUTED_VALUE"""),"Available")</f>
        <v>Available</v>
      </c>
      <c r="G484" s="5" t="str">
        <f>IFERROR(__xludf.DUMMYFUNCTION("""COMPUTED_VALUE"""),"Check wholesalers for inventory")</f>
        <v>Check wholesalers for inventory</v>
      </c>
      <c r="H484" s="5"/>
      <c r="I484" s="5"/>
      <c r="J484" s="5" t="str">
        <f>IFERROR(__xludf.DUMMYFUNCTION("""COMPUTED_VALUE"""),"Anesthesia")</f>
        <v>Anesthesia</v>
      </c>
      <c r="K484" s="5" t="str">
        <f>IFERROR(__xludf.DUMMYFUNCTION("""COMPUTED_VALUE"""),"Current")</f>
        <v>Current</v>
      </c>
      <c r="L484" s="5"/>
      <c r="M484" s="5"/>
      <c r="N484" s="10">
        <f>IFERROR(__xludf.DUMMYFUNCTION("""COMPUTED_VALUE"""),43931.0)</f>
        <v>43931</v>
      </c>
      <c r="O484" s="5">
        <v>2020.0</v>
      </c>
      <c r="P484" s="5" t="str">
        <f>IFERROR(__xludf.DUMMYFUNCTION("""COMPUTED_VALUE"""),"Available")</f>
        <v>Available</v>
      </c>
      <c r="Q484" s="5" t="s">
        <v>135</v>
      </c>
      <c r="R484" s="5" t="s">
        <v>136</v>
      </c>
      <c r="S484" s="11">
        <v>2390.0</v>
      </c>
    </row>
    <row r="485">
      <c r="A485" s="5" t="str">
        <f>IFERROR(__xludf.DUMMYFUNCTION("""COMPUTED_VALUE"""),"Dexmedetomidine Hydrochloride Injection")</f>
        <v>Dexmedetomidine Hydrochloride Injection</v>
      </c>
      <c r="B485" s="5" t="str">
        <f>IFERROR(__xludf.DUMMYFUNCTION("""COMPUTED_VALUE"""),"Gland Pharma Limited")</f>
        <v>Gland Pharma Limited</v>
      </c>
      <c r="C485" s="5" t="str">
        <f>IFERROR(__xludf.DUMMYFUNCTION("""COMPUTED_VALUE"""),"Dexmedetomidine Hydrochloride, Injection, 4 ug/1 mL (NDC 43598-976-58)")</f>
        <v>Dexmedetomidine Hydrochloride, Injection, 4 ug/1 mL (NDC 43598-976-58)</v>
      </c>
      <c r="D485" s="5" t="str">
        <f>IFERROR(__xludf.DUMMYFUNCTION("""COMPUTED_VALUE"""),"Reverified")</f>
        <v>Reverified</v>
      </c>
      <c r="E485" s="13">
        <f>IFERROR(__xludf.DUMMYFUNCTION("""COMPUTED_VALUE"""),46316.0)</f>
        <v>46316</v>
      </c>
      <c r="F485" s="5" t="str">
        <f>IFERROR(__xludf.DUMMYFUNCTION("""COMPUTED_VALUE"""),"Available")</f>
        <v>Available</v>
      </c>
      <c r="G485" s="5" t="str">
        <f>IFERROR(__xludf.DUMMYFUNCTION("""COMPUTED_VALUE"""),"Distributed by DRL")</f>
        <v>Distributed by DRL</v>
      </c>
      <c r="H485" s="5"/>
      <c r="I485" s="5"/>
      <c r="J485" s="5" t="str">
        <f>IFERROR(__xludf.DUMMYFUNCTION("""COMPUTED_VALUE"""),"Anesthesia")</f>
        <v>Anesthesia</v>
      </c>
      <c r="K485" s="5" t="str">
        <f>IFERROR(__xludf.DUMMYFUNCTION("""COMPUTED_VALUE"""),"Current")</f>
        <v>Current</v>
      </c>
      <c r="L485" s="5"/>
      <c r="M485" s="5"/>
      <c r="N485" s="10">
        <f>IFERROR(__xludf.DUMMYFUNCTION("""COMPUTED_VALUE"""),43931.0)</f>
        <v>43931</v>
      </c>
      <c r="O485" s="5">
        <v>2020.0</v>
      </c>
      <c r="P485" s="5" t="str">
        <f>IFERROR(__xludf.DUMMYFUNCTION("""COMPUTED_VALUE"""),"Available")</f>
        <v>Available</v>
      </c>
      <c r="Q485" s="5" t="s">
        <v>135</v>
      </c>
      <c r="R485" s="5" t="s">
        <v>136</v>
      </c>
      <c r="S485" s="11">
        <v>2390.0</v>
      </c>
    </row>
    <row r="486">
      <c r="A486" s="5" t="str">
        <f>IFERROR(__xludf.DUMMYFUNCTION("""COMPUTED_VALUE"""),"Dexmedetomidine Hydrochloride Injection")</f>
        <v>Dexmedetomidine Hydrochloride Injection</v>
      </c>
      <c r="B486" s="5" t="str">
        <f>IFERROR(__xludf.DUMMYFUNCTION("""COMPUTED_VALUE"""),"Gland Pharma Limited")</f>
        <v>Gland Pharma Limited</v>
      </c>
      <c r="C486" s="5" t="str">
        <f>IFERROR(__xludf.DUMMYFUNCTION("""COMPUTED_VALUE"""),"Dexmedetomidine Hydrochloride, Injection, 4 ug/1 mL (NDC 43598-975-58)")</f>
        <v>Dexmedetomidine Hydrochloride, Injection, 4 ug/1 mL (NDC 43598-975-58)</v>
      </c>
      <c r="D486" s="5" t="str">
        <f>IFERROR(__xludf.DUMMYFUNCTION("""COMPUTED_VALUE"""),"Reverified")</f>
        <v>Reverified</v>
      </c>
      <c r="E486" s="13">
        <f>IFERROR(__xludf.DUMMYFUNCTION("""COMPUTED_VALUE"""),46316.0)</f>
        <v>46316</v>
      </c>
      <c r="F486" s="5" t="str">
        <f>IFERROR(__xludf.DUMMYFUNCTION("""COMPUTED_VALUE"""),"Available")</f>
        <v>Available</v>
      </c>
      <c r="G486" s="5" t="str">
        <f>IFERROR(__xludf.DUMMYFUNCTION("""COMPUTED_VALUE"""),"Distributed by DRL")</f>
        <v>Distributed by DRL</v>
      </c>
      <c r="H486" s="5"/>
      <c r="I486" s="5"/>
      <c r="J486" s="5" t="str">
        <f>IFERROR(__xludf.DUMMYFUNCTION("""COMPUTED_VALUE"""),"Anesthesia")</f>
        <v>Anesthesia</v>
      </c>
      <c r="K486" s="5" t="str">
        <f>IFERROR(__xludf.DUMMYFUNCTION("""COMPUTED_VALUE"""),"Current")</f>
        <v>Current</v>
      </c>
      <c r="L486" s="5"/>
      <c r="M486" s="5"/>
      <c r="N486" s="10">
        <f>IFERROR(__xludf.DUMMYFUNCTION("""COMPUTED_VALUE"""),43931.0)</f>
        <v>43931</v>
      </c>
      <c r="O486" s="5">
        <v>2020.0</v>
      </c>
      <c r="P486" s="5" t="str">
        <f>IFERROR(__xludf.DUMMYFUNCTION("""COMPUTED_VALUE"""),"Available")</f>
        <v>Available</v>
      </c>
      <c r="Q486" s="5" t="s">
        <v>135</v>
      </c>
      <c r="R486" s="5" t="s">
        <v>136</v>
      </c>
      <c r="S486" s="11">
        <v>2390.0</v>
      </c>
    </row>
    <row r="487">
      <c r="A487" s="5" t="str">
        <f>IFERROR(__xludf.DUMMYFUNCTION("""COMPUTED_VALUE"""),"Dexmedetomidine Hydrochloride Injection")</f>
        <v>Dexmedetomidine Hydrochloride Injection</v>
      </c>
      <c r="B487" s="5" t="str">
        <f>IFERROR(__xludf.DUMMYFUNCTION("""COMPUTED_VALUE"""),"Meitheal Pharmaceuticals, Inc.")</f>
        <v>Meitheal Pharmaceuticals, Inc.</v>
      </c>
      <c r="C487" s="5" t="str">
        <f>IFERROR(__xludf.DUMMYFUNCTION("""COMPUTED_VALUE"""),"Dexmedetomidine Hydrochloride, Injection, 100 ug/1 mL (NDC 71288-505-03)")</f>
        <v>Dexmedetomidine Hydrochloride, Injection, 100 ug/1 mL (NDC 71288-505-03)</v>
      </c>
      <c r="D487" s="5" t="str">
        <f>IFERROR(__xludf.DUMMYFUNCTION("""COMPUTED_VALUE"""),"Reverified")</f>
        <v>Reverified</v>
      </c>
      <c r="E487" s="10">
        <f>IFERROR(__xludf.DUMMYFUNCTION("""COMPUTED_VALUE"""),46261.0)</f>
        <v>46261</v>
      </c>
      <c r="F487" s="5" t="str">
        <f>IFERROR(__xludf.DUMMYFUNCTION("""COMPUTED_VALUE"""),"Available")</f>
        <v>Available</v>
      </c>
      <c r="G487" s="5"/>
      <c r="H487" s="5"/>
      <c r="I487" s="5"/>
      <c r="J487" s="5" t="str">
        <f>IFERROR(__xludf.DUMMYFUNCTION("""COMPUTED_VALUE"""),"Anesthesia")</f>
        <v>Anesthesia</v>
      </c>
      <c r="K487" s="5" t="str">
        <f>IFERROR(__xludf.DUMMYFUNCTION("""COMPUTED_VALUE"""),"Current")</f>
        <v>Current</v>
      </c>
      <c r="L487" s="5"/>
      <c r="M487" s="5"/>
      <c r="N487" s="10">
        <f>IFERROR(__xludf.DUMMYFUNCTION("""COMPUTED_VALUE"""),44296.0)</f>
        <v>44296</v>
      </c>
      <c r="O487" s="5">
        <v>2021.0</v>
      </c>
      <c r="P487" s="5" t="str">
        <f>IFERROR(__xludf.DUMMYFUNCTION("""COMPUTED_VALUE"""),"Available")</f>
        <v>Available</v>
      </c>
      <c r="Q487" s="5" t="s">
        <v>135</v>
      </c>
      <c r="R487" s="5" t="s">
        <v>136</v>
      </c>
      <c r="S487" s="11">
        <v>2025.0</v>
      </c>
    </row>
    <row r="488">
      <c r="A488" s="5" t="str">
        <f>IFERROR(__xludf.DUMMYFUNCTION("""COMPUTED_VALUE"""),"Dexmedetomidine Hydrochloride Injection")</f>
        <v>Dexmedetomidine Hydrochloride Injection</v>
      </c>
      <c r="B488" s="5" t="str">
        <f>IFERROR(__xludf.DUMMYFUNCTION("""COMPUTED_VALUE"""),"Jiangsu Hengrui Pharmaceuticals Co. (US Agent eVenus Pharmaceutical Laboratories, Inc.)")</f>
        <v>Jiangsu Hengrui Pharmaceuticals Co. (US Agent eVenus Pharmaceutical Laboratories, Inc.)</v>
      </c>
      <c r="C488" s="5" t="str">
        <f>IFERROR(__xludf.DUMMYFUNCTION("""COMPUTED_VALUE"""),"Dexmedetomidine Hydrochloride, Injection, 200 mcg/2 mL (NDC 83634-600-02)")</f>
        <v>Dexmedetomidine Hydrochloride, Injection, 200 mcg/2 mL (NDC 83634-600-02)</v>
      </c>
      <c r="D488" s="5" t="str">
        <f>IFERROR(__xludf.DUMMYFUNCTION("""COMPUTED_VALUE"""),"Revised")</f>
        <v>Revised</v>
      </c>
      <c r="E488" s="13">
        <f>IFERROR(__xludf.DUMMYFUNCTION("""COMPUTED_VALUE"""),46309.0)</f>
        <v>46309</v>
      </c>
      <c r="F488" s="5" t="str">
        <f>IFERROR(__xludf.DUMMYFUNCTION("""COMPUTED_VALUE"""),"Unavailable")</f>
        <v>Unavailable</v>
      </c>
      <c r="G488" s="5" t="str">
        <f>IFERROR(__xludf.DUMMYFUNCTION("""COMPUTED_VALUE"""),"Discontinuation of the manufacture of the drug; Distributed by Avenacy; Contact information: 877-283-6229")</f>
        <v>Discontinuation of the manufacture of the drug; Distributed by Avenacy; Contact information: 877-283-6229</v>
      </c>
      <c r="H488" s="5"/>
      <c r="I488" s="5" t="str">
        <f>IFERROR(__xludf.DUMMYFUNCTION("""COMPUTED_VALUE"""),"Discontinuation of the manufacture of the drug")</f>
        <v>Discontinuation of the manufacture of the drug</v>
      </c>
      <c r="J488" s="5" t="str">
        <f>IFERROR(__xludf.DUMMYFUNCTION("""COMPUTED_VALUE"""),"Anesthesia")</f>
        <v>Anesthesia</v>
      </c>
      <c r="K488" s="5" t="str">
        <f>IFERROR(__xludf.DUMMYFUNCTION("""COMPUTED_VALUE"""),"Current")</f>
        <v>Current</v>
      </c>
      <c r="L488" s="5"/>
      <c r="M488" s="5"/>
      <c r="N488" s="10">
        <f>IFERROR(__xludf.DUMMYFUNCTION("""COMPUTED_VALUE"""),43931.0)</f>
        <v>43931</v>
      </c>
      <c r="O488" s="5">
        <v>2020.0</v>
      </c>
      <c r="P488" s="5" t="str">
        <f>IFERROR(__xludf.DUMMYFUNCTION("""COMPUTED_VALUE"""),"Unavailable")</f>
        <v>Unavailable</v>
      </c>
      <c r="Q488" s="5" t="s">
        <v>33</v>
      </c>
      <c r="R488" s="5" t="s">
        <v>434</v>
      </c>
      <c r="S488" s="11">
        <v>2390.0</v>
      </c>
    </row>
    <row r="489">
      <c r="A489" s="5" t="str">
        <f>IFERROR(__xludf.DUMMYFUNCTION("""COMPUTED_VALUE"""),"Dexmedetomidine Hydrochloride Injection")</f>
        <v>Dexmedetomidine Hydrochloride Injection</v>
      </c>
      <c r="B489" s="5" t="str">
        <f>IFERROR(__xludf.DUMMYFUNCTION("""COMPUTED_VALUE"""),"Pfizer Inc.")</f>
        <v>Pfizer Inc.</v>
      </c>
      <c r="C489" s="5" t="str">
        <f>IFERROR(__xludf.DUMMYFUNCTION("""COMPUTED_VALUE"""),"Precedex, Injection, 200 mcg/50 mL (NDC 0409-7838-24)")</f>
        <v>Precedex, Injection, 200 mcg/50 mL (NDC 0409-7838-24)</v>
      </c>
      <c r="D489" s="5" t="str">
        <f>IFERROR(__xludf.DUMMYFUNCTION("""COMPUTED_VALUE"""),"Reverified")</f>
        <v>Reverified</v>
      </c>
      <c r="E489" s="13">
        <f>IFERROR(__xludf.DUMMYFUNCTION("""COMPUTED_VALUE"""),46316.0)</f>
        <v>46316</v>
      </c>
      <c r="F489" s="5" t="str">
        <f>IFERROR(__xludf.DUMMYFUNCTION("""COMPUTED_VALUE"""),"Available")</f>
        <v>Available</v>
      </c>
      <c r="G489" s="5"/>
      <c r="H489" s="5"/>
      <c r="I489" s="5"/>
      <c r="J489" s="5" t="str">
        <f>IFERROR(__xludf.DUMMYFUNCTION("""COMPUTED_VALUE"""),"Anesthesia")</f>
        <v>Anesthesia</v>
      </c>
      <c r="K489" s="5" t="str">
        <f>IFERROR(__xludf.DUMMYFUNCTION("""COMPUTED_VALUE"""),"Current")</f>
        <v>Current</v>
      </c>
      <c r="L489" s="5"/>
      <c r="M489" s="5"/>
      <c r="N489" s="10">
        <f>IFERROR(__xludf.DUMMYFUNCTION("""COMPUTED_VALUE"""),43931.0)</f>
        <v>43931</v>
      </c>
      <c r="O489" s="5">
        <v>2020.0</v>
      </c>
      <c r="P489" s="5" t="str">
        <f>IFERROR(__xludf.DUMMYFUNCTION("""COMPUTED_VALUE"""),"Available")</f>
        <v>Available</v>
      </c>
      <c r="Q489" s="5" t="s">
        <v>135</v>
      </c>
      <c r="R489" s="5" t="s">
        <v>136</v>
      </c>
      <c r="S489" s="11">
        <v>2390.0</v>
      </c>
    </row>
    <row r="490">
      <c r="A490" s="5" t="str">
        <f>IFERROR(__xludf.DUMMYFUNCTION("""COMPUTED_VALUE"""),"Dexmedetomidine Hydrochloride Injection")</f>
        <v>Dexmedetomidine Hydrochloride Injection</v>
      </c>
      <c r="B490" s="5" t="str">
        <f>IFERROR(__xludf.DUMMYFUNCTION("""COMPUTED_VALUE"""),"Pfizer Inc.")</f>
        <v>Pfizer Inc.</v>
      </c>
      <c r="C490" s="5" t="str">
        <f>IFERROR(__xludf.DUMMYFUNCTION("""COMPUTED_VALUE"""),"Precedex, Injection, 400 mcg/100 mL (NDC 0409-7853-24)")</f>
        <v>Precedex, Injection, 400 mcg/100 mL (NDC 0409-7853-24)</v>
      </c>
      <c r="D490" s="5" t="str">
        <f>IFERROR(__xludf.DUMMYFUNCTION("""COMPUTED_VALUE"""),"Reverified")</f>
        <v>Reverified</v>
      </c>
      <c r="E490" s="13">
        <f>IFERROR(__xludf.DUMMYFUNCTION("""COMPUTED_VALUE"""),46316.0)</f>
        <v>46316</v>
      </c>
      <c r="F490" s="5" t="str">
        <f>IFERROR(__xludf.DUMMYFUNCTION("""COMPUTED_VALUE"""),"Available")</f>
        <v>Available</v>
      </c>
      <c r="G490" s="5"/>
      <c r="H490" s="5"/>
      <c r="I490" s="5"/>
      <c r="J490" s="5" t="str">
        <f>IFERROR(__xludf.DUMMYFUNCTION("""COMPUTED_VALUE"""),"Anesthesia")</f>
        <v>Anesthesia</v>
      </c>
      <c r="K490" s="5" t="str">
        <f>IFERROR(__xludf.DUMMYFUNCTION("""COMPUTED_VALUE"""),"Current")</f>
        <v>Current</v>
      </c>
      <c r="L490" s="5"/>
      <c r="M490" s="5"/>
      <c r="N490" s="10">
        <f>IFERROR(__xludf.DUMMYFUNCTION("""COMPUTED_VALUE"""),43931.0)</f>
        <v>43931</v>
      </c>
      <c r="O490" s="5">
        <v>2020.0</v>
      </c>
      <c r="P490" s="5" t="str">
        <f>IFERROR(__xludf.DUMMYFUNCTION("""COMPUTED_VALUE"""),"Available")</f>
        <v>Available</v>
      </c>
      <c r="Q490" s="5" t="s">
        <v>135</v>
      </c>
      <c r="R490" s="5" t="s">
        <v>136</v>
      </c>
      <c r="S490" s="11">
        <v>2390.0</v>
      </c>
    </row>
    <row r="491">
      <c r="A491" s="5" t="str">
        <f>IFERROR(__xludf.DUMMYFUNCTION("""COMPUTED_VALUE"""),"Dexmedetomidine Hydrochloride Injection")</f>
        <v>Dexmedetomidine Hydrochloride Injection</v>
      </c>
      <c r="B491" s="5" t="str">
        <f>IFERROR(__xludf.DUMMYFUNCTION("""COMPUTED_VALUE"""),"Pfizer Inc.")</f>
        <v>Pfizer Inc.</v>
      </c>
      <c r="C491" s="5" t="str">
        <f>IFERROR(__xludf.DUMMYFUNCTION("""COMPUTED_VALUE"""),"Precedex, Injection, 1000 mcg/250 mL (NDC 0409-7875-12)")</f>
        <v>Precedex, Injection, 1000 mcg/250 mL (NDC 0409-7875-12)</v>
      </c>
      <c r="D491" s="5" t="str">
        <f>IFERROR(__xludf.DUMMYFUNCTION("""COMPUTED_VALUE"""),"Reverified")</f>
        <v>Reverified</v>
      </c>
      <c r="E491" s="10">
        <f>IFERROR(__xludf.DUMMYFUNCTION("""COMPUTED_VALUE"""),46286.0)</f>
        <v>46286</v>
      </c>
      <c r="F491" s="5" t="str">
        <f>IFERROR(__xludf.DUMMYFUNCTION("""COMPUTED_VALUE"""),"Available")</f>
        <v>Available</v>
      </c>
      <c r="G491" s="5"/>
      <c r="H491" s="5"/>
      <c r="I491" s="5"/>
      <c r="J491" s="5" t="str">
        <f>IFERROR(__xludf.DUMMYFUNCTION("""COMPUTED_VALUE"""),"Anesthesia")</f>
        <v>Anesthesia</v>
      </c>
      <c r="K491" s="5" t="str">
        <f>IFERROR(__xludf.DUMMYFUNCTION("""COMPUTED_VALUE"""),"Current")</f>
        <v>Current</v>
      </c>
      <c r="L491" s="5"/>
      <c r="M491" s="5"/>
      <c r="N491" s="10">
        <f>IFERROR(__xludf.DUMMYFUNCTION("""COMPUTED_VALUE"""),43931.0)</f>
        <v>43931</v>
      </c>
      <c r="O491" s="5">
        <v>2020.0</v>
      </c>
      <c r="P491" s="5" t="str">
        <f>IFERROR(__xludf.DUMMYFUNCTION("""COMPUTED_VALUE"""),"Available")</f>
        <v>Available</v>
      </c>
      <c r="Q491" s="5" t="s">
        <v>135</v>
      </c>
      <c r="R491" s="5" t="s">
        <v>136</v>
      </c>
      <c r="S491" s="11">
        <v>2390.0</v>
      </c>
    </row>
    <row r="492">
      <c r="A492" s="5" t="str">
        <f>IFERROR(__xludf.DUMMYFUNCTION("""COMPUTED_VALUE"""),"Dexmedetomidine Hydrochloride Injection")</f>
        <v>Dexmedetomidine Hydrochloride Injection</v>
      </c>
      <c r="B492" s="5" t="str">
        <f>IFERROR(__xludf.DUMMYFUNCTION("""COMPUTED_VALUE"""),"Accord Healthcare Inc.")</f>
        <v>Accord Healthcare Inc.</v>
      </c>
      <c r="C492" s="5" t="str">
        <f>IFERROR(__xludf.DUMMYFUNCTION("""COMPUTED_VALUE"""),"Dexmedetomidine Hydrochloride, Injection, 100 ug/1 mL (NDC 16729-239-93)")</f>
        <v>Dexmedetomidine Hydrochloride, Injection, 100 ug/1 mL (NDC 16729-239-93)</v>
      </c>
      <c r="D492" s="5" t="str">
        <f>IFERROR(__xludf.DUMMYFUNCTION("""COMPUTED_VALUE"""),"New")</f>
        <v>New</v>
      </c>
      <c r="E492" s="10">
        <f>IFERROR(__xludf.DUMMYFUNCTION("""COMPUTED_VALUE"""),46133.0)</f>
        <v>46133</v>
      </c>
      <c r="F492" s="5"/>
      <c r="G492" s="5" t="str">
        <f>IFERROR(__xludf.DUMMYFUNCTION("""COMPUTED_VALUE"""),"Discontinuation of the manufacture of the drug")</f>
        <v>Discontinuation of the manufacture of the drug</v>
      </c>
      <c r="H492" s="5"/>
      <c r="I492" s="5"/>
      <c r="J492" s="5" t="str">
        <f>IFERROR(__xludf.DUMMYFUNCTION("""COMPUTED_VALUE"""),"Anesthesia")</f>
        <v>Anesthesia</v>
      </c>
      <c r="K492" s="5" t="str">
        <f>IFERROR(__xludf.DUMMYFUNCTION("""COMPUTED_VALUE"""),"To Be Discontinued")</f>
        <v>To Be Discontinued</v>
      </c>
      <c r="L492" s="5"/>
      <c r="M492" s="10">
        <f>IFERROR(__xludf.DUMMYFUNCTION("""COMPUTED_VALUE"""),46133.0)</f>
        <v>46133</v>
      </c>
      <c r="N492" s="10">
        <f>IFERROR(__xludf.DUMMYFUNCTION("""COMPUTED_VALUE"""),46133.0)</f>
        <v>46133</v>
      </c>
      <c r="O492" s="5">
        <v>2026.0</v>
      </c>
      <c r="P492" s="5" t="str">
        <f>IFERROR(__xludf.DUMMYFUNCTION("""COMPUTED_VALUE"""),"Not stated")</f>
        <v>Not stated</v>
      </c>
      <c r="Q492" s="5" t="s">
        <v>135</v>
      </c>
      <c r="R492" s="5" t="s">
        <v>434</v>
      </c>
      <c r="S492" s="11">
        <v>188.0</v>
      </c>
    </row>
    <row r="493">
      <c r="A493" s="5" t="str">
        <f>IFERROR(__xludf.DUMMYFUNCTION("""COMPUTED_VALUE"""),"Dexmedetomidine Hydrochloride Injection")</f>
        <v>Dexmedetomidine Hydrochloride Injection</v>
      </c>
      <c r="B493" s="5" t="str">
        <f>IFERROR(__xludf.DUMMYFUNCTION("""COMPUTED_VALUE"""),"Pfizer Inc.")</f>
        <v>Pfizer Inc.</v>
      </c>
      <c r="C493" s="5" t="str">
        <f>IFERROR(__xludf.DUMMYFUNCTION("""COMPUTED_VALUE"""),"Precedex, Injection, 80 mcg/20 mL (4 mcg/mL) (NDC 0409-3301-10)")</f>
        <v>Precedex, Injection, 80 mcg/20 mL (4 mcg/mL) (NDC 0409-3301-10)</v>
      </c>
      <c r="D493" s="5" t="str">
        <f>IFERROR(__xludf.DUMMYFUNCTION("""COMPUTED_VALUE"""),"Revised")</f>
        <v>Revised</v>
      </c>
      <c r="E493" s="13">
        <f>IFERROR(__xludf.DUMMYFUNCTION("""COMPUTED_VALUE"""),46316.0)</f>
        <v>46316</v>
      </c>
      <c r="F493" s="5" t="str">
        <f>IFERROR(__xludf.DUMMYFUNCTION("""COMPUTED_VALUE"""),"Limited Availability")</f>
        <v>Limited Availability</v>
      </c>
      <c r="G493" s="5" t="str">
        <f>IFERROR(__xludf.DUMMYFUNCTION("""COMPUTED_VALUE"""),"Limited Supply Available. Next Delivery and Estimated Recovery: December 2026")</f>
        <v>Limited Supply Available. Next Delivery and Estimated Recovery: December 2026</v>
      </c>
      <c r="H493" s="5"/>
      <c r="I493" s="5" t="str">
        <f>IFERROR(__xludf.DUMMYFUNCTION("""COMPUTED_VALUE"""),"Other")</f>
        <v>Other</v>
      </c>
      <c r="J493" s="5" t="str">
        <f>IFERROR(__xludf.DUMMYFUNCTION("""COMPUTED_VALUE"""),"Anesthesia")</f>
        <v>Anesthesia</v>
      </c>
      <c r="K493" s="5" t="str">
        <f>IFERROR(__xludf.DUMMYFUNCTION("""COMPUTED_VALUE"""),"Current")</f>
        <v>Current</v>
      </c>
      <c r="L493" s="5"/>
      <c r="M493" s="5"/>
      <c r="N493" s="10">
        <f>IFERROR(__xludf.DUMMYFUNCTION("""COMPUTED_VALUE"""),43931.0)</f>
        <v>43931</v>
      </c>
      <c r="O493" s="5">
        <v>2020.0</v>
      </c>
      <c r="P493" s="5" t="str">
        <f>IFERROR(__xludf.DUMMYFUNCTION("""COMPUTED_VALUE"""),"Limited Availability")</f>
        <v>Limited Availability</v>
      </c>
      <c r="Q493" s="5" t="s">
        <v>47</v>
      </c>
      <c r="R493" s="5" t="s">
        <v>136</v>
      </c>
      <c r="S493" s="11">
        <v>2390.0</v>
      </c>
    </row>
    <row r="494">
      <c r="A494" s="5" t="str">
        <f>IFERROR(__xludf.DUMMYFUNCTION("""COMPUTED_VALUE"""),"Dexmedetomidine Hydrochloride Injection")</f>
        <v>Dexmedetomidine Hydrochloride Injection</v>
      </c>
      <c r="B494" s="5" t="str">
        <f>IFERROR(__xludf.DUMMYFUNCTION("""COMPUTED_VALUE"""),"Pfizer Inc.")</f>
        <v>Pfizer Inc.</v>
      </c>
      <c r="C494" s="5" t="str">
        <f>IFERROR(__xludf.DUMMYFUNCTION("""COMPUTED_VALUE"""),"Precedex, Injection, 200 mcg/50 mL (4 mcg/mL) (NDC 0409-4596-20)")</f>
        <v>Precedex, Injection, 200 mcg/50 mL (4 mcg/mL) (NDC 0409-4596-20)</v>
      </c>
      <c r="D494" s="5" t="str">
        <f>IFERROR(__xludf.DUMMYFUNCTION("""COMPUTED_VALUE"""),"Reverified")</f>
        <v>Reverified</v>
      </c>
      <c r="E494" s="13">
        <f>IFERROR(__xludf.DUMMYFUNCTION("""COMPUTED_VALUE"""),46316.0)</f>
        <v>46316</v>
      </c>
      <c r="F494" s="5" t="str">
        <f>IFERROR(__xludf.DUMMYFUNCTION("""COMPUTED_VALUE"""),"Available")</f>
        <v>Available</v>
      </c>
      <c r="G494" s="5"/>
      <c r="H494" s="5"/>
      <c r="I494" s="5"/>
      <c r="J494" s="5" t="str">
        <f>IFERROR(__xludf.DUMMYFUNCTION("""COMPUTED_VALUE"""),"Anesthesia")</f>
        <v>Anesthesia</v>
      </c>
      <c r="K494" s="5" t="str">
        <f>IFERROR(__xludf.DUMMYFUNCTION("""COMPUTED_VALUE"""),"Current")</f>
        <v>Current</v>
      </c>
      <c r="L494" s="5"/>
      <c r="M494" s="5"/>
      <c r="N494" s="10">
        <f>IFERROR(__xludf.DUMMYFUNCTION("""COMPUTED_VALUE"""),43931.0)</f>
        <v>43931</v>
      </c>
      <c r="O494" s="5">
        <v>2020.0</v>
      </c>
      <c r="P494" s="5" t="str">
        <f>IFERROR(__xludf.DUMMYFUNCTION("""COMPUTED_VALUE"""),"Available")</f>
        <v>Available</v>
      </c>
      <c r="Q494" s="5" t="s">
        <v>135</v>
      </c>
      <c r="R494" s="5" t="s">
        <v>136</v>
      </c>
      <c r="S494" s="11">
        <v>2390.0</v>
      </c>
    </row>
    <row r="495">
      <c r="A495" s="5" t="str">
        <f>IFERROR(__xludf.DUMMYFUNCTION("""COMPUTED_VALUE"""),"Dexmedetomidine Hydrochloride Injection")</f>
        <v>Dexmedetomidine Hydrochloride Injection</v>
      </c>
      <c r="B495" s="5" t="str">
        <f>IFERROR(__xludf.DUMMYFUNCTION("""COMPUTED_VALUE"""),"Pfizer Inc.")</f>
        <v>Pfizer Inc.</v>
      </c>
      <c r="C495" s="5" t="str">
        <f>IFERROR(__xludf.DUMMYFUNCTION("""COMPUTED_VALUE"""),"Precedex, Injection, 400 mcg/100 mL (4 mcg/mL) (NDC 0409-0155-02)")</f>
        <v>Precedex, Injection, 400 mcg/100 mL (4 mcg/mL) (NDC 0409-0155-02)</v>
      </c>
      <c r="D495" s="5" t="str">
        <f>IFERROR(__xludf.DUMMYFUNCTION("""COMPUTED_VALUE"""),"Reverified")</f>
        <v>Reverified</v>
      </c>
      <c r="E495" s="13">
        <f>IFERROR(__xludf.DUMMYFUNCTION("""COMPUTED_VALUE"""),46316.0)</f>
        <v>46316</v>
      </c>
      <c r="F495" s="5" t="str">
        <f>IFERROR(__xludf.DUMMYFUNCTION("""COMPUTED_VALUE"""),"Available")</f>
        <v>Available</v>
      </c>
      <c r="G495" s="5"/>
      <c r="H495" s="5"/>
      <c r="I495" s="5"/>
      <c r="J495" s="5" t="str">
        <f>IFERROR(__xludf.DUMMYFUNCTION("""COMPUTED_VALUE"""),"Anesthesia")</f>
        <v>Anesthesia</v>
      </c>
      <c r="K495" s="5" t="str">
        <f>IFERROR(__xludf.DUMMYFUNCTION("""COMPUTED_VALUE"""),"Current")</f>
        <v>Current</v>
      </c>
      <c r="L495" s="5"/>
      <c r="M495" s="5"/>
      <c r="N495" s="10">
        <f>IFERROR(__xludf.DUMMYFUNCTION("""COMPUTED_VALUE"""),43931.0)</f>
        <v>43931</v>
      </c>
      <c r="O495" s="5">
        <v>2020.0</v>
      </c>
      <c r="P495" s="5" t="str">
        <f>IFERROR(__xludf.DUMMYFUNCTION("""COMPUTED_VALUE"""),"Available")</f>
        <v>Available</v>
      </c>
      <c r="Q495" s="5" t="s">
        <v>135</v>
      </c>
      <c r="R495" s="5" t="s">
        <v>136</v>
      </c>
      <c r="S495" s="11">
        <v>2390.0</v>
      </c>
    </row>
    <row r="496">
      <c r="A496" s="5" t="str">
        <f>IFERROR(__xludf.DUMMYFUNCTION("""COMPUTED_VALUE"""),"Dexmedetomidine Hydrochloride Injection")</f>
        <v>Dexmedetomidine Hydrochloride Injection</v>
      </c>
      <c r="B496" s="5" t="str">
        <f>IFERROR(__xludf.DUMMYFUNCTION("""COMPUTED_VALUE"""),"Pfizer Inc.")</f>
        <v>Pfizer Inc.</v>
      </c>
      <c r="C496" s="5" t="str">
        <f>IFERROR(__xludf.DUMMYFUNCTION("""COMPUTED_VALUE"""),"Precedex, Injection, 400 mcg/100 mL (4 mcg/mL) (NDC 0409-1174-10)")</f>
        <v>Precedex, Injection, 400 mcg/100 mL (4 mcg/mL) (NDC 0409-1174-10)</v>
      </c>
      <c r="D496" s="5" t="str">
        <f>IFERROR(__xludf.DUMMYFUNCTION("""COMPUTED_VALUE"""),"Reverified")</f>
        <v>Reverified</v>
      </c>
      <c r="E496" s="13">
        <f>IFERROR(__xludf.DUMMYFUNCTION("""COMPUTED_VALUE"""),46316.0)</f>
        <v>46316</v>
      </c>
      <c r="F496" s="5" t="str">
        <f>IFERROR(__xludf.DUMMYFUNCTION("""COMPUTED_VALUE"""),"Available")</f>
        <v>Available</v>
      </c>
      <c r="G496" s="5"/>
      <c r="H496" s="5"/>
      <c r="I496" s="5"/>
      <c r="J496" s="5" t="str">
        <f>IFERROR(__xludf.DUMMYFUNCTION("""COMPUTED_VALUE"""),"Anesthesia")</f>
        <v>Anesthesia</v>
      </c>
      <c r="K496" s="5" t="str">
        <f>IFERROR(__xludf.DUMMYFUNCTION("""COMPUTED_VALUE"""),"Current")</f>
        <v>Current</v>
      </c>
      <c r="L496" s="5"/>
      <c r="M496" s="5"/>
      <c r="N496" s="10">
        <f>IFERROR(__xludf.DUMMYFUNCTION("""COMPUTED_VALUE"""),43931.0)</f>
        <v>43931</v>
      </c>
      <c r="O496" s="5">
        <v>2020.0</v>
      </c>
      <c r="P496" s="5" t="str">
        <f>IFERROR(__xludf.DUMMYFUNCTION("""COMPUTED_VALUE"""),"Available")</f>
        <v>Available</v>
      </c>
      <c r="Q496" s="5" t="s">
        <v>135</v>
      </c>
      <c r="R496" s="5" t="s">
        <v>136</v>
      </c>
      <c r="S496" s="11">
        <v>2390.0</v>
      </c>
    </row>
    <row r="497">
      <c r="A497" s="5" t="str">
        <f>IFERROR(__xludf.DUMMYFUNCTION("""COMPUTED_VALUE"""),"Dexmedetomidine Hydrochloride Injection")</f>
        <v>Dexmedetomidine Hydrochloride Injection</v>
      </c>
      <c r="B497" s="5" t="str">
        <f>IFERROR(__xludf.DUMMYFUNCTION("""COMPUTED_VALUE"""),"Pfizer Inc.")</f>
        <v>Pfizer Inc.</v>
      </c>
      <c r="C497" s="5" t="str">
        <f>IFERROR(__xludf.DUMMYFUNCTION("""COMPUTED_VALUE"""),"Precedex, Injection, 1000 mcg/250 mL Single Dose Glass Bottle (NDC 0409-1434-01)")</f>
        <v>Precedex, Injection, 1000 mcg/250 mL Single Dose Glass Bottle (NDC 0409-1434-01)</v>
      </c>
      <c r="D497" s="5" t="str">
        <f>IFERROR(__xludf.DUMMYFUNCTION("""COMPUTED_VALUE"""),"Reverified")</f>
        <v>Reverified</v>
      </c>
      <c r="E497" s="13">
        <f>IFERROR(__xludf.DUMMYFUNCTION("""COMPUTED_VALUE"""),46316.0)</f>
        <v>46316</v>
      </c>
      <c r="F497" s="5" t="str">
        <f>IFERROR(__xludf.DUMMYFUNCTION("""COMPUTED_VALUE"""),"Available")</f>
        <v>Available</v>
      </c>
      <c r="G497" s="5"/>
      <c r="H497" s="5"/>
      <c r="I497" s="5"/>
      <c r="J497" s="5" t="str">
        <f>IFERROR(__xludf.DUMMYFUNCTION("""COMPUTED_VALUE"""),"Anesthesia")</f>
        <v>Anesthesia</v>
      </c>
      <c r="K497" s="5" t="str">
        <f>IFERROR(__xludf.DUMMYFUNCTION("""COMPUTED_VALUE"""),"Current")</f>
        <v>Current</v>
      </c>
      <c r="L497" s="5"/>
      <c r="M497" s="5"/>
      <c r="N497" s="10">
        <f>IFERROR(__xludf.DUMMYFUNCTION("""COMPUTED_VALUE"""),43931.0)</f>
        <v>43931</v>
      </c>
      <c r="O497" s="5">
        <v>2020.0</v>
      </c>
      <c r="P497" s="5" t="str">
        <f>IFERROR(__xludf.DUMMYFUNCTION("""COMPUTED_VALUE"""),"Available")</f>
        <v>Available</v>
      </c>
      <c r="Q497" s="5" t="s">
        <v>135</v>
      </c>
      <c r="R497" s="5" t="s">
        <v>136</v>
      </c>
      <c r="S497" s="11">
        <v>2390.0</v>
      </c>
    </row>
    <row r="498">
      <c r="A498" s="5" t="str">
        <f>IFERROR(__xludf.DUMMYFUNCTION("""COMPUTED_VALUE"""),"Dexmedetomidine Hydrochloride Injection")</f>
        <v>Dexmedetomidine Hydrochloride Injection</v>
      </c>
      <c r="B498" s="5" t="str">
        <f>IFERROR(__xludf.DUMMYFUNCTION("""COMPUTED_VALUE"""),"Pfizer Inc.")</f>
        <v>Pfizer Inc.</v>
      </c>
      <c r="C498" s="5" t="str">
        <f>IFERROR(__xludf.DUMMYFUNCTION("""COMPUTED_VALUE"""),"Precedex, Injection, 1000 mcg/250 mL Glass Bottle NovaPlus (NDC 0409-2815-01)")</f>
        <v>Precedex, Injection, 1000 mcg/250 mL Glass Bottle NovaPlus (NDC 0409-2815-01)</v>
      </c>
      <c r="D498" s="5" t="str">
        <f>IFERROR(__xludf.DUMMYFUNCTION("""COMPUTED_VALUE"""),"Reverified")</f>
        <v>Reverified</v>
      </c>
      <c r="E498" s="13">
        <f>IFERROR(__xludf.DUMMYFUNCTION("""COMPUTED_VALUE"""),46316.0)</f>
        <v>46316</v>
      </c>
      <c r="F498" s="5" t="str">
        <f>IFERROR(__xludf.DUMMYFUNCTION("""COMPUTED_VALUE"""),"Available")</f>
        <v>Available</v>
      </c>
      <c r="G498" s="5"/>
      <c r="H498" s="5"/>
      <c r="I498" s="5"/>
      <c r="J498" s="5" t="str">
        <f>IFERROR(__xludf.DUMMYFUNCTION("""COMPUTED_VALUE"""),"Anesthesia")</f>
        <v>Anesthesia</v>
      </c>
      <c r="K498" s="5" t="str">
        <f>IFERROR(__xludf.DUMMYFUNCTION("""COMPUTED_VALUE"""),"Current")</f>
        <v>Current</v>
      </c>
      <c r="L498" s="5"/>
      <c r="M498" s="5"/>
      <c r="N498" s="10">
        <f>IFERROR(__xludf.DUMMYFUNCTION("""COMPUTED_VALUE"""),43931.0)</f>
        <v>43931</v>
      </c>
      <c r="O498" s="5">
        <v>2020.0</v>
      </c>
      <c r="P498" s="5" t="str">
        <f>IFERROR(__xludf.DUMMYFUNCTION("""COMPUTED_VALUE"""),"Available")</f>
        <v>Available</v>
      </c>
      <c r="Q498" s="5" t="s">
        <v>135</v>
      </c>
      <c r="R498" s="5" t="s">
        <v>136</v>
      </c>
      <c r="S498" s="11">
        <v>2390.0</v>
      </c>
    </row>
    <row r="499">
      <c r="A499" s="5" t="str">
        <f>IFERROR(__xludf.DUMMYFUNCTION("""COMPUTED_VALUE"""),"Dexmedetomidine Hydrochloride Injection")</f>
        <v>Dexmedetomidine Hydrochloride Injection</v>
      </c>
      <c r="B499" s="5" t="str">
        <f>IFERROR(__xludf.DUMMYFUNCTION("""COMPUTED_VALUE"""),"Pfizer Inc.")</f>
        <v>Pfizer Inc.</v>
      </c>
      <c r="C499" s="5" t="str">
        <f>IFERROR(__xludf.DUMMYFUNCTION("""COMPUTED_VALUE"""),"Precedex, Injection, 200 mcg/50 mL (4 mcg/mL) (NDC 0409-1454-20)")</f>
        <v>Precedex, Injection, 200 mcg/50 mL (4 mcg/mL) (NDC 0409-1454-20)</v>
      </c>
      <c r="D499" s="5" t="str">
        <f>IFERROR(__xludf.DUMMYFUNCTION("""COMPUTED_VALUE"""),"Reverified")</f>
        <v>Reverified</v>
      </c>
      <c r="E499" s="13">
        <f>IFERROR(__xludf.DUMMYFUNCTION("""COMPUTED_VALUE"""),46316.0)</f>
        <v>46316</v>
      </c>
      <c r="F499" s="5" t="str">
        <f>IFERROR(__xludf.DUMMYFUNCTION("""COMPUTED_VALUE"""),"Available")</f>
        <v>Available</v>
      </c>
      <c r="G499" s="5"/>
      <c r="H499" s="5"/>
      <c r="I499" s="5"/>
      <c r="J499" s="5" t="str">
        <f>IFERROR(__xludf.DUMMYFUNCTION("""COMPUTED_VALUE"""),"Anesthesia")</f>
        <v>Anesthesia</v>
      </c>
      <c r="K499" s="5" t="str">
        <f>IFERROR(__xludf.DUMMYFUNCTION("""COMPUTED_VALUE"""),"Current")</f>
        <v>Current</v>
      </c>
      <c r="L499" s="5"/>
      <c r="M499" s="5"/>
      <c r="N499" s="10">
        <f>IFERROR(__xludf.DUMMYFUNCTION("""COMPUTED_VALUE"""),43931.0)</f>
        <v>43931</v>
      </c>
      <c r="O499" s="5">
        <v>2020.0</v>
      </c>
      <c r="P499" s="5" t="str">
        <f>IFERROR(__xludf.DUMMYFUNCTION("""COMPUTED_VALUE"""),"Available")</f>
        <v>Available</v>
      </c>
      <c r="Q499" s="5" t="s">
        <v>135</v>
      </c>
      <c r="R499" s="5" t="s">
        <v>136</v>
      </c>
      <c r="S499" s="11">
        <v>2390.0</v>
      </c>
    </row>
    <row r="500">
      <c r="A500" s="5" t="str">
        <f>IFERROR(__xludf.DUMMYFUNCTION("""COMPUTED_VALUE"""),"Dexmedetomidine Hydrochloride Injection")</f>
        <v>Dexmedetomidine Hydrochloride Injection</v>
      </c>
      <c r="B500" s="5" t="str">
        <f>IFERROR(__xludf.DUMMYFUNCTION("""COMPUTED_VALUE"""),"Gland Pharma Limited")</f>
        <v>Gland Pharma Limited</v>
      </c>
      <c r="C500" s="5" t="str">
        <f>IFERROR(__xludf.DUMMYFUNCTION("""COMPUTED_VALUE"""),"Dexmedetomidine Hydrochloride, Injection, 200 ug/2 mL (NDC 66794-230-42)")</f>
        <v>Dexmedetomidine Hydrochloride, Injection, 200 ug/2 mL (NDC 66794-230-42)</v>
      </c>
      <c r="D500" s="5" t="str">
        <f>IFERROR(__xludf.DUMMYFUNCTION("""COMPUTED_VALUE"""),"Reverified")</f>
        <v>Reverified</v>
      </c>
      <c r="E500" s="13">
        <f>IFERROR(__xludf.DUMMYFUNCTION("""COMPUTED_VALUE"""),46316.0)</f>
        <v>46316</v>
      </c>
      <c r="F500" s="5" t="str">
        <f>IFERROR(__xludf.DUMMYFUNCTION("""COMPUTED_VALUE"""),"Available")</f>
        <v>Available</v>
      </c>
      <c r="G500" s="5" t="str">
        <f>IFERROR(__xludf.DUMMYFUNCTION("""COMPUTED_VALUE"""),"Marketed by Piramal Critical Care Inc.: 800-414-1901")</f>
        <v>Marketed by Piramal Critical Care Inc.: 800-414-1901</v>
      </c>
      <c r="H500" s="5"/>
      <c r="I500" s="5"/>
      <c r="J500" s="5" t="str">
        <f>IFERROR(__xludf.DUMMYFUNCTION("""COMPUTED_VALUE"""),"Anesthesia")</f>
        <v>Anesthesia</v>
      </c>
      <c r="K500" s="5" t="str">
        <f>IFERROR(__xludf.DUMMYFUNCTION("""COMPUTED_VALUE"""),"Current")</f>
        <v>Current</v>
      </c>
      <c r="L500" s="5"/>
      <c r="M500" s="5"/>
      <c r="N500" s="10">
        <f>IFERROR(__xludf.DUMMYFUNCTION("""COMPUTED_VALUE"""),43931.0)</f>
        <v>43931</v>
      </c>
      <c r="O500" s="5">
        <v>2020.0</v>
      </c>
      <c r="P500" s="5" t="str">
        <f>IFERROR(__xludf.DUMMYFUNCTION("""COMPUTED_VALUE"""),"Available")</f>
        <v>Available</v>
      </c>
      <c r="Q500" s="5" t="s">
        <v>135</v>
      </c>
      <c r="R500" s="5" t="s">
        <v>136</v>
      </c>
      <c r="S500" s="11">
        <v>2390.0</v>
      </c>
    </row>
    <row r="501">
      <c r="A501" s="5" t="str">
        <f>IFERROR(__xludf.DUMMYFUNCTION("""COMPUTED_VALUE"""),"Dexmedetomidine Hydrochloride Injection")</f>
        <v>Dexmedetomidine Hydrochloride Injection</v>
      </c>
      <c r="B501" s="5" t="str">
        <f>IFERROR(__xludf.DUMMYFUNCTION("""COMPUTED_VALUE"""),"Jiangsu Hengrui Pharmaceuticals Co., Ltd.")</f>
        <v>Jiangsu Hengrui Pharmaceuticals Co., Ltd.</v>
      </c>
      <c r="C501" s="5" t="str">
        <f>IFERROR(__xludf.DUMMYFUNCTION("""COMPUTED_VALUE"""),"Dexmedetomidine Hydrochloride, Injection, 80 mcg/20 mL (NDC 0781-3493-95)")</f>
        <v>Dexmedetomidine Hydrochloride, Injection, 80 mcg/20 mL (NDC 0781-3493-95)</v>
      </c>
      <c r="D501" s="5" t="str">
        <f>IFERROR(__xludf.DUMMYFUNCTION("""COMPUTED_VALUE"""),"Reverified")</f>
        <v>Reverified</v>
      </c>
      <c r="E501" s="10">
        <f>IFERROR(__xludf.DUMMYFUNCTION("""COMPUTED_VALUE"""),46300.0)</f>
        <v>46300</v>
      </c>
      <c r="F501" s="5" t="str">
        <f>IFERROR(__xludf.DUMMYFUNCTION("""COMPUTED_VALUE"""),"Available")</f>
        <v>Available</v>
      </c>
      <c r="G501" s="5" t="str">
        <f>IFERROR(__xludf.DUMMYFUNCTION("""COMPUTED_VALUE"""),"Marketed by Sandoz Inc.; Customer service: 800-525-8747")</f>
        <v>Marketed by Sandoz Inc.; Customer service: 800-525-8747</v>
      </c>
      <c r="H501" s="5"/>
      <c r="I501" s="5"/>
      <c r="J501" s="5" t="str">
        <f>IFERROR(__xludf.DUMMYFUNCTION("""COMPUTED_VALUE"""),"Anesthesia")</f>
        <v>Anesthesia</v>
      </c>
      <c r="K501" s="5" t="str">
        <f>IFERROR(__xludf.DUMMYFUNCTION("""COMPUTED_VALUE"""),"Current")</f>
        <v>Current</v>
      </c>
      <c r="L501" s="5"/>
      <c r="M501" s="5"/>
      <c r="N501" s="10">
        <f>IFERROR(__xludf.DUMMYFUNCTION("""COMPUTED_VALUE"""),43931.0)</f>
        <v>43931</v>
      </c>
      <c r="O501" s="5">
        <v>2020.0</v>
      </c>
      <c r="P501" s="5" t="str">
        <f>IFERROR(__xludf.DUMMYFUNCTION("""COMPUTED_VALUE"""),"Available")</f>
        <v>Available</v>
      </c>
      <c r="Q501" s="5" t="s">
        <v>135</v>
      </c>
      <c r="R501" s="5" t="s">
        <v>136</v>
      </c>
      <c r="S501" s="11">
        <v>2390.0</v>
      </c>
    </row>
    <row r="502">
      <c r="A502" s="5" t="str">
        <f>IFERROR(__xludf.DUMMYFUNCTION("""COMPUTED_VALUE"""),"Dexmedetomidine Hydrochloride Injection")</f>
        <v>Dexmedetomidine Hydrochloride Injection</v>
      </c>
      <c r="B502" s="5" t="str">
        <f>IFERROR(__xludf.DUMMYFUNCTION("""COMPUTED_VALUE"""),"Jiangsu Hengrui Pharmaceuticals Co., Ltd.")</f>
        <v>Jiangsu Hengrui Pharmaceuticals Co., Ltd.</v>
      </c>
      <c r="C502" s="5" t="str">
        <f>IFERROR(__xludf.DUMMYFUNCTION("""COMPUTED_VALUE"""),"Dexmedetomidine Hydrochloride, Injection, 200 mcg/50 mL (NDC 0781-3494-95)")</f>
        <v>Dexmedetomidine Hydrochloride, Injection, 200 mcg/50 mL (NDC 0781-3494-95)</v>
      </c>
      <c r="D502" s="5" t="str">
        <f>IFERROR(__xludf.DUMMYFUNCTION("""COMPUTED_VALUE"""),"Reverified")</f>
        <v>Reverified</v>
      </c>
      <c r="E502" s="10">
        <f>IFERROR(__xludf.DUMMYFUNCTION("""COMPUTED_VALUE"""),46300.0)</f>
        <v>46300</v>
      </c>
      <c r="F502" s="5" t="str">
        <f>IFERROR(__xludf.DUMMYFUNCTION("""COMPUTED_VALUE"""),"Available")</f>
        <v>Available</v>
      </c>
      <c r="G502" s="5" t="str">
        <f>IFERROR(__xludf.DUMMYFUNCTION("""COMPUTED_VALUE"""),"Marketed by Sandoz Inc.; Customer service: 800-525-8747")</f>
        <v>Marketed by Sandoz Inc.; Customer service: 800-525-8747</v>
      </c>
      <c r="H502" s="5"/>
      <c r="I502" s="5"/>
      <c r="J502" s="5" t="str">
        <f>IFERROR(__xludf.DUMMYFUNCTION("""COMPUTED_VALUE"""),"Anesthesia")</f>
        <v>Anesthesia</v>
      </c>
      <c r="K502" s="5" t="str">
        <f>IFERROR(__xludf.DUMMYFUNCTION("""COMPUTED_VALUE"""),"Current")</f>
        <v>Current</v>
      </c>
      <c r="L502" s="5"/>
      <c r="M502" s="5"/>
      <c r="N502" s="10">
        <f>IFERROR(__xludf.DUMMYFUNCTION("""COMPUTED_VALUE"""),43931.0)</f>
        <v>43931</v>
      </c>
      <c r="O502" s="5">
        <v>2020.0</v>
      </c>
      <c r="P502" s="5" t="str">
        <f>IFERROR(__xludf.DUMMYFUNCTION("""COMPUTED_VALUE"""),"Available")</f>
        <v>Available</v>
      </c>
      <c r="Q502" s="5" t="s">
        <v>135</v>
      </c>
      <c r="R502" s="5" t="s">
        <v>136</v>
      </c>
      <c r="S502" s="11">
        <v>2390.0</v>
      </c>
    </row>
    <row r="503">
      <c r="A503" s="5" t="str">
        <f>IFERROR(__xludf.DUMMYFUNCTION("""COMPUTED_VALUE"""),"Dexmedetomidine Hydrochloride Injection")</f>
        <v>Dexmedetomidine Hydrochloride Injection</v>
      </c>
      <c r="B503" s="5" t="str">
        <f>IFERROR(__xludf.DUMMYFUNCTION("""COMPUTED_VALUE"""),"Jiangsu Hengrui Pharmaceuticals Co., Ltd.")</f>
        <v>Jiangsu Hengrui Pharmaceuticals Co., Ltd.</v>
      </c>
      <c r="C503" s="5" t="str">
        <f>IFERROR(__xludf.DUMMYFUNCTION("""COMPUTED_VALUE"""),"Dexmedetomidine Hydrochloride, Injection, 400 mcg/100 mL (NDC 0781-3495-95)")</f>
        <v>Dexmedetomidine Hydrochloride, Injection, 400 mcg/100 mL (NDC 0781-3495-95)</v>
      </c>
      <c r="D503" s="5" t="str">
        <f>IFERROR(__xludf.DUMMYFUNCTION("""COMPUTED_VALUE"""),"Reverified")</f>
        <v>Reverified</v>
      </c>
      <c r="E503" s="10">
        <f>IFERROR(__xludf.DUMMYFUNCTION("""COMPUTED_VALUE"""),46300.0)</f>
        <v>46300</v>
      </c>
      <c r="F503" s="5" t="str">
        <f>IFERROR(__xludf.DUMMYFUNCTION("""COMPUTED_VALUE"""),"Available")</f>
        <v>Available</v>
      </c>
      <c r="G503" s="5" t="str">
        <f>IFERROR(__xludf.DUMMYFUNCTION("""COMPUTED_VALUE"""),"Marketed by Sandoz Inc.; Customer service: 800-525-8747")</f>
        <v>Marketed by Sandoz Inc.; Customer service: 800-525-8747</v>
      </c>
      <c r="H503" s="5"/>
      <c r="I503" s="5"/>
      <c r="J503" s="5" t="str">
        <f>IFERROR(__xludf.DUMMYFUNCTION("""COMPUTED_VALUE"""),"Anesthesia")</f>
        <v>Anesthesia</v>
      </c>
      <c r="K503" s="5" t="str">
        <f>IFERROR(__xludf.DUMMYFUNCTION("""COMPUTED_VALUE"""),"Current")</f>
        <v>Current</v>
      </c>
      <c r="L503" s="5"/>
      <c r="M503" s="5"/>
      <c r="N503" s="10">
        <f>IFERROR(__xludf.DUMMYFUNCTION("""COMPUTED_VALUE"""),43931.0)</f>
        <v>43931</v>
      </c>
      <c r="O503" s="5">
        <v>2020.0</v>
      </c>
      <c r="P503" s="5" t="str">
        <f>IFERROR(__xludf.DUMMYFUNCTION("""COMPUTED_VALUE"""),"Available")</f>
        <v>Available</v>
      </c>
      <c r="Q503" s="5" t="s">
        <v>135</v>
      </c>
      <c r="R503" s="5" t="s">
        <v>136</v>
      </c>
      <c r="S503" s="11">
        <v>2390.0</v>
      </c>
    </row>
    <row r="504">
      <c r="A504" s="5" t="str">
        <f>IFERROR(__xludf.DUMMYFUNCTION("""COMPUTED_VALUE"""),"Dexmedetomidine Hydrochloride Injection")</f>
        <v>Dexmedetomidine Hydrochloride Injection</v>
      </c>
      <c r="B504" s="5" t="str">
        <f>IFERROR(__xludf.DUMMYFUNCTION("""COMPUTED_VALUE"""),"Hikma Pharmaceuticals USA, Inc.")</f>
        <v>Hikma Pharmaceuticals USA, Inc.</v>
      </c>
      <c r="C504" s="5" t="str">
        <f>IFERROR(__xludf.DUMMYFUNCTION("""COMPUTED_VALUE"""),"Dexmedetomidine Hydrochloride, Injection, 100 ug/1 mL (NDC 0143-9532-25)")</f>
        <v>Dexmedetomidine Hydrochloride, Injection, 100 ug/1 mL (NDC 0143-9532-25)</v>
      </c>
      <c r="D504" s="5" t="str">
        <f>IFERROR(__xludf.DUMMYFUNCTION("""COMPUTED_VALUE"""),"Revised")</f>
        <v>Revised</v>
      </c>
      <c r="E504" s="13">
        <f>IFERROR(__xludf.DUMMYFUNCTION("""COMPUTED_VALUE"""),46309.0)</f>
        <v>46309</v>
      </c>
      <c r="F504" s="5" t="str">
        <f>IFERROR(__xludf.DUMMYFUNCTION("""COMPUTED_VALUE"""),"Available")</f>
        <v>Available</v>
      </c>
      <c r="G504" s="5" t="str">
        <f>IFERROR(__xludf.DUMMYFUNCTION("""COMPUTED_VALUE"""),"Additional product will be made available as it is released.")</f>
        <v>Additional product will be made available as it is released.</v>
      </c>
      <c r="H504" s="5"/>
      <c r="I504" s="5"/>
      <c r="J504" s="5" t="str">
        <f>IFERROR(__xludf.DUMMYFUNCTION("""COMPUTED_VALUE"""),"Anesthesia")</f>
        <v>Anesthesia</v>
      </c>
      <c r="K504" s="5" t="str">
        <f>IFERROR(__xludf.DUMMYFUNCTION("""COMPUTED_VALUE"""),"Current")</f>
        <v>Current</v>
      </c>
      <c r="L504" s="5"/>
      <c r="M504" s="5"/>
      <c r="N504" s="10">
        <f>IFERROR(__xludf.DUMMYFUNCTION("""COMPUTED_VALUE"""),43931.0)</f>
        <v>43931</v>
      </c>
      <c r="O504" s="5">
        <v>2020.0</v>
      </c>
      <c r="P504" s="5" t="str">
        <f>IFERROR(__xludf.DUMMYFUNCTION("""COMPUTED_VALUE"""),"Available")</f>
        <v>Available</v>
      </c>
      <c r="Q504" s="5" t="s">
        <v>135</v>
      </c>
      <c r="R504" s="5" t="s">
        <v>136</v>
      </c>
      <c r="S504" s="11">
        <v>2390.0</v>
      </c>
    </row>
    <row r="505">
      <c r="A505" s="5" t="str">
        <f>IFERROR(__xludf.DUMMYFUNCTION("""COMPUTED_VALUE"""),"Dexmedetomidine Hydrochloride Injection")</f>
        <v>Dexmedetomidine Hydrochloride Injection</v>
      </c>
      <c r="B505" s="5" t="str">
        <f>IFERROR(__xludf.DUMMYFUNCTION("""COMPUTED_VALUE"""),"Amneal Pharmaceuticals")</f>
        <v>Amneal Pharmaceuticals</v>
      </c>
      <c r="C505" s="5" t="str">
        <f>IFERROR(__xludf.DUMMYFUNCTION("""COMPUTED_VALUE"""),"Dexmedetomidine Hydrochloride, Injection, 4 mcg/mL, 50 mL (NDC 70121-1388-1)")</f>
        <v>Dexmedetomidine Hydrochloride, Injection, 4 mcg/mL, 50 mL (NDC 70121-1388-1)</v>
      </c>
      <c r="D505" s="5" t="str">
        <f>IFERROR(__xludf.DUMMYFUNCTION("""COMPUTED_VALUE"""),"Reverified")</f>
        <v>Reverified</v>
      </c>
      <c r="E505" s="10">
        <f>IFERROR(__xludf.DUMMYFUNCTION("""COMPUTED_VALUE"""),46300.0)</f>
        <v>46300</v>
      </c>
      <c r="F505" s="5" t="str">
        <f>IFERROR(__xludf.DUMMYFUNCTION("""COMPUTED_VALUE"""),"Available")</f>
        <v>Available</v>
      </c>
      <c r="G505" s="5"/>
      <c r="H505" s="5"/>
      <c r="I505" s="5"/>
      <c r="J505" s="5" t="str">
        <f>IFERROR(__xludf.DUMMYFUNCTION("""COMPUTED_VALUE"""),"Anesthesia")</f>
        <v>Anesthesia</v>
      </c>
      <c r="K505" s="5" t="str">
        <f>IFERROR(__xludf.DUMMYFUNCTION("""COMPUTED_VALUE"""),"Current")</f>
        <v>Current</v>
      </c>
      <c r="L505" s="5"/>
      <c r="M505" s="5"/>
      <c r="N505" s="10">
        <f>IFERROR(__xludf.DUMMYFUNCTION("""COMPUTED_VALUE"""),43931.0)</f>
        <v>43931</v>
      </c>
      <c r="O505" s="5">
        <v>2020.0</v>
      </c>
      <c r="P505" s="5" t="str">
        <f>IFERROR(__xludf.DUMMYFUNCTION("""COMPUTED_VALUE"""),"Available")</f>
        <v>Available</v>
      </c>
      <c r="Q505" s="5" t="s">
        <v>135</v>
      </c>
      <c r="R505" s="5" t="s">
        <v>136</v>
      </c>
      <c r="S505" s="11">
        <v>2390.0</v>
      </c>
    </row>
    <row r="506">
      <c r="A506" s="5" t="str">
        <f>IFERROR(__xludf.DUMMYFUNCTION("""COMPUTED_VALUE"""),"Dexmedetomidine Hydrochloride Injection")</f>
        <v>Dexmedetomidine Hydrochloride Injection</v>
      </c>
      <c r="B506" s="5" t="str">
        <f>IFERROR(__xludf.DUMMYFUNCTION("""COMPUTED_VALUE"""),"Amneal Pharmaceuticals")</f>
        <v>Amneal Pharmaceuticals</v>
      </c>
      <c r="C506" s="5" t="str">
        <f>IFERROR(__xludf.DUMMYFUNCTION("""COMPUTED_VALUE"""),"Dexmedetomidine Hydrochloride, Injection, 4 mcg/mL, 100 mL (NDC 70121-1389-1)")</f>
        <v>Dexmedetomidine Hydrochloride, Injection, 4 mcg/mL, 100 mL (NDC 70121-1389-1)</v>
      </c>
      <c r="D506" s="5" t="str">
        <f>IFERROR(__xludf.DUMMYFUNCTION("""COMPUTED_VALUE"""),"Reverified")</f>
        <v>Reverified</v>
      </c>
      <c r="E506" s="10">
        <f>IFERROR(__xludf.DUMMYFUNCTION("""COMPUTED_VALUE"""),46300.0)</f>
        <v>46300</v>
      </c>
      <c r="F506" s="5" t="str">
        <f>IFERROR(__xludf.DUMMYFUNCTION("""COMPUTED_VALUE"""),"Available")</f>
        <v>Available</v>
      </c>
      <c r="G506" s="5"/>
      <c r="H506" s="5"/>
      <c r="I506" s="5"/>
      <c r="J506" s="5" t="str">
        <f>IFERROR(__xludf.DUMMYFUNCTION("""COMPUTED_VALUE"""),"Anesthesia")</f>
        <v>Anesthesia</v>
      </c>
      <c r="K506" s="5" t="str">
        <f>IFERROR(__xludf.DUMMYFUNCTION("""COMPUTED_VALUE"""),"Current")</f>
        <v>Current</v>
      </c>
      <c r="L506" s="5"/>
      <c r="M506" s="5"/>
      <c r="N506" s="10">
        <f>IFERROR(__xludf.DUMMYFUNCTION("""COMPUTED_VALUE"""),43931.0)</f>
        <v>43931</v>
      </c>
      <c r="O506" s="5">
        <v>2020.0</v>
      </c>
      <c r="P506" s="5" t="str">
        <f>IFERROR(__xludf.DUMMYFUNCTION("""COMPUTED_VALUE"""),"Available")</f>
        <v>Available</v>
      </c>
      <c r="Q506" s="5" t="s">
        <v>135</v>
      </c>
      <c r="R506" s="5" t="s">
        <v>136</v>
      </c>
      <c r="S506" s="11">
        <v>2390.0</v>
      </c>
    </row>
    <row r="507">
      <c r="A507" s="5" t="str">
        <f>IFERROR(__xludf.DUMMYFUNCTION("""COMPUTED_VALUE"""),"Dextrose Monohydrate 10% Injection")</f>
        <v>Dextrose Monohydrate 10% Injection</v>
      </c>
      <c r="B507" s="5" t="str">
        <f>IFERROR(__xludf.DUMMYFUNCTION("""COMPUTED_VALUE"""),"Baxter Healthcare")</f>
        <v>Baxter Healthcare</v>
      </c>
      <c r="C507" s="5" t="str">
        <f>IFERROR(__xludf.DUMMYFUNCTION("""COMPUTED_VALUE"""),"Dextrose 10% In Plastic Container, Injection, 100 g/1000 mL (NDC 0338-0023-02)")</f>
        <v>Dextrose 10% In Plastic Container, Injection, 100 g/1000 mL (NDC 0338-0023-02)</v>
      </c>
      <c r="D507" s="5" t="str">
        <f>IFERROR(__xludf.DUMMYFUNCTION("""COMPUTED_VALUE"""),"Reverified")</f>
        <v>Reverified</v>
      </c>
      <c r="E507" s="13">
        <f>IFERROR(__xludf.DUMMYFUNCTION("""COMPUTED_VALUE"""),46311.0)</f>
        <v>46311</v>
      </c>
      <c r="F507" s="5" t="str">
        <f>IFERROR(__xludf.DUMMYFUNCTION("""COMPUTED_VALUE"""),"Available")</f>
        <v>Available</v>
      </c>
      <c r="G507" s="5"/>
      <c r="H507" s="5"/>
      <c r="I507" s="5"/>
      <c r="J507" s="5" t="str">
        <f>IFERROR(__xludf.DUMMYFUNCTION("""COMPUTED_VALUE"""),"Endocrinology/Metabolism; Gastroenterology; Other; Pediatric")</f>
        <v>Endocrinology/Metabolism; Gastroenterology; Other; Pediatric</v>
      </c>
      <c r="K507" s="5" t="str">
        <f>IFERROR(__xludf.DUMMYFUNCTION("""COMPUTED_VALUE"""),"Current")</f>
        <v>Current</v>
      </c>
      <c r="L507" s="5"/>
      <c r="M507" s="5"/>
      <c r="N507" s="10">
        <f>IFERROR(__xludf.DUMMYFUNCTION("""COMPUTED_VALUE"""),44621.0)</f>
        <v>44621</v>
      </c>
      <c r="O507" s="5">
        <v>2022.0</v>
      </c>
      <c r="P507" s="5" t="str">
        <f>IFERROR(__xludf.DUMMYFUNCTION("""COMPUTED_VALUE"""),"Available")</f>
        <v>Available</v>
      </c>
      <c r="Q507" s="5" t="s">
        <v>135</v>
      </c>
      <c r="R507" s="5" t="s">
        <v>136</v>
      </c>
      <c r="S507" s="11">
        <v>1700.0</v>
      </c>
    </row>
    <row r="508">
      <c r="A508" s="5" t="str">
        <f>IFERROR(__xludf.DUMMYFUNCTION("""COMPUTED_VALUE"""),"Dextrose Monohydrate 10% Injection")</f>
        <v>Dextrose Monohydrate 10% Injection</v>
      </c>
      <c r="B508" s="5" t="str">
        <f>IFERROR(__xludf.DUMMYFUNCTION("""COMPUTED_VALUE"""),"Baxter Healthcare")</f>
        <v>Baxter Healthcare</v>
      </c>
      <c r="C508" s="5" t="str">
        <f>IFERROR(__xludf.DUMMYFUNCTION("""COMPUTED_VALUE"""),"Dextrose 10% In Plastic Container, Injection, 100 g/1000 mL (NDC 0338-0023-03)")</f>
        <v>Dextrose 10% In Plastic Container, Injection, 100 g/1000 mL (NDC 0338-0023-03)</v>
      </c>
      <c r="D508" s="5" t="str">
        <f>IFERROR(__xludf.DUMMYFUNCTION("""COMPUTED_VALUE"""),"Reverified")</f>
        <v>Reverified</v>
      </c>
      <c r="E508" s="13">
        <f>IFERROR(__xludf.DUMMYFUNCTION("""COMPUTED_VALUE"""),46311.0)</f>
        <v>46311</v>
      </c>
      <c r="F508" s="5" t="str">
        <f>IFERROR(__xludf.DUMMYFUNCTION("""COMPUTED_VALUE"""),"Available")</f>
        <v>Available</v>
      </c>
      <c r="G508" s="5"/>
      <c r="H508" s="5"/>
      <c r="I508" s="5"/>
      <c r="J508" s="5" t="str">
        <f>IFERROR(__xludf.DUMMYFUNCTION("""COMPUTED_VALUE"""),"Endocrinology/Metabolism; Gastroenterology; Other; Pediatric")</f>
        <v>Endocrinology/Metabolism; Gastroenterology; Other; Pediatric</v>
      </c>
      <c r="K508" s="5" t="str">
        <f>IFERROR(__xludf.DUMMYFUNCTION("""COMPUTED_VALUE"""),"Current")</f>
        <v>Current</v>
      </c>
      <c r="L508" s="5"/>
      <c r="M508" s="5"/>
      <c r="N508" s="10">
        <f>IFERROR(__xludf.DUMMYFUNCTION("""COMPUTED_VALUE"""),44621.0)</f>
        <v>44621</v>
      </c>
      <c r="O508" s="5">
        <v>2022.0</v>
      </c>
      <c r="P508" s="5" t="str">
        <f>IFERROR(__xludf.DUMMYFUNCTION("""COMPUTED_VALUE"""),"Available")</f>
        <v>Available</v>
      </c>
      <c r="Q508" s="5" t="s">
        <v>135</v>
      </c>
      <c r="R508" s="5" t="s">
        <v>136</v>
      </c>
      <c r="S508" s="11">
        <v>1700.0</v>
      </c>
    </row>
    <row r="509">
      <c r="A509" s="5" t="str">
        <f>IFERROR(__xludf.DUMMYFUNCTION("""COMPUTED_VALUE"""),"Dextrose Monohydrate 10% Injection")</f>
        <v>Dextrose Monohydrate 10% Injection</v>
      </c>
      <c r="B509" s="5" t="str">
        <f>IFERROR(__xludf.DUMMYFUNCTION("""COMPUTED_VALUE"""),"Baxter Healthcare")</f>
        <v>Baxter Healthcare</v>
      </c>
      <c r="C509" s="5" t="str">
        <f>IFERROR(__xludf.DUMMYFUNCTION("""COMPUTED_VALUE"""),"Dextrose 10% In Plastic Container, Injection, 100 g/1000 mL (NDC 0338-0023-04)")</f>
        <v>Dextrose 10% In Plastic Container, Injection, 100 g/1000 mL (NDC 0338-0023-04)</v>
      </c>
      <c r="D509" s="5" t="str">
        <f>IFERROR(__xludf.DUMMYFUNCTION("""COMPUTED_VALUE"""),"Reverified")</f>
        <v>Reverified</v>
      </c>
      <c r="E509" s="13">
        <f>IFERROR(__xludf.DUMMYFUNCTION("""COMPUTED_VALUE"""),46311.0)</f>
        <v>46311</v>
      </c>
      <c r="F509" s="5" t="str">
        <f>IFERROR(__xludf.DUMMYFUNCTION("""COMPUTED_VALUE"""),"Available")</f>
        <v>Available</v>
      </c>
      <c r="G509" s="5"/>
      <c r="H509" s="5"/>
      <c r="I509" s="5"/>
      <c r="J509" s="5" t="str">
        <f>IFERROR(__xludf.DUMMYFUNCTION("""COMPUTED_VALUE"""),"Endocrinology/Metabolism; Gastroenterology; Other; Pediatric")</f>
        <v>Endocrinology/Metabolism; Gastroenterology; Other; Pediatric</v>
      </c>
      <c r="K509" s="5" t="str">
        <f>IFERROR(__xludf.DUMMYFUNCTION("""COMPUTED_VALUE"""),"Current")</f>
        <v>Current</v>
      </c>
      <c r="L509" s="5"/>
      <c r="M509" s="5"/>
      <c r="N509" s="10">
        <f>IFERROR(__xludf.DUMMYFUNCTION("""COMPUTED_VALUE"""),44621.0)</f>
        <v>44621</v>
      </c>
      <c r="O509" s="5">
        <v>2022.0</v>
      </c>
      <c r="P509" s="5" t="str">
        <f>IFERROR(__xludf.DUMMYFUNCTION("""COMPUTED_VALUE"""),"Available")</f>
        <v>Available</v>
      </c>
      <c r="Q509" s="5" t="s">
        <v>135</v>
      </c>
      <c r="R509" s="5" t="s">
        <v>136</v>
      </c>
      <c r="S509" s="11">
        <v>1700.0</v>
      </c>
    </row>
    <row r="510">
      <c r="A510" s="5" t="str">
        <f>IFERROR(__xludf.DUMMYFUNCTION("""COMPUTED_VALUE"""),"Dextrose Monohydrate 10% Injection")</f>
        <v>Dextrose Monohydrate 10% Injection</v>
      </c>
      <c r="B510" s="5" t="str">
        <f>IFERROR(__xludf.DUMMYFUNCTION("""COMPUTED_VALUE"""),"B. Braun Medical Inc.")</f>
        <v>B. Braun Medical Inc.</v>
      </c>
      <c r="C510" s="5" t="str">
        <f>IFERROR(__xludf.DUMMYFUNCTION("""COMPUTED_VALUE"""),"Dextrose Monohydrate 10%, Injection, 10 g/100 mL (NDC 0264-7520-00)")</f>
        <v>Dextrose Monohydrate 10%, Injection, 10 g/100 mL (NDC 0264-7520-00)</v>
      </c>
      <c r="D510" s="5" t="str">
        <f>IFERROR(__xludf.DUMMYFUNCTION("""COMPUTED_VALUE"""),"Reverified")</f>
        <v>Reverified</v>
      </c>
      <c r="E510" s="13">
        <f>IFERROR(__xludf.DUMMYFUNCTION("""COMPUTED_VALUE"""),46314.0)</f>
        <v>46314</v>
      </c>
      <c r="F510" s="5" t="str">
        <f>IFERROR(__xludf.DUMMYFUNCTION("""COMPUTED_VALUE"""),"Available")</f>
        <v>Available</v>
      </c>
      <c r="G510" s="5"/>
      <c r="H510" s="5"/>
      <c r="I510" s="5"/>
      <c r="J510" s="5" t="str">
        <f>IFERROR(__xludf.DUMMYFUNCTION("""COMPUTED_VALUE"""),"Endocrinology/Metabolism; Gastroenterology; Other; Pediatric")</f>
        <v>Endocrinology/Metabolism; Gastroenterology; Other; Pediatric</v>
      </c>
      <c r="K510" s="5" t="str">
        <f>IFERROR(__xludf.DUMMYFUNCTION("""COMPUTED_VALUE"""),"Current")</f>
        <v>Current</v>
      </c>
      <c r="L510" s="5"/>
      <c r="M510" s="5"/>
      <c r="N510" s="10">
        <f>IFERROR(__xludf.DUMMYFUNCTION("""COMPUTED_VALUE"""),44621.0)</f>
        <v>44621</v>
      </c>
      <c r="O510" s="5">
        <v>2022.0</v>
      </c>
      <c r="P510" s="5" t="str">
        <f>IFERROR(__xludf.DUMMYFUNCTION("""COMPUTED_VALUE"""),"Available")</f>
        <v>Available</v>
      </c>
      <c r="Q510" s="5" t="s">
        <v>135</v>
      </c>
      <c r="R510" s="5" t="s">
        <v>136</v>
      </c>
      <c r="S510" s="11">
        <v>1700.0</v>
      </c>
    </row>
    <row r="511">
      <c r="A511" s="5" t="str">
        <f>IFERROR(__xludf.DUMMYFUNCTION("""COMPUTED_VALUE"""),"Dextrose Monohydrate 10% Injection")</f>
        <v>Dextrose Monohydrate 10% Injection</v>
      </c>
      <c r="B511" s="5" t="str">
        <f>IFERROR(__xludf.DUMMYFUNCTION("""COMPUTED_VALUE"""),"B. Braun Medical Inc.")</f>
        <v>B. Braun Medical Inc.</v>
      </c>
      <c r="C511" s="5" t="str">
        <f>IFERROR(__xludf.DUMMYFUNCTION("""COMPUTED_VALUE"""),"Dextrose Monohydrate 10%, Injection, 10 g/100 mL (NDC 0264-7520-10)")</f>
        <v>Dextrose Monohydrate 10%, Injection, 10 g/100 mL (NDC 0264-7520-10)</v>
      </c>
      <c r="D511" s="5" t="str">
        <f>IFERROR(__xludf.DUMMYFUNCTION("""COMPUTED_VALUE"""),"Reverified")</f>
        <v>Reverified</v>
      </c>
      <c r="E511" s="13">
        <f>IFERROR(__xludf.DUMMYFUNCTION("""COMPUTED_VALUE"""),46314.0)</f>
        <v>46314</v>
      </c>
      <c r="F511" s="5" t="str">
        <f>IFERROR(__xludf.DUMMYFUNCTION("""COMPUTED_VALUE"""),"Available")</f>
        <v>Available</v>
      </c>
      <c r="G511" s="5"/>
      <c r="H511" s="5"/>
      <c r="I511" s="5"/>
      <c r="J511" s="5" t="str">
        <f>IFERROR(__xludf.DUMMYFUNCTION("""COMPUTED_VALUE"""),"Endocrinology/Metabolism; Gastroenterology; Other; Pediatric")</f>
        <v>Endocrinology/Metabolism; Gastroenterology; Other; Pediatric</v>
      </c>
      <c r="K511" s="5" t="str">
        <f>IFERROR(__xludf.DUMMYFUNCTION("""COMPUTED_VALUE"""),"Current")</f>
        <v>Current</v>
      </c>
      <c r="L511" s="5"/>
      <c r="M511" s="5"/>
      <c r="N511" s="10">
        <f>IFERROR(__xludf.DUMMYFUNCTION("""COMPUTED_VALUE"""),44621.0)</f>
        <v>44621</v>
      </c>
      <c r="O511" s="5">
        <v>2022.0</v>
      </c>
      <c r="P511" s="5" t="str">
        <f>IFERROR(__xludf.DUMMYFUNCTION("""COMPUTED_VALUE"""),"Available")</f>
        <v>Available</v>
      </c>
      <c r="Q511" s="5" t="s">
        <v>135</v>
      </c>
      <c r="R511" s="5" t="s">
        <v>136</v>
      </c>
      <c r="S511" s="11">
        <v>1700.0</v>
      </c>
    </row>
    <row r="512">
      <c r="A512" s="5" t="str">
        <f>IFERROR(__xludf.DUMMYFUNCTION("""COMPUTED_VALUE"""),"Dextrose Monohydrate 10% Injection")</f>
        <v>Dextrose Monohydrate 10% Injection</v>
      </c>
      <c r="B512" s="5" t="str">
        <f>IFERROR(__xludf.DUMMYFUNCTION("""COMPUTED_VALUE"""),"B. Braun Medical Inc.")</f>
        <v>B. Braun Medical Inc.</v>
      </c>
      <c r="C512" s="5" t="str">
        <f>IFERROR(__xludf.DUMMYFUNCTION("""COMPUTED_VALUE"""),"Dextrose Monohydrate 10%, Injection, 10 g/100 mL (NDC 0264-7520-20)")</f>
        <v>Dextrose Monohydrate 10%, Injection, 10 g/100 mL (NDC 0264-7520-20)</v>
      </c>
      <c r="D512" s="5" t="str">
        <f>IFERROR(__xludf.DUMMYFUNCTION("""COMPUTED_VALUE"""),"Reverified")</f>
        <v>Reverified</v>
      </c>
      <c r="E512" s="13">
        <f>IFERROR(__xludf.DUMMYFUNCTION("""COMPUTED_VALUE"""),46314.0)</f>
        <v>46314</v>
      </c>
      <c r="F512" s="5" t="str">
        <f>IFERROR(__xludf.DUMMYFUNCTION("""COMPUTED_VALUE"""),"Available")</f>
        <v>Available</v>
      </c>
      <c r="G512" s="5"/>
      <c r="H512" s="5"/>
      <c r="I512" s="5"/>
      <c r="J512" s="5" t="str">
        <f>IFERROR(__xludf.DUMMYFUNCTION("""COMPUTED_VALUE"""),"Endocrinology/Metabolism; Gastroenterology; Other; Pediatric")</f>
        <v>Endocrinology/Metabolism; Gastroenterology; Other; Pediatric</v>
      </c>
      <c r="K512" s="5" t="str">
        <f>IFERROR(__xludf.DUMMYFUNCTION("""COMPUTED_VALUE"""),"Current")</f>
        <v>Current</v>
      </c>
      <c r="L512" s="5"/>
      <c r="M512" s="5"/>
      <c r="N512" s="10">
        <f>IFERROR(__xludf.DUMMYFUNCTION("""COMPUTED_VALUE"""),44621.0)</f>
        <v>44621</v>
      </c>
      <c r="O512" s="5">
        <v>2022.0</v>
      </c>
      <c r="P512" s="5" t="str">
        <f>IFERROR(__xludf.DUMMYFUNCTION("""COMPUTED_VALUE"""),"Available")</f>
        <v>Available</v>
      </c>
      <c r="Q512" s="5" t="s">
        <v>135</v>
      </c>
      <c r="R512" s="5" t="s">
        <v>136</v>
      </c>
      <c r="S512" s="11">
        <v>1700.0</v>
      </c>
    </row>
    <row r="513">
      <c r="A513" s="5" t="str">
        <f>IFERROR(__xludf.DUMMYFUNCTION("""COMPUTED_VALUE"""),"Dextrose Monohydrate 10% Injection")</f>
        <v>Dextrose Monohydrate 10% Injection</v>
      </c>
      <c r="B513" s="5" t="str">
        <f>IFERROR(__xludf.DUMMYFUNCTION("""COMPUTED_VALUE"""),"Fresenius Kabi USA, LLC")</f>
        <v>Fresenius Kabi USA, LLC</v>
      </c>
      <c r="C513" s="5" t="str">
        <f>IFERROR(__xludf.DUMMYFUNCTION("""COMPUTED_VALUE"""),"Dextrose 10% In Plastic Container, Injection, 100 mg/1 mL (NDC 63323-824-74)")</f>
        <v>Dextrose 10% In Plastic Container, Injection, 100 mg/1 mL (NDC 63323-824-74)</v>
      </c>
      <c r="D513" s="5" t="str">
        <f>IFERROR(__xludf.DUMMYFUNCTION("""COMPUTED_VALUE"""),"Reverified")</f>
        <v>Reverified</v>
      </c>
      <c r="E513" s="13">
        <f>IFERROR(__xludf.DUMMYFUNCTION("""COMPUTED_VALUE"""),46310.0)</f>
        <v>46310</v>
      </c>
      <c r="F513" s="5" t="str">
        <f>IFERROR(__xludf.DUMMYFUNCTION("""COMPUTED_VALUE"""),"Available")</f>
        <v>Available</v>
      </c>
      <c r="G513" s="5" t="str">
        <f>IFERROR(__xludf.DUMMYFUNCTION("""COMPUTED_VALUE"""),"Check wholesalers for inventory")</f>
        <v>Check wholesalers for inventory</v>
      </c>
      <c r="H513" s="5"/>
      <c r="I513" s="5"/>
      <c r="J513" s="5" t="str">
        <f>IFERROR(__xludf.DUMMYFUNCTION("""COMPUTED_VALUE"""),"Endocrinology/Metabolism; Gastroenterology; Other; Pediatric")</f>
        <v>Endocrinology/Metabolism; Gastroenterology; Other; Pediatric</v>
      </c>
      <c r="K513" s="5" t="str">
        <f>IFERROR(__xludf.DUMMYFUNCTION("""COMPUTED_VALUE"""),"Current")</f>
        <v>Current</v>
      </c>
      <c r="L513" s="5"/>
      <c r="M513" s="5"/>
      <c r="N513" s="10">
        <f>IFERROR(__xludf.DUMMYFUNCTION("""COMPUTED_VALUE"""),44621.0)</f>
        <v>44621</v>
      </c>
      <c r="O513" s="5">
        <v>2022.0</v>
      </c>
      <c r="P513" s="5" t="str">
        <f>IFERROR(__xludf.DUMMYFUNCTION("""COMPUTED_VALUE"""),"Available")</f>
        <v>Available</v>
      </c>
      <c r="Q513" s="5" t="s">
        <v>135</v>
      </c>
      <c r="R513" s="5" t="s">
        <v>136</v>
      </c>
      <c r="S513" s="11">
        <v>1700.0</v>
      </c>
    </row>
    <row r="514">
      <c r="A514" s="5" t="str">
        <f>IFERROR(__xludf.DUMMYFUNCTION("""COMPUTED_VALUE"""),"Dextrose Monohydrate 10% Injection")</f>
        <v>Dextrose Monohydrate 10% Injection</v>
      </c>
      <c r="B514" s="5" t="str">
        <f>IFERROR(__xludf.DUMMYFUNCTION("""COMPUTED_VALUE"""),"Fresenius Kabi USA, LLC")</f>
        <v>Fresenius Kabi USA, LLC</v>
      </c>
      <c r="C514" s="5" t="str">
        <f>IFERROR(__xludf.DUMMYFUNCTION("""COMPUTED_VALUE"""),"Dextrose 10% In Plastic Container, Injection, 100 mg/1 mL (NDC 63323-824-75)")</f>
        <v>Dextrose 10% In Plastic Container, Injection, 100 mg/1 mL (NDC 63323-824-75)</v>
      </c>
      <c r="D514" s="5" t="str">
        <f>IFERROR(__xludf.DUMMYFUNCTION("""COMPUTED_VALUE"""),"Reverified")</f>
        <v>Reverified</v>
      </c>
      <c r="E514" s="13">
        <f>IFERROR(__xludf.DUMMYFUNCTION("""COMPUTED_VALUE"""),46310.0)</f>
        <v>46310</v>
      </c>
      <c r="F514" s="5" t="str">
        <f>IFERROR(__xludf.DUMMYFUNCTION("""COMPUTED_VALUE"""),"Available")</f>
        <v>Available</v>
      </c>
      <c r="G514" s="5" t="str">
        <f>IFERROR(__xludf.DUMMYFUNCTION("""COMPUTED_VALUE"""),"Check wholesalers for inventory")</f>
        <v>Check wholesalers for inventory</v>
      </c>
      <c r="H514" s="5"/>
      <c r="I514" s="5"/>
      <c r="J514" s="5" t="str">
        <f>IFERROR(__xludf.DUMMYFUNCTION("""COMPUTED_VALUE"""),"Endocrinology/Metabolism; Gastroenterology; Other; Pediatric")</f>
        <v>Endocrinology/Metabolism; Gastroenterology; Other; Pediatric</v>
      </c>
      <c r="K514" s="5" t="str">
        <f>IFERROR(__xludf.DUMMYFUNCTION("""COMPUTED_VALUE"""),"Current")</f>
        <v>Current</v>
      </c>
      <c r="L514" s="5"/>
      <c r="M514" s="5"/>
      <c r="N514" s="10">
        <f>IFERROR(__xludf.DUMMYFUNCTION("""COMPUTED_VALUE"""),44621.0)</f>
        <v>44621</v>
      </c>
      <c r="O514" s="5">
        <v>2022.0</v>
      </c>
      <c r="P514" s="5" t="str">
        <f>IFERROR(__xludf.DUMMYFUNCTION("""COMPUTED_VALUE"""),"Available")</f>
        <v>Available</v>
      </c>
      <c r="Q514" s="5" t="s">
        <v>135</v>
      </c>
      <c r="R514" s="5" t="s">
        <v>136</v>
      </c>
      <c r="S514" s="11">
        <v>1700.0</v>
      </c>
    </row>
    <row r="515">
      <c r="A515" s="5" t="str">
        <f>IFERROR(__xludf.DUMMYFUNCTION("""COMPUTED_VALUE"""),"Dextrose Monohydrate 10% Injection")</f>
        <v>Dextrose Monohydrate 10% Injection</v>
      </c>
      <c r="B515" s="5" t="str">
        <f>IFERROR(__xludf.DUMMYFUNCTION("""COMPUTED_VALUE"""),"Fresenius Kabi USA, LLC")</f>
        <v>Fresenius Kabi USA, LLC</v>
      </c>
      <c r="C515" s="5" t="str">
        <f>IFERROR(__xludf.DUMMYFUNCTION("""COMPUTED_VALUE"""),"Dextrose 10% In Plastic Container, Injection, 100 mg/1 mL (NDC 63323-824-76)")</f>
        <v>Dextrose 10% In Plastic Container, Injection, 100 mg/1 mL (NDC 63323-824-76)</v>
      </c>
      <c r="D515" s="5" t="str">
        <f>IFERROR(__xludf.DUMMYFUNCTION("""COMPUTED_VALUE"""),"Reverified")</f>
        <v>Reverified</v>
      </c>
      <c r="E515" s="13">
        <f>IFERROR(__xludf.DUMMYFUNCTION("""COMPUTED_VALUE"""),46310.0)</f>
        <v>46310</v>
      </c>
      <c r="F515" s="5" t="str">
        <f>IFERROR(__xludf.DUMMYFUNCTION("""COMPUTED_VALUE"""),"Available")</f>
        <v>Available</v>
      </c>
      <c r="G515" s="5" t="str">
        <f>IFERROR(__xludf.DUMMYFUNCTION("""COMPUTED_VALUE"""),"Check wholesalers for inventory")</f>
        <v>Check wholesalers for inventory</v>
      </c>
      <c r="H515" s="5"/>
      <c r="I515" s="5"/>
      <c r="J515" s="5" t="str">
        <f>IFERROR(__xludf.DUMMYFUNCTION("""COMPUTED_VALUE"""),"Endocrinology/Metabolism; Gastroenterology; Other; Pediatric")</f>
        <v>Endocrinology/Metabolism; Gastroenterology; Other; Pediatric</v>
      </c>
      <c r="K515" s="5" t="str">
        <f>IFERROR(__xludf.DUMMYFUNCTION("""COMPUTED_VALUE"""),"Current")</f>
        <v>Current</v>
      </c>
      <c r="L515" s="5"/>
      <c r="M515" s="5"/>
      <c r="N515" s="10">
        <f>IFERROR(__xludf.DUMMYFUNCTION("""COMPUTED_VALUE"""),44621.0)</f>
        <v>44621</v>
      </c>
      <c r="O515" s="5">
        <v>2022.0</v>
      </c>
      <c r="P515" s="5" t="str">
        <f>IFERROR(__xludf.DUMMYFUNCTION("""COMPUTED_VALUE"""),"Available")</f>
        <v>Available</v>
      </c>
      <c r="Q515" s="5" t="s">
        <v>135</v>
      </c>
      <c r="R515" s="5" t="s">
        <v>136</v>
      </c>
      <c r="S515" s="11">
        <v>1700.0</v>
      </c>
    </row>
    <row r="516">
      <c r="A516" s="5" t="str">
        <f>IFERROR(__xludf.DUMMYFUNCTION("""COMPUTED_VALUE"""),"Dextrose Monohydrate 10% Injection")</f>
        <v>Dextrose Monohydrate 10% Injection</v>
      </c>
      <c r="B516" s="5" t="str">
        <f>IFERROR(__xludf.DUMMYFUNCTION("""COMPUTED_VALUE"""),"Otsuka ICU Medical LLC")</f>
        <v>Otsuka ICU Medical LLC</v>
      </c>
      <c r="C516" s="5" t="str">
        <f>IFERROR(__xludf.DUMMYFUNCTION("""COMPUTED_VALUE"""),"Dextrose 10% In Plastic Container, Injection, 10 g/100 mL (NDC 0990-7930-02)")</f>
        <v>Dextrose 10% In Plastic Container, Injection, 10 g/100 mL (NDC 0990-7930-02)</v>
      </c>
      <c r="D516" s="5" t="str">
        <f>IFERROR(__xludf.DUMMYFUNCTION("""COMPUTED_VALUE"""),"Reverified")</f>
        <v>Reverified</v>
      </c>
      <c r="E516" s="13">
        <f>IFERROR(__xludf.DUMMYFUNCTION("""COMPUTED_VALUE"""),46311.0)</f>
        <v>46311</v>
      </c>
      <c r="F516" s="5" t="str">
        <f>IFERROR(__xludf.DUMMYFUNCTION("""COMPUTED_VALUE"""),"Available")</f>
        <v>Available</v>
      </c>
      <c r="G516" s="5" t="str">
        <f>IFERROR(__xludf.DUMMYFUNCTION("""COMPUTED_VALUE"""),"This product is distributed by ICU Medical. For questions regarding this product, please contact ICU Medical.")</f>
        <v>This product is distributed by ICU Medical. For questions regarding this product, please contact ICU Medical.</v>
      </c>
      <c r="H516" s="5"/>
      <c r="I516" s="5"/>
      <c r="J516" s="5" t="str">
        <f>IFERROR(__xludf.DUMMYFUNCTION("""COMPUTED_VALUE"""),"Endocrinology/Metabolism; Gastroenterology; Other; Pediatric")</f>
        <v>Endocrinology/Metabolism; Gastroenterology; Other; Pediatric</v>
      </c>
      <c r="K516" s="5" t="str">
        <f>IFERROR(__xludf.DUMMYFUNCTION("""COMPUTED_VALUE"""),"Current")</f>
        <v>Current</v>
      </c>
      <c r="L516" s="5"/>
      <c r="M516" s="5"/>
      <c r="N516" s="10">
        <f>IFERROR(__xludf.DUMMYFUNCTION("""COMPUTED_VALUE"""),44621.0)</f>
        <v>44621</v>
      </c>
      <c r="O516" s="5">
        <v>2022.0</v>
      </c>
      <c r="P516" s="5" t="str">
        <f>IFERROR(__xludf.DUMMYFUNCTION("""COMPUTED_VALUE"""),"Available")</f>
        <v>Available</v>
      </c>
      <c r="Q516" s="5" t="s">
        <v>135</v>
      </c>
      <c r="R516" s="5" t="s">
        <v>136</v>
      </c>
      <c r="S516" s="11">
        <v>1700.0</v>
      </c>
    </row>
    <row r="517">
      <c r="A517" s="5" t="str">
        <f>IFERROR(__xludf.DUMMYFUNCTION("""COMPUTED_VALUE"""),"Dextrose Monohydrate 10% Injection")</f>
        <v>Dextrose Monohydrate 10% Injection</v>
      </c>
      <c r="B517" s="5" t="str">
        <f>IFERROR(__xludf.DUMMYFUNCTION("""COMPUTED_VALUE"""),"Otsuka ICU Medical LLC")</f>
        <v>Otsuka ICU Medical LLC</v>
      </c>
      <c r="C517" s="5" t="str">
        <f>IFERROR(__xludf.DUMMYFUNCTION("""COMPUTED_VALUE"""),"Dextrose 10% In Plastic Container, Injection, 10 g/100 mL (NDC 0990-7930-03)")</f>
        <v>Dextrose 10% In Plastic Container, Injection, 10 g/100 mL (NDC 0990-7930-03)</v>
      </c>
      <c r="D517" s="5" t="str">
        <f>IFERROR(__xludf.DUMMYFUNCTION("""COMPUTED_VALUE"""),"Reverified")</f>
        <v>Reverified</v>
      </c>
      <c r="E517" s="13">
        <f>IFERROR(__xludf.DUMMYFUNCTION("""COMPUTED_VALUE"""),46311.0)</f>
        <v>46311</v>
      </c>
      <c r="F517" s="5" t="str">
        <f>IFERROR(__xludf.DUMMYFUNCTION("""COMPUTED_VALUE"""),"Available")</f>
        <v>Available</v>
      </c>
      <c r="G517" s="5" t="str">
        <f>IFERROR(__xludf.DUMMYFUNCTION("""COMPUTED_VALUE"""),"This product is distributed by ICU Medical. For questions regarding this product, please contact ICU Medical.")</f>
        <v>This product is distributed by ICU Medical. For questions regarding this product, please contact ICU Medical.</v>
      </c>
      <c r="H517" s="5"/>
      <c r="I517" s="5"/>
      <c r="J517" s="5" t="str">
        <f>IFERROR(__xludf.DUMMYFUNCTION("""COMPUTED_VALUE"""),"Endocrinology/Metabolism; Gastroenterology; Other; Pediatric")</f>
        <v>Endocrinology/Metabolism; Gastroenterology; Other; Pediatric</v>
      </c>
      <c r="K517" s="5" t="str">
        <f>IFERROR(__xludf.DUMMYFUNCTION("""COMPUTED_VALUE"""),"Current")</f>
        <v>Current</v>
      </c>
      <c r="L517" s="5"/>
      <c r="M517" s="5"/>
      <c r="N517" s="10">
        <f>IFERROR(__xludf.DUMMYFUNCTION("""COMPUTED_VALUE"""),44621.0)</f>
        <v>44621</v>
      </c>
      <c r="O517" s="5">
        <v>2022.0</v>
      </c>
      <c r="P517" s="5" t="str">
        <f>IFERROR(__xludf.DUMMYFUNCTION("""COMPUTED_VALUE"""),"Available")</f>
        <v>Available</v>
      </c>
      <c r="Q517" s="5" t="s">
        <v>135</v>
      </c>
      <c r="R517" s="5" t="s">
        <v>136</v>
      </c>
      <c r="S517" s="11">
        <v>1700.0</v>
      </c>
    </row>
    <row r="518">
      <c r="A518" s="5" t="str">
        <f>IFERROR(__xludf.DUMMYFUNCTION("""COMPUTED_VALUE"""),"Dextrose Monohydrate 10% Injection")</f>
        <v>Dextrose Monohydrate 10% Injection</v>
      </c>
      <c r="B518" s="5" t="str">
        <f>IFERROR(__xludf.DUMMYFUNCTION("""COMPUTED_VALUE"""),"Otsuka ICU Medical LLC")</f>
        <v>Otsuka ICU Medical LLC</v>
      </c>
      <c r="C518" s="5" t="str">
        <f>IFERROR(__xludf.DUMMYFUNCTION("""COMPUTED_VALUE"""),"Dextrose 10% In Plastic Container, Injection, 10 g/100 mL (NDC 0990-7930-09)")</f>
        <v>Dextrose 10% In Plastic Container, Injection, 10 g/100 mL (NDC 0990-7930-09)</v>
      </c>
      <c r="D518" s="5" t="str">
        <f>IFERROR(__xludf.DUMMYFUNCTION("""COMPUTED_VALUE"""),"Reverified")</f>
        <v>Reverified</v>
      </c>
      <c r="E518" s="13">
        <f>IFERROR(__xludf.DUMMYFUNCTION("""COMPUTED_VALUE"""),46311.0)</f>
        <v>46311</v>
      </c>
      <c r="F518" s="5" t="str">
        <f>IFERROR(__xludf.DUMMYFUNCTION("""COMPUTED_VALUE"""),"Available")</f>
        <v>Available</v>
      </c>
      <c r="G518" s="5" t="str">
        <f>IFERROR(__xludf.DUMMYFUNCTION("""COMPUTED_VALUE"""),"This product is distributed by ICU Medical. For questions regarding this product, please contact ICU Medical.")</f>
        <v>This product is distributed by ICU Medical. For questions regarding this product, please contact ICU Medical.</v>
      </c>
      <c r="H518" s="5"/>
      <c r="I518" s="5"/>
      <c r="J518" s="5" t="str">
        <f>IFERROR(__xludf.DUMMYFUNCTION("""COMPUTED_VALUE"""),"Endocrinology/Metabolism; Gastroenterology; Other; Pediatric")</f>
        <v>Endocrinology/Metabolism; Gastroenterology; Other; Pediatric</v>
      </c>
      <c r="K518" s="5" t="str">
        <f>IFERROR(__xludf.DUMMYFUNCTION("""COMPUTED_VALUE"""),"Current")</f>
        <v>Current</v>
      </c>
      <c r="L518" s="5"/>
      <c r="M518" s="5"/>
      <c r="N518" s="10">
        <f>IFERROR(__xludf.DUMMYFUNCTION("""COMPUTED_VALUE"""),44621.0)</f>
        <v>44621</v>
      </c>
      <c r="O518" s="5">
        <v>2022.0</v>
      </c>
      <c r="P518" s="5" t="str">
        <f>IFERROR(__xludf.DUMMYFUNCTION("""COMPUTED_VALUE"""),"Available")</f>
        <v>Available</v>
      </c>
      <c r="Q518" s="5" t="s">
        <v>135</v>
      </c>
      <c r="R518" s="5" t="s">
        <v>136</v>
      </c>
      <c r="S518" s="11">
        <v>1700.0</v>
      </c>
    </row>
    <row r="519">
      <c r="A519" s="5" t="str">
        <f>IFERROR(__xludf.DUMMYFUNCTION("""COMPUTED_VALUE"""),"Dextrose Monohydrate 10% Injection")</f>
        <v>Dextrose Monohydrate 10% Injection</v>
      </c>
      <c r="B519" s="5" t="str">
        <f>IFERROR(__xludf.DUMMYFUNCTION("""COMPUTED_VALUE"""),"Otsuka ICU Medical LLC")</f>
        <v>Otsuka ICU Medical LLC</v>
      </c>
      <c r="C519" s="5" t="str">
        <f>IFERROR(__xludf.DUMMYFUNCTION("""COMPUTED_VALUE"""),"Dextrose 10% In Plastic Container, Injection, 10 g/100 mL (NDC 0990-7938-19)")</f>
        <v>Dextrose 10% In Plastic Container, Injection, 10 g/100 mL (NDC 0990-7938-19)</v>
      </c>
      <c r="D519" s="5" t="str">
        <f>IFERROR(__xludf.DUMMYFUNCTION("""COMPUTED_VALUE"""),"Reverified")</f>
        <v>Reverified</v>
      </c>
      <c r="E519" s="13">
        <f>IFERROR(__xludf.DUMMYFUNCTION("""COMPUTED_VALUE"""),46311.0)</f>
        <v>46311</v>
      </c>
      <c r="F519" s="5" t="str">
        <f>IFERROR(__xludf.DUMMYFUNCTION("""COMPUTED_VALUE"""),"Unavailable")</f>
        <v>Unavailable</v>
      </c>
      <c r="G519" s="5" t="str">
        <f>IFERROR(__xludf.DUMMYFUNCTION("""COMPUTED_VALUE"""),"Product discontinued. This product is distributed by ICU Medical. For questions regarding this product, please contact ICU Medical.")</f>
        <v>Product discontinued. This product is distributed by ICU Medical. For questions regarding this product, please contact ICU Medical.</v>
      </c>
      <c r="H519" s="5"/>
      <c r="I519" s="5" t="str">
        <f>IFERROR(__xludf.DUMMYFUNCTION("""COMPUTED_VALUE"""),"Discontinuation of the manufacture of the drug")</f>
        <v>Discontinuation of the manufacture of the drug</v>
      </c>
      <c r="J519" s="5" t="str">
        <f>IFERROR(__xludf.DUMMYFUNCTION("""COMPUTED_VALUE"""),"Endocrinology/Metabolism; Gastroenterology; Other; Pediatric")</f>
        <v>Endocrinology/Metabolism; Gastroenterology; Other; Pediatric</v>
      </c>
      <c r="K519" s="5" t="str">
        <f>IFERROR(__xludf.DUMMYFUNCTION("""COMPUTED_VALUE"""),"Current")</f>
        <v>Current</v>
      </c>
      <c r="L519" s="5"/>
      <c r="M519" s="5"/>
      <c r="N519" s="10">
        <f>IFERROR(__xludf.DUMMYFUNCTION("""COMPUTED_VALUE"""),44621.0)</f>
        <v>44621</v>
      </c>
      <c r="O519" s="5">
        <v>2022.0</v>
      </c>
      <c r="P519" s="5" t="str">
        <f>IFERROR(__xludf.DUMMYFUNCTION("""COMPUTED_VALUE"""),"Unavailable")</f>
        <v>Unavailable</v>
      </c>
      <c r="Q519" s="5" t="s">
        <v>33</v>
      </c>
      <c r="R519" s="5" t="s">
        <v>136</v>
      </c>
      <c r="S519" s="11">
        <v>1700.0</v>
      </c>
    </row>
    <row r="520">
      <c r="A520" s="5" t="str">
        <f>IFERROR(__xludf.DUMMYFUNCTION("""COMPUTED_VALUE"""),"Dextrose Monohydrate 5% Injection")</f>
        <v>Dextrose Monohydrate 5% Injection</v>
      </c>
      <c r="B520" s="5" t="str">
        <f>IFERROR(__xludf.DUMMYFUNCTION("""COMPUTED_VALUE"""),"Fresenius Kabi USA, LLC")</f>
        <v>Fresenius Kabi USA, LLC</v>
      </c>
      <c r="C520" s="5" t="str">
        <f>IFERROR(__xludf.DUMMYFUNCTION("""COMPUTED_VALUE"""),"Dextrose 5% In Plastic Container, Injection, 50 mg/1 mL (NDC 65219-464-50)")</f>
        <v>Dextrose 5% In Plastic Container, Injection, 50 mg/1 mL (NDC 65219-464-50)</v>
      </c>
      <c r="D520" s="5" t="str">
        <f>IFERROR(__xludf.DUMMYFUNCTION("""COMPUTED_VALUE"""),"Reverified")</f>
        <v>Reverified</v>
      </c>
      <c r="E520" s="13">
        <f>IFERROR(__xludf.DUMMYFUNCTION("""COMPUTED_VALUE"""),46310.0)</f>
        <v>46310</v>
      </c>
      <c r="F520" s="5" t="str">
        <f>IFERROR(__xludf.DUMMYFUNCTION("""COMPUTED_VALUE"""),"Available")</f>
        <v>Available</v>
      </c>
      <c r="G520" s="5" t="str">
        <f>IFERROR(__xludf.DUMMYFUNCTION("""COMPUTED_VALUE"""),"Check wholesalers for inventory")</f>
        <v>Check wholesalers for inventory</v>
      </c>
      <c r="H520" s="5"/>
      <c r="I520" s="5"/>
      <c r="J520" s="5" t="str">
        <f>IFERROR(__xludf.DUMMYFUNCTION("""COMPUTED_VALUE"""),"Endocrinology/Metabolism; Gastroenterology; Other; Pediatric")</f>
        <v>Endocrinology/Metabolism; Gastroenterology; Other; Pediatric</v>
      </c>
      <c r="K520" s="5" t="str">
        <f>IFERROR(__xludf.DUMMYFUNCTION("""COMPUTED_VALUE"""),"Current")</f>
        <v>Current</v>
      </c>
      <c r="L520" s="5"/>
      <c r="M520" s="5"/>
      <c r="N520" s="10">
        <f>IFERROR(__xludf.DUMMYFUNCTION("""COMPUTED_VALUE"""),44606.0)</f>
        <v>44606</v>
      </c>
      <c r="O520" s="5">
        <v>2022.0</v>
      </c>
      <c r="P520" s="5" t="str">
        <f>IFERROR(__xludf.DUMMYFUNCTION("""COMPUTED_VALUE"""),"Available")</f>
        <v>Available</v>
      </c>
      <c r="Q520" s="5" t="s">
        <v>135</v>
      </c>
      <c r="R520" s="5" t="s">
        <v>136</v>
      </c>
      <c r="S520" s="11">
        <v>1715.0</v>
      </c>
    </row>
    <row r="521">
      <c r="A521" s="5" t="str">
        <f>IFERROR(__xludf.DUMMYFUNCTION("""COMPUTED_VALUE"""),"Dextrose Monohydrate 5% Injection")</f>
        <v>Dextrose Monohydrate 5% Injection</v>
      </c>
      <c r="B521" s="5" t="str">
        <f>IFERROR(__xludf.DUMMYFUNCTION("""COMPUTED_VALUE"""),"Fresenius Kabi USA, LLC")</f>
        <v>Fresenius Kabi USA, LLC</v>
      </c>
      <c r="C521" s="5" t="str">
        <f>IFERROR(__xludf.DUMMYFUNCTION("""COMPUTED_VALUE"""),"Dextrose 5% In Plastic Container, Injection, 50 mg/1 mL (NDC 65219-458-30)")</f>
        <v>Dextrose 5% In Plastic Container, Injection, 50 mg/1 mL (NDC 65219-458-30)</v>
      </c>
      <c r="D521" s="5" t="str">
        <f>IFERROR(__xludf.DUMMYFUNCTION("""COMPUTED_VALUE"""),"Reverified")</f>
        <v>Reverified</v>
      </c>
      <c r="E521" s="13">
        <f>IFERROR(__xludf.DUMMYFUNCTION("""COMPUTED_VALUE"""),46310.0)</f>
        <v>46310</v>
      </c>
      <c r="F521" s="5" t="str">
        <f>IFERROR(__xludf.DUMMYFUNCTION("""COMPUTED_VALUE"""),"Available")</f>
        <v>Available</v>
      </c>
      <c r="G521" s="5" t="str">
        <f>IFERROR(__xludf.DUMMYFUNCTION("""COMPUTED_VALUE"""),"Check wholesalers for inventory")</f>
        <v>Check wholesalers for inventory</v>
      </c>
      <c r="H521" s="5"/>
      <c r="I521" s="5"/>
      <c r="J521" s="5" t="str">
        <f>IFERROR(__xludf.DUMMYFUNCTION("""COMPUTED_VALUE"""),"Endocrinology/Metabolism; Gastroenterology; Other; Pediatric")</f>
        <v>Endocrinology/Metabolism; Gastroenterology; Other; Pediatric</v>
      </c>
      <c r="K521" s="5" t="str">
        <f>IFERROR(__xludf.DUMMYFUNCTION("""COMPUTED_VALUE"""),"Current")</f>
        <v>Current</v>
      </c>
      <c r="L521" s="5"/>
      <c r="M521" s="5"/>
      <c r="N521" s="10">
        <f>IFERROR(__xludf.DUMMYFUNCTION("""COMPUTED_VALUE"""),44606.0)</f>
        <v>44606</v>
      </c>
      <c r="O521" s="5">
        <v>2022.0</v>
      </c>
      <c r="P521" s="5" t="str">
        <f>IFERROR(__xludf.DUMMYFUNCTION("""COMPUTED_VALUE"""),"Available")</f>
        <v>Available</v>
      </c>
      <c r="Q521" s="5" t="s">
        <v>135</v>
      </c>
      <c r="R521" s="5" t="s">
        <v>136</v>
      </c>
      <c r="S521" s="11">
        <v>1715.0</v>
      </c>
    </row>
    <row r="522">
      <c r="A522" s="5" t="str">
        <f>IFERROR(__xludf.DUMMYFUNCTION("""COMPUTED_VALUE"""),"Dextrose Monohydrate 5% Injection")</f>
        <v>Dextrose Monohydrate 5% Injection</v>
      </c>
      <c r="B522" s="5" t="str">
        <f>IFERROR(__xludf.DUMMYFUNCTION("""COMPUTED_VALUE"""),"Fresenius Kabi USA, LLC")</f>
        <v>Fresenius Kabi USA, LLC</v>
      </c>
      <c r="C522" s="5" t="str">
        <f>IFERROR(__xludf.DUMMYFUNCTION("""COMPUTED_VALUE"""),"Dextrose 5% In Plastic Container, Injection, 50 mg/1 mL (NDC 65219-460-20)")</f>
        <v>Dextrose 5% In Plastic Container, Injection, 50 mg/1 mL (NDC 65219-460-20)</v>
      </c>
      <c r="D522" s="5" t="str">
        <f>IFERROR(__xludf.DUMMYFUNCTION("""COMPUTED_VALUE"""),"Reverified")</f>
        <v>Reverified</v>
      </c>
      <c r="E522" s="13">
        <f>IFERROR(__xludf.DUMMYFUNCTION("""COMPUTED_VALUE"""),46310.0)</f>
        <v>46310</v>
      </c>
      <c r="F522" s="5" t="str">
        <f>IFERROR(__xludf.DUMMYFUNCTION("""COMPUTED_VALUE"""),"Available")</f>
        <v>Available</v>
      </c>
      <c r="G522" s="5" t="str">
        <f>IFERROR(__xludf.DUMMYFUNCTION("""COMPUTED_VALUE"""),"Check wholesalers for inventory")</f>
        <v>Check wholesalers for inventory</v>
      </c>
      <c r="H522" s="5"/>
      <c r="I522" s="5"/>
      <c r="J522" s="5" t="str">
        <f>IFERROR(__xludf.DUMMYFUNCTION("""COMPUTED_VALUE"""),"Endocrinology/Metabolism; Gastroenterology; Other; Pediatric")</f>
        <v>Endocrinology/Metabolism; Gastroenterology; Other; Pediatric</v>
      </c>
      <c r="K522" s="5" t="str">
        <f>IFERROR(__xludf.DUMMYFUNCTION("""COMPUTED_VALUE"""),"Current")</f>
        <v>Current</v>
      </c>
      <c r="L522" s="5"/>
      <c r="M522" s="5"/>
      <c r="N522" s="10">
        <f>IFERROR(__xludf.DUMMYFUNCTION("""COMPUTED_VALUE"""),44606.0)</f>
        <v>44606</v>
      </c>
      <c r="O522" s="5">
        <v>2022.0</v>
      </c>
      <c r="P522" s="5" t="str">
        <f>IFERROR(__xludf.DUMMYFUNCTION("""COMPUTED_VALUE"""),"Available")</f>
        <v>Available</v>
      </c>
      <c r="Q522" s="5" t="s">
        <v>135</v>
      </c>
      <c r="R522" s="5" t="s">
        <v>136</v>
      </c>
      <c r="S522" s="11">
        <v>1715.0</v>
      </c>
    </row>
    <row r="523">
      <c r="A523" s="5" t="str">
        <f>IFERROR(__xludf.DUMMYFUNCTION("""COMPUTED_VALUE"""),"Dextrose Monohydrate 5% Injection")</f>
        <v>Dextrose Monohydrate 5% Injection</v>
      </c>
      <c r="B523" s="5" t="str">
        <f>IFERROR(__xludf.DUMMYFUNCTION("""COMPUTED_VALUE"""),"Fresenius Kabi USA, LLC")</f>
        <v>Fresenius Kabi USA, LLC</v>
      </c>
      <c r="C523" s="5" t="str">
        <f>IFERROR(__xludf.DUMMYFUNCTION("""COMPUTED_VALUE"""),"Dextrose 5% In Plastic Container, Injection, 50 mg/1 mL (NDC 65219-462-10)")</f>
        <v>Dextrose 5% In Plastic Container, Injection, 50 mg/1 mL (NDC 65219-462-10)</v>
      </c>
      <c r="D523" s="5" t="str">
        <f>IFERROR(__xludf.DUMMYFUNCTION("""COMPUTED_VALUE"""),"Reverified")</f>
        <v>Reverified</v>
      </c>
      <c r="E523" s="13">
        <f>IFERROR(__xludf.DUMMYFUNCTION("""COMPUTED_VALUE"""),46310.0)</f>
        <v>46310</v>
      </c>
      <c r="F523" s="5" t="str">
        <f>IFERROR(__xludf.DUMMYFUNCTION("""COMPUTED_VALUE"""),"Available")</f>
        <v>Available</v>
      </c>
      <c r="G523" s="5" t="str">
        <f>IFERROR(__xludf.DUMMYFUNCTION("""COMPUTED_VALUE"""),"Check wholesalers for inventory")</f>
        <v>Check wholesalers for inventory</v>
      </c>
      <c r="H523" s="5"/>
      <c r="I523" s="5"/>
      <c r="J523" s="5" t="str">
        <f>IFERROR(__xludf.DUMMYFUNCTION("""COMPUTED_VALUE"""),"Endocrinology/Metabolism; Gastroenterology; Other; Pediatric")</f>
        <v>Endocrinology/Metabolism; Gastroenterology; Other; Pediatric</v>
      </c>
      <c r="K523" s="5" t="str">
        <f>IFERROR(__xludf.DUMMYFUNCTION("""COMPUTED_VALUE"""),"Current")</f>
        <v>Current</v>
      </c>
      <c r="L523" s="5"/>
      <c r="M523" s="5"/>
      <c r="N523" s="10">
        <f>IFERROR(__xludf.DUMMYFUNCTION("""COMPUTED_VALUE"""),44606.0)</f>
        <v>44606</v>
      </c>
      <c r="O523" s="5">
        <v>2022.0</v>
      </c>
      <c r="P523" s="5" t="str">
        <f>IFERROR(__xludf.DUMMYFUNCTION("""COMPUTED_VALUE"""),"Available")</f>
        <v>Available</v>
      </c>
      <c r="Q523" s="5" t="s">
        <v>135</v>
      </c>
      <c r="R523" s="5" t="s">
        <v>136</v>
      </c>
      <c r="S523" s="11">
        <v>1715.0</v>
      </c>
    </row>
    <row r="524">
      <c r="A524" s="5" t="str">
        <f>IFERROR(__xludf.DUMMYFUNCTION("""COMPUTED_VALUE"""),"Dextrose Monohydrate 5% Injection")</f>
        <v>Dextrose Monohydrate 5% Injection</v>
      </c>
      <c r="B524" s="5" t="str">
        <f>IFERROR(__xludf.DUMMYFUNCTION("""COMPUTED_VALUE"""),"Fresenius Kabi USA, LLC")</f>
        <v>Fresenius Kabi USA, LLC</v>
      </c>
      <c r="C524" s="5" t="str">
        <f>IFERROR(__xludf.DUMMYFUNCTION("""COMPUTED_VALUE"""),"Dextrose 5% In Plastic Container, Injection, 50 mg/1 mL (NDC 65219-456-60)")</f>
        <v>Dextrose 5% In Plastic Container, Injection, 50 mg/1 mL (NDC 65219-456-60)</v>
      </c>
      <c r="D524" s="5" t="str">
        <f>IFERROR(__xludf.DUMMYFUNCTION("""COMPUTED_VALUE"""),"Reverified")</f>
        <v>Reverified</v>
      </c>
      <c r="E524" s="13">
        <f>IFERROR(__xludf.DUMMYFUNCTION("""COMPUTED_VALUE"""),46310.0)</f>
        <v>46310</v>
      </c>
      <c r="F524" s="5" t="str">
        <f>IFERROR(__xludf.DUMMYFUNCTION("""COMPUTED_VALUE"""),"Available")</f>
        <v>Available</v>
      </c>
      <c r="G524" s="5" t="str">
        <f>IFERROR(__xludf.DUMMYFUNCTION("""COMPUTED_VALUE"""),"Check wholealers for inventory")</f>
        <v>Check wholealers for inventory</v>
      </c>
      <c r="H524" s="5"/>
      <c r="I524" s="5"/>
      <c r="J524" s="5" t="str">
        <f>IFERROR(__xludf.DUMMYFUNCTION("""COMPUTED_VALUE"""),"Endocrinology/Metabolism; Gastroenterology; Other; Pediatric")</f>
        <v>Endocrinology/Metabolism; Gastroenterology; Other; Pediatric</v>
      </c>
      <c r="K524" s="5" t="str">
        <f>IFERROR(__xludf.DUMMYFUNCTION("""COMPUTED_VALUE"""),"Current")</f>
        <v>Current</v>
      </c>
      <c r="L524" s="5"/>
      <c r="M524" s="5"/>
      <c r="N524" s="10">
        <f>IFERROR(__xludf.DUMMYFUNCTION("""COMPUTED_VALUE"""),44606.0)</f>
        <v>44606</v>
      </c>
      <c r="O524" s="5">
        <v>2022.0</v>
      </c>
      <c r="P524" s="5" t="str">
        <f>IFERROR(__xludf.DUMMYFUNCTION("""COMPUTED_VALUE"""),"Available")</f>
        <v>Available</v>
      </c>
      <c r="Q524" s="5" t="s">
        <v>135</v>
      </c>
      <c r="R524" s="5" t="s">
        <v>136</v>
      </c>
      <c r="S524" s="11">
        <v>1715.0</v>
      </c>
    </row>
    <row r="525">
      <c r="A525" s="5" t="str">
        <f>IFERROR(__xludf.DUMMYFUNCTION("""COMPUTED_VALUE"""),"Dextrose Monohydrate 5% Injection")</f>
        <v>Dextrose Monohydrate 5% Injection</v>
      </c>
      <c r="B525" s="5" t="str">
        <f>IFERROR(__xludf.DUMMYFUNCTION("""COMPUTED_VALUE"""),"Otsuka ICU Medical LLC")</f>
        <v>Otsuka ICU Medical LLC</v>
      </c>
      <c r="C525" s="5" t="str">
        <f>IFERROR(__xludf.DUMMYFUNCTION("""COMPUTED_VALUE"""),"Dextrose 5% In Plastic Container, Injection, 5 g/100 mL (NDC 0990-7922-02)")</f>
        <v>Dextrose 5% In Plastic Container, Injection, 5 g/100 mL (NDC 0990-7922-02)</v>
      </c>
      <c r="D525" s="5" t="str">
        <f>IFERROR(__xludf.DUMMYFUNCTION("""COMPUTED_VALUE"""),"Reverified")</f>
        <v>Reverified</v>
      </c>
      <c r="E525" s="13">
        <f>IFERROR(__xludf.DUMMYFUNCTION("""COMPUTED_VALUE"""),46311.0)</f>
        <v>46311</v>
      </c>
      <c r="F525" s="5" t="str">
        <f>IFERROR(__xludf.DUMMYFUNCTION("""COMPUTED_VALUE"""),"Available")</f>
        <v>Available</v>
      </c>
      <c r="G525" s="5" t="str">
        <f>IFERROR(__xludf.DUMMYFUNCTION("""COMPUTED_VALUE"""),"This product is distributed by ICU Medical. For questions regarding this product, please contact ICU Medical.")</f>
        <v>This product is distributed by ICU Medical. For questions regarding this product, please contact ICU Medical.</v>
      </c>
      <c r="H525" s="5"/>
      <c r="I525" s="5"/>
      <c r="J525" s="5" t="str">
        <f>IFERROR(__xludf.DUMMYFUNCTION("""COMPUTED_VALUE"""),"Endocrinology/Metabolism; Gastroenterology; Other; Pediatric")</f>
        <v>Endocrinology/Metabolism; Gastroenterology; Other; Pediatric</v>
      </c>
      <c r="K525" s="5" t="str">
        <f>IFERROR(__xludf.DUMMYFUNCTION("""COMPUTED_VALUE"""),"Current")</f>
        <v>Current</v>
      </c>
      <c r="L525" s="5"/>
      <c r="M525" s="5"/>
      <c r="N525" s="10">
        <f>IFERROR(__xludf.DUMMYFUNCTION("""COMPUTED_VALUE"""),44606.0)</f>
        <v>44606</v>
      </c>
      <c r="O525" s="5">
        <v>2022.0</v>
      </c>
      <c r="P525" s="5" t="str">
        <f>IFERROR(__xludf.DUMMYFUNCTION("""COMPUTED_VALUE"""),"Available")</f>
        <v>Available</v>
      </c>
      <c r="Q525" s="5" t="s">
        <v>135</v>
      </c>
      <c r="R525" s="5" t="s">
        <v>136</v>
      </c>
      <c r="S525" s="11">
        <v>1715.0</v>
      </c>
    </row>
    <row r="526">
      <c r="A526" s="5" t="str">
        <f>IFERROR(__xludf.DUMMYFUNCTION("""COMPUTED_VALUE"""),"Dextrose Monohydrate 5% Injection")</f>
        <v>Dextrose Monohydrate 5% Injection</v>
      </c>
      <c r="B526" s="5" t="str">
        <f>IFERROR(__xludf.DUMMYFUNCTION("""COMPUTED_VALUE"""),"Otsuka ICU Medical LLC")</f>
        <v>Otsuka ICU Medical LLC</v>
      </c>
      <c r="C526" s="5" t="str">
        <f>IFERROR(__xludf.DUMMYFUNCTION("""COMPUTED_VALUE"""),"Dextrose 5% In Plastic Container, Injection, 5 g/100 mL (NDC 0990-7922-61)")</f>
        <v>Dextrose 5% In Plastic Container, Injection, 5 g/100 mL (NDC 0990-7922-61)</v>
      </c>
      <c r="D526" s="5" t="str">
        <f>IFERROR(__xludf.DUMMYFUNCTION("""COMPUTED_VALUE"""),"Reverified")</f>
        <v>Reverified</v>
      </c>
      <c r="E526" s="13">
        <f>IFERROR(__xludf.DUMMYFUNCTION("""COMPUTED_VALUE"""),46311.0)</f>
        <v>46311</v>
      </c>
      <c r="F526" s="5" t="str">
        <f>IFERROR(__xludf.DUMMYFUNCTION("""COMPUTED_VALUE"""),"Available")</f>
        <v>Available</v>
      </c>
      <c r="G526" s="5" t="str">
        <f>IFERROR(__xludf.DUMMYFUNCTION("""COMPUTED_VALUE"""),"This product is distributed by ICU Medical. For questions regarding this product, please contact ICU Medical.")</f>
        <v>This product is distributed by ICU Medical. For questions regarding this product, please contact ICU Medical.</v>
      </c>
      <c r="H526" s="5"/>
      <c r="I526" s="5"/>
      <c r="J526" s="5" t="str">
        <f>IFERROR(__xludf.DUMMYFUNCTION("""COMPUTED_VALUE"""),"Endocrinology/Metabolism; Gastroenterology; Other; Pediatric")</f>
        <v>Endocrinology/Metabolism; Gastroenterology; Other; Pediatric</v>
      </c>
      <c r="K526" s="5" t="str">
        <f>IFERROR(__xludf.DUMMYFUNCTION("""COMPUTED_VALUE"""),"Current")</f>
        <v>Current</v>
      </c>
      <c r="L526" s="5"/>
      <c r="M526" s="5"/>
      <c r="N526" s="10">
        <f>IFERROR(__xludf.DUMMYFUNCTION("""COMPUTED_VALUE"""),44606.0)</f>
        <v>44606</v>
      </c>
      <c r="O526" s="5">
        <v>2022.0</v>
      </c>
      <c r="P526" s="5" t="str">
        <f>IFERROR(__xludf.DUMMYFUNCTION("""COMPUTED_VALUE"""),"Available")</f>
        <v>Available</v>
      </c>
      <c r="Q526" s="5" t="s">
        <v>135</v>
      </c>
      <c r="R526" s="5" t="s">
        <v>136</v>
      </c>
      <c r="S526" s="11">
        <v>1715.0</v>
      </c>
    </row>
    <row r="527">
      <c r="A527" s="5" t="str">
        <f>IFERROR(__xludf.DUMMYFUNCTION("""COMPUTED_VALUE"""),"Dextrose Monohydrate 5% Injection")</f>
        <v>Dextrose Monohydrate 5% Injection</v>
      </c>
      <c r="B527" s="5" t="str">
        <f>IFERROR(__xludf.DUMMYFUNCTION("""COMPUTED_VALUE"""),"Otsuka ICU Medical LLC")</f>
        <v>Otsuka ICU Medical LLC</v>
      </c>
      <c r="C527" s="5" t="str">
        <f>IFERROR(__xludf.DUMMYFUNCTION("""COMPUTED_VALUE"""),"Dextrose 5% In Plastic Container, Injection, 5 g/100 mL (NDC 0990-7923-13)")</f>
        <v>Dextrose 5% In Plastic Container, Injection, 5 g/100 mL (NDC 0990-7923-13)</v>
      </c>
      <c r="D527" s="5" t="str">
        <f>IFERROR(__xludf.DUMMYFUNCTION("""COMPUTED_VALUE"""),"Reverified")</f>
        <v>Reverified</v>
      </c>
      <c r="E527" s="13">
        <f>IFERROR(__xludf.DUMMYFUNCTION("""COMPUTED_VALUE"""),46311.0)</f>
        <v>46311</v>
      </c>
      <c r="F527" s="5" t="str">
        <f>IFERROR(__xludf.DUMMYFUNCTION("""COMPUTED_VALUE"""),"Available")</f>
        <v>Available</v>
      </c>
      <c r="G527" s="5" t="str">
        <f>IFERROR(__xludf.DUMMYFUNCTION("""COMPUTED_VALUE"""),"This product is distributed by ICU Medical. For questions regarding this product, please contact ICU Medical.")</f>
        <v>This product is distributed by ICU Medical. For questions regarding this product, please contact ICU Medical.</v>
      </c>
      <c r="H527" s="5"/>
      <c r="I527" s="5"/>
      <c r="J527" s="5" t="str">
        <f>IFERROR(__xludf.DUMMYFUNCTION("""COMPUTED_VALUE"""),"Endocrinology/Metabolism; Gastroenterology; Other; Pediatric")</f>
        <v>Endocrinology/Metabolism; Gastroenterology; Other; Pediatric</v>
      </c>
      <c r="K527" s="5" t="str">
        <f>IFERROR(__xludf.DUMMYFUNCTION("""COMPUTED_VALUE"""),"Current")</f>
        <v>Current</v>
      </c>
      <c r="L527" s="5"/>
      <c r="M527" s="5"/>
      <c r="N527" s="10">
        <f>IFERROR(__xludf.DUMMYFUNCTION("""COMPUTED_VALUE"""),44606.0)</f>
        <v>44606</v>
      </c>
      <c r="O527" s="5">
        <v>2022.0</v>
      </c>
      <c r="P527" s="5" t="str">
        <f>IFERROR(__xludf.DUMMYFUNCTION("""COMPUTED_VALUE"""),"Available")</f>
        <v>Available</v>
      </c>
      <c r="Q527" s="5" t="s">
        <v>135</v>
      </c>
      <c r="R527" s="5" t="s">
        <v>136</v>
      </c>
      <c r="S527" s="11">
        <v>1715.0</v>
      </c>
    </row>
    <row r="528">
      <c r="A528" s="5" t="str">
        <f>IFERROR(__xludf.DUMMYFUNCTION("""COMPUTED_VALUE"""),"Dextrose Monohydrate 5% Injection")</f>
        <v>Dextrose Monohydrate 5% Injection</v>
      </c>
      <c r="B528" s="5" t="str">
        <f>IFERROR(__xludf.DUMMYFUNCTION("""COMPUTED_VALUE"""),"Otsuka ICU Medical LLC")</f>
        <v>Otsuka ICU Medical LLC</v>
      </c>
      <c r="C528" s="5" t="str">
        <f>IFERROR(__xludf.DUMMYFUNCTION("""COMPUTED_VALUE"""),"Dextrose 5% In Plastic Container, Injection, 5 g/100 mL (NDC 0990-7923-20)")</f>
        <v>Dextrose 5% In Plastic Container, Injection, 5 g/100 mL (NDC 0990-7923-20)</v>
      </c>
      <c r="D528" s="5" t="str">
        <f>IFERROR(__xludf.DUMMYFUNCTION("""COMPUTED_VALUE"""),"Reverified")</f>
        <v>Reverified</v>
      </c>
      <c r="E528" s="13">
        <f>IFERROR(__xludf.DUMMYFUNCTION("""COMPUTED_VALUE"""),46311.0)</f>
        <v>46311</v>
      </c>
      <c r="F528" s="5" t="str">
        <f>IFERROR(__xludf.DUMMYFUNCTION("""COMPUTED_VALUE"""),"Available")</f>
        <v>Available</v>
      </c>
      <c r="G528" s="5" t="str">
        <f>IFERROR(__xludf.DUMMYFUNCTION("""COMPUTED_VALUE"""),"This product is distributed by ICU Medical. For questions regarding this product, please contact ICU Medical.")</f>
        <v>This product is distributed by ICU Medical. For questions regarding this product, please contact ICU Medical.</v>
      </c>
      <c r="H528" s="5"/>
      <c r="I528" s="5"/>
      <c r="J528" s="5" t="str">
        <f>IFERROR(__xludf.DUMMYFUNCTION("""COMPUTED_VALUE"""),"Endocrinology/Metabolism; Gastroenterology; Other; Pediatric")</f>
        <v>Endocrinology/Metabolism; Gastroenterology; Other; Pediatric</v>
      </c>
      <c r="K528" s="5" t="str">
        <f>IFERROR(__xludf.DUMMYFUNCTION("""COMPUTED_VALUE"""),"Current")</f>
        <v>Current</v>
      </c>
      <c r="L528" s="5"/>
      <c r="M528" s="5"/>
      <c r="N528" s="10">
        <f>IFERROR(__xludf.DUMMYFUNCTION("""COMPUTED_VALUE"""),44606.0)</f>
        <v>44606</v>
      </c>
      <c r="O528" s="5">
        <v>2022.0</v>
      </c>
      <c r="P528" s="5" t="str">
        <f>IFERROR(__xludf.DUMMYFUNCTION("""COMPUTED_VALUE"""),"Available")</f>
        <v>Available</v>
      </c>
      <c r="Q528" s="5" t="s">
        <v>135</v>
      </c>
      <c r="R528" s="5" t="s">
        <v>136</v>
      </c>
      <c r="S528" s="11">
        <v>1715.0</v>
      </c>
    </row>
    <row r="529">
      <c r="A529" s="5" t="str">
        <f>IFERROR(__xludf.DUMMYFUNCTION("""COMPUTED_VALUE"""),"Dextrose Monohydrate 5% Injection")</f>
        <v>Dextrose Monohydrate 5% Injection</v>
      </c>
      <c r="B529" s="5" t="str">
        <f>IFERROR(__xludf.DUMMYFUNCTION("""COMPUTED_VALUE"""),"Otsuka ICU Medical LLC")</f>
        <v>Otsuka ICU Medical LLC</v>
      </c>
      <c r="C529" s="5" t="str">
        <f>IFERROR(__xludf.DUMMYFUNCTION("""COMPUTED_VALUE"""),"Dextrose 5% In Plastic Container, Injection, 5 g/100 mL (NDC 0990-7923-23)")</f>
        <v>Dextrose 5% In Plastic Container, Injection, 5 g/100 mL (NDC 0990-7923-23)</v>
      </c>
      <c r="D529" s="5" t="str">
        <f>IFERROR(__xludf.DUMMYFUNCTION("""COMPUTED_VALUE"""),"Reverified")</f>
        <v>Reverified</v>
      </c>
      <c r="E529" s="13">
        <f>IFERROR(__xludf.DUMMYFUNCTION("""COMPUTED_VALUE"""),46311.0)</f>
        <v>46311</v>
      </c>
      <c r="F529" s="5" t="str">
        <f>IFERROR(__xludf.DUMMYFUNCTION("""COMPUTED_VALUE"""),"Available")</f>
        <v>Available</v>
      </c>
      <c r="G529" s="5" t="str">
        <f>IFERROR(__xludf.DUMMYFUNCTION("""COMPUTED_VALUE"""),"This product is distributed by ICU Medical. For questions regarding this product, please contact ICU Medical.")</f>
        <v>This product is distributed by ICU Medical. For questions regarding this product, please contact ICU Medical.</v>
      </c>
      <c r="H529" s="5"/>
      <c r="I529" s="5"/>
      <c r="J529" s="5" t="str">
        <f>IFERROR(__xludf.DUMMYFUNCTION("""COMPUTED_VALUE"""),"Endocrinology/Metabolism; Gastroenterology; Other; Pediatric")</f>
        <v>Endocrinology/Metabolism; Gastroenterology; Other; Pediatric</v>
      </c>
      <c r="K529" s="5" t="str">
        <f>IFERROR(__xludf.DUMMYFUNCTION("""COMPUTED_VALUE"""),"Current")</f>
        <v>Current</v>
      </c>
      <c r="L529" s="5"/>
      <c r="M529" s="5"/>
      <c r="N529" s="10">
        <f>IFERROR(__xludf.DUMMYFUNCTION("""COMPUTED_VALUE"""),44606.0)</f>
        <v>44606</v>
      </c>
      <c r="O529" s="5">
        <v>2022.0</v>
      </c>
      <c r="P529" s="5" t="str">
        <f>IFERROR(__xludf.DUMMYFUNCTION("""COMPUTED_VALUE"""),"Available")</f>
        <v>Available</v>
      </c>
      <c r="Q529" s="5" t="s">
        <v>135</v>
      </c>
      <c r="R529" s="5" t="s">
        <v>136</v>
      </c>
      <c r="S529" s="11">
        <v>1715.0</v>
      </c>
    </row>
    <row r="530">
      <c r="A530" s="5" t="str">
        <f>IFERROR(__xludf.DUMMYFUNCTION("""COMPUTED_VALUE"""),"Dextrose Monohydrate 5% Injection")</f>
        <v>Dextrose Monohydrate 5% Injection</v>
      </c>
      <c r="B530" s="5" t="str">
        <f>IFERROR(__xludf.DUMMYFUNCTION("""COMPUTED_VALUE"""),"Otsuka ICU Medical LLC")</f>
        <v>Otsuka ICU Medical LLC</v>
      </c>
      <c r="C530" s="5" t="str">
        <f>IFERROR(__xludf.DUMMYFUNCTION("""COMPUTED_VALUE"""),"Dextrose 5% In Plastic Container, Injection, 5 g/100 mL (NDC 0990-7923-36)")</f>
        <v>Dextrose 5% In Plastic Container, Injection, 5 g/100 mL (NDC 0990-7923-36)</v>
      </c>
      <c r="D530" s="5" t="str">
        <f>IFERROR(__xludf.DUMMYFUNCTION("""COMPUTED_VALUE"""),"Reverified")</f>
        <v>Reverified</v>
      </c>
      <c r="E530" s="13">
        <f>IFERROR(__xludf.DUMMYFUNCTION("""COMPUTED_VALUE"""),46311.0)</f>
        <v>46311</v>
      </c>
      <c r="F530" s="5" t="str">
        <f>IFERROR(__xludf.DUMMYFUNCTION("""COMPUTED_VALUE"""),"Available")</f>
        <v>Available</v>
      </c>
      <c r="G530" s="5" t="str">
        <f>IFERROR(__xludf.DUMMYFUNCTION("""COMPUTED_VALUE"""),"This product is distributed by ICU Medical. For questions regarding this product, please contact ICU Medical.")</f>
        <v>This product is distributed by ICU Medical. For questions regarding this product, please contact ICU Medical.</v>
      </c>
      <c r="H530" s="5"/>
      <c r="I530" s="5"/>
      <c r="J530" s="5" t="str">
        <f>IFERROR(__xludf.DUMMYFUNCTION("""COMPUTED_VALUE"""),"Endocrinology/Metabolism; Gastroenterology; Other; Pediatric")</f>
        <v>Endocrinology/Metabolism; Gastroenterology; Other; Pediatric</v>
      </c>
      <c r="K530" s="5" t="str">
        <f>IFERROR(__xludf.DUMMYFUNCTION("""COMPUTED_VALUE"""),"Current")</f>
        <v>Current</v>
      </c>
      <c r="L530" s="5"/>
      <c r="M530" s="5"/>
      <c r="N530" s="10">
        <f>IFERROR(__xludf.DUMMYFUNCTION("""COMPUTED_VALUE"""),44606.0)</f>
        <v>44606</v>
      </c>
      <c r="O530" s="5">
        <v>2022.0</v>
      </c>
      <c r="P530" s="5" t="str">
        <f>IFERROR(__xludf.DUMMYFUNCTION("""COMPUTED_VALUE"""),"Available")</f>
        <v>Available</v>
      </c>
      <c r="Q530" s="5" t="s">
        <v>135</v>
      </c>
      <c r="R530" s="5" t="s">
        <v>136</v>
      </c>
      <c r="S530" s="11">
        <v>1715.0</v>
      </c>
    </row>
    <row r="531">
      <c r="A531" s="5" t="str">
        <f>IFERROR(__xludf.DUMMYFUNCTION("""COMPUTED_VALUE"""),"Dextrose Monohydrate 5% Injection")</f>
        <v>Dextrose Monohydrate 5% Injection</v>
      </c>
      <c r="B531" s="5" t="str">
        <f>IFERROR(__xludf.DUMMYFUNCTION("""COMPUTED_VALUE"""),"Otsuka ICU Medical LLC")</f>
        <v>Otsuka ICU Medical LLC</v>
      </c>
      <c r="C531" s="5" t="str">
        <f>IFERROR(__xludf.DUMMYFUNCTION("""COMPUTED_VALUE"""),"Dextrose 5% In Plastic Container, Injection, 5 g/100 mL (NDC 0990-7923-37)")</f>
        <v>Dextrose 5% In Plastic Container, Injection, 5 g/100 mL (NDC 0990-7923-37)</v>
      </c>
      <c r="D531" s="5" t="str">
        <f>IFERROR(__xludf.DUMMYFUNCTION("""COMPUTED_VALUE"""),"Reverified")</f>
        <v>Reverified</v>
      </c>
      <c r="E531" s="13">
        <f>IFERROR(__xludf.DUMMYFUNCTION("""COMPUTED_VALUE"""),46311.0)</f>
        <v>46311</v>
      </c>
      <c r="F531" s="5" t="str">
        <f>IFERROR(__xludf.DUMMYFUNCTION("""COMPUTED_VALUE"""),"Available")</f>
        <v>Available</v>
      </c>
      <c r="G531" s="5" t="str">
        <f>IFERROR(__xludf.DUMMYFUNCTION("""COMPUTED_VALUE"""),"This product is distributed by ICU Medical. For questions regarding this product, please contact ICU Medical.")</f>
        <v>This product is distributed by ICU Medical. For questions regarding this product, please contact ICU Medical.</v>
      </c>
      <c r="H531" s="5"/>
      <c r="I531" s="5"/>
      <c r="J531" s="5" t="str">
        <f>IFERROR(__xludf.DUMMYFUNCTION("""COMPUTED_VALUE"""),"Endocrinology/Metabolism; Gastroenterology; Other; Pediatric")</f>
        <v>Endocrinology/Metabolism; Gastroenterology; Other; Pediatric</v>
      </c>
      <c r="K531" s="5" t="str">
        <f>IFERROR(__xludf.DUMMYFUNCTION("""COMPUTED_VALUE"""),"Current")</f>
        <v>Current</v>
      </c>
      <c r="L531" s="5"/>
      <c r="M531" s="5"/>
      <c r="N531" s="10">
        <f>IFERROR(__xludf.DUMMYFUNCTION("""COMPUTED_VALUE"""),44606.0)</f>
        <v>44606</v>
      </c>
      <c r="O531" s="5">
        <v>2022.0</v>
      </c>
      <c r="P531" s="5" t="str">
        <f>IFERROR(__xludf.DUMMYFUNCTION("""COMPUTED_VALUE"""),"Available")</f>
        <v>Available</v>
      </c>
      <c r="Q531" s="5" t="s">
        <v>135</v>
      </c>
      <c r="R531" s="5" t="s">
        <v>136</v>
      </c>
      <c r="S531" s="11">
        <v>1715.0</v>
      </c>
    </row>
    <row r="532">
      <c r="A532" s="5" t="str">
        <f>IFERROR(__xludf.DUMMYFUNCTION("""COMPUTED_VALUE"""),"Dextrose Monohydrate 5% Injection")</f>
        <v>Dextrose Monohydrate 5% Injection</v>
      </c>
      <c r="B532" s="5" t="str">
        <f>IFERROR(__xludf.DUMMYFUNCTION("""COMPUTED_VALUE"""),"Baxter Healthcare")</f>
        <v>Baxter Healthcare</v>
      </c>
      <c r="C532" s="5" t="str">
        <f>IFERROR(__xludf.DUMMYFUNCTION("""COMPUTED_VALUE"""),"Dextrose 5% In Plastic Container, Injection, 50 g/1000 mL (NDC 0338-0017-10)")</f>
        <v>Dextrose 5% In Plastic Container, Injection, 50 g/1000 mL (NDC 0338-0017-10)</v>
      </c>
      <c r="D532" s="5" t="str">
        <f>IFERROR(__xludf.DUMMYFUNCTION("""COMPUTED_VALUE"""),"Reverified")</f>
        <v>Reverified</v>
      </c>
      <c r="E532" s="13">
        <f>IFERROR(__xludf.DUMMYFUNCTION("""COMPUTED_VALUE"""),46311.0)</f>
        <v>46311</v>
      </c>
      <c r="F532" s="5" t="str">
        <f>IFERROR(__xludf.DUMMYFUNCTION("""COMPUTED_VALUE"""),"Available")</f>
        <v>Available</v>
      </c>
      <c r="G532" s="5"/>
      <c r="H532" s="5"/>
      <c r="I532" s="5"/>
      <c r="J532" s="5" t="str">
        <f>IFERROR(__xludf.DUMMYFUNCTION("""COMPUTED_VALUE"""),"Endocrinology/Metabolism; Gastroenterology; Other; Pediatric")</f>
        <v>Endocrinology/Metabolism; Gastroenterology; Other; Pediatric</v>
      </c>
      <c r="K532" s="5" t="str">
        <f>IFERROR(__xludf.DUMMYFUNCTION("""COMPUTED_VALUE"""),"Current")</f>
        <v>Current</v>
      </c>
      <c r="L532" s="5"/>
      <c r="M532" s="5"/>
      <c r="N532" s="10">
        <f>IFERROR(__xludf.DUMMYFUNCTION("""COMPUTED_VALUE"""),44606.0)</f>
        <v>44606</v>
      </c>
      <c r="O532" s="5">
        <v>2022.0</v>
      </c>
      <c r="P532" s="5" t="str">
        <f>IFERROR(__xludf.DUMMYFUNCTION("""COMPUTED_VALUE"""),"Available")</f>
        <v>Available</v>
      </c>
      <c r="Q532" s="5" t="s">
        <v>135</v>
      </c>
      <c r="R532" s="5" t="s">
        <v>136</v>
      </c>
      <c r="S532" s="11">
        <v>1715.0</v>
      </c>
    </row>
    <row r="533">
      <c r="A533" s="5" t="str">
        <f>IFERROR(__xludf.DUMMYFUNCTION("""COMPUTED_VALUE"""),"Dextrose Monohydrate 5% Injection")</f>
        <v>Dextrose Monohydrate 5% Injection</v>
      </c>
      <c r="B533" s="5" t="str">
        <f>IFERROR(__xludf.DUMMYFUNCTION("""COMPUTED_VALUE"""),"Baxter Healthcare")</f>
        <v>Baxter Healthcare</v>
      </c>
      <c r="C533" s="5" t="str">
        <f>IFERROR(__xludf.DUMMYFUNCTION("""COMPUTED_VALUE"""),"Dextrose 5% In Plastic Container, Injection, 50 g/1000 mL (NDC 0338-0017-41)")</f>
        <v>Dextrose 5% In Plastic Container, Injection, 50 g/1000 mL (NDC 0338-0017-41)</v>
      </c>
      <c r="D533" s="5" t="str">
        <f>IFERROR(__xludf.DUMMYFUNCTION("""COMPUTED_VALUE"""),"Reverified")</f>
        <v>Reverified</v>
      </c>
      <c r="E533" s="13">
        <f>IFERROR(__xludf.DUMMYFUNCTION("""COMPUTED_VALUE"""),46311.0)</f>
        <v>46311</v>
      </c>
      <c r="F533" s="5" t="str">
        <f>IFERROR(__xludf.DUMMYFUNCTION("""COMPUTED_VALUE"""),"Available")</f>
        <v>Available</v>
      </c>
      <c r="G533" s="5"/>
      <c r="H533" s="5"/>
      <c r="I533" s="5"/>
      <c r="J533" s="5" t="str">
        <f>IFERROR(__xludf.DUMMYFUNCTION("""COMPUTED_VALUE"""),"Endocrinology/Metabolism; Gastroenterology; Other; Pediatric")</f>
        <v>Endocrinology/Metabolism; Gastroenterology; Other; Pediatric</v>
      </c>
      <c r="K533" s="5" t="str">
        <f>IFERROR(__xludf.DUMMYFUNCTION("""COMPUTED_VALUE"""),"Current")</f>
        <v>Current</v>
      </c>
      <c r="L533" s="5"/>
      <c r="M533" s="5"/>
      <c r="N533" s="10">
        <f>IFERROR(__xludf.DUMMYFUNCTION("""COMPUTED_VALUE"""),44606.0)</f>
        <v>44606</v>
      </c>
      <c r="O533" s="5">
        <v>2022.0</v>
      </c>
      <c r="P533" s="5" t="str">
        <f>IFERROR(__xludf.DUMMYFUNCTION("""COMPUTED_VALUE"""),"Available")</f>
        <v>Available</v>
      </c>
      <c r="Q533" s="5" t="s">
        <v>135</v>
      </c>
      <c r="R533" s="5" t="s">
        <v>136</v>
      </c>
      <c r="S533" s="11">
        <v>1715.0</v>
      </c>
    </row>
    <row r="534">
      <c r="A534" s="5" t="str">
        <f>IFERROR(__xludf.DUMMYFUNCTION("""COMPUTED_VALUE"""),"Dextrose Monohydrate 5% Injection")</f>
        <v>Dextrose Monohydrate 5% Injection</v>
      </c>
      <c r="B534" s="5" t="str">
        <f>IFERROR(__xludf.DUMMYFUNCTION("""COMPUTED_VALUE"""),"Baxter Healthcare")</f>
        <v>Baxter Healthcare</v>
      </c>
      <c r="C534" s="5" t="str">
        <f>IFERROR(__xludf.DUMMYFUNCTION("""COMPUTED_VALUE"""),"Dextrose 5% In Plastic Container, Injection, 50 g/1000 mL (NDC 0338-0017-11)")</f>
        <v>Dextrose 5% In Plastic Container, Injection, 50 g/1000 mL (NDC 0338-0017-11)</v>
      </c>
      <c r="D534" s="5" t="str">
        <f>IFERROR(__xludf.DUMMYFUNCTION("""COMPUTED_VALUE"""),"Reverified")</f>
        <v>Reverified</v>
      </c>
      <c r="E534" s="13">
        <f>IFERROR(__xludf.DUMMYFUNCTION("""COMPUTED_VALUE"""),46311.0)</f>
        <v>46311</v>
      </c>
      <c r="F534" s="5" t="str">
        <f>IFERROR(__xludf.DUMMYFUNCTION("""COMPUTED_VALUE"""),"Unavailable")</f>
        <v>Unavailable</v>
      </c>
      <c r="G534" s="5" t="str">
        <f>IFERROR(__xludf.DUMMYFUNCTION("""COMPUTED_VALUE"""),"Estimated recovery: November 2026")</f>
        <v>Estimated recovery: November 2026</v>
      </c>
      <c r="H534" s="5"/>
      <c r="I534" s="5" t="str">
        <f>IFERROR(__xludf.DUMMYFUNCTION("""COMPUTED_VALUE"""),"Demand increase for the drug")</f>
        <v>Demand increase for the drug</v>
      </c>
      <c r="J534" s="5" t="str">
        <f>IFERROR(__xludf.DUMMYFUNCTION("""COMPUTED_VALUE"""),"Endocrinology/Metabolism; Gastroenterology; Other; Pediatric")</f>
        <v>Endocrinology/Metabolism; Gastroenterology; Other; Pediatric</v>
      </c>
      <c r="K534" s="5" t="str">
        <f>IFERROR(__xludf.DUMMYFUNCTION("""COMPUTED_VALUE"""),"Current")</f>
        <v>Current</v>
      </c>
      <c r="L534" s="5"/>
      <c r="M534" s="5"/>
      <c r="N534" s="10">
        <f>IFERROR(__xludf.DUMMYFUNCTION("""COMPUTED_VALUE"""),44606.0)</f>
        <v>44606</v>
      </c>
      <c r="O534" s="5">
        <v>2022.0</v>
      </c>
      <c r="P534" s="5" t="str">
        <f>IFERROR(__xludf.DUMMYFUNCTION("""COMPUTED_VALUE"""),"Unavailable")</f>
        <v>Unavailable</v>
      </c>
      <c r="Q534" s="5" t="s">
        <v>134</v>
      </c>
      <c r="R534" s="5" t="s">
        <v>136</v>
      </c>
      <c r="S534" s="11">
        <v>1715.0</v>
      </c>
    </row>
    <row r="535">
      <c r="A535" s="5" t="str">
        <f>IFERROR(__xludf.DUMMYFUNCTION("""COMPUTED_VALUE"""),"Dextrose Monohydrate 5% Injection")</f>
        <v>Dextrose Monohydrate 5% Injection</v>
      </c>
      <c r="B535" s="5" t="str">
        <f>IFERROR(__xludf.DUMMYFUNCTION("""COMPUTED_VALUE"""),"Baxter Healthcare")</f>
        <v>Baxter Healthcare</v>
      </c>
      <c r="C535" s="5" t="str">
        <f>IFERROR(__xludf.DUMMYFUNCTION("""COMPUTED_VALUE"""),"Dextrose 5% In Plastic Container, Injection, 50 g/1000 mL (NDC 0338-0017-31)")</f>
        <v>Dextrose 5% In Plastic Container, Injection, 50 g/1000 mL (NDC 0338-0017-31)</v>
      </c>
      <c r="D535" s="5" t="str">
        <f>IFERROR(__xludf.DUMMYFUNCTION("""COMPUTED_VALUE"""),"Reverified")</f>
        <v>Reverified</v>
      </c>
      <c r="E535" s="13">
        <f>IFERROR(__xludf.DUMMYFUNCTION("""COMPUTED_VALUE"""),46311.0)</f>
        <v>46311</v>
      </c>
      <c r="F535" s="5" t="str">
        <f>IFERROR(__xludf.DUMMYFUNCTION("""COMPUTED_VALUE"""),"Available")</f>
        <v>Available</v>
      </c>
      <c r="G535" s="5"/>
      <c r="H535" s="5"/>
      <c r="I535" s="5"/>
      <c r="J535" s="5" t="str">
        <f>IFERROR(__xludf.DUMMYFUNCTION("""COMPUTED_VALUE"""),"Endocrinology/Metabolism; Gastroenterology; Other; Pediatric")</f>
        <v>Endocrinology/Metabolism; Gastroenterology; Other; Pediatric</v>
      </c>
      <c r="K535" s="5" t="str">
        <f>IFERROR(__xludf.DUMMYFUNCTION("""COMPUTED_VALUE"""),"Current")</f>
        <v>Current</v>
      </c>
      <c r="L535" s="5"/>
      <c r="M535" s="5"/>
      <c r="N535" s="10">
        <f>IFERROR(__xludf.DUMMYFUNCTION("""COMPUTED_VALUE"""),44606.0)</f>
        <v>44606</v>
      </c>
      <c r="O535" s="5">
        <v>2022.0</v>
      </c>
      <c r="P535" s="5" t="str">
        <f>IFERROR(__xludf.DUMMYFUNCTION("""COMPUTED_VALUE"""),"Available")</f>
        <v>Available</v>
      </c>
      <c r="Q535" s="5" t="s">
        <v>135</v>
      </c>
      <c r="R535" s="5" t="s">
        <v>136</v>
      </c>
      <c r="S535" s="11">
        <v>1715.0</v>
      </c>
    </row>
    <row r="536">
      <c r="A536" s="5" t="str">
        <f>IFERROR(__xludf.DUMMYFUNCTION("""COMPUTED_VALUE"""),"Dextrose Monohydrate 5% Injection")</f>
        <v>Dextrose Monohydrate 5% Injection</v>
      </c>
      <c r="B536" s="5" t="str">
        <f>IFERROR(__xludf.DUMMYFUNCTION("""COMPUTED_VALUE"""),"Baxter Healthcare")</f>
        <v>Baxter Healthcare</v>
      </c>
      <c r="C536" s="5" t="str">
        <f>IFERROR(__xludf.DUMMYFUNCTION("""COMPUTED_VALUE"""),"Dextrose 5% In Plastic Container, Injection, 50 g/1000 mL (NDC 0338-0017-48)")</f>
        <v>Dextrose 5% In Plastic Container, Injection, 50 g/1000 mL (NDC 0338-0017-48)</v>
      </c>
      <c r="D536" s="5" t="str">
        <f>IFERROR(__xludf.DUMMYFUNCTION("""COMPUTED_VALUE"""),"Revised")</f>
        <v>Revised</v>
      </c>
      <c r="E536" s="13">
        <f>IFERROR(__xludf.DUMMYFUNCTION("""COMPUTED_VALUE"""),46311.0)</f>
        <v>46311</v>
      </c>
      <c r="F536" s="5" t="str">
        <f>IFERROR(__xludf.DUMMYFUNCTION("""COMPUTED_VALUE"""),"Unavailable")</f>
        <v>Unavailable</v>
      </c>
      <c r="G536" s="5" t="str">
        <f>IFERROR(__xludf.DUMMYFUNCTION("""COMPUTED_VALUE"""),"Estimated recovery: December 2026")</f>
        <v>Estimated recovery: December 2026</v>
      </c>
      <c r="H536" s="5"/>
      <c r="I536" s="5" t="str">
        <f>IFERROR(__xludf.DUMMYFUNCTION("""COMPUTED_VALUE"""),"Demand increase for the drug")</f>
        <v>Demand increase for the drug</v>
      </c>
      <c r="J536" s="5" t="str">
        <f>IFERROR(__xludf.DUMMYFUNCTION("""COMPUTED_VALUE"""),"Endocrinology/Metabolism; Gastroenterology; Other; Pediatric")</f>
        <v>Endocrinology/Metabolism; Gastroenterology; Other; Pediatric</v>
      </c>
      <c r="K536" s="5" t="str">
        <f>IFERROR(__xludf.DUMMYFUNCTION("""COMPUTED_VALUE"""),"Current")</f>
        <v>Current</v>
      </c>
      <c r="L536" s="5"/>
      <c r="M536" s="5"/>
      <c r="N536" s="10">
        <f>IFERROR(__xludf.DUMMYFUNCTION("""COMPUTED_VALUE"""),44606.0)</f>
        <v>44606</v>
      </c>
      <c r="O536" s="5">
        <v>2022.0</v>
      </c>
      <c r="P536" s="5" t="str">
        <f>IFERROR(__xludf.DUMMYFUNCTION("""COMPUTED_VALUE"""),"Unavailable")</f>
        <v>Unavailable</v>
      </c>
      <c r="Q536" s="5" t="s">
        <v>134</v>
      </c>
      <c r="R536" s="5" t="s">
        <v>136</v>
      </c>
      <c r="S536" s="11">
        <v>1715.0</v>
      </c>
    </row>
    <row r="537">
      <c r="A537" s="5" t="str">
        <f>IFERROR(__xludf.DUMMYFUNCTION("""COMPUTED_VALUE"""),"Dextrose Monohydrate 5% Injection")</f>
        <v>Dextrose Monohydrate 5% Injection</v>
      </c>
      <c r="B537" s="5" t="str">
        <f>IFERROR(__xludf.DUMMYFUNCTION("""COMPUTED_VALUE"""),"Baxter Healthcare")</f>
        <v>Baxter Healthcare</v>
      </c>
      <c r="C537" s="5" t="str">
        <f>IFERROR(__xludf.DUMMYFUNCTION("""COMPUTED_VALUE"""),"Dextrose 5% In Plastic Container, Injection, 50 g/1000 mL (NDC 0338-0017-18)")</f>
        <v>Dextrose 5% In Plastic Container, Injection, 50 g/1000 mL (NDC 0338-0017-18)</v>
      </c>
      <c r="D537" s="5" t="str">
        <f>IFERROR(__xludf.DUMMYFUNCTION("""COMPUTED_VALUE"""),"Reverified")</f>
        <v>Reverified</v>
      </c>
      <c r="E537" s="13">
        <f>IFERROR(__xludf.DUMMYFUNCTION("""COMPUTED_VALUE"""),46311.0)</f>
        <v>46311</v>
      </c>
      <c r="F537" s="5" t="str">
        <f>IFERROR(__xludf.DUMMYFUNCTION("""COMPUTED_VALUE"""),"Available")</f>
        <v>Available</v>
      </c>
      <c r="G537" s="5"/>
      <c r="H537" s="5"/>
      <c r="I537" s="5"/>
      <c r="J537" s="5" t="str">
        <f>IFERROR(__xludf.DUMMYFUNCTION("""COMPUTED_VALUE"""),"Endocrinology/Metabolism; Gastroenterology; Other; Pediatric")</f>
        <v>Endocrinology/Metabolism; Gastroenterology; Other; Pediatric</v>
      </c>
      <c r="K537" s="5" t="str">
        <f>IFERROR(__xludf.DUMMYFUNCTION("""COMPUTED_VALUE"""),"Current")</f>
        <v>Current</v>
      </c>
      <c r="L537" s="5"/>
      <c r="M537" s="5"/>
      <c r="N537" s="10">
        <f>IFERROR(__xludf.DUMMYFUNCTION("""COMPUTED_VALUE"""),44606.0)</f>
        <v>44606</v>
      </c>
      <c r="O537" s="5">
        <v>2022.0</v>
      </c>
      <c r="P537" s="5" t="str">
        <f>IFERROR(__xludf.DUMMYFUNCTION("""COMPUTED_VALUE"""),"Available")</f>
        <v>Available</v>
      </c>
      <c r="Q537" s="5" t="s">
        <v>135</v>
      </c>
      <c r="R537" s="5" t="s">
        <v>136</v>
      </c>
      <c r="S537" s="11">
        <v>1715.0</v>
      </c>
    </row>
    <row r="538">
      <c r="A538" s="5" t="str">
        <f>IFERROR(__xludf.DUMMYFUNCTION("""COMPUTED_VALUE"""),"Dextrose Monohydrate 5% Injection")</f>
        <v>Dextrose Monohydrate 5% Injection</v>
      </c>
      <c r="B538" s="5" t="str">
        <f>IFERROR(__xludf.DUMMYFUNCTION("""COMPUTED_VALUE"""),"Baxter Healthcare")</f>
        <v>Baxter Healthcare</v>
      </c>
      <c r="C538" s="5" t="str">
        <f>IFERROR(__xludf.DUMMYFUNCTION("""COMPUTED_VALUE"""),"Dextrose 5% In Plastic Container, Injection, 50 g/1000 mL (NDC 0338-0017-38)")</f>
        <v>Dextrose 5% In Plastic Container, Injection, 50 g/1000 mL (NDC 0338-0017-38)</v>
      </c>
      <c r="D538" s="5" t="str">
        <f>IFERROR(__xludf.DUMMYFUNCTION("""COMPUTED_VALUE"""),"Reverified")</f>
        <v>Reverified</v>
      </c>
      <c r="E538" s="13">
        <f>IFERROR(__xludf.DUMMYFUNCTION("""COMPUTED_VALUE"""),46311.0)</f>
        <v>46311</v>
      </c>
      <c r="F538" s="5" t="str">
        <f>IFERROR(__xludf.DUMMYFUNCTION("""COMPUTED_VALUE"""),"Available")</f>
        <v>Available</v>
      </c>
      <c r="G538" s="5"/>
      <c r="H538" s="5"/>
      <c r="I538" s="5"/>
      <c r="J538" s="5" t="str">
        <f>IFERROR(__xludf.DUMMYFUNCTION("""COMPUTED_VALUE"""),"Endocrinology/Metabolism; Gastroenterology; Other; Pediatric")</f>
        <v>Endocrinology/Metabolism; Gastroenterology; Other; Pediatric</v>
      </c>
      <c r="K538" s="5" t="str">
        <f>IFERROR(__xludf.DUMMYFUNCTION("""COMPUTED_VALUE"""),"Current")</f>
        <v>Current</v>
      </c>
      <c r="L538" s="5"/>
      <c r="M538" s="5"/>
      <c r="N538" s="10">
        <f>IFERROR(__xludf.DUMMYFUNCTION("""COMPUTED_VALUE"""),44606.0)</f>
        <v>44606</v>
      </c>
      <c r="O538" s="5">
        <v>2022.0</v>
      </c>
      <c r="P538" s="5" t="str">
        <f>IFERROR(__xludf.DUMMYFUNCTION("""COMPUTED_VALUE"""),"Available")</f>
        <v>Available</v>
      </c>
      <c r="Q538" s="5" t="s">
        <v>135</v>
      </c>
      <c r="R538" s="5" t="s">
        <v>136</v>
      </c>
      <c r="S538" s="11">
        <v>1715.0</v>
      </c>
    </row>
    <row r="539">
      <c r="A539" s="5" t="str">
        <f>IFERROR(__xludf.DUMMYFUNCTION("""COMPUTED_VALUE"""),"Dextrose Monohydrate 5% Injection")</f>
        <v>Dextrose Monohydrate 5% Injection</v>
      </c>
      <c r="B539" s="5" t="str">
        <f>IFERROR(__xludf.DUMMYFUNCTION("""COMPUTED_VALUE"""),"Baxter Healthcare")</f>
        <v>Baxter Healthcare</v>
      </c>
      <c r="C539" s="5" t="str">
        <f>IFERROR(__xludf.DUMMYFUNCTION("""COMPUTED_VALUE"""),"Dextrose 5% In Plastic Container, Injection, 5 g/100 mL (NDC 0338-0551-11)")</f>
        <v>Dextrose 5% In Plastic Container, Injection, 5 g/100 mL (NDC 0338-0551-11)</v>
      </c>
      <c r="D539" s="5" t="str">
        <f>IFERROR(__xludf.DUMMYFUNCTION("""COMPUTED_VALUE"""),"Reverified")</f>
        <v>Reverified</v>
      </c>
      <c r="E539" s="13">
        <f>IFERROR(__xludf.DUMMYFUNCTION("""COMPUTED_VALUE"""),46311.0)</f>
        <v>46311</v>
      </c>
      <c r="F539" s="5" t="str">
        <f>IFERROR(__xludf.DUMMYFUNCTION("""COMPUTED_VALUE"""),"Available")</f>
        <v>Available</v>
      </c>
      <c r="G539" s="5"/>
      <c r="H539" s="5"/>
      <c r="I539" s="5"/>
      <c r="J539" s="5" t="str">
        <f>IFERROR(__xludf.DUMMYFUNCTION("""COMPUTED_VALUE"""),"Endocrinology/Metabolism; Gastroenterology; Other; Pediatric")</f>
        <v>Endocrinology/Metabolism; Gastroenterology; Other; Pediatric</v>
      </c>
      <c r="K539" s="5" t="str">
        <f>IFERROR(__xludf.DUMMYFUNCTION("""COMPUTED_VALUE"""),"Current")</f>
        <v>Current</v>
      </c>
      <c r="L539" s="5"/>
      <c r="M539" s="5"/>
      <c r="N539" s="10">
        <f>IFERROR(__xludf.DUMMYFUNCTION("""COMPUTED_VALUE"""),44606.0)</f>
        <v>44606</v>
      </c>
      <c r="O539" s="5">
        <v>2022.0</v>
      </c>
      <c r="P539" s="5" t="str">
        <f>IFERROR(__xludf.DUMMYFUNCTION("""COMPUTED_VALUE"""),"Available")</f>
        <v>Available</v>
      </c>
      <c r="Q539" s="5" t="s">
        <v>135</v>
      </c>
      <c r="R539" s="5" t="s">
        <v>136</v>
      </c>
      <c r="S539" s="11">
        <v>1715.0</v>
      </c>
    </row>
    <row r="540">
      <c r="A540" s="5" t="str">
        <f>IFERROR(__xludf.DUMMYFUNCTION("""COMPUTED_VALUE"""),"Dextrose Monohydrate 5% Injection")</f>
        <v>Dextrose Monohydrate 5% Injection</v>
      </c>
      <c r="B540" s="5" t="str">
        <f>IFERROR(__xludf.DUMMYFUNCTION("""COMPUTED_VALUE"""),"Baxter Healthcare")</f>
        <v>Baxter Healthcare</v>
      </c>
      <c r="C540" s="5" t="str">
        <f>IFERROR(__xludf.DUMMYFUNCTION("""COMPUTED_VALUE"""),"Dextrose 5% In Plastic Container, Injection, 2.5 g/50 mL (NDC 0338-9664-40)")</f>
        <v>Dextrose 5% In Plastic Container, Injection, 2.5 g/50 mL (NDC 0338-9664-40)</v>
      </c>
      <c r="D540" s="5" t="str">
        <f>IFERROR(__xludf.DUMMYFUNCTION("""COMPUTED_VALUE"""),"Reverified")</f>
        <v>Reverified</v>
      </c>
      <c r="E540" s="13">
        <f>IFERROR(__xludf.DUMMYFUNCTION("""COMPUTED_VALUE"""),46311.0)</f>
        <v>46311</v>
      </c>
      <c r="F540" s="5" t="str">
        <f>IFERROR(__xludf.DUMMYFUNCTION("""COMPUTED_VALUE"""),"Available")</f>
        <v>Available</v>
      </c>
      <c r="G540" s="5"/>
      <c r="H540" s="5"/>
      <c r="I540" s="5"/>
      <c r="J540" s="5" t="str">
        <f>IFERROR(__xludf.DUMMYFUNCTION("""COMPUTED_VALUE"""),"Endocrinology/Metabolism; Gastroenterology; Other; Pediatric")</f>
        <v>Endocrinology/Metabolism; Gastroenterology; Other; Pediatric</v>
      </c>
      <c r="K540" s="5" t="str">
        <f>IFERROR(__xludf.DUMMYFUNCTION("""COMPUTED_VALUE"""),"Current")</f>
        <v>Current</v>
      </c>
      <c r="L540" s="5"/>
      <c r="M540" s="5"/>
      <c r="N540" s="10">
        <f>IFERROR(__xludf.DUMMYFUNCTION("""COMPUTED_VALUE"""),44606.0)</f>
        <v>44606</v>
      </c>
      <c r="O540" s="5">
        <v>2022.0</v>
      </c>
      <c r="P540" s="5" t="str">
        <f>IFERROR(__xludf.DUMMYFUNCTION("""COMPUTED_VALUE"""),"Available")</f>
        <v>Available</v>
      </c>
      <c r="Q540" s="5" t="s">
        <v>135</v>
      </c>
      <c r="R540" s="5" t="s">
        <v>136</v>
      </c>
      <c r="S540" s="11">
        <v>1715.0</v>
      </c>
    </row>
    <row r="541">
      <c r="A541" s="5" t="str">
        <f>IFERROR(__xludf.DUMMYFUNCTION("""COMPUTED_VALUE"""),"Dextrose Monohydrate 5% Injection")</f>
        <v>Dextrose Monohydrate 5% Injection</v>
      </c>
      <c r="B541" s="5" t="str">
        <f>IFERROR(__xludf.DUMMYFUNCTION("""COMPUTED_VALUE"""),"Baxter Healthcare")</f>
        <v>Baxter Healthcare</v>
      </c>
      <c r="C541" s="5" t="str">
        <f>IFERROR(__xludf.DUMMYFUNCTION("""COMPUTED_VALUE"""),"Dextrose 5% In Plastic Container, Injection, 5 g/100 mL (NDC 0338-9666-35)")</f>
        <v>Dextrose 5% In Plastic Container, Injection, 5 g/100 mL (NDC 0338-9666-35)</v>
      </c>
      <c r="D541" s="5" t="str">
        <f>IFERROR(__xludf.DUMMYFUNCTION("""COMPUTED_VALUE"""),"Reverified")</f>
        <v>Reverified</v>
      </c>
      <c r="E541" s="13">
        <f>IFERROR(__xludf.DUMMYFUNCTION("""COMPUTED_VALUE"""),46311.0)</f>
        <v>46311</v>
      </c>
      <c r="F541" s="5" t="str">
        <f>IFERROR(__xludf.DUMMYFUNCTION("""COMPUTED_VALUE"""),"Available")</f>
        <v>Available</v>
      </c>
      <c r="G541" s="5"/>
      <c r="H541" s="5"/>
      <c r="I541" s="5"/>
      <c r="J541" s="5" t="str">
        <f>IFERROR(__xludf.DUMMYFUNCTION("""COMPUTED_VALUE"""),"Endocrinology/Metabolism; Gastroenterology; Other; Pediatric")</f>
        <v>Endocrinology/Metabolism; Gastroenterology; Other; Pediatric</v>
      </c>
      <c r="K541" s="5" t="str">
        <f>IFERROR(__xludf.DUMMYFUNCTION("""COMPUTED_VALUE"""),"Current")</f>
        <v>Current</v>
      </c>
      <c r="L541" s="5"/>
      <c r="M541" s="5"/>
      <c r="N541" s="10">
        <f>IFERROR(__xludf.DUMMYFUNCTION("""COMPUTED_VALUE"""),44606.0)</f>
        <v>44606</v>
      </c>
      <c r="O541" s="5">
        <v>2022.0</v>
      </c>
      <c r="P541" s="5" t="str">
        <f>IFERROR(__xludf.DUMMYFUNCTION("""COMPUTED_VALUE"""),"Available")</f>
        <v>Available</v>
      </c>
      <c r="Q541" s="5" t="s">
        <v>135</v>
      </c>
      <c r="R541" s="5" t="s">
        <v>136</v>
      </c>
      <c r="S541" s="11">
        <v>1715.0</v>
      </c>
    </row>
    <row r="542">
      <c r="A542" s="5" t="str">
        <f>IFERROR(__xludf.DUMMYFUNCTION("""COMPUTED_VALUE"""),"Dextrose Monohydrate 5% Injection")</f>
        <v>Dextrose Monohydrate 5% Injection</v>
      </c>
      <c r="B542" s="5" t="str">
        <f>IFERROR(__xludf.DUMMYFUNCTION("""COMPUTED_VALUE"""),"Baxter Healthcare")</f>
        <v>Baxter Healthcare</v>
      </c>
      <c r="C542" s="5" t="str">
        <f>IFERROR(__xludf.DUMMYFUNCTION("""COMPUTED_VALUE"""),"Dextrose 5% In Plastic Container, Injection, 5 g/100 mL (NDC 0338-0551-18)")</f>
        <v>Dextrose 5% In Plastic Container, Injection, 5 g/100 mL (NDC 0338-0551-18)</v>
      </c>
      <c r="D542" s="5" t="str">
        <f>IFERROR(__xludf.DUMMYFUNCTION("""COMPUTED_VALUE"""),"Reverified")</f>
        <v>Reverified</v>
      </c>
      <c r="E542" s="13">
        <f>IFERROR(__xludf.DUMMYFUNCTION("""COMPUTED_VALUE"""),46311.0)</f>
        <v>46311</v>
      </c>
      <c r="F542" s="5" t="str">
        <f>IFERROR(__xludf.DUMMYFUNCTION("""COMPUTED_VALUE"""),"Available")</f>
        <v>Available</v>
      </c>
      <c r="G542" s="5"/>
      <c r="H542" s="5"/>
      <c r="I542" s="5"/>
      <c r="J542" s="5" t="str">
        <f>IFERROR(__xludf.DUMMYFUNCTION("""COMPUTED_VALUE"""),"Endocrinology/Metabolism; Gastroenterology; Other; Pediatric")</f>
        <v>Endocrinology/Metabolism; Gastroenterology; Other; Pediatric</v>
      </c>
      <c r="K542" s="5" t="str">
        <f>IFERROR(__xludf.DUMMYFUNCTION("""COMPUTED_VALUE"""),"Current")</f>
        <v>Current</v>
      </c>
      <c r="L542" s="5"/>
      <c r="M542" s="5"/>
      <c r="N542" s="10">
        <f>IFERROR(__xludf.DUMMYFUNCTION("""COMPUTED_VALUE"""),44606.0)</f>
        <v>44606</v>
      </c>
      <c r="O542" s="5">
        <v>2022.0</v>
      </c>
      <c r="P542" s="5" t="str">
        <f>IFERROR(__xludf.DUMMYFUNCTION("""COMPUTED_VALUE"""),"Available")</f>
        <v>Available</v>
      </c>
      <c r="Q542" s="5" t="s">
        <v>135</v>
      </c>
      <c r="R542" s="5" t="s">
        <v>136</v>
      </c>
      <c r="S542" s="11">
        <v>1715.0</v>
      </c>
    </row>
    <row r="543">
      <c r="A543" s="5" t="str">
        <f>IFERROR(__xludf.DUMMYFUNCTION("""COMPUTED_VALUE"""),"Dextrose Monohydrate 5% Injection")</f>
        <v>Dextrose Monohydrate 5% Injection</v>
      </c>
      <c r="B543" s="5" t="str">
        <f>IFERROR(__xludf.DUMMYFUNCTION("""COMPUTED_VALUE"""),"Baxter Healthcare")</f>
        <v>Baxter Healthcare</v>
      </c>
      <c r="C543" s="5" t="str">
        <f>IFERROR(__xludf.DUMMYFUNCTION("""COMPUTED_VALUE"""),"Dextrose 5% In Plastic Container, Injection, 5 g/100 mL (NDC 0338-0070-10)")</f>
        <v>Dextrose 5% In Plastic Container, Injection, 5 g/100 mL (NDC 0338-0070-10)</v>
      </c>
      <c r="D543" s="5" t="str">
        <f>IFERROR(__xludf.DUMMYFUNCTION("""COMPUTED_VALUE"""),"Revised")</f>
        <v>Revised</v>
      </c>
      <c r="E543" s="13">
        <f>IFERROR(__xludf.DUMMYFUNCTION("""COMPUTED_VALUE"""),46311.0)</f>
        <v>46311</v>
      </c>
      <c r="F543" s="5" t="str">
        <f>IFERROR(__xludf.DUMMYFUNCTION("""COMPUTED_VALUE"""),"Available")</f>
        <v>Available</v>
      </c>
      <c r="G543" s="5"/>
      <c r="H543" s="5"/>
      <c r="I543" s="5"/>
      <c r="J543" s="5" t="str">
        <f>IFERROR(__xludf.DUMMYFUNCTION("""COMPUTED_VALUE"""),"Endocrinology/Metabolism; Gastroenterology; Other; Pediatric")</f>
        <v>Endocrinology/Metabolism; Gastroenterology; Other; Pediatric</v>
      </c>
      <c r="K543" s="5" t="str">
        <f>IFERROR(__xludf.DUMMYFUNCTION("""COMPUTED_VALUE"""),"Current")</f>
        <v>Current</v>
      </c>
      <c r="L543" s="5"/>
      <c r="M543" s="5"/>
      <c r="N543" s="10">
        <f>IFERROR(__xludf.DUMMYFUNCTION("""COMPUTED_VALUE"""),44606.0)</f>
        <v>44606</v>
      </c>
      <c r="O543" s="5">
        <v>2022.0</v>
      </c>
      <c r="P543" s="5" t="str">
        <f>IFERROR(__xludf.DUMMYFUNCTION("""COMPUTED_VALUE"""),"Available")</f>
        <v>Available</v>
      </c>
      <c r="Q543" s="5" t="s">
        <v>135</v>
      </c>
      <c r="R543" s="5" t="s">
        <v>136</v>
      </c>
      <c r="S543" s="11">
        <v>1715.0</v>
      </c>
    </row>
    <row r="544">
      <c r="A544" s="5" t="str">
        <f>IFERROR(__xludf.DUMMYFUNCTION("""COMPUTED_VALUE"""),"Dextrose Monohydrate 5% Injection")</f>
        <v>Dextrose Monohydrate 5% Injection</v>
      </c>
      <c r="B544" s="5" t="str">
        <f>IFERROR(__xludf.DUMMYFUNCTION("""COMPUTED_VALUE"""),"Baxter Healthcare")</f>
        <v>Baxter Healthcare</v>
      </c>
      <c r="C544" s="5" t="str">
        <f>IFERROR(__xludf.DUMMYFUNCTION("""COMPUTED_VALUE"""),"Dextrose 5% In Plastic Container, Injection, 50 g/1000 mL (NDC 0338-0017-02)")</f>
        <v>Dextrose 5% In Plastic Container, Injection, 50 g/1000 mL (NDC 0338-0017-02)</v>
      </c>
      <c r="D544" s="5" t="str">
        <f>IFERROR(__xludf.DUMMYFUNCTION("""COMPUTED_VALUE"""),"Reverified")</f>
        <v>Reverified</v>
      </c>
      <c r="E544" s="13">
        <f>IFERROR(__xludf.DUMMYFUNCTION("""COMPUTED_VALUE"""),46311.0)</f>
        <v>46311</v>
      </c>
      <c r="F544" s="5" t="str">
        <f>IFERROR(__xludf.DUMMYFUNCTION("""COMPUTED_VALUE"""),"Available")</f>
        <v>Available</v>
      </c>
      <c r="G544" s="5"/>
      <c r="H544" s="5"/>
      <c r="I544" s="5"/>
      <c r="J544" s="5" t="str">
        <f>IFERROR(__xludf.DUMMYFUNCTION("""COMPUTED_VALUE"""),"Endocrinology/Metabolism; Gastroenterology; Other; Pediatric")</f>
        <v>Endocrinology/Metabolism; Gastroenterology; Other; Pediatric</v>
      </c>
      <c r="K544" s="5" t="str">
        <f>IFERROR(__xludf.DUMMYFUNCTION("""COMPUTED_VALUE"""),"Current")</f>
        <v>Current</v>
      </c>
      <c r="L544" s="5"/>
      <c r="M544" s="5"/>
      <c r="N544" s="10">
        <f>IFERROR(__xludf.DUMMYFUNCTION("""COMPUTED_VALUE"""),44606.0)</f>
        <v>44606</v>
      </c>
      <c r="O544" s="5">
        <v>2022.0</v>
      </c>
      <c r="P544" s="5" t="str">
        <f>IFERROR(__xludf.DUMMYFUNCTION("""COMPUTED_VALUE"""),"Available")</f>
        <v>Available</v>
      </c>
      <c r="Q544" s="5" t="s">
        <v>135</v>
      </c>
      <c r="R544" s="5" t="s">
        <v>136</v>
      </c>
      <c r="S544" s="11">
        <v>1715.0</v>
      </c>
    </row>
    <row r="545">
      <c r="A545" s="5" t="str">
        <f>IFERROR(__xludf.DUMMYFUNCTION("""COMPUTED_VALUE"""),"Dextrose Monohydrate 5% Injection")</f>
        <v>Dextrose Monohydrate 5% Injection</v>
      </c>
      <c r="B545" s="5" t="str">
        <f>IFERROR(__xludf.DUMMYFUNCTION("""COMPUTED_VALUE"""),"Baxter Healthcare")</f>
        <v>Baxter Healthcare</v>
      </c>
      <c r="C545" s="5" t="str">
        <f>IFERROR(__xludf.DUMMYFUNCTION("""COMPUTED_VALUE"""),"Dextrose 5% In Plastic Container, Injection, 50 g/1000 mL (NDC 0338-0017-03)")</f>
        <v>Dextrose 5% In Plastic Container, Injection, 50 g/1000 mL (NDC 0338-0017-03)</v>
      </c>
      <c r="D545" s="5" t="str">
        <f>IFERROR(__xludf.DUMMYFUNCTION("""COMPUTED_VALUE"""),"Reverified")</f>
        <v>Reverified</v>
      </c>
      <c r="E545" s="13">
        <f>IFERROR(__xludf.DUMMYFUNCTION("""COMPUTED_VALUE"""),46311.0)</f>
        <v>46311</v>
      </c>
      <c r="F545" s="5" t="str">
        <f>IFERROR(__xludf.DUMMYFUNCTION("""COMPUTED_VALUE"""),"Available")</f>
        <v>Available</v>
      </c>
      <c r="G545" s="5"/>
      <c r="H545" s="5"/>
      <c r="I545" s="5"/>
      <c r="J545" s="5" t="str">
        <f>IFERROR(__xludf.DUMMYFUNCTION("""COMPUTED_VALUE"""),"Endocrinology/Metabolism; Gastroenterology; Other; Pediatric")</f>
        <v>Endocrinology/Metabolism; Gastroenterology; Other; Pediatric</v>
      </c>
      <c r="K545" s="5" t="str">
        <f>IFERROR(__xludf.DUMMYFUNCTION("""COMPUTED_VALUE"""),"Current")</f>
        <v>Current</v>
      </c>
      <c r="L545" s="5"/>
      <c r="M545" s="5"/>
      <c r="N545" s="10">
        <f>IFERROR(__xludf.DUMMYFUNCTION("""COMPUTED_VALUE"""),44606.0)</f>
        <v>44606</v>
      </c>
      <c r="O545" s="5">
        <v>2022.0</v>
      </c>
      <c r="P545" s="5" t="str">
        <f>IFERROR(__xludf.DUMMYFUNCTION("""COMPUTED_VALUE"""),"Available")</f>
        <v>Available</v>
      </c>
      <c r="Q545" s="5" t="s">
        <v>135</v>
      </c>
      <c r="R545" s="5" t="s">
        <v>136</v>
      </c>
      <c r="S545" s="11">
        <v>1715.0</v>
      </c>
    </row>
    <row r="546">
      <c r="A546" s="5" t="str">
        <f>IFERROR(__xludf.DUMMYFUNCTION("""COMPUTED_VALUE"""),"Dextrose Monohydrate 5% Injection")</f>
        <v>Dextrose Monohydrate 5% Injection</v>
      </c>
      <c r="B546" s="5" t="str">
        <f>IFERROR(__xludf.DUMMYFUNCTION("""COMPUTED_VALUE"""),"B. Braun Medical Inc.")</f>
        <v>B. Braun Medical Inc.</v>
      </c>
      <c r="C546" s="5" t="str">
        <f>IFERROR(__xludf.DUMMYFUNCTION("""COMPUTED_VALUE"""),"Dextrose Monohydrate 5%, Injection, 5 g/100 mL (NDC 0264-7510-10)")</f>
        <v>Dextrose Monohydrate 5%, Injection, 5 g/100 mL (NDC 0264-7510-10)</v>
      </c>
      <c r="D546" s="5" t="str">
        <f>IFERROR(__xludf.DUMMYFUNCTION("""COMPUTED_VALUE"""),"Reverified")</f>
        <v>Reverified</v>
      </c>
      <c r="E546" s="13">
        <f>IFERROR(__xludf.DUMMYFUNCTION("""COMPUTED_VALUE"""),46314.0)</f>
        <v>46314</v>
      </c>
      <c r="F546" s="5" t="str">
        <f>IFERROR(__xludf.DUMMYFUNCTION("""COMPUTED_VALUE"""),"Available")</f>
        <v>Available</v>
      </c>
      <c r="G546" s="5"/>
      <c r="H546" s="5"/>
      <c r="I546" s="5"/>
      <c r="J546" s="5" t="str">
        <f>IFERROR(__xludf.DUMMYFUNCTION("""COMPUTED_VALUE"""),"Endocrinology/Metabolism; Gastroenterology; Other; Pediatric")</f>
        <v>Endocrinology/Metabolism; Gastroenterology; Other; Pediatric</v>
      </c>
      <c r="K546" s="5" t="str">
        <f>IFERROR(__xludf.DUMMYFUNCTION("""COMPUTED_VALUE"""),"Current")</f>
        <v>Current</v>
      </c>
      <c r="L546" s="5"/>
      <c r="M546" s="5"/>
      <c r="N546" s="10">
        <f>IFERROR(__xludf.DUMMYFUNCTION("""COMPUTED_VALUE"""),44606.0)</f>
        <v>44606</v>
      </c>
      <c r="O546" s="5">
        <v>2022.0</v>
      </c>
      <c r="P546" s="5" t="str">
        <f>IFERROR(__xludf.DUMMYFUNCTION("""COMPUTED_VALUE"""),"Available")</f>
        <v>Available</v>
      </c>
      <c r="Q546" s="5" t="s">
        <v>135</v>
      </c>
      <c r="R546" s="5" t="s">
        <v>136</v>
      </c>
      <c r="S546" s="11">
        <v>1715.0</v>
      </c>
    </row>
    <row r="547">
      <c r="A547" s="5" t="str">
        <f>IFERROR(__xludf.DUMMYFUNCTION("""COMPUTED_VALUE"""),"Dextrose Monohydrate 5% Injection")</f>
        <v>Dextrose Monohydrate 5% Injection</v>
      </c>
      <c r="B547" s="5" t="str">
        <f>IFERROR(__xludf.DUMMYFUNCTION("""COMPUTED_VALUE"""),"B. Braun Medical Inc.")</f>
        <v>B. Braun Medical Inc.</v>
      </c>
      <c r="C547" s="5" t="str">
        <f>IFERROR(__xludf.DUMMYFUNCTION("""COMPUTED_VALUE"""),"Dextrose Monohydrate 5%, Injection, 5 g/100 mL (NDC 0264-7510-00)")</f>
        <v>Dextrose Monohydrate 5%, Injection, 5 g/100 mL (NDC 0264-7510-00)</v>
      </c>
      <c r="D547" s="5" t="str">
        <f>IFERROR(__xludf.DUMMYFUNCTION("""COMPUTED_VALUE"""),"Reverified")</f>
        <v>Reverified</v>
      </c>
      <c r="E547" s="13">
        <f>IFERROR(__xludf.DUMMYFUNCTION("""COMPUTED_VALUE"""),46314.0)</f>
        <v>46314</v>
      </c>
      <c r="F547" s="5" t="str">
        <f>IFERROR(__xludf.DUMMYFUNCTION("""COMPUTED_VALUE"""),"Available")</f>
        <v>Available</v>
      </c>
      <c r="G547" s="5"/>
      <c r="H547" s="5"/>
      <c r="I547" s="5"/>
      <c r="J547" s="5" t="str">
        <f>IFERROR(__xludf.DUMMYFUNCTION("""COMPUTED_VALUE"""),"Endocrinology/Metabolism; Gastroenterology; Other; Pediatric")</f>
        <v>Endocrinology/Metabolism; Gastroenterology; Other; Pediatric</v>
      </c>
      <c r="K547" s="5" t="str">
        <f>IFERROR(__xludf.DUMMYFUNCTION("""COMPUTED_VALUE"""),"Current")</f>
        <v>Current</v>
      </c>
      <c r="L547" s="5"/>
      <c r="M547" s="5"/>
      <c r="N547" s="10">
        <f>IFERROR(__xludf.DUMMYFUNCTION("""COMPUTED_VALUE"""),44606.0)</f>
        <v>44606</v>
      </c>
      <c r="O547" s="5">
        <v>2022.0</v>
      </c>
      <c r="P547" s="5" t="str">
        <f>IFERROR(__xludf.DUMMYFUNCTION("""COMPUTED_VALUE"""),"Available")</f>
        <v>Available</v>
      </c>
      <c r="Q547" s="5" t="s">
        <v>135</v>
      </c>
      <c r="R547" s="5" t="s">
        <v>136</v>
      </c>
      <c r="S547" s="11">
        <v>1715.0</v>
      </c>
    </row>
    <row r="548">
      <c r="A548" s="5" t="str">
        <f>IFERROR(__xludf.DUMMYFUNCTION("""COMPUTED_VALUE"""),"Dextrose Monohydrate 5% Injection")</f>
        <v>Dextrose Monohydrate 5% Injection</v>
      </c>
      <c r="B548" s="5" t="str">
        <f>IFERROR(__xludf.DUMMYFUNCTION("""COMPUTED_VALUE"""),"B. Braun Medical Inc.")</f>
        <v>B. Braun Medical Inc.</v>
      </c>
      <c r="C548" s="5" t="str">
        <f>IFERROR(__xludf.DUMMYFUNCTION("""COMPUTED_VALUE"""),"Dextrose Monohydrate 5%, Injection, 5 g/100 mL (NDC 0264-7510-20)")</f>
        <v>Dextrose Monohydrate 5%, Injection, 5 g/100 mL (NDC 0264-7510-20)</v>
      </c>
      <c r="D548" s="5" t="str">
        <f>IFERROR(__xludf.DUMMYFUNCTION("""COMPUTED_VALUE"""),"Reverified")</f>
        <v>Reverified</v>
      </c>
      <c r="E548" s="13">
        <f>IFERROR(__xludf.DUMMYFUNCTION("""COMPUTED_VALUE"""),46314.0)</f>
        <v>46314</v>
      </c>
      <c r="F548" s="5" t="str">
        <f>IFERROR(__xludf.DUMMYFUNCTION("""COMPUTED_VALUE"""),"Available")</f>
        <v>Available</v>
      </c>
      <c r="G548" s="5"/>
      <c r="H548" s="5"/>
      <c r="I548" s="5"/>
      <c r="J548" s="5" t="str">
        <f>IFERROR(__xludf.DUMMYFUNCTION("""COMPUTED_VALUE"""),"Endocrinology/Metabolism; Gastroenterology; Other; Pediatric")</f>
        <v>Endocrinology/Metabolism; Gastroenterology; Other; Pediatric</v>
      </c>
      <c r="K548" s="5" t="str">
        <f>IFERROR(__xludf.DUMMYFUNCTION("""COMPUTED_VALUE"""),"Current")</f>
        <v>Current</v>
      </c>
      <c r="L548" s="5"/>
      <c r="M548" s="5"/>
      <c r="N548" s="10">
        <f>IFERROR(__xludf.DUMMYFUNCTION("""COMPUTED_VALUE"""),44606.0)</f>
        <v>44606</v>
      </c>
      <c r="O548" s="5">
        <v>2022.0</v>
      </c>
      <c r="P548" s="5" t="str">
        <f>IFERROR(__xludf.DUMMYFUNCTION("""COMPUTED_VALUE"""),"Available")</f>
        <v>Available</v>
      </c>
      <c r="Q548" s="5" t="s">
        <v>135</v>
      </c>
      <c r="R548" s="5" t="s">
        <v>136</v>
      </c>
      <c r="S548" s="11">
        <v>1715.0</v>
      </c>
    </row>
    <row r="549">
      <c r="A549" s="5" t="str">
        <f>IFERROR(__xludf.DUMMYFUNCTION("""COMPUTED_VALUE"""),"Dextrose Monohydrate 5% Injection")</f>
        <v>Dextrose Monohydrate 5% Injection</v>
      </c>
      <c r="B549" s="5" t="str">
        <f>IFERROR(__xludf.DUMMYFUNCTION("""COMPUTED_VALUE"""),"B. Braun Medical Inc.")</f>
        <v>B. Braun Medical Inc.</v>
      </c>
      <c r="C549" s="5" t="str">
        <f>IFERROR(__xludf.DUMMYFUNCTION("""COMPUTED_VALUE"""),"Dextrose 5% In Plastic Container, Injection, 50 mg/1 mL (NDC 0264-1510-32)")</f>
        <v>Dextrose 5% In Plastic Container, Injection, 50 mg/1 mL (NDC 0264-1510-32)</v>
      </c>
      <c r="D549" s="5" t="str">
        <f>IFERROR(__xludf.DUMMYFUNCTION("""COMPUTED_VALUE"""),"Reverified")</f>
        <v>Reverified</v>
      </c>
      <c r="E549" s="13">
        <f>IFERROR(__xludf.DUMMYFUNCTION("""COMPUTED_VALUE"""),46314.0)</f>
        <v>46314</v>
      </c>
      <c r="F549" s="5" t="str">
        <f>IFERROR(__xludf.DUMMYFUNCTION("""COMPUTED_VALUE"""),"Available")</f>
        <v>Available</v>
      </c>
      <c r="G549" s="5"/>
      <c r="H549" s="5"/>
      <c r="I549" s="5"/>
      <c r="J549" s="5" t="str">
        <f>IFERROR(__xludf.DUMMYFUNCTION("""COMPUTED_VALUE"""),"Endocrinology/Metabolism; Gastroenterology; Other; Pediatric")</f>
        <v>Endocrinology/Metabolism; Gastroenterology; Other; Pediatric</v>
      </c>
      <c r="K549" s="5" t="str">
        <f>IFERROR(__xludf.DUMMYFUNCTION("""COMPUTED_VALUE"""),"Current")</f>
        <v>Current</v>
      </c>
      <c r="L549" s="5"/>
      <c r="M549" s="5"/>
      <c r="N549" s="10">
        <f>IFERROR(__xludf.DUMMYFUNCTION("""COMPUTED_VALUE"""),44606.0)</f>
        <v>44606</v>
      </c>
      <c r="O549" s="5">
        <v>2022.0</v>
      </c>
      <c r="P549" s="5" t="str">
        <f>IFERROR(__xludf.DUMMYFUNCTION("""COMPUTED_VALUE"""),"Available")</f>
        <v>Available</v>
      </c>
      <c r="Q549" s="5" t="s">
        <v>135</v>
      </c>
      <c r="R549" s="5" t="s">
        <v>136</v>
      </c>
      <c r="S549" s="11">
        <v>1715.0</v>
      </c>
    </row>
    <row r="550">
      <c r="A550" s="5" t="str">
        <f>IFERROR(__xludf.DUMMYFUNCTION("""COMPUTED_VALUE"""),"Dextrose Monohydrate 5% Injection")</f>
        <v>Dextrose Monohydrate 5% Injection</v>
      </c>
      <c r="B550" s="5" t="str">
        <f>IFERROR(__xludf.DUMMYFUNCTION("""COMPUTED_VALUE"""),"B. Braun Medical Inc.")</f>
        <v>B. Braun Medical Inc.</v>
      </c>
      <c r="C550" s="5" t="str">
        <f>IFERROR(__xludf.DUMMYFUNCTION("""COMPUTED_VALUE"""),"Dextrose 5% In Plastic Container, Injection, 50 mg/1 mL (NDC 0264-1510-31)")</f>
        <v>Dextrose 5% In Plastic Container, Injection, 50 mg/1 mL (NDC 0264-1510-31)</v>
      </c>
      <c r="D550" s="5" t="str">
        <f>IFERROR(__xludf.DUMMYFUNCTION("""COMPUTED_VALUE"""),"Reverified")</f>
        <v>Reverified</v>
      </c>
      <c r="E550" s="13">
        <f>IFERROR(__xludf.DUMMYFUNCTION("""COMPUTED_VALUE"""),46314.0)</f>
        <v>46314</v>
      </c>
      <c r="F550" s="5" t="str">
        <f>IFERROR(__xludf.DUMMYFUNCTION("""COMPUTED_VALUE"""),"Available")</f>
        <v>Available</v>
      </c>
      <c r="G550" s="5"/>
      <c r="H550" s="5"/>
      <c r="I550" s="5"/>
      <c r="J550" s="5" t="str">
        <f>IFERROR(__xludf.DUMMYFUNCTION("""COMPUTED_VALUE"""),"Endocrinology/Metabolism; Gastroenterology; Other; Pediatric")</f>
        <v>Endocrinology/Metabolism; Gastroenterology; Other; Pediatric</v>
      </c>
      <c r="K550" s="5" t="str">
        <f>IFERROR(__xludf.DUMMYFUNCTION("""COMPUTED_VALUE"""),"Current")</f>
        <v>Current</v>
      </c>
      <c r="L550" s="5"/>
      <c r="M550" s="5"/>
      <c r="N550" s="10">
        <f>IFERROR(__xludf.DUMMYFUNCTION("""COMPUTED_VALUE"""),44606.0)</f>
        <v>44606</v>
      </c>
      <c r="O550" s="5">
        <v>2022.0</v>
      </c>
      <c r="P550" s="5" t="str">
        <f>IFERROR(__xludf.DUMMYFUNCTION("""COMPUTED_VALUE"""),"Available")</f>
        <v>Available</v>
      </c>
      <c r="Q550" s="5" t="s">
        <v>135</v>
      </c>
      <c r="R550" s="5" t="s">
        <v>136</v>
      </c>
      <c r="S550" s="11">
        <v>1715.0</v>
      </c>
    </row>
    <row r="551">
      <c r="A551" s="5" t="str">
        <f>IFERROR(__xludf.DUMMYFUNCTION("""COMPUTED_VALUE"""),"Dextrose Monohydrate 5% Injection")</f>
        <v>Dextrose Monohydrate 5% Injection</v>
      </c>
      <c r="B551" s="5" t="str">
        <f>IFERROR(__xludf.DUMMYFUNCTION("""COMPUTED_VALUE"""),"Otsuka ICU Medical LLC")</f>
        <v>Otsuka ICU Medical LLC</v>
      </c>
      <c r="C551" s="5" t="str">
        <f>IFERROR(__xludf.DUMMYFUNCTION("""COMPUTED_VALUE"""),"Dextrose 5% In Plastic Container, Injection, 5 g/100 mL (NDC 0990-7922-03)")</f>
        <v>Dextrose 5% In Plastic Container, Injection, 5 g/100 mL (NDC 0990-7922-03)</v>
      </c>
      <c r="D551" s="5" t="str">
        <f>IFERROR(__xludf.DUMMYFUNCTION("""COMPUTED_VALUE"""),"Reverified")</f>
        <v>Reverified</v>
      </c>
      <c r="E551" s="13">
        <f>IFERROR(__xludf.DUMMYFUNCTION("""COMPUTED_VALUE"""),46311.0)</f>
        <v>46311</v>
      </c>
      <c r="F551" s="5" t="str">
        <f>IFERROR(__xludf.DUMMYFUNCTION("""COMPUTED_VALUE"""),"Available")</f>
        <v>Available</v>
      </c>
      <c r="G551" s="5" t="str">
        <f>IFERROR(__xludf.DUMMYFUNCTION("""COMPUTED_VALUE"""),"This product is distributed by ICU Medical. For questions regarding this product, please contact ICU Medical.")</f>
        <v>This product is distributed by ICU Medical. For questions regarding this product, please contact ICU Medical.</v>
      </c>
      <c r="H551" s="5"/>
      <c r="I551" s="5"/>
      <c r="J551" s="5" t="str">
        <f>IFERROR(__xludf.DUMMYFUNCTION("""COMPUTED_VALUE"""),"Endocrinology/Metabolism; Gastroenterology; Other; Pediatric")</f>
        <v>Endocrinology/Metabolism; Gastroenterology; Other; Pediatric</v>
      </c>
      <c r="K551" s="5" t="str">
        <f>IFERROR(__xludf.DUMMYFUNCTION("""COMPUTED_VALUE"""),"Current")</f>
        <v>Current</v>
      </c>
      <c r="L551" s="5"/>
      <c r="M551" s="5"/>
      <c r="N551" s="10">
        <f>IFERROR(__xludf.DUMMYFUNCTION("""COMPUTED_VALUE"""),44606.0)</f>
        <v>44606</v>
      </c>
      <c r="O551" s="5">
        <v>2022.0</v>
      </c>
      <c r="P551" s="5" t="str">
        <f>IFERROR(__xludf.DUMMYFUNCTION("""COMPUTED_VALUE"""),"Available")</f>
        <v>Available</v>
      </c>
      <c r="Q551" s="5" t="s">
        <v>135</v>
      </c>
      <c r="R551" s="5" t="s">
        <v>136</v>
      </c>
      <c r="S551" s="11">
        <v>1715.0</v>
      </c>
    </row>
    <row r="552">
      <c r="A552" s="5" t="str">
        <f>IFERROR(__xludf.DUMMYFUNCTION("""COMPUTED_VALUE"""),"Dextrose Monohydrate 5% Injection")</f>
        <v>Dextrose Monohydrate 5% Injection</v>
      </c>
      <c r="B552" s="5" t="str">
        <f>IFERROR(__xludf.DUMMYFUNCTION("""COMPUTED_VALUE"""),"Otsuka ICU Medical LLC")</f>
        <v>Otsuka ICU Medical LLC</v>
      </c>
      <c r="C552" s="5" t="str">
        <f>IFERROR(__xludf.DUMMYFUNCTION("""COMPUTED_VALUE"""),"Dextrose 5% In Plastic Container, Injection, 5 g/100 mL (NDC 0990-7922-55)")</f>
        <v>Dextrose 5% In Plastic Container, Injection, 5 g/100 mL (NDC 0990-7922-55)</v>
      </c>
      <c r="D552" s="5" t="str">
        <f>IFERROR(__xludf.DUMMYFUNCTION("""COMPUTED_VALUE"""),"Reverified")</f>
        <v>Reverified</v>
      </c>
      <c r="E552" s="13">
        <f>IFERROR(__xludf.DUMMYFUNCTION("""COMPUTED_VALUE"""),46311.0)</f>
        <v>46311</v>
      </c>
      <c r="F552" s="5" t="str">
        <f>IFERROR(__xludf.DUMMYFUNCTION("""COMPUTED_VALUE"""),"Available")</f>
        <v>Available</v>
      </c>
      <c r="G552" s="5" t="str">
        <f>IFERROR(__xludf.DUMMYFUNCTION("""COMPUTED_VALUE"""),"This product is distributed by ICU Medical. For questions regarding this product, please contact ICU Medical.")</f>
        <v>This product is distributed by ICU Medical. For questions regarding this product, please contact ICU Medical.</v>
      </c>
      <c r="H552" s="5"/>
      <c r="I552" s="5"/>
      <c r="J552" s="5" t="str">
        <f>IFERROR(__xludf.DUMMYFUNCTION("""COMPUTED_VALUE"""),"Endocrinology/Metabolism; Gastroenterology; Other; Pediatric")</f>
        <v>Endocrinology/Metabolism; Gastroenterology; Other; Pediatric</v>
      </c>
      <c r="K552" s="5" t="str">
        <f>IFERROR(__xludf.DUMMYFUNCTION("""COMPUTED_VALUE"""),"Current")</f>
        <v>Current</v>
      </c>
      <c r="L552" s="5"/>
      <c r="M552" s="5"/>
      <c r="N552" s="10">
        <f>IFERROR(__xludf.DUMMYFUNCTION("""COMPUTED_VALUE"""),44606.0)</f>
        <v>44606</v>
      </c>
      <c r="O552" s="5">
        <v>2022.0</v>
      </c>
      <c r="P552" s="5" t="str">
        <f>IFERROR(__xludf.DUMMYFUNCTION("""COMPUTED_VALUE"""),"Available")</f>
        <v>Available</v>
      </c>
      <c r="Q552" s="5" t="s">
        <v>135</v>
      </c>
      <c r="R552" s="5" t="s">
        <v>136</v>
      </c>
      <c r="S552" s="11">
        <v>1715.0</v>
      </c>
    </row>
    <row r="553">
      <c r="A553" s="5" t="str">
        <f>IFERROR(__xludf.DUMMYFUNCTION("""COMPUTED_VALUE"""),"Dextrose Monohydrate 5% Injection")</f>
        <v>Dextrose Monohydrate 5% Injection</v>
      </c>
      <c r="B553" s="5" t="str">
        <f>IFERROR(__xludf.DUMMYFUNCTION("""COMPUTED_VALUE"""),"Otsuka ICU Medical LLC")</f>
        <v>Otsuka ICU Medical LLC</v>
      </c>
      <c r="C553" s="5" t="str">
        <f>IFERROR(__xludf.DUMMYFUNCTION("""COMPUTED_VALUE"""),"Dextrose 5% In Plastic Container, Injection, 5 g/100 mL (NDC 0990-7922-09)")</f>
        <v>Dextrose 5% In Plastic Container, Injection, 5 g/100 mL (NDC 0990-7922-09)</v>
      </c>
      <c r="D553" s="5" t="str">
        <f>IFERROR(__xludf.DUMMYFUNCTION("""COMPUTED_VALUE"""),"Reverified")</f>
        <v>Reverified</v>
      </c>
      <c r="E553" s="13">
        <f>IFERROR(__xludf.DUMMYFUNCTION("""COMPUTED_VALUE"""),46311.0)</f>
        <v>46311</v>
      </c>
      <c r="F553" s="5" t="str">
        <f>IFERROR(__xludf.DUMMYFUNCTION("""COMPUTED_VALUE"""),"Available")</f>
        <v>Available</v>
      </c>
      <c r="G553" s="5" t="str">
        <f>IFERROR(__xludf.DUMMYFUNCTION("""COMPUTED_VALUE"""),"This product is distributed by ICU Medical. For questions regarding this product, please contact ICU Medical.")</f>
        <v>This product is distributed by ICU Medical. For questions regarding this product, please contact ICU Medical.</v>
      </c>
      <c r="H553" s="5"/>
      <c r="I553" s="5"/>
      <c r="J553" s="5" t="str">
        <f>IFERROR(__xludf.DUMMYFUNCTION("""COMPUTED_VALUE"""),"Endocrinology/Metabolism; Gastroenterology; Other; Pediatric")</f>
        <v>Endocrinology/Metabolism; Gastroenterology; Other; Pediatric</v>
      </c>
      <c r="K553" s="5" t="str">
        <f>IFERROR(__xludf.DUMMYFUNCTION("""COMPUTED_VALUE"""),"Current")</f>
        <v>Current</v>
      </c>
      <c r="L553" s="5"/>
      <c r="M553" s="5"/>
      <c r="N553" s="10">
        <f>IFERROR(__xludf.DUMMYFUNCTION("""COMPUTED_VALUE"""),44606.0)</f>
        <v>44606</v>
      </c>
      <c r="O553" s="5">
        <v>2022.0</v>
      </c>
      <c r="P553" s="5" t="str">
        <f>IFERROR(__xludf.DUMMYFUNCTION("""COMPUTED_VALUE"""),"Available")</f>
        <v>Available</v>
      </c>
      <c r="Q553" s="5" t="s">
        <v>135</v>
      </c>
      <c r="R553" s="5" t="s">
        <v>136</v>
      </c>
      <c r="S553" s="11">
        <v>1715.0</v>
      </c>
    </row>
    <row r="554">
      <c r="A554" s="5" t="str">
        <f>IFERROR(__xludf.DUMMYFUNCTION("""COMPUTED_VALUE"""),"Dextrose Monohydrate 5% Injection")</f>
        <v>Dextrose Monohydrate 5% Injection</v>
      </c>
      <c r="B554" s="5" t="str">
        <f>IFERROR(__xludf.DUMMYFUNCTION("""COMPUTED_VALUE"""),"Baxter Healthcare")</f>
        <v>Baxter Healthcare</v>
      </c>
      <c r="C554" s="5" t="str">
        <f>IFERROR(__xludf.DUMMYFUNCTION("""COMPUTED_VALUE"""),"Dextrose 5% In Plastic Container, Injection, 5 g/100 mL (NDC 0338-0078-20)")</f>
        <v>Dextrose 5% In Plastic Container, Injection, 5 g/100 mL (NDC 0338-0078-20)</v>
      </c>
      <c r="D554" s="5" t="str">
        <f>IFERROR(__xludf.DUMMYFUNCTION("""COMPUTED_VALUE"""),"Reverified")</f>
        <v>Reverified</v>
      </c>
      <c r="E554" s="13">
        <f>IFERROR(__xludf.DUMMYFUNCTION("""COMPUTED_VALUE"""),46311.0)</f>
        <v>46311</v>
      </c>
      <c r="F554" s="5" t="str">
        <f>IFERROR(__xludf.DUMMYFUNCTION("""COMPUTED_VALUE"""),"Available")</f>
        <v>Available</v>
      </c>
      <c r="G554" s="5"/>
      <c r="H554" s="5"/>
      <c r="I554" s="5"/>
      <c r="J554" s="5" t="str">
        <f>IFERROR(__xludf.DUMMYFUNCTION("""COMPUTED_VALUE"""),"Endocrinology/Metabolism; Gastroenterology; Other; Pediatric")</f>
        <v>Endocrinology/Metabolism; Gastroenterology; Other; Pediatric</v>
      </c>
      <c r="K554" s="5" t="str">
        <f>IFERROR(__xludf.DUMMYFUNCTION("""COMPUTED_VALUE"""),"Current")</f>
        <v>Current</v>
      </c>
      <c r="L554" s="5"/>
      <c r="M554" s="5"/>
      <c r="N554" s="10">
        <f>IFERROR(__xludf.DUMMYFUNCTION("""COMPUTED_VALUE"""),44606.0)</f>
        <v>44606</v>
      </c>
      <c r="O554" s="5">
        <v>2022.0</v>
      </c>
      <c r="P554" s="5" t="str">
        <f>IFERROR(__xludf.DUMMYFUNCTION("""COMPUTED_VALUE"""),"Available")</f>
        <v>Available</v>
      </c>
      <c r="Q554" s="5" t="s">
        <v>135</v>
      </c>
      <c r="R554" s="5" t="s">
        <v>136</v>
      </c>
      <c r="S554" s="11">
        <v>1715.0</v>
      </c>
    </row>
    <row r="555">
      <c r="A555" s="5" t="str">
        <f>IFERROR(__xludf.DUMMYFUNCTION("""COMPUTED_VALUE"""),"Dextrose Monohydrate 5% Injection")</f>
        <v>Dextrose Monohydrate 5% Injection</v>
      </c>
      <c r="B555" s="5" t="str">
        <f>IFERROR(__xludf.DUMMYFUNCTION("""COMPUTED_VALUE"""),"Baxter Healthcare")</f>
        <v>Baxter Healthcare</v>
      </c>
      <c r="C555" s="5" t="str">
        <f>IFERROR(__xludf.DUMMYFUNCTION("""COMPUTED_VALUE"""),"Dextrose 5% In Plastic Container, Injection, 5 g/100 mL (NDC 0338-0074-30)")</f>
        <v>Dextrose 5% In Plastic Container, Injection, 5 g/100 mL (NDC 0338-0074-30)</v>
      </c>
      <c r="D555" s="5" t="str">
        <f>IFERROR(__xludf.DUMMYFUNCTION("""COMPUTED_VALUE"""),"Reverified")</f>
        <v>Reverified</v>
      </c>
      <c r="E555" s="13">
        <f>IFERROR(__xludf.DUMMYFUNCTION("""COMPUTED_VALUE"""),46311.0)</f>
        <v>46311</v>
      </c>
      <c r="F555" s="5" t="str">
        <f>IFERROR(__xludf.DUMMYFUNCTION("""COMPUTED_VALUE"""),"Available")</f>
        <v>Available</v>
      </c>
      <c r="G555" s="5"/>
      <c r="H555" s="5"/>
      <c r="I555" s="5"/>
      <c r="J555" s="5" t="str">
        <f>IFERROR(__xludf.DUMMYFUNCTION("""COMPUTED_VALUE"""),"Endocrinology/Metabolism; Gastroenterology; Other; Pediatric")</f>
        <v>Endocrinology/Metabolism; Gastroenterology; Other; Pediatric</v>
      </c>
      <c r="K555" s="5" t="str">
        <f>IFERROR(__xludf.DUMMYFUNCTION("""COMPUTED_VALUE"""),"Current")</f>
        <v>Current</v>
      </c>
      <c r="L555" s="5"/>
      <c r="M555" s="5"/>
      <c r="N555" s="10">
        <f>IFERROR(__xludf.DUMMYFUNCTION("""COMPUTED_VALUE"""),46223.0)</f>
        <v>46223</v>
      </c>
      <c r="O555" s="5">
        <v>2026.0</v>
      </c>
      <c r="P555" s="5" t="str">
        <f>IFERROR(__xludf.DUMMYFUNCTION("""COMPUTED_VALUE"""),"Available")</f>
        <v>Available</v>
      </c>
      <c r="Q555" s="5" t="s">
        <v>135</v>
      </c>
      <c r="R555" s="5" t="s">
        <v>136</v>
      </c>
      <c r="S555" s="11">
        <v>98.0</v>
      </c>
    </row>
    <row r="556">
      <c r="A556" s="5" t="str">
        <f>IFERROR(__xludf.DUMMYFUNCTION("""COMPUTED_VALUE"""),"Dextrose Monohydrate 50% Injection")</f>
        <v>Dextrose Monohydrate 50% Injection</v>
      </c>
      <c r="B556" s="5" t="str">
        <f>IFERROR(__xludf.DUMMYFUNCTION("""COMPUTED_VALUE"""),"Amphastar Pharmaceuticals, Inc.")</f>
        <v>Amphastar Pharmaceuticals, Inc.</v>
      </c>
      <c r="C556" s="5" t="str">
        <f>IFERROR(__xludf.DUMMYFUNCTION("""COMPUTED_VALUE"""),"Dextrose Monohydrate 50%, Injection, 25 g/50 mL (NDC 76329-3302-1)")</f>
        <v>Dextrose Monohydrate 50%, Injection, 25 g/50 mL (NDC 76329-3302-1)</v>
      </c>
      <c r="D556" s="5" t="str">
        <f>IFERROR(__xludf.DUMMYFUNCTION("""COMPUTED_VALUE"""),"Reverified")</f>
        <v>Reverified</v>
      </c>
      <c r="E556" s="13">
        <f>IFERROR(__xludf.DUMMYFUNCTION("""COMPUTED_VALUE"""),46311.0)</f>
        <v>46311</v>
      </c>
      <c r="F556" s="5" t="str">
        <f>IFERROR(__xludf.DUMMYFUNCTION("""COMPUTED_VALUE"""),"Limited Availability")</f>
        <v>Limited Availability</v>
      </c>
      <c r="G556" s="5"/>
      <c r="H556" s="5"/>
      <c r="I556" s="5" t="str">
        <f>IFERROR(__xludf.DUMMYFUNCTION("""COMPUTED_VALUE"""),"Demand increase for the drug")</f>
        <v>Demand increase for the drug</v>
      </c>
      <c r="J556" s="5" t="str">
        <f>IFERROR(__xludf.DUMMYFUNCTION("""COMPUTED_VALUE"""),"Endocrinology/Metabolism; Gastroenterology; Pediatric")</f>
        <v>Endocrinology/Metabolism; Gastroenterology; Pediatric</v>
      </c>
      <c r="K556" s="5" t="str">
        <f>IFERROR(__xludf.DUMMYFUNCTION("""COMPUTED_VALUE"""),"Current")</f>
        <v>Current</v>
      </c>
      <c r="L556" s="5"/>
      <c r="M556" s="5"/>
      <c r="N556" s="10">
        <f>IFERROR(__xludf.DUMMYFUNCTION("""COMPUTED_VALUE"""),44574.0)</f>
        <v>44574</v>
      </c>
      <c r="O556" s="5">
        <v>2022.0</v>
      </c>
      <c r="P556" s="5" t="str">
        <f>IFERROR(__xludf.DUMMYFUNCTION("""COMPUTED_VALUE"""),"Limited Availability")</f>
        <v>Limited Availability</v>
      </c>
      <c r="Q556" s="5" t="s">
        <v>134</v>
      </c>
      <c r="R556" s="5" t="s">
        <v>136</v>
      </c>
      <c r="S556" s="11">
        <v>1747.0</v>
      </c>
    </row>
    <row r="557">
      <c r="A557" s="5" t="str">
        <f>IFERROR(__xludf.DUMMYFUNCTION("""COMPUTED_VALUE"""),"Dextrose Monohydrate 50% Injection")</f>
        <v>Dextrose Monohydrate 50% Injection</v>
      </c>
      <c r="B557" s="5" t="str">
        <f>IFERROR(__xludf.DUMMYFUNCTION("""COMPUTED_VALUE"""),"Hospira, Inc., a Pfizer Company")</f>
        <v>Hospira, Inc., a Pfizer Company</v>
      </c>
      <c r="C557" s="5" t="str">
        <f>IFERROR(__xludf.DUMMYFUNCTION("""COMPUTED_VALUE"""),"Dextrose Monohydrate 50%, Injection, 25 g/50 mL (NDC 0409-7517-16)")</f>
        <v>Dextrose Monohydrate 50%, Injection, 25 g/50 mL (NDC 0409-7517-16)</v>
      </c>
      <c r="D557" s="5" t="str">
        <f>IFERROR(__xludf.DUMMYFUNCTION("""COMPUTED_VALUE"""),"Revised")</f>
        <v>Revised</v>
      </c>
      <c r="E557" s="10">
        <f>IFERROR(__xludf.DUMMYFUNCTION("""COMPUTED_VALUE"""),46303.0)</f>
        <v>46303</v>
      </c>
      <c r="F557" s="5" t="str">
        <f>IFERROR(__xludf.DUMMYFUNCTION("""COMPUTED_VALUE"""),"Unavailable")</f>
        <v>Unavailable</v>
      </c>
      <c r="G557" s="5" t="str">
        <f>IFERROR(__xludf.DUMMYFUNCTION("""COMPUTED_VALUE"""),"Next Delivery: October 2026; Estimated Recovery: March 2027; Shortage per Manufacturer: Manufacturing Delay")</f>
        <v>Next Delivery: October 2026; Estimated Recovery: March 2027; Shortage per Manufacturer: Manufacturing Delay</v>
      </c>
      <c r="H557" s="5"/>
      <c r="I557" s="5" t="str">
        <f>IFERROR(__xludf.DUMMYFUNCTION("""COMPUTED_VALUE"""),"Other")</f>
        <v>Other</v>
      </c>
      <c r="J557" s="5" t="str">
        <f>IFERROR(__xludf.DUMMYFUNCTION("""COMPUTED_VALUE"""),"Endocrinology/Metabolism; Gastroenterology; Pediatric")</f>
        <v>Endocrinology/Metabolism; Gastroenterology; Pediatric</v>
      </c>
      <c r="K557" s="5" t="str">
        <f>IFERROR(__xludf.DUMMYFUNCTION("""COMPUTED_VALUE"""),"Current")</f>
        <v>Current</v>
      </c>
      <c r="L557" s="5"/>
      <c r="M557" s="5"/>
      <c r="N557" s="10">
        <f>IFERROR(__xludf.DUMMYFUNCTION("""COMPUTED_VALUE"""),44574.0)</f>
        <v>44574</v>
      </c>
      <c r="O557" s="5">
        <v>2022.0</v>
      </c>
      <c r="P557" s="5" t="str">
        <f>IFERROR(__xludf.DUMMYFUNCTION("""COMPUTED_VALUE"""),"Unavailable")</f>
        <v>Unavailable</v>
      </c>
      <c r="Q557" s="5" t="s">
        <v>47</v>
      </c>
      <c r="R557" s="5" t="s">
        <v>136</v>
      </c>
      <c r="S557" s="11">
        <v>1747.0</v>
      </c>
    </row>
    <row r="558">
      <c r="A558" s="5" t="str">
        <f>IFERROR(__xludf.DUMMYFUNCTION("""COMPUTED_VALUE"""),"Dextrose Monohydrate 50% Injection")</f>
        <v>Dextrose Monohydrate 50% Injection</v>
      </c>
      <c r="B558" s="5" t="str">
        <f>IFERROR(__xludf.DUMMYFUNCTION("""COMPUTED_VALUE"""),"Hospira, Inc., a Pfizer Company")</f>
        <v>Hospira, Inc., a Pfizer Company</v>
      </c>
      <c r="C558" s="5" t="str">
        <f>IFERROR(__xludf.DUMMYFUNCTION("""COMPUTED_VALUE"""),"Dextrose Monohydrate 50%, Injection, 25 g/50 mL (NDC 0409-6648-02)")</f>
        <v>Dextrose Monohydrate 50%, Injection, 25 g/50 mL (NDC 0409-6648-02)</v>
      </c>
      <c r="D558" s="5" t="str">
        <f>IFERROR(__xludf.DUMMYFUNCTION("""COMPUTED_VALUE"""),"Revised")</f>
        <v>Revised</v>
      </c>
      <c r="E558" s="13">
        <f>IFERROR(__xludf.DUMMYFUNCTION("""COMPUTED_VALUE"""),46316.0)</f>
        <v>46316</v>
      </c>
      <c r="F558" s="5" t="str">
        <f>IFERROR(__xludf.DUMMYFUNCTION("""COMPUTED_VALUE"""),"Limited Availability")</f>
        <v>Limited Availability</v>
      </c>
      <c r="G558" s="5" t="str">
        <f>IFERROR(__xludf.DUMMYFUNCTION("""COMPUTED_VALUE"""),"Next Delivery: November 2026; Estimated Recovery: December 2026. Shortage per Manufacturer: Manufacturing Delay")</f>
        <v>Next Delivery: November 2026; Estimated Recovery: December 2026. Shortage per Manufacturer: Manufacturing Delay</v>
      </c>
      <c r="H558" s="5"/>
      <c r="I558" s="5" t="str">
        <f>IFERROR(__xludf.DUMMYFUNCTION("""COMPUTED_VALUE"""),"Other")</f>
        <v>Other</v>
      </c>
      <c r="J558" s="5" t="str">
        <f>IFERROR(__xludf.DUMMYFUNCTION("""COMPUTED_VALUE"""),"Endocrinology/Metabolism; Gastroenterology; Pediatric")</f>
        <v>Endocrinology/Metabolism; Gastroenterology; Pediatric</v>
      </c>
      <c r="K558" s="5" t="str">
        <f>IFERROR(__xludf.DUMMYFUNCTION("""COMPUTED_VALUE"""),"Current")</f>
        <v>Current</v>
      </c>
      <c r="L558" s="5"/>
      <c r="M558" s="5"/>
      <c r="N558" s="10">
        <f>IFERROR(__xludf.DUMMYFUNCTION("""COMPUTED_VALUE"""),44574.0)</f>
        <v>44574</v>
      </c>
      <c r="O558" s="5">
        <v>2022.0</v>
      </c>
      <c r="P558" s="5" t="str">
        <f>IFERROR(__xludf.DUMMYFUNCTION("""COMPUTED_VALUE"""),"Limited Availability")</f>
        <v>Limited Availability</v>
      </c>
      <c r="Q558" s="5" t="s">
        <v>47</v>
      </c>
      <c r="R558" s="5" t="s">
        <v>136</v>
      </c>
      <c r="S558" s="11">
        <v>1747.0</v>
      </c>
    </row>
    <row r="559">
      <c r="A559" s="5" t="str">
        <f>IFERROR(__xludf.DUMMYFUNCTION("""COMPUTED_VALUE"""),"Dextrose Monohydrate 50% Injection")</f>
        <v>Dextrose Monohydrate 50% Injection</v>
      </c>
      <c r="B559" s="5" t="str">
        <f>IFERROR(__xludf.DUMMYFUNCTION("""COMPUTED_VALUE"""),"Hospira, Inc., a Pfizer Company")</f>
        <v>Hospira, Inc., a Pfizer Company</v>
      </c>
      <c r="C559" s="5" t="str">
        <f>IFERROR(__xludf.DUMMYFUNCTION("""COMPUTED_VALUE"""),"Dextrose Monohydrate 50%, Injection, 50% Dextrose Injection 0.5 g/mL; ABBOJECT® Glass Syringe (NDC 0409-4902-34)")</f>
        <v>Dextrose Monohydrate 50%, Injection, 50% Dextrose Injection 0.5 g/mL; ABBOJECT® Glass Syringe (NDC 0409-4902-34)</v>
      </c>
      <c r="D559" s="5" t="str">
        <f>IFERROR(__xludf.DUMMYFUNCTION("""COMPUTED_VALUE"""),"New")</f>
        <v>New</v>
      </c>
      <c r="E559" s="10">
        <f>IFERROR(__xludf.DUMMYFUNCTION("""COMPUTED_VALUE"""),45968.0)</f>
        <v>45968</v>
      </c>
      <c r="F559" s="5"/>
      <c r="G559" s="5" t="str">
        <f>IFERROR(__xludf.DUMMYFUNCTION("""COMPUTED_VALUE"""),"Discontinuation of the manufacture of the drug")</f>
        <v>Discontinuation of the manufacture of the drug</v>
      </c>
      <c r="H559" s="5"/>
      <c r="I559" s="5"/>
      <c r="J559" s="5" t="str">
        <f>IFERROR(__xludf.DUMMYFUNCTION("""COMPUTED_VALUE"""),"Endocrinology/Metabolism; Gastroenterology; Pediatric")</f>
        <v>Endocrinology/Metabolism; Gastroenterology; Pediatric</v>
      </c>
      <c r="K559" s="5" t="str">
        <f>IFERROR(__xludf.DUMMYFUNCTION("""COMPUTED_VALUE"""),"To Be Discontinued")</f>
        <v>To Be Discontinued</v>
      </c>
      <c r="L559" s="5"/>
      <c r="M559" s="10">
        <f>IFERROR(__xludf.DUMMYFUNCTION("""COMPUTED_VALUE"""),45968.0)</f>
        <v>45968</v>
      </c>
      <c r="N559" s="10">
        <f>IFERROR(__xludf.DUMMYFUNCTION("""COMPUTED_VALUE"""),45968.0)</f>
        <v>45968</v>
      </c>
      <c r="O559" s="5">
        <v>2025.0</v>
      </c>
      <c r="P559" s="5" t="str">
        <f>IFERROR(__xludf.DUMMYFUNCTION("""COMPUTED_VALUE"""),"Not stated")</f>
        <v>Not stated</v>
      </c>
      <c r="Q559" s="5" t="s">
        <v>135</v>
      </c>
      <c r="R559" s="5" t="s">
        <v>136</v>
      </c>
      <c r="S559" s="11">
        <v>353.0</v>
      </c>
    </row>
    <row r="560">
      <c r="A560" s="5" t="str">
        <f>IFERROR(__xludf.DUMMYFUNCTION("""COMPUTED_VALUE"""),"Dextrose Monohydrate 70% Injection")</f>
        <v>Dextrose Monohydrate 70% Injection</v>
      </c>
      <c r="B560" s="5" t="str">
        <f>IFERROR(__xludf.DUMMYFUNCTION("""COMPUTED_VALUE"""),"Otsuka ICU Medical LLC")</f>
        <v>Otsuka ICU Medical LLC</v>
      </c>
      <c r="C560" s="5" t="str">
        <f>IFERROR(__xludf.DUMMYFUNCTION("""COMPUTED_VALUE"""),"DEXTROSE 70% IN PLASTIC CONTAINER, Injection, 70 g/100 mL (NDC 0990-7120-07)")</f>
        <v>DEXTROSE 70% IN PLASTIC CONTAINER, Injection, 70 g/100 mL (NDC 0990-7120-07)</v>
      </c>
      <c r="D560" s="5" t="str">
        <f>IFERROR(__xludf.DUMMYFUNCTION("""COMPUTED_VALUE"""),"Reverified")</f>
        <v>Reverified</v>
      </c>
      <c r="E560" s="13">
        <f>IFERROR(__xludf.DUMMYFUNCTION("""COMPUTED_VALUE"""),46311.0)</f>
        <v>46311</v>
      </c>
      <c r="F560" s="5" t="str">
        <f>IFERROR(__xludf.DUMMYFUNCTION("""COMPUTED_VALUE"""),"Available")</f>
        <v>Available</v>
      </c>
      <c r="G560" s="5" t="str">
        <f>IFERROR(__xludf.DUMMYFUNCTION("""COMPUTED_VALUE"""),"This product is distributed by ICU Medical. For questions regarding this product, please contact ICU Medical.")</f>
        <v>This product is distributed by ICU Medical. For questions regarding this product, please contact ICU Medical.</v>
      </c>
      <c r="H560" s="5"/>
      <c r="I560" s="5"/>
      <c r="J560" s="5" t="str">
        <f>IFERROR(__xludf.DUMMYFUNCTION("""COMPUTED_VALUE"""),"Endocrinology/Metabolism; Gastroenterology; Other; Pediatric")</f>
        <v>Endocrinology/Metabolism; Gastroenterology; Other; Pediatric</v>
      </c>
      <c r="K560" s="5" t="str">
        <f>IFERROR(__xludf.DUMMYFUNCTION("""COMPUTED_VALUE"""),"Current")</f>
        <v>Current</v>
      </c>
      <c r="L560" s="5"/>
      <c r="M560" s="5"/>
      <c r="N560" s="13">
        <f>IFERROR(__xludf.DUMMYFUNCTION("""COMPUTED_VALUE"""),45576.0)</f>
        <v>45576</v>
      </c>
      <c r="O560" s="5">
        <v>2024.0</v>
      </c>
      <c r="P560" s="5" t="str">
        <f>IFERROR(__xludf.DUMMYFUNCTION("""COMPUTED_VALUE"""),"Available")</f>
        <v>Available</v>
      </c>
      <c r="Q560" s="5" t="s">
        <v>135</v>
      </c>
      <c r="R560" s="5" t="s">
        <v>136</v>
      </c>
      <c r="S560" s="11">
        <v>745.0</v>
      </c>
    </row>
    <row r="561">
      <c r="A561" s="5" t="str">
        <f>IFERROR(__xludf.DUMMYFUNCTION("""COMPUTED_VALUE"""),"Dextrose Monohydrate 70% Injection")</f>
        <v>Dextrose Monohydrate 70% Injection</v>
      </c>
      <c r="B561" s="5" t="str">
        <f>IFERROR(__xludf.DUMMYFUNCTION("""COMPUTED_VALUE"""),"B. Braun Medical Inc.")</f>
        <v>B. Braun Medical Inc.</v>
      </c>
      <c r="C561" s="5" t="str">
        <f>IFERROR(__xludf.DUMMYFUNCTION("""COMPUTED_VALUE"""),"Dextrose Monohydrate 70%, Injection, 70 g/100 mL (NDC 0264-7387-50)")</f>
        <v>Dextrose Monohydrate 70%, Injection, 70 g/100 mL (NDC 0264-7387-50)</v>
      </c>
      <c r="D561" s="5" t="str">
        <f>IFERROR(__xludf.DUMMYFUNCTION("""COMPUTED_VALUE"""),"Reverified")</f>
        <v>Reverified</v>
      </c>
      <c r="E561" s="13">
        <f>IFERROR(__xludf.DUMMYFUNCTION("""COMPUTED_VALUE"""),46314.0)</f>
        <v>46314</v>
      </c>
      <c r="F561" s="5" t="str">
        <f>IFERROR(__xludf.DUMMYFUNCTION("""COMPUTED_VALUE"""),"Available")</f>
        <v>Available</v>
      </c>
      <c r="G561" s="5"/>
      <c r="H561" s="5"/>
      <c r="I561" s="5"/>
      <c r="J561" s="5" t="str">
        <f>IFERROR(__xludf.DUMMYFUNCTION("""COMPUTED_VALUE"""),"Endocrinology/Metabolism; Gastroenterology; Other; Pediatric")</f>
        <v>Endocrinology/Metabolism; Gastroenterology; Other; Pediatric</v>
      </c>
      <c r="K561" s="5" t="str">
        <f>IFERROR(__xludf.DUMMYFUNCTION("""COMPUTED_VALUE"""),"Current")</f>
        <v>Current</v>
      </c>
      <c r="L561" s="5"/>
      <c r="M561" s="5"/>
      <c r="N561" s="13">
        <f>IFERROR(__xludf.DUMMYFUNCTION("""COMPUTED_VALUE"""),45576.0)</f>
        <v>45576</v>
      </c>
      <c r="O561" s="5">
        <v>2024.0</v>
      </c>
      <c r="P561" s="5" t="str">
        <f>IFERROR(__xludf.DUMMYFUNCTION("""COMPUTED_VALUE"""),"Available")</f>
        <v>Available</v>
      </c>
      <c r="Q561" s="5" t="s">
        <v>135</v>
      </c>
      <c r="R561" s="5" t="s">
        <v>136</v>
      </c>
      <c r="S561" s="11">
        <v>745.0</v>
      </c>
    </row>
    <row r="562">
      <c r="A562" s="5" t="str">
        <f>IFERROR(__xludf.DUMMYFUNCTION("""COMPUTED_VALUE"""),"Dextrose Monohydrate 70% Injection")</f>
        <v>Dextrose Monohydrate 70% Injection</v>
      </c>
      <c r="B562" s="5" t="str">
        <f>IFERROR(__xludf.DUMMYFUNCTION("""COMPUTED_VALUE"""),"Otsuka ICU Medical LLC")</f>
        <v>Otsuka ICU Medical LLC</v>
      </c>
      <c r="C562" s="5" t="str">
        <f>IFERROR(__xludf.DUMMYFUNCTION("""COMPUTED_VALUE"""),"DEXTROSE 70% IN PLASTIC CONTAINER, Injection, 70 g/100 mL (NDC 0990-7918-19)")</f>
        <v>DEXTROSE 70% IN PLASTIC CONTAINER, Injection, 70 g/100 mL (NDC 0990-7918-19)</v>
      </c>
      <c r="D562" s="5" t="str">
        <f>IFERROR(__xludf.DUMMYFUNCTION("""COMPUTED_VALUE"""),"Reverified")</f>
        <v>Reverified</v>
      </c>
      <c r="E562" s="13">
        <f>IFERROR(__xludf.DUMMYFUNCTION("""COMPUTED_VALUE"""),46311.0)</f>
        <v>46311</v>
      </c>
      <c r="F562" s="5" t="str">
        <f>IFERROR(__xludf.DUMMYFUNCTION("""COMPUTED_VALUE"""),"Available")</f>
        <v>Available</v>
      </c>
      <c r="G562" s="5" t="str">
        <f>IFERROR(__xludf.DUMMYFUNCTION("""COMPUTED_VALUE"""),"This product is distributed by ICU Medical. For questions regarding this product, please contact ICU Medical.")</f>
        <v>This product is distributed by ICU Medical. For questions regarding this product, please contact ICU Medical.</v>
      </c>
      <c r="H562" s="5"/>
      <c r="I562" s="5"/>
      <c r="J562" s="5" t="str">
        <f>IFERROR(__xludf.DUMMYFUNCTION("""COMPUTED_VALUE"""),"Endocrinology/Metabolism; Gastroenterology; Other; Pediatric")</f>
        <v>Endocrinology/Metabolism; Gastroenterology; Other; Pediatric</v>
      </c>
      <c r="K562" s="5" t="str">
        <f>IFERROR(__xludf.DUMMYFUNCTION("""COMPUTED_VALUE"""),"Current")</f>
        <v>Current</v>
      </c>
      <c r="L562" s="5"/>
      <c r="M562" s="5"/>
      <c r="N562" s="13">
        <f>IFERROR(__xludf.DUMMYFUNCTION("""COMPUTED_VALUE"""),45576.0)</f>
        <v>45576</v>
      </c>
      <c r="O562" s="5">
        <v>2024.0</v>
      </c>
      <c r="P562" s="5" t="str">
        <f>IFERROR(__xludf.DUMMYFUNCTION("""COMPUTED_VALUE"""),"Available")</f>
        <v>Available</v>
      </c>
      <c r="Q562" s="5" t="s">
        <v>135</v>
      </c>
      <c r="R562" s="5" t="s">
        <v>136</v>
      </c>
      <c r="S562" s="11">
        <v>745.0</v>
      </c>
    </row>
    <row r="563">
      <c r="A563" s="5" t="str">
        <f>IFERROR(__xludf.DUMMYFUNCTION("""COMPUTED_VALUE"""),"Dextrose Monohydrate 70% Injection")</f>
        <v>Dextrose Monohydrate 70% Injection</v>
      </c>
      <c r="B563" s="5" t="str">
        <f>IFERROR(__xludf.DUMMYFUNCTION("""COMPUTED_VALUE"""),"Baxter Healthcare")</f>
        <v>Baxter Healthcare</v>
      </c>
      <c r="C563" s="5" t="str">
        <f>IFERROR(__xludf.DUMMYFUNCTION("""COMPUTED_VALUE"""),"Dextrose Monohydrate 70%, Injection, 70 g/100 mL (NDC 0338-0719-06)")</f>
        <v>Dextrose Monohydrate 70%, Injection, 70 g/100 mL (NDC 0338-0719-06)</v>
      </c>
      <c r="D563" s="5" t="str">
        <f>IFERROR(__xludf.DUMMYFUNCTION("""COMPUTED_VALUE"""),"Revised")</f>
        <v>Revised</v>
      </c>
      <c r="E563" s="13">
        <f>IFERROR(__xludf.DUMMYFUNCTION("""COMPUTED_VALUE"""),46311.0)</f>
        <v>46311</v>
      </c>
      <c r="F563" s="5" t="str">
        <f>IFERROR(__xludf.DUMMYFUNCTION("""COMPUTED_VALUE"""),"Available")</f>
        <v>Available</v>
      </c>
      <c r="G563" s="5"/>
      <c r="H563" s="5"/>
      <c r="I563" s="5"/>
      <c r="J563" s="5" t="str">
        <f>IFERROR(__xludf.DUMMYFUNCTION("""COMPUTED_VALUE"""),"Endocrinology/Metabolism; Gastroenterology; Other; Pediatric")</f>
        <v>Endocrinology/Metabolism; Gastroenterology; Other; Pediatric</v>
      </c>
      <c r="K563" s="5" t="str">
        <f>IFERROR(__xludf.DUMMYFUNCTION("""COMPUTED_VALUE"""),"Current")</f>
        <v>Current</v>
      </c>
      <c r="L563" s="5"/>
      <c r="M563" s="5"/>
      <c r="N563" s="13">
        <f>IFERROR(__xludf.DUMMYFUNCTION("""COMPUTED_VALUE"""),45576.0)</f>
        <v>45576</v>
      </c>
      <c r="O563" s="5">
        <v>2024.0</v>
      </c>
      <c r="P563" s="5" t="str">
        <f>IFERROR(__xludf.DUMMYFUNCTION("""COMPUTED_VALUE"""),"Available")</f>
        <v>Available</v>
      </c>
      <c r="Q563" s="5" t="s">
        <v>135</v>
      </c>
      <c r="R563" s="5" t="s">
        <v>136</v>
      </c>
      <c r="S563" s="11">
        <v>745.0</v>
      </c>
    </row>
    <row r="564">
      <c r="A564" s="5" t="str">
        <f>IFERROR(__xludf.DUMMYFUNCTION("""COMPUTED_VALUE"""),"Dextrose Monohydrate, Sodium Chloride, Sodium Lactate, Calcium Chloride, Magnesium Chloride Solution")</f>
        <v>Dextrose Monohydrate, Sodium Chloride, Sodium Lactate, Calcium Chloride, Magnesium Chloride Solution</v>
      </c>
      <c r="B564" s="5" t="str">
        <f>IFERROR(__xludf.DUMMYFUNCTION("""COMPUTED_VALUE"""),"Fresenius Medical Care North America")</f>
        <v>Fresenius Medical Care North America</v>
      </c>
      <c r="C564" s="5" t="str">
        <f>IFERROR(__xludf.DUMMYFUNCTION("""COMPUTED_VALUE"""),"DELFLEX, Solution, 18.4 mg/100 mL; 4.25 g/100 mL; 5.08 mg/100 mL; 538 mg/100 mL; 448 mg/100 mL (NDC 46163-212-95)")</f>
        <v>DELFLEX, Solution, 18.4 mg/100 mL; 4.25 g/100 mL; 5.08 mg/100 mL; 538 mg/100 mL; 448 mg/100 mL (NDC 46163-212-95)</v>
      </c>
      <c r="D564" s="5" t="str">
        <f>IFERROR(__xludf.DUMMYFUNCTION("""COMPUTED_VALUE"""),"New")</f>
        <v>New</v>
      </c>
      <c r="E564" s="10">
        <f>IFERROR(__xludf.DUMMYFUNCTION("""COMPUTED_VALUE"""),46275.0)</f>
        <v>46275</v>
      </c>
      <c r="F564" s="5"/>
      <c r="G564" s="5" t="str">
        <f>IFERROR(__xludf.DUMMYFUNCTION("""COMPUTED_VALUE"""),"A business decision was made to discontinue manufacture of the drug.")</f>
        <v>A business decision was made to discontinue manufacture of the drug.</v>
      </c>
      <c r="H564" s="5"/>
      <c r="I564" s="5"/>
      <c r="J564" s="5" t="str">
        <f>IFERROR(__xludf.DUMMYFUNCTION("""COMPUTED_VALUE"""),"Renal")</f>
        <v>Renal</v>
      </c>
      <c r="K564" s="5" t="str">
        <f>IFERROR(__xludf.DUMMYFUNCTION("""COMPUTED_VALUE"""),"To Be Discontinued")</f>
        <v>To Be Discontinued</v>
      </c>
      <c r="L564" s="5"/>
      <c r="M564" s="10">
        <f>IFERROR(__xludf.DUMMYFUNCTION("""COMPUTED_VALUE"""),46275.0)</f>
        <v>46275</v>
      </c>
      <c r="N564" s="10">
        <f>IFERROR(__xludf.DUMMYFUNCTION("""COMPUTED_VALUE"""),46275.0)</f>
        <v>46275</v>
      </c>
      <c r="O564" s="5">
        <v>2026.0</v>
      </c>
      <c r="P564" s="5" t="str">
        <f>IFERROR(__xludf.DUMMYFUNCTION("""COMPUTED_VALUE"""),"Not stated")</f>
        <v>Not stated</v>
      </c>
      <c r="Q564" s="5" t="s">
        <v>135</v>
      </c>
      <c r="R564" s="5" t="s">
        <v>136</v>
      </c>
      <c r="S564" s="11">
        <v>46.0</v>
      </c>
    </row>
    <row r="565">
      <c r="A565" s="5" t="str">
        <f>IFERROR(__xludf.DUMMYFUNCTION("""COMPUTED_VALUE"""),"Diclofenac Sodium Tablet, Delayed Release")</f>
        <v>Diclofenac Sodium Tablet, Delayed Release</v>
      </c>
      <c r="B565" s="5" t="str">
        <f>IFERROR(__xludf.DUMMYFUNCTION("""COMPUTED_VALUE"""),"Teva Pharmaceuticals USA, Inc.")</f>
        <v>Teva Pharmaceuticals USA, Inc.</v>
      </c>
      <c r="C565" s="5" t="str">
        <f>IFERROR(__xludf.DUMMYFUNCTION("""COMPUTED_VALUE"""),"Diclofenac Sodium, Tablet, Delayed Release, 50 mg (NDC 0228-2550-06)")</f>
        <v>Diclofenac Sodium, Tablet, Delayed Release, 50 mg (NDC 0228-2550-06)</v>
      </c>
      <c r="D565" s="5" t="str">
        <f>IFERROR(__xludf.DUMMYFUNCTION("""COMPUTED_VALUE"""),"New")</f>
        <v>New</v>
      </c>
      <c r="E565" s="10">
        <f>IFERROR(__xludf.DUMMYFUNCTION("""COMPUTED_VALUE"""),46247.0)</f>
        <v>46247</v>
      </c>
      <c r="F565" s="5"/>
      <c r="G565" s="5" t="str">
        <f>IFERROR(__xludf.DUMMYFUNCTION("""COMPUTED_VALUE"""),"A business decision was made to discontinue manufacture of the drug.")</f>
        <v>A business decision was made to discontinue manufacture of the drug.</v>
      </c>
      <c r="H565" s="5"/>
      <c r="I565" s="5"/>
      <c r="J565" s="5" t="str">
        <f>IFERROR(__xludf.DUMMYFUNCTION("""COMPUTED_VALUE"""),"Musculoskeletal; Rheumatology")</f>
        <v>Musculoskeletal; Rheumatology</v>
      </c>
      <c r="K565" s="5" t="str">
        <f>IFERROR(__xludf.DUMMYFUNCTION("""COMPUTED_VALUE"""),"To Be Discontinued")</f>
        <v>To Be Discontinued</v>
      </c>
      <c r="L565" s="5"/>
      <c r="M565" s="10">
        <f>IFERROR(__xludf.DUMMYFUNCTION("""COMPUTED_VALUE"""),46247.0)</f>
        <v>46247</v>
      </c>
      <c r="N565" s="10">
        <f>IFERROR(__xludf.DUMMYFUNCTION("""COMPUTED_VALUE"""),46247.0)</f>
        <v>46247</v>
      </c>
      <c r="O565" s="5">
        <v>2026.0</v>
      </c>
      <c r="P565" s="5" t="str">
        <f>IFERROR(__xludf.DUMMYFUNCTION("""COMPUTED_VALUE"""),"Not stated")</f>
        <v>Not stated</v>
      </c>
      <c r="Q565" s="5" t="s">
        <v>135</v>
      </c>
      <c r="R565" s="5" t="s">
        <v>136</v>
      </c>
      <c r="S565" s="11">
        <v>74.0</v>
      </c>
    </row>
    <row r="566">
      <c r="A566" s="5" t="str">
        <f>IFERROR(__xludf.DUMMYFUNCTION("""COMPUTED_VALUE"""),"Diclofenac Sodium Tablet, Delayed Release")</f>
        <v>Diclofenac Sodium Tablet, Delayed Release</v>
      </c>
      <c r="B566" s="5" t="str">
        <f>IFERROR(__xludf.DUMMYFUNCTION("""COMPUTED_VALUE"""),"Teva Pharmaceuticals USA, Inc.")</f>
        <v>Teva Pharmaceuticals USA, Inc.</v>
      </c>
      <c r="C566" s="5" t="str">
        <f>IFERROR(__xludf.DUMMYFUNCTION("""COMPUTED_VALUE"""),"Diclofenac Sodium, Tablet, Delayed Release, 50 mg (NDC 0228-2550-11)")</f>
        <v>Diclofenac Sodium, Tablet, Delayed Release, 50 mg (NDC 0228-2550-11)</v>
      </c>
      <c r="D566" s="5" t="str">
        <f>IFERROR(__xludf.DUMMYFUNCTION("""COMPUTED_VALUE"""),"New")</f>
        <v>New</v>
      </c>
      <c r="E566" s="10">
        <f>IFERROR(__xludf.DUMMYFUNCTION("""COMPUTED_VALUE"""),46247.0)</f>
        <v>46247</v>
      </c>
      <c r="F566" s="5"/>
      <c r="G566" s="5" t="str">
        <f>IFERROR(__xludf.DUMMYFUNCTION("""COMPUTED_VALUE"""),"A business decision was made to discontinue manufacture of the drug.")</f>
        <v>A business decision was made to discontinue manufacture of the drug.</v>
      </c>
      <c r="H566" s="5"/>
      <c r="I566" s="5"/>
      <c r="J566" s="5" t="str">
        <f>IFERROR(__xludf.DUMMYFUNCTION("""COMPUTED_VALUE"""),"Musculoskeletal; Rheumatology")</f>
        <v>Musculoskeletal; Rheumatology</v>
      </c>
      <c r="K566" s="5" t="str">
        <f>IFERROR(__xludf.DUMMYFUNCTION("""COMPUTED_VALUE"""),"To Be Discontinued")</f>
        <v>To Be Discontinued</v>
      </c>
      <c r="L566" s="5"/>
      <c r="M566" s="10">
        <f>IFERROR(__xludf.DUMMYFUNCTION("""COMPUTED_VALUE"""),46247.0)</f>
        <v>46247</v>
      </c>
      <c r="N566" s="10">
        <f>IFERROR(__xludf.DUMMYFUNCTION("""COMPUTED_VALUE"""),46247.0)</f>
        <v>46247</v>
      </c>
      <c r="O566" s="5">
        <v>2026.0</v>
      </c>
      <c r="P566" s="5" t="str">
        <f>IFERROR(__xludf.DUMMYFUNCTION("""COMPUTED_VALUE"""),"Not stated")</f>
        <v>Not stated</v>
      </c>
      <c r="Q566" s="5" t="s">
        <v>135</v>
      </c>
      <c r="R566" s="5" t="s">
        <v>136</v>
      </c>
      <c r="S566" s="11">
        <v>74.0</v>
      </c>
    </row>
    <row r="567">
      <c r="A567" s="5" t="str">
        <f>IFERROR(__xludf.DUMMYFUNCTION("""COMPUTED_VALUE"""),"Diclofenac Sodium Tablet, Delayed Release")</f>
        <v>Diclofenac Sodium Tablet, Delayed Release</v>
      </c>
      <c r="B567" s="5" t="str">
        <f>IFERROR(__xludf.DUMMYFUNCTION("""COMPUTED_VALUE"""),"Teva Pharmaceuticals USA, Inc.")</f>
        <v>Teva Pharmaceuticals USA, Inc.</v>
      </c>
      <c r="C567" s="5" t="str">
        <f>IFERROR(__xludf.DUMMYFUNCTION("""COMPUTED_VALUE"""),"Diclofenac Sodium, Tablet, Delayed Release, 50 mg (NDC 0228-2550-96)")</f>
        <v>Diclofenac Sodium, Tablet, Delayed Release, 50 mg (NDC 0228-2550-96)</v>
      </c>
      <c r="D567" s="5" t="str">
        <f>IFERROR(__xludf.DUMMYFUNCTION("""COMPUTED_VALUE"""),"New")</f>
        <v>New</v>
      </c>
      <c r="E567" s="10">
        <f>IFERROR(__xludf.DUMMYFUNCTION("""COMPUTED_VALUE"""),46247.0)</f>
        <v>46247</v>
      </c>
      <c r="F567" s="5"/>
      <c r="G567" s="5" t="str">
        <f>IFERROR(__xludf.DUMMYFUNCTION("""COMPUTED_VALUE"""),"A business decision was made to discontinue manufacture of the drug.")</f>
        <v>A business decision was made to discontinue manufacture of the drug.</v>
      </c>
      <c r="H567" s="5"/>
      <c r="I567" s="5"/>
      <c r="J567" s="5" t="str">
        <f>IFERROR(__xludf.DUMMYFUNCTION("""COMPUTED_VALUE"""),"Musculoskeletal; Rheumatology")</f>
        <v>Musculoskeletal; Rheumatology</v>
      </c>
      <c r="K567" s="5" t="str">
        <f>IFERROR(__xludf.DUMMYFUNCTION("""COMPUTED_VALUE"""),"To Be Discontinued")</f>
        <v>To Be Discontinued</v>
      </c>
      <c r="L567" s="5"/>
      <c r="M567" s="10">
        <f>IFERROR(__xludf.DUMMYFUNCTION("""COMPUTED_VALUE"""),46247.0)</f>
        <v>46247</v>
      </c>
      <c r="N567" s="10">
        <f>IFERROR(__xludf.DUMMYFUNCTION("""COMPUTED_VALUE"""),46247.0)</f>
        <v>46247</v>
      </c>
      <c r="O567" s="5">
        <v>2026.0</v>
      </c>
      <c r="P567" s="5" t="str">
        <f>IFERROR(__xludf.DUMMYFUNCTION("""COMPUTED_VALUE"""),"Not stated")</f>
        <v>Not stated</v>
      </c>
      <c r="Q567" s="5" t="s">
        <v>135</v>
      </c>
      <c r="R567" s="5" t="s">
        <v>136</v>
      </c>
      <c r="S567" s="11">
        <v>74.0</v>
      </c>
    </row>
    <row r="568">
      <c r="A568" s="5" t="str">
        <f>IFERROR(__xludf.DUMMYFUNCTION("""COMPUTED_VALUE"""),"Diclofenac Sodium Tablet, Delayed Release")</f>
        <v>Diclofenac Sodium Tablet, Delayed Release</v>
      </c>
      <c r="B568" s="5" t="str">
        <f>IFERROR(__xludf.DUMMYFUNCTION("""COMPUTED_VALUE"""),"Teva Pharmaceuticals USA, Inc.")</f>
        <v>Teva Pharmaceuticals USA, Inc.</v>
      </c>
      <c r="C568" s="5" t="str">
        <f>IFERROR(__xludf.DUMMYFUNCTION("""COMPUTED_VALUE"""),"Diclofenac Sodium, Tablet, Delayed Release, 75 mg (NDC 0228-2551-06)")</f>
        <v>Diclofenac Sodium, Tablet, Delayed Release, 75 mg (NDC 0228-2551-06)</v>
      </c>
      <c r="D568" s="5" t="str">
        <f>IFERROR(__xludf.DUMMYFUNCTION("""COMPUTED_VALUE"""),"New")</f>
        <v>New</v>
      </c>
      <c r="E568" s="10">
        <f>IFERROR(__xludf.DUMMYFUNCTION("""COMPUTED_VALUE"""),46247.0)</f>
        <v>46247</v>
      </c>
      <c r="F568" s="5"/>
      <c r="G568" s="5" t="str">
        <f>IFERROR(__xludf.DUMMYFUNCTION("""COMPUTED_VALUE"""),"A business decision was made to discontinue manufacture of the drug.")</f>
        <v>A business decision was made to discontinue manufacture of the drug.</v>
      </c>
      <c r="H568" s="5"/>
      <c r="I568" s="5"/>
      <c r="J568" s="5" t="str">
        <f>IFERROR(__xludf.DUMMYFUNCTION("""COMPUTED_VALUE"""),"Musculoskeletal; Rheumatology")</f>
        <v>Musculoskeletal; Rheumatology</v>
      </c>
      <c r="K568" s="5" t="str">
        <f>IFERROR(__xludf.DUMMYFUNCTION("""COMPUTED_VALUE"""),"To Be Discontinued")</f>
        <v>To Be Discontinued</v>
      </c>
      <c r="L568" s="5"/>
      <c r="M568" s="10">
        <f>IFERROR(__xludf.DUMMYFUNCTION("""COMPUTED_VALUE"""),46247.0)</f>
        <v>46247</v>
      </c>
      <c r="N568" s="10">
        <f>IFERROR(__xludf.DUMMYFUNCTION("""COMPUTED_VALUE"""),46247.0)</f>
        <v>46247</v>
      </c>
      <c r="O568" s="5">
        <v>2026.0</v>
      </c>
      <c r="P568" s="5" t="str">
        <f>IFERROR(__xludf.DUMMYFUNCTION("""COMPUTED_VALUE"""),"Not stated")</f>
        <v>Not stated</v>
      </c>
      <c r="Q568" s="5" t="s">
        <v>135</v>
      </c>
      <c r="R568" s="5" t="s">
        <v>136</v>
      </c>
      <c r="S568" s="11">
        <v>74.0</v>
      </c>
    </row>
    <row r="569">
      <c r="A569" s="5" t="str">
        <f>IFERROR(__xludf.DUMMYFUNCTION("""COMPUTED_VALUE"""),"Diclofenac Sodium Tablet, Delayed Release")</f>
        <v>Diclofenac Sodium Tablet, Delayed Release</v>
      </c>
      <c r="B569" s="5" t="str">
        <f>IFERROR(__xludf.DUMMYFUNCTION("""COMPUTED_VALUE"""),"Teva Pharmaceuticals USA, Inc.")</f>
        <v>Teva Pharmaceuticals USA, Inc.</v>
      </c>
      <c r="C569" s="5" t="str">
        <f>IFERROR(__xludf.DUMMYFUNCTION("""COMPUTED_VALUE"""),"Diclofenac Sodium, Tablet, Delayed Release, 75 mg (NDC 0228-2551-11)")</f>
        <v>Diclofenac Sodium, Tablet, Delayed Release, 75 mg (NDC 0228-2551-11)</v>
      </c>
      <c r="D569" s="5" t="str">
        <f>IFERROR(__xludf.DUMMYFUNCTION("""COMPUTED_VALUE"""),"New")</f>
        <v>New</v>
      </c>
      <c r="E569" s="10">
        <f>IFERROR(__xludf.DUMMYFUNCTION("""COMPUTED_VALUE"""),46247.0)</f>
        <v>46247</v>
      </c>
      <c r="F569" s="5"/>
      <c r="G569" s="5" t="str">
        <f>IFERROR(__xludf.DUMMYFUNCTION("""COMPUTED_VALUE"""),"A business decision was made to discontinue manufacture of the drug.")</f>
        <v>A business decision was made to discontinue manufacture of the drug.</v>
      </c>
      <c r="H569" s="5"/>
      <c r="I569" s="5"/>
      <c r="J569" s="5" t="str">
        <f>IFERROR(__xludf.DUMMYFUNCTION("""COMPUTED_VALUE"""),"Musculoskeletal; Rheumatology")</f>
        <v>Musculoskeletal; Rheumatology</v>
      </c>
      <c r="K569" s="5" t="str">
        <f>IFERROR(__xludf.DUMMYFUNCTION("""COMPUTED_VALUE"""),"To Be Discontinued")</f>
        <v>To Be Discontinued</v>
      </c>
      <c r="L569" s="5"/>
      <c r="M569" s="10">
        <f>IFERROR(__xludf.DUMMYFUNCTION("""COMPUTED_VALUE"""),46247.0)</f>
        <v>46247</v>
      </c>
      <c r="N569" s="10">
        <f>IFERROR(__xludf.DUMMYFUNCTION("""COMPUTED_VALUE"""),46247.0)</f>
        <v>46247</v>
      </c>
      <c r="O569" s="5">
        <v>2026.0</v>
      </c>
      <c r="P569" s="5" t="str">
        <f>IFERROR(__xludf.DUMMYFUNCTION("""COMPUTED_VALUE"""),"Not stated")</f>
        <v>Not stated</v>
      </c>
      <c r="Q569" s="5" t="s">
        <v>135</v>
      </c>
      <c r="R569" s="5" t="s">
        <v>136</v>
      </c>
      <c r="S569" s="11">
        <v>74.0</v>
      </c>
    </row>
    <row r="570">
      <c r="A570" s="5" t="str">
        <f>IFERROR(__xludf.DUMMYFUNCTION("""COMPUTED_VALUE"""),"Diclofenac Sodium Tablet, Delayed Release")</f>
        <v>Diclofenac Sodium Tablet, Delayed Release</v>
      </c>
      <c r="B570" s="5" t="str">
        <f>IFERROR(__xludf.DUMMYFUNCTION("""COMPUTED_VALUE"""),"Teva Pharmaceuticals USA, Inc.")</f>
        <v>Teva Pharmaceuticals USA, Inc.</v>
      </c>
      <c r="C570" s="5" t="str">
        <f>IFERROR(__xludf.DUMMYFUNCTION("""COMPUTED_VALUE"""),"Diclofenac Sodium, Tablet, Delayed Release, 75 mg (NDC 0228-2551-96)")</f>
        <v>Diclofenac Sodium, Tablet, Delayed Release, 75 mg (NDC 0228-2551-96)</v>
      </c>
      <c r="D570" s="5" t="str">
        <f>IFERROR(__xludf.DUMMYFUNCTION("""COMPUTED_VALUE"""),"New")</f>
        <v>New</v>
      </c>
      <c r="E570" s="10">
        <f>IFERROR(__xludf.DUMMYFUNCTION("""COMPUTED_VALUE"""),46247.0)</f>
        <v>46247</v>
      </c>
      <c r="F570" s="5"/>
      <c r="G570" s="5" t="str">
        <f>IFERROR(__xludf.DUMMYFUNCTION("""COMPUTED_VALUE"""),"A business decision was made to discontinue manufacture of the drug.")</f>
        <v>A business decision was made to discontinue manufacture of the drug.</v>
      </c>
      <c r="H570" s="5"/>
      <c r="I570" s="5"/>
      <c r="J570" s="5" t="str">
        <f>IFERROR(__xludf.DUMMYFUNCTION("""COMPUTED_VALUE"""),"Musculoskeletal; Rheumatology")</f>
        <v>Musculoskeletal; Rheumatology</v>
      </c>
      <c r="K570" s="5" t="str">
        <f>IFERROR(__xludf.DUMMYFUNCTION("""COMPUTED_VALUE"""),"To Be Discontinued")</f>
        <v>To Be Discontinued</v>
      </c>
      <c r="L570" s="5"/>
      <c r="M570" s="10">
        <f>IFERROR(__xludf.DUMMYFUNCTION("""COMPUTED_VALUE"""),46247.0)</f>
        <v>46247</v>
      </c>
      <c r="N570" s="10">
        <f>IFERROR(__xludf.DUMMYFUNCTION("""COMPUTED_VALUE"""),46247.0)</f>
        <v>46247</v>
      </c>
      <c r="O570" s="5">
        <v>2026.0</v>
      </c>
      <c r="P570" s="5" t="str">
        <f>IFERROR(__xludf.DUMMYFUNCTION("""COMPUTED_VALUE"""),"Not stated")</f>
        <v>Not stated</v>
      </c>
      <c r="Q570" s="5" t="s">
        <v>135</v>
      </c>
      <c r="R570" s="5" t="s">
        <v>136</v>
      </c>
      <c r="S570" s="11">
        <v>74.0</v>
      </c>
    </row>
    <row r="571">
      <c r="A571" s="5" t="str">
        <f>IFERROR(__xludf.DUMMYFUNCTION("""COMPUTED_VALUE"""),"Diltiazem Hydrochloride Injection")</f>
        <v>Diltiazem Hydrochloride Injection</v>
      </c>
      <c r="B571" s="5" t="str">
        <f>IFERROR(__xludf.DUMMYFUNCTION("""COMPUTED_VALUE"""),"Hospira, Inc., a Pfizer Company")</f>
        <v>Hospira, Inc., a Pfizer Company</v>
      </c>
      <c r="C571" s="5" t="str">
        <f>IFERROR(__xludf.DUMMYFUNCTION("""COMPUTED_VALUE"""),"Diltiazem Hydrochloride, Injection, 100 mg Single Dose ADD-Vantage® Glass Vial (NDC 0409-4350-03)")</f>
        <v>Diltiazem Hydrochloride, Injection, 100 mg Single Dose ADD-Vantage® Glass Vial (NDC 0409-4350-03)</v>
      </c>
      <c r="D571" s="5" t="str">
        <f>IFERROR(__xludf.DUMMYFUNCTION("""COMPUTED_VALUE"""),"New")</f>
        <v>New</v>
      </c>
      <c r="E571" s="10">
        <f>IFERROR(__xludf.DUMMYFUNCTION("""COMPUTED_VALUE"""),46027.0)</f>
        <v>46027</v>
      </c>
      <c r="F571" s="5"/>
      <c r="G571" s="5" t="str">
        <f>IFERROR(__xludf.DUMMYFUNCTION("""COMPUTED_VALUE"""),"Discontinuation of the manufacture of the drug")</f>
        <v>Discontinuation of the manufacture of the drug</v>
      </c>
      <c r="H571" s="5"/>
      <c r="I571" s="5"/>
      <c r="J571" s="5" t="str">
        <f>IFERROR(__xludf.DUMMYFUNCTION("""COMPUTED_VALUE"""),"Cardiovascular")</f>
        <v>Cardiovascular</v>
      </c>
      <c r="K571" s="5" t="str">
        <f>IFERROR(__xludf.DUMMYFUNCTION("""COMPUTED_VALUE"""),"To Be Discontinued")</f>
        <v>To Be Discontinued</v>
      </c>
      <c r="L571" s="5"/>
      <c r="M571" s="10">
        <f>IFERROR(__xludf.DUMMYFUNCTION("""COMPUTED_VALUE"""),46027.0)</f>
        <v>46027</v>
      </c>
      <c r="N571" s="10">
        <f>IFERROR(__xludf.DUMMYFUNCTION("""COMPUTED_VALUE"""),46027.0)</f>
        <v>46027</v>
      </c>
      <c r="O571" s="5">
        <v>2026.0</v>
      </c>
      <c r="P571" s="5" t="str">
        <f>IFERROR(__xludf.DUMMYFUNCTION("""COMPUTED_VALUE"""),"Not stated")</f>
        <v>Not stated</v>
      </c>
      <c r="Q571" s="5" t="s">
        <v>135</v>
      </c>
      <c r="R571" s="5" t="s">
        <v>136</v>
      </c>
      <c r="S571" s="11">
        <v>294.0</v>
      </c>
    </row>
    <row r="572">
      <c r="A572" s="5" t="str">
        <f>IFERROR(__xludf.DUMMYFUNCTION("""COMPUTED_VALUE"""),"Disopyramide Phosphate Capsule, Extended Release")</f>
        <v>Disopyramide Phosphate Capsule, Extended Release</v>
      </c>
      <c r="B572" s="5" t="str">
        <f>IFERROR(__xludf.DUMMYFUNCTION("""COMPUTED_VALUE"""),"Pfizer Inc.")</f>
        <v>Pfizer Inc.</v>
      </c>
      <c r="C572" s="5" t="str">
        <f>IFERROR(__xludf.DUMMYFUNCTION("""COMPUTED_VALUE"""),"Norpace CR, Capsule, Extended Release, 100 mg (NDC 0025-2732-31)")</f>
        <v>Norpace CR, Capsule, Extended Release, 100 mg (NDC 0025-2732-31)</v>
      </c>
      <c r="D572" s="5" t="str">
        <f>IFERROR(__xludf.DUMMYFUNCTION("""COMPUTED_VALUE"""),"New")</f>
        <v>New</v>
      </c>
      <c r="E572" s="10">
        <f>IFERROR(__xludf.DUMMYFUNCTION("""COMPUTED_VALUE"""),46258.0)</f>
        <v>46258</v>
      </c>
      <c r="F572" s="5"/>
      <c r="G572" s="5" t="str">
        <f>IFERROR(__xludf.DUMMYFUNCTION("""COMPUTED_VALUE"""),"Discontinuation of the manufacture of the drug")</f>
        <v>Discontinuation of the manufacture of the drug</v>
      </c>
      <c r="H572" s="5"/>
      <c r="I572" s="5"/>
      <c r="J572" s="5" t="str">
        <f>IFERROR(__xludf.DUMMYFUNCTION("""COMPUTED_VALUE"""),"Cardiovascular")</f>
        <v>Cardiovascular</v>
      </c>
      <c r="K572" s="5" t="str">
        <f>IFERROR(__xludf.DUMMYFUNCTION("""COMPUTED_VALUE"""),"To Be Discontinued")</f>
        <v>To Be Discontinued</v>
      </c>
      <c r="L572" s="5"/>
      <c r="M572" s="10">
        <f>IFERROR(__xludf.DUMMYFUNCTION("""COMPUTED_VALUE"""),46258.0)</f>
        <v>46258</v>
      </c>
      <c r="N572" s="10">
        <f>IFERROR(__xludf.DUMMYFUNCTION("""COMPUTED_VALUE"""),46258.0)</f>
        <v>46258</v>
      </c>
      <c r="O572" s="5">
        <v>2026.0</v>
      </c>
      <c r="P572" s="5" t="str">
        <f>IFERROR(__xludf.DUMMYFUNCTION("""COMPUTED_VALUE"""),"Not stated")</f>
        <v>Not stated</v>
      </c>
      <c r="Q572" s="5" t="s">
        <v>135</v>
      </c>
      <c r="R572" s="5" t="s">
        <v>136</v>
      </c>
      <c r="S572" s="11">
        <v>63.0</v>
      </c>
    </row>
    <row r="573">
      <c r="A573" s="5" t="str">
        <f>IFERROR(__xludf.DUMMYFUNCTION("""COMPUTED_VALUE"""),"Disopyramide Phosphate Capsule, Extended Release")</f>
        <v>Disopyramide Phosphate Capsule, Extended Release</v>
      </c>
      <c r="B573" s="5" t="str">
        <f>IFERROR(__xludf.DUMMYFUNCTION("""COMPUTED_VALUE"""),"Pfizer Inc.")</f>
        <v>Pfizer Inc.</v>
      </c>
      <c r="C573" s="5" t="str">
        <f>IFERROR(__xludf.DUMMYFUNCTION("""COMPUTED_VALUE"""),"Norpace CR, Capsule, Extended Release, 150 mg (NDC 0025-2742-31)")</f>
        <v>Norpace CR, Capsule, Extended Release, 150 mg (NDC 0025-2742-31)</v>
      </c>
      <c r="D573" s="5" t="str">
        <f>IFERROR(__xludf.DUMMYFUNCTION("""COMPUTED_VALUE"""),"New")</f>
        <v>New</v>
      </c>
      <c r="E573" s="10">
        <f>IFERROR(__xludf.DUMMYFUNCTION("""COMPUTED_VALUE"""),46258.0)</f>
        <v>46258</v>
      </c>
      <c r="F573" s="5"/>
      <c r="G573" s="5" t="str">
        <f>IFERROR(__xludf.DUMMYFUNCTION("""COMPUTED_VALUE"""),"Discontinuation of the manufacture of the drug")</f>
        <v>Discontinuation of the manufacture of the drug</v>
      </c>
      <c r="H573" s="5"/>
      <c r="I573" s="5"/>
      <c r="J573" s="5" t="str">
        <f>IFERROR(__xludf.DUMMYFUNCTION("""COMPUTED_VALUE"""),"Cardiovascular")</f>
        <v>Cardiovascular</v>
      </c>
      <c r="K573" s="5" t="str">
        <f>IFERROR(__xludf.DUMMYFUNCTION("""COMPUTED_VALUE"""),"To Be Discontinued")</f>
        <v>To Be Discontinued</v>
      </c>
      <c r="L573" s="5"/>
      <c r="M573" s="10">
        <f>IFERROR(__xludf.DUMMYFUNCTION("""COMPUTED_VALUE"""),46258.0)</f>
        <v>46258</v>
      </c>
      <c r="N573" s="10">
        <f>IFERROR(__xludf.DUMMYFUNCTION("""COMPUTED_VALUE"""),46258.0)</f>
        <v>46258</v>
      </c>
      <c r="O573" s="5">
        <v>2026.0</v>
      </c>
      <c r="P573" s="5" t="str">
        <f>IFERROR(__xludf.DUMMYFUNCTION("""COMPUTED_VALUE"""),"Not stated")</f>
        <v>Not stated</v>
      </c>
      <c r="Q573" s="5" t="s">
        <v>135</v>
      </c>
      <c r="R573" s="5" t="s">
        <v>136</v>
      </c>
      <c r="S573" s="11">
        <v>63.0</v>
      </c>
    </row>
    <row r="574">
      <c r="A574" s="5" t="str">
        <f>IFERROR(__xludf.DUMMYFUNCTION("""COMPUTED_VALUE"""),"Dobutamine Hydrochloride Injection")</f>
        <v>Dobutamine Hydrochloride Injection</v>
      </c>
      <c r="B574" s="5" t="str">
        <f>IFERROR(__xludf.DUMMYFUNCTION("""COMPUTED_VALUE"""),"Hospira, Inc., a Pfizer Company")</f>
        <v>Hospira, Inc., a Pfizer Company</v>
      </c>
      <c r="C574" s="5" t="str">
        <f>IFERROR(__xludf.DUMMYFUNCTION("""COMPUTED_VALUE"""),"Dobutamine Hydrochloride In Dextrose 5% In Plastic Container, Injection, 1,000 mg/250mL (4 mg/mL) (NDC 0409-1100-10)")</f>
        <v>Dobutamine Hydrochloride In Dextrose 5% In Plastic Container, Injection, 1,000 mg/250mL (4 mg/mL) (NDC 0409-1100-10)</v>
      </c>
      <c r="D574" s="5" t="str">
        <f>IFERROR(__xludf.DUMMYFUNCTION("""COMPUTED_VALUE"""),"Reverified")</f>
        <v>Reverified</v>
      </c>
      <c r="E574" s="13">
        <f>IFERROR(__xludf.DUMMYFUNCTION("""COMPUTED_VALUE"""),46316.0)</f>
        <v>46316</v>
      </c>
      <c r="F574" s="5" t="str">
        <f>IFERROR(__xludf.DUMMYFUNCTION("""COMPUTED_VALUE"""),"Available")</f>
        <v>Available</v>
      </c>
      <c r="G574" s="5"/>
      <c r="H574" s="5"/>
      <c r="I574" s="5"/>
      <c r="J574" s="5" t="str">
        <f>IFERROR(__xludf.DUMMYFUNCTION("""COMPUTED_VALUE"""),"Cardiovascular; Pediatric; Renal")</f>
        <v>Cardiovascular; Pediatric; Renal</v>
      </c>
      <c r="K574" s="5" t="str">
        <f>IFERROR(__xludf.DUMMYFUNCTION("""COMPUTED_VALUE"""),"Current")</f>
        <v>Current</v>
      </c>
      <c r="L574" s="5"/>
      <c r="M574" s="5"/>
      <c r="N574" s="10">
        <f>IFERROR(__xludf.DUMMYFUNCTION("""COMPUTED_VALUE"""),43045.0)</f>
        <v>43045</v>
      </c>
      <c r="O574" s="5">
        <v>2017.0</v>
      </c>
      <c r="P574" s="5" t="str">
        <f>IFERROR(__xludf.DUMMYFUNCTION("""COMPUTED_VALUE"""),"Available")</f>
        <v>Available</v>
      </c>
      <c r="Q574" s="5" t="s">
        <v>135</v>
      </c>
      <c r="R574" s="5" t="s">
        <v>136</v>
      </c>
      <c r="S574" s="11">
        <v>3276.0</v>
      </c>
    </row>
    <row r="575">
      <c r="A575" s="5" t="str">
        <f>IFERROR(__xludf.DUMMYFUNCTION("""COMPUTED_VALUE"""),"Dobutamine Hydrochloride Injection")</f>
        <v>Dobutamine Hydrochloride Injection</v>
      </c>
      <c r="B575" s="5" t="str">
        <f>IFERROR(__xludf.DUMMYFUNCTION("""COMPUTED_VALUE"""),"Hospira, Inc., a Pfizer Company")</f>
        <v>Hospira, Inc., a Pfizer Company</v>
      </c>
      <c r="C575" s="5" t="str">
        <f>IFERROR(__xludf.DUMMYFUNCTION("""COMPUTED_VALUE"""),"Dobutamine Hydrochloride In Dextrose 5% In Plastic Container, Injection, 500 mg/250mL (2 mg/mL) (NDC 0409-0151-10)")</f>
        <v>Dobutamine Hydrochloride In Dextrose 5% In Plastic Container, Injection, 500 mg/250mL (2 mg/mL) (NDC 0409-0151-10)</v>
      </c>
      <c r="D575" s="5" t="str">
        <f>IFERROR(__xludf.DUMMYFUNCTION("""COMPUTED_VALUE"""),"Reverified")</f>
        <v>Reverified</v>
      </c>
      <c r="E575" s="13">
        <f>IFERROR(__xludf.DUMMYFUNCTION("""COMPUTED_VALUE"""),46316.0)</f>
        <v>46316</v>
      </c>
      <c r="F575" s="5" t="str">
        <f>IFERROR(__xludf.DUMMYFUNCTION("""COMPUTED_VALUE"""),"Available")</f>
        <v>Available</v>
      </c>
      <c r="G575" s="5"/>
      <c r="H575" s="5"/>
      <c r="I575" s="5"/>
      <c r="J575" s="5" t="str">
        <f>IFERROR(__xludf.DUMMYFUNCTION("""COMPUTED_VALUE"""),"Cardiovascular; Pediatric; Renal")</f>
        <v>Cardiovascular; Pediatric; Renal</v>
      </c>
      <c r="K575" s="5" t="str">
        <f>IFERROR(__xludf.DUMMYFUNCTION("""COMPUTED_VALUE"""),"Current")</f>
        <v>Current</v>
      </c>
      <c r="L575" s="5"/>
      <c r="M575" s="5"/>
      <c r="N575" s="10">
        <f>IFERROR(__xludf.DUMMYFUNCTION("""COMPUTED_VALUE"""),43045.0)</f>
        <v>43045</v>
      </c>
      <c r="O575" s="5">
        <v>2017.0</v>
      </c>
      <c r="P575" s="5" t="str">
        <f>IFERROR(__xludf.DUMMYFUNCTION("""COMPUTED_VALUE"""),"Available")</f>
        <v>Available</v>
      </c>
      <c r="Q575" s="5" t="s">
        <v>135</v>
      </c>
      <c r="R575" s="5" t="s">
        <v>136</v>
      </c>
      <c r="S575" s="11">
        <v>3276.0</v>
      </c>
    </row>
    <row r="576">
      <c r="A576" s="5" t="str">
        <f>IFERROR(__xludf.DUMMYFUNCTION("""COMPUTED_VALUE"""),"Dobutamine Hydrochloride Injection")</f>
        <v>Dobutamine Hydrochloride Injection</v>
      </c>
      <c r="B576" s="5" t="str">
        <f>IFERROR(__xludf.DUMMYFUNCTION("""COMPUTED_VALUE"""),"Hospira, Inc., a Pfizer Company")</f>
        <v>Hospira, Inc., a Pfizer Company</v>
      </c>
      <c r="C576" s="5" t="str">
        <f>IFERROR(__xludf.DUMMYFUNCTION("""COMPUTED_VALUE"""),"Dobutamine Hydrochloride In Dextrose 5% In Plastic Container, Injection, 250 mg/250mL (1 mg/mL) (NDC 0409-0025-10)")</f>
        <v>Dobutamine Hydrochloride In Dextrose 5% In Plastic Container, Injection, 250 mg/250mL (1 mg/mL) (NDC 0409-0025-10)</v>
      </c>
      <c r="D576" s="5" t="str">
        <f>IFERROR(__xludf.DUMMYFUNCTION("""COMPUTED_VALUE"""),"Reverified")</f>
        <v>Reverified</v>
      </c>
      <c r="E576" s="13">
        <f>IFERROR(__xludf.DUMMYFUNCTION("""COMPUTED_VALUE"""),46316.0)</f>
        <v>46316</v>
      </c>
      <c r="F576" s="5" t="str">
        <f>IFERROR(__xludf.DUMMYFUNCTION("""COMPUTED_VALUE"""),"Available")</f>
        <v>Available</v>
      </c>
      <c r="G576" s="5"/>
      <c r="H576" s="5"/>
      <c r="I576" s="5"/>
      <c r="J576" s="5" t="str">
        <f>IFERROR(__xludf.DUMMYFUNCTION("""COMPUTED_VALUE"""),"Cardiovascular; Pediatric; Renal")</f>
        <v>Cardiovascular; Pediatric; Renal</v>
      </c>
      <c r="K576" s="5" t="str">
        <f>IFERROR(__xludf.DUMMYFUNCTION("""COMPUTED_VALUE"""),"Current")</f>
        <v>Current</v>
      </c>
      <c r="L576" s="5"/>
      <c r="M576" s="5"/>
      <c r="N576" s="10">
        <f>IFERROR(__xludf.DUMMYFUNCTION("""COMPUTED_VALUE"""),43045.0)</f>
        <v>43045</v>
      </c>
      <c r="O576" s="5">
        <v>2017.0</v>
      </c>
      <c r="P576" s="5" t="str">
        <f>IFERROR(__xludf.DUMMYFUNCTION("""COMPUTED_VALUE"""),"Available")</f>
        <v>Available</v>
      </c>
      <c r="Q576" s="5" t="s">
        <v>135</v>
      </c>
      <c r="R576" s="5" t="s">
        <v>136</v>
      </c>
      <c r="S576" s="11">
        <v>3276.0</v>
      </c>
    </row>
    <row r="577">
      <c r="A577" s="5" t="str">
        <f>IFERROR(__xludf.DUMMYFUNCTION("""COMPUTED_VALUE"""),"Dobutamine Hydrochloride Injection")</f>
        <v>Dobutamine Hydrochloride Injection</v>
      </c>
      <c r="B577" s="5" t="str">
        <f>IFERROR(__xludf.DUMMYFUNCTION("""COMPUTED_VALUE"""),"Baxter Healthcare")</f>
        <v>Baxter Healthcare</v>
      </c>
      <c r="C577" s="5" t="str">
        <f>IFERROR(__xludf.DUMMYFUNCTION("""COMPUTED_VALUE"""),"Dobutamine Hydrochloride In Dextrose 5% In Plastic Container, Injection, 200 mg/100 mL (NDC 0338-1075-02)")</f>
        <v>Dobutamine Hydrochloride In Dextrose 5% In Plastic Container, Injection, 200 mg/100 mL (NDC 0338-1075-02)</v>
      </c>
      <c r="D577" s="5" t="str">
        <f>IFERROR(__xludf.DUMMYFUNCTION("""COMPUTED_VALUE"""),"Reverified")</f>
        <v>Reverified</v>
      </c>
      <c r="E577" s="13">
        <f>IFERROR(__xludf.DUMMYFUNCTION("""COMPUTED_VALUE"""),46311.0)</f>
        <v>46311</v>
      </c>
      <c r="F577" s="5" t="str">
        <f>IFERROR(__xludf.DUMMYFUNCTION("""COMPUTED_VALUE"""),"Available")</f>
        <v>Available</v>
      </c>
      <c r="G577" s="5"/>
      <c r="H577" s="5"/>
      <c r="I577" s="5"/>
      <c r="J577" s="5" t="str">
        <f>IFERROR(__xludf.DUMMYFUNCTION("""COMPUTED_VALUE"""),"Cardiovascular; Pediatric; Renal")</f>
        <v>Cardiovascular; Pediatric; Renal</v>
      </c>
      <c r="K577" s="5" t="str">
        <f>IFERROR(__xludf.DUMMYFUNCTION("""COMPUTED_VALUE"""),"Current")</f>
        <v>Current</v>
      </c>
      <c r="L577" s="5"/>
      <c r="M577" s="5"/>
      <c r="N577" s="10">
        <f>IFERROR(__xludf.DUMMYFUNCTION("""COMPUTED_VALUE"""),43045.0)</f>
        <v>43045</v>
      </c>
      <c r="O577" s="5">
        <v>2017.0</v>
      </c>
      <c r="P577" s="5" t="str">
        <f>IFERROR(__xludf.DUMMYFUNCTION("""COMPUTED_VALUE"""),"Available")</f>
        <v>Available</v>
      </c>
      <c r="Q577" s="5" t="s">
        <v>135</v>
      </c>
      <c r="R577" s="5" t="s">
        <v>136</v>
      </c>
      <c r="S577" s="11">
        <v>3276.0</v>
      </c>
    </row>
    <row r="578">
      <c r="A578" s="5" t="str">
        <f>IFERROR(__xludf.DUMMYFUNCTION("""COMPUTED_VALUE"""),"Dobutamine Hydrochloride Injection")</f>
        <v>Dobutamine Hydrochloride Injection</v>
      </c>
      <c r="B578" s="5" t="str">
        <f>IFERROR(__xludf.DUMMYFUNCTION("""COMPUTED_VALUE"""),"Baxter Healthcare")</f>
        <v>Baxter Healthcare</v>
      </c>
      <c r="C578" s="5" t="str">
        <f>IFERROR(__xludf.DUMMYFUNCTION("""COMPUTED_VALUE"""),"Dobutamine Hydrochloride In Dextrose 5% In Plastic Container, Injection, 400 mg/100 mL (NDC 0338-1077-02)")</f>
        <v>Dobutamine Hydrochloride In Dextrose 5% In Plastic Container, Injection, 400 mg/100 mL (NDC 0338-1077-02)</v>
      </c>
      <c r="D578" s="5" t="str">
        <f>IFERROR(__xludf.DUMMYFUNCTION("""COMPUTED_VALUE"""),"Reverified")</f>
        <v>Reverified</v>
      </c>
      <c r="E578" s="13">
        <f>IFERROR(__xludf.DUMMYFUNCTION("""COMPUTED_VALUE"""),46311.0)</f>
        <v>46311</v>
      </c>
      <c r="F578" s="5" t="str">
        <f>IFERROR(__xludf.DUMMYFUNCTION("""COMPUTED_VALUE"""),"Available")</f>
        <v>Available</v>
      </c>
      <c r="G578" s="5"/>
      <c r="H578" s="5"/>
      <c r="I578" s="5"/>
      <c r="J578" s="5" t="str">
        <f>IFERROR(__xludf.DUMMYFUNCTION("""COMPUTED_VALUE"""),"Cardiovascular; Pediatric; Renal")</f>
        <v>Cardiovascular; Pediatric; Renal</v>
      </c>
      <c r="K578" s="5" t="str">
        <f>IFERROR(__xludf.DUMMYFUNCTION("""COMPUTED_VALUE"""),"Current")</f>
        <v>Current</v>
      </c>
      <c r="L578" s="5"/>
      <c r="M578" s="5"/>
      <c r="N578" s="10">
        <f>IFERROR(__xludf.DUMMYFUNCTION("""COMPUTED_VALUE"""),43045.0)</f>
        <v>43045</v>
      </c>
      <c r="O578" s="5">
        <v>2017.0</v>
      </c>
      <c r="P578" s="5" t="str">
        <f>IFERROR(__xludf.DUMMYFUNCTION("""COMPUTED_VALUE"""),"Available")</f>
        <v>Available</v>
      </c>
      <c r="Q578" s="5" t="s">
        <v>135</v>
      </c>
      <c r="R578" s="5" t="s">
        <v>136</v>
      </c>
      <c r="S578" s="11">
        <v>3276.0</v>
      </c>
    </row>
    <row r="579">
      <c r="A579" s="5" t="str">
        <f>IFERROR(__xludf.DUMMYFUNCTION("""COMPUTED_VALUE"""),"Dobutamine Hydrochloride Injection")</f>
        <v>Dobutamine Hydrochloride Injection</v>
      </c>
      <c r="B579" s="5" t="str">
        <f>IFERROR(__xludf.DUMMYFUNCTION("""COMPUTED_VALUE"""),"Hainan Poly Pharm. Co., Ltd.")</f>
        <v>Hainan Poly Pharm. Co., Ltd.</v>
      </c>
      <c r="C579" s="5" t="str">
        <f>IFERROR(__xludf.DUMMYFUNCTION("""COMPUTED_VALUE"""),"Dobutamine Hydrochloride, Injection, 250 mg/20 mL (NDC 70436-203-80)")</f>
        <v>Dobutamine Hydrochloride, Injection, 250 mg/20 mL (NDC 70436-203-80)</v>
      </c>
      <c r="D579" s="5" t="str">
        <f>IFERROR(__xludf.DUMMYFUNCTION("""COMPUTED_VALUE"""),"Reverified")</f>
        <v>Reverified</v>
      </c>
      <c r="E579" s="13">
        <f>IFERROR(__xludf.DUMMYFUNCTION("""COMPUTED_VALUE"""),46316.0)</f>
        <v>46316</v>
      </c>
      <c r="F579" s="5" t="str">
        <f>IFERROR(__xludf.DUMMYFUNCTION("""COMPUTED_VALUE"""),"Available")</f>
        <v>Available</v>
      </c>
      <c r="G579" s="5" t="str">
        <f>IFERROR(__xludf.DUMMYFUNCTION("""COMPUTED_VALUE"""),"Distributed by Slate Run Pharmaceuticals, LLC, 1-844-529-8988")</f>
        <v>Distributed by Slate Run Pharmaceuticals, LLC, 1-844-529-8988</v>
      </c>
      <c r="H579" s="5"/>
      <c r="I579" s="5"/>
      <c r="J579" s="5" t="str">
        <f>IFERROR(__xludf.DUMMYFUNCTION("""COMPUTED_VALUE"""),"Cardiovascular; Pediatric; Renal")</f>
        <v>Cardiovascular; Pediatric; Renal</v>
      </c>
      <c r="K579" s="5" t="str">
        <f>IFERROR(__xludf.DUMMYFUNCTION("""COMPUTED_VALUE"""),"Current")</f>
        <v>Current</v>
      </c>
      <c r="L579" s="5"/>
      <c r="M579" s="5"/>
      <c r="N579" s="10">
        <f>IFERROR(__xludf.DUMMYFUNCTION("""COMPUTED_VALUE"""),43045.0)</f>
        <v>43045</v>
      </c>
      <c r="O579" s="5">
        <v>2017.0</v>
      </c>
      <c r="P579" s="5" t="str">
        <f>IFERROR(__xludf.DUMMYFUNCTION("""COMPUTED_VALUE"""),"Available")</f>
        <v>Available</v>
      </c>
      <c r="Q579" s="5" t="s">
        <v>135</v>
      </c>
      <c r="R579" s="5" t="s">
        <v>136</v>
      </c>
      <c r="S579" s="11">
        <v>3276.0</v>
      </c>
    </row>
    <row r="580">
      <c r="A580" s="5" t="str">
        <f>IFERROR(__xludf.DUMMYFUNCTION("""COMPUTED_VALUE"""),"Dobutamine Hydrochloride Injection")</f>
        <v>Dobutamine Hydrochloride Injection</v>
      </c>
      <c r="B580" s="5" t="str">
        <f>IFERROR(__xludf.DUMMYFUNCTION("""COMPUTED_VALUE"""),"Hospira, Inc., a Pfizer Company")</f>
        <v>Hospira, Inc., a Pfizer Company</v>
      </c>
      <c r="C580" s="5" t="str">
        <f>IFERROR(__xludf.DUMMYFUNCTION("""COMPUTED_VALUE"""),"Dobutamine Hydrochloride, Injection, 250 mg/20mL (12.5 mg/1 mL) (NDC 0409-2344-88)")</f>
        <v>Dobutamine Hydrochloride, Injection, 250 mg/20mL (12.5 mg/1 mL) (NDC 0409-2344-88)</v>
      </c>
      <c r="D580" s="5" t="str">
        <f>IFERROR(__xludf.DUMMYFUNCTION("""COMPUTED_VALUE"""),"Revised")</f>
        <v>Revised</v>
      </c>
      <c r="E580" s="13">
        <f>IFERROR(__xludf.DUMMYFUNCTION("""COMPUTED_VALUE"""),46316.0)</f>
        <v>46316</v>
      </c>
      <c r="F580" s="5" t="str">
        <f>IFERROR(__xludf.DUMMYFUNCTION("""COMPUTED_VALUE"""),"Unavailable")</f>
        <v>Unavailable</v>
      </c>
      <c r="G580" s="5" t="str">
        <f>IFERROR(__xludf.DUMMYFUNCTION("""COMPUTED_VALUE"""),"Next Delivery and Estimated Recovery: December 2027; Shortage per Manufacturer: Manufacturing Delay")</f>
        <v>Next Delivery and Estimated Recovery: December 2027; Shortage per Manufacturer: Manufacturing Delay</v>
      </c>
      <c r="H580" s="5"/>
      <c r="I580" s="5" t="str">
        <f>IFERROR(__xludf.DUMMYFUNCTION("""COMPUTED_VALUE"""),"Other")</f>
        <v>Other</v>
      </c>
      <c r="J580" s="5" t="str">
        <f>IFERROR(__xludf.DUMMYFUNCTION("""COMPUTED_VALUE"""),"Cardiovascular; Pediatric; Renal")</f>
        <v>Cardiovascular; Pediatric; Renal</v>
      </c>
      <c r="K580" s="5" t="str">
        <f>IFERROR(__xludf.DUMMYFUNCTION("""COMPUTED_VALUE"""),"Current")</f>
        <v>Current</v>
      </c>
      <c r="L580" s="5"/>
      <c r="M580" s="5"/>
      <c r="N580" s="10">
        <f>IFERROR(__xludf.DUMMYFUNCTION("""COMPUTED_VALUE"""),43045.0)</f>
        <v>43045</v>
      </c>
      <c r="O580" s="5">
        <v>2017.0</v>
      </c>
      <c r="P580" s="5" t="str">
        <f>IFERROR(__xludf.DUMMYFUNCTION("""COMPUTED_VALUE"""),"Unavailable")</f>
        <v>Unavailable</v>
      </c>
      <c r="Q580" s="5" t="s">
        <v>47</v>
      </c>
      <c r="R580" s="5" t="s">
        <v>136</v>
      </c>
      <c r="S580" s="11">
        <v>3276.0</v>
      </c>
    </row>
    <row r="581">
      <c r="A581" s="5" t="str">
        <f>IFERROR(__xludf.DUMMYFUNCTION("""COMPUTED_VALUE"""),"Dobutamine Hydrochloride Injection")</f>
        <v>Dobutamine Hydrochloride Injection</v>
      </c>
      <c r="B581" s="5" t="str">
        <f>IFERROR(__xludf.DUMMYFUNCTION("""COMPUTED_VALUE"""),"Hospira, Inc., a Pfizer Company")</f>
        <v>Hospira, Inc., a Pfizer Company</v>
      </c>
      <c r="C581" s="5" t="str">
        <f>IFERROR(__xludf.DUMMYFUNCTION("""COMPUTED_VALUE"""),"Dobutamine Hydrochloride, Injection, 250 mg/20mL (12.5 mg/1 mL) (NDC 0409-2344-01)")</f>
        <v>Dobutamine Hydrochloride, Injection, 250 mg/20mL (12.5 mg/1 mL) (NDC 0409-2344-01)</v>
      </c>
      <c r="D581" s="5" t="str">
        <f>IFERROR(__xludf.DUMMYFUNCTION("""COMPUTED_VALUE"""),"Reverified")</f>
        <v>Reverified</v>
      </c>
      <c r="E581" s="13">
        <f>IFERROR(__xludf.DUMMYFUNCTION("""COMPUTED_VALUE"""),46316.0)</f>
        <v>46316</v>
      </c>
      <c r="F581" s="5" t="str">
        <f>IFERROR(__xludf.DUMMYFUNCTION("""COMPUTED_VALUE"""),"Available")</f>
        <v>Available</v>
      </c>
      <c r="G581" s="5"/>
      <c r="H581" s="5"/>
      <c r="I581" s="5"/>
      <c r="J581" s="5" t="str">
        <f>IFERROR(__xludf.DUMMYFUNCTION("""COMPUTED_VALUE"""),"Cardiovascular; Pediatric; Renal")</f>
        <v>Cardiovascular; Pediatric; Renal</v>
      </c>
      <c r="K581" s="5" t="str">
        <f>IFERROR(__xludf.DUMMYFUNCTION("""COMPUTED_VALUE"""),"Current")</f>
        <v>Current</v>
      </c>
      <c r="L581" s="5"/>
      <c r="M581" s="5"/>
      <c r="N581" s="10">
        <f>IFERROR(__xludf.DUMMYFUNCTION("""COMPUTED_VALUE"""),43045.0)</f>
        <v>43045</v>
      </c>
      <c r="O581" s="5">
        <v>2017.0</v>
      </c>
      <c r="P581" s="5" t="str">
        <f>IFERROR(__xludf.DUMMYFUNCTION("""COMPUTED_VALUE"""),"Available")</f>
        <v>Available</v>
      </c>
      <c r="Q581" s="5" t="s">
        <v>135</v>
      </c>
      <c r="R581" s="5" t="s">
        <v>136</v>
      </c>
      <c r="S581" s="11">
        <v>3276.0</v>
      </c>
    </row>
    <row r="582">
      <c r="A582" s="5" t="str">
        <f>IFERROR(__xludf.DUMMYFUNCTION("""COMPUTED_VALUE"""),"Dobutamine Hydrochloride Injection")</f>
        <v>Dobutamine Hydrochloride Injection</v>
      </c>
      <c r="B582" s="5" t="str">
        <f>IFERROR(__xludf.DUMMYFUNCTION("""COMPUTED_VALUE"""),"Hospira, Inc., a Pfizer Company")</f>
        <v>Hospira, Inc., a Pfizer Company</v>
      </c>
      <c r="C582" s="5" t="str">
        <f>IFERROR(__xludf.DUMMYFUNCTION("""COMPUTED_VALUE"""),"Dobutamine Hydrochloride, Injection, 250 mg/20mL (12.5 mg/1 mL) (NDC 0409-2344-02)")</f>
        <v>Dobutamine Hydrochloride, Injection, 250 mg/20mL (12.5 mg/1 mL) (NDC 0409-2344-02)</v>
      </c>
      <c r="D582" s="5" t="str">
        <f>IFERROR(__xludf.DUMMYFUNCTION("""COMPUTED_VALUE"""),"Reverified")</f>
        <v>Reverified</v>
      </c>
      <c r="E582" s="13">
        <f>IFERROR(__xludf.DUMMYFUNCTION("""COMPUTED_VALUE"""),46316.0)</f>
        <v>46316</v>
      </c>
      <c r="F582" s="5" t="str">
        <f>IFERROR(__xludf.DUMMYFUNCTION("""COMPUTED_VALUE"""),"Available")</f>
        <v>Available</v>
      </c>
      <c r="G582" s="5"/>
      <c r="H582" s="5"/>
      <c r="I582" s="5"/>
      <c r="J582" s="5" t="str">
        <f>IFERROR(__xludf.DUMMYFUNCTION("""COMPUTED_VALUE"""),"Cardiovascular; Pediatric; Renal")</f>
        <v>Cardiovascular; Pediatric; Renal</v>
      </c>
      <c r="K582" s="5" t="str">
        <f>IFERROR(__xludf.DUMMYFUNCTION("""COMPUTED_VALUE"""),"Current")</f>
        <v>Current</v>
      </c>
      <c r="L582" s="5"/>
      <c r="M582" s="5"/>
      <c r="N582" s="10">
        <f>IFERROR(__xludf.DUMMYFUNCTION("""COMPUTED_VALUE"""),43045.0)</f>
        <v>43045</v>
      </c>
      <c r="O582" s="5">
        <v>2017.0</v>
      </c>
      <c r="P582" s="5" t="str">
        <f>IFERROR(__xludf.DUMMYFUNCTION("""COMPUTED_VALUE"""),"Available")</f>
        <v>Available</v>
      </c>
      <c r="Q582" s="5" t="s">
        <v>135</v>
      </c>
      <c r="R582" s="5" t="s">
        <v>136</v>
      </c>
      <c r="S582" s="11">
        <v>3276.0</v>
      </c>
    </row>
    <row r="583">
      <c r="A583" s="5" t="str">
        <f>IFERROR(__xludf.DUMMYFUNCTION("""COMPUTED_VALUE"""),"Dobutamine Hydrochloride Injection")</f>
        <v>Dobutamine Hydrochloride Injection</v>
      </c>
      <c r="B583" s="5" t="str">
        <f>IFERROR(__xludf.DUMMYFUNCTION("""COMPUTED_VALUE"""),"Baxter Healthcare")</f>
        <v>Baxter Healthcare</v>
      </c>
      <c r="C583" s="5" t="str">
        <f>IFERROR(__xludf.DUMMYFUNCTION("""COMPUTED_VALUE"""),"Dobutamine Hydrochloride In Dextrose 5% In Plastic Container, Injection, 100 mg/100 mL (NDC 0338-1073-02)")</f>
        <v>Dobutamine Hydrochloride In Dextrose 5% In Plastic Container, Injection, 100 mg/100 mL (NDC 0338-1073-02)</v>
      </c>
      <c r="D583" s="5" t="str">
        <f>IFERROR(__xludf.DUMMYFUNCTION("""COMPUTED_VALUE"""),"Reverified")</f>
        <v>Reverified</v>
      </c>
      <c r="E583" s="13">
        <f>IFERROR(__xludf.DUMMYFUNCTION("""COMPUTED_VALUE"""),46311.0)</f>
        <v>46311</v>
      </c>
      <c r="F583" s="5" t="str">
        <f>IFERROR(__xludf.DUMMYFUNCTION("""COMPUTED_VALUE"""),"Available")</f>
        <v>Available</v>
      </c>
      <c r="G583" s="5"/>
      <c r="H583" s="5"/>
      <c r="I583" s="5"/>
      <c r="J583" s="5" t="str">
        <f>IFERROR(__xludf.DUMMYFUNCTION("""COMPUTED_VALUE"""),"Cardiovascular; Pediatric; Renal")</f>
        <v>Cardiovascular; Pediatric; Renal</v>
      </c>
      <c r="K583" s="5" t="str">
        <f>IFERROR(__xludf.DUMMYFUNCTION("""COMPUTED_VALUE"""),"Current")</f>
        <v>Current</v>
      </c>
      <c r="L583" s="5"/>
      <c r="M583" s="5"/>
      <c r="N583" s="10">
        <f>IFERROR(__xludf.DUMMYFUNCTION("""COMPUTED_VALUE"""),43045.0)</f>
        <v>43045</v>
      </c>
      <c r="O583" s="5">
        <v>2017.0</v>
      </c>
      <c r="P583" s="5" t="str">
        <f>IFERROR(__xludf.DUMMYFUNCTION("""COMPUTED_VALUE"""),"Available")</f>
        <v>Available</v>
      </c>
      <c r="Q583" s="5" t="s">
        <v>135</v>
      </c>
      <c r="R583" s="5" t="s">
        <v>136</v>
      </c>
      <c r="S583" s="11">
        <v>3276.0</v>
      </c>
    </row>
    <row r="584">
      <c r="A584" s="5" t="str">
        <f>IFERROR(__xludf.DUMMYFUNCTION("""COMPUTED_VALUE"""),"Docetaxel Injection")</f>
        <v>Docetaxel Injection</v>
      </c>
      <c r="B584" s="5" t="str">
        <f>IFERROR(__xludf.DUMMYFUNCTION("""COMPUTED_VALUE"""),"Ingenus Pharmaceuticals LLC")</f>
        <v>Ingenus Pharmaceuticals LLC</v>
      </c>
      <c r="C584" s="5" t="str">
        <f>IFERROR(__xludf.DUMMYFUNCTION("""COMPUTED_VALUE"""),"Docetaxel, Injection, 10 mg/1 mL (NDC 50742-431-08)")</f>
        <v>Docetaxel, Injection, 10 mg/1 mL (NDC 50742-431-08)</v>
      </c>
      <c r="D584" s="5" t="str">
        <f>IFERROR(__xludf.DUMMYFUNCTION("""COMPUTED_VALUE"""),"New")</f>
        <v>New</v>
      </c>
      <c r="E584" s="10">
        <f>IFERROR(__xludf.DUMMYFUNCTION("""COMPUTED_VALUE"""),46073.0)</f>
        <v>46073</v>
      </c>
      <c r="F584" s="5"/>
      <c r="G584" s="5" t="str">
        <f>IFERROR(__xludf.DUMMYFUNCTION("""COMPUTED_VALUE"""),"A business decision was made to discontinue manufacture of the drug.")</f>
        <v>A business decision was made to discontinue manufacture of the drug.</v>
      </c>
      <c r="H584" s="5"/>
      <c r="I584" s="5"/>
      <c r="J584" s="5" t="str">
        <f>IFERROR(__xludf.DUMMYFUNCTION("""COMPUTED_VALUE"""),"Oncology")</f>
        <v>Oncology</v>
      </c>
      <c r="K584" s="5" t="str">
        <f>IFERROR(__xludf.DUMMYFUNCTION("""COMPUTED_VALUE"""),"To Be Discontinued")</f>
        <v>To Be Discontinued</v>
      </c>
      <c r="L584" s="5"/>
      <c r="M584" s="10">
        <f>IFERROR(__xludf.DUMMYFUNCTION("""COMPUTED_VALUE"""),46073.0)</f>
        <v>46073</v>
      </c>
      <c r="N584" s="10">
        <f>IFERROR(__xludf.DUMMYFUNCTION("""COMPUTED_VALUE"""),46073.0)</f>
        <v>46073</v>
      </c>
      <c r="O584" s="5">
        <v>2026.0</v>
      </c>
      <c r="P584" s="5" t="str">
        <f>IFERROR(__xludf.DUMMYFUNCTION("""COMPUTED_VALUE"""),"Not stated")</f>
        <v>Not stated</v>
      </c>
      <c r="Q584" s="5" t="s">
        <v>135</v>
      </c>
      <c r="R584" s="5" t="s">
        <v>136</v>
      </c>
      <c r="S584" s="11">
        <v>248.0</v>
      </c>
    </row>
    <row r="585">
      <c r="A585" s="5" t="str">
        <f>IFERROR(__xludf.DUMMYFUNCTION("""COMPUTED_VALUE"""),"Docetaxel Injection")</f>
        <v>Docetaxel Injection</v>
      </c>
      <c r="B585" s="5" t="str">
        <f>IFERROR(__xludf.DUMMYFUNCTION("""COMPUTED_VALUE"""),"Ingenus Pharmaceuticals LLC")</f>
        <v>Ingenus Pharmaceuticals LLC</v>
      </c>
      <c r="C585" s="5" t="str">
        <f>IFERROR(__xludf.DUMMYFUNCTION("""COMPUTED_VALUE"""),"Docetaxel, Injection, 10 mg/1 mL (NDC 50742-463-16)")</f>
        <v>Docetaxel, Injection, 10 mg/1 mL (NDC 50742-463-16)</v>
      </c>
      <c r="D585" s="5" t="str">
        <f>IFERROR(__xludf.DUMMYFUNCTION("""COMPUTED_VALUE"""),"New")</f>
        <v>New</v>
      </c>
      <c r="E585" s="10">
        <f>IFERROR(__xludf.DUMMYFUNCTION("""COMPUTED_VALUE"""),46073.0)</f>
        <v>46073</v>
      </c>
      <c r="F585" s="5"/>
      <c r="G585" s="5" t="str">
        <f>IFERROR(__xludf.DUMMYFUNCTION("""COMPUTED_VALUE"""),"A business decision was made to discontinue manufacture of the drug.")</f>
        <v>A business decision was made to discontinue manufacture of the drug.</v>
      </c>
      <c r="H585" s="5"/>
      <c r="I585" s="5"/>
      <c r="J585" s="5" t="str">
        <f>IFERROR(__xludf.DUMMYFUNCTION("""COMPUTED_VALUE"""),"Oncology")</f>
        <v>Oncology</v>
      </c>
      <c r="K585" s="5" t="str">
        <f>IFERROR(__xludf.DUMMYFUNCTION("""COMPUTED_VALUE"""),"To Be Discontinued")</f>
        <v>To Be Discontinued</v>
      </c>
      <c r="L585" s="5"/>
      <c r="M585" s="10">
        <f>IFERROR(__xludf.DUMMYFUNCTION("""COMPUTED_VALUE"""),46073.0)</f>
        <v>46073</v>
      </c>
      <c r="N585" s="10">
        <f>IFERROR(__xludf.DUMMYFUNCTION("""COMPUTED_VALUE"""),46073.0)</f>
        <v>46073</v>
      </c>
      <c r="O585" s="5">
        <v>2026.0</v>
      </c>
      <c r="P585" s="5" t="str">
        <f>IFERROR(__xludf.DUMMYFUNCTION("""COMPUTED_VALUE"""),"Not stated")</f>
        <v>Not stated</v>
      </c>
      <c r="Q585" s="5" t="s">
        <v>135</v>
      </c>
      <c r="R585" s="5" t="s">
        <v>136</v>
      </c>
      <c r="S585" s="11">
        <v>248.0</v>
      </c>
    </row>
    <row r="586">
      <c r="A586" s="5" t="str">
        <f>IFERROR(__xludf.DUMMYFUNCTION("""COMPUTED_VALUE"""),"Donepezil Hydrochloride; Memantine Hydrochloride Capsule, Extended Release")</f>
        <v>Donepezil Hydrochloride; Memantine Hydrochloride Capsule, Extended Release</v>
      </c>
      <c r="B586" s="5" t="str">
        <f>IFERROR(__xludf.DUMMYFUNCTION("""COMPUTED_VALUE"""),"Amneal Pharmaceuticals")</f>
        <v>Amneal Pharmaceuticals</v>
      </c>
      <c r="C586" s="5" t="str">
        <f>IFERROR(__xludf.DUMMYFUNCTION("""COMPUTED_VALUE"""),"Donepezil Hydrochloride; Memantine Hydrochloride, Capsule, Extended Release, 10 mg; 28 mg (NDC 69238-1247-3)")</f>
        <v>Donepezil Hydrochloride; Memantine Hydrochloride, Capsule, Extended Release, 10 mg; 28 mg (NDC 69238-1247-3)</v>
      </c>
      <c r="D586" s="5" t="str">
        <f>IFERROR(__xludf.DUMMYFUNCTION("""COMPUTED_VALUE"""),"New")</f>
        <v>New</v>
      </c>
      <c r="E586" s="10">
        <f>IFERROR(__xludf.DUMMYFUNCTION("""COMPUTED_VALUE"""),46188.0)</f>
        <v>46188</v>
      </c>
      <c r="F586" s="5"/>
      <c r="G586" s="5" t="str">
        <f>IFERROR(__xludf.DUMMYFUNCTION("""COMPUTED_VALUE"""),"Discontinuation of the manufacture of the drug")</f>
        <v>Discontinuation of the manufacture of the drug</v>
      </c>
      <c r="H586" s="5"/>
      <c r="I586" s="5"/>
      <c r="J586" s="5" t="str">
        <f>IFERROR(__xludf.DUMMYFUNCTION("""COMPUTED_VALUE"""),"Neurology")</f>
        <v>Neurology</v>
      </c>
      <c r="K586" s="5" t="str">
        <f>IFERROR(__xludf.DUMMYFUNCTION("""COMPUTED_VALUE"""),"To Be Discontinued")</f>
        <v>To Be Discontinued</v>
      </c>
      <c r="L586" s="5"/>
      <c r="M586" s="10">
        <f>IFERROR(__xludf.DUMMYFUNCTION("""COMPUTED_VALUE"""),46188.0)</f>
        <v>46188</v>
      </c>
      <c r="N586" s="10">
        <f>IFERROR(__xludf.DUMMYFUNCTION("""COMPUTED_VALUE"""),46188.0)</f>
        <v>46188</v>
      </c>
      <c r="O586" s="5">
        <v>2026.0</v>
      </c>
      <c r="P586" s="5" t="str">
        <f>IFERROR(__xludf.DUMMYFUNCTION("""COMPUTED_VALUE"""),"Not stated")</f>
        <v>Not stated</v>
      </c>
      <c r="Q586" s="5" t="s">
        <v>135</v>
      </c>
      <c r="R586" s="5" t="s">
        <v>136</v>
      </c>
      <c r="S586" s="11">
        <v>133.0</v>
      </c>
    </row>
    <row r="587">
      <c r="A587" s="5" t="str">
        <f>IFERROR(__xludf.DUMMYFUNCTION("""COMPUTED_VALUE"""),"Donepezil Hydrochloride; Memantine Hydrochloride Capsule, Extended Release")</f>
        <v>Donepezil Hydrochloride; Memantine Hydrochloride Capsule, Extended Release</v>
      </c>
      <c r="B587" s="5" t="str">
        <f>IFERROR(__xludf.DUMMYFUNCTION("""COMPUTED_VALUE"""),"Amneal Pharmaceuticals")</f>
        <v>Amneal Pharmaceuticals</v>
      </c>
      <c r="C587" s="5" t="str">
        <f>IFERROR(__xludf.DUMMYFUNCTION("""COMPUTED_VALUE"""),"Donepezil Hydrochloride; Memantine Hydrochloride, Capsule, Extended Release, 10 mg; 14 mg (NDC 69238-1248-3)")</f>
        <v>Donepezil Hydrochloride; Memantine Hydrochloride, Capsule, Extended Release, 10 mg; 14 mg (NDC 69238-1248-3)</v>
      </c>
      <c r="D587" s="5" t="str">
        <f>IFERROR(__xludf.DUMMYFUNCTION("""COMPUTED_VALUE"""),"New")</f>
        <v>New</v>
      </c>
      <c r="E587" s="10">
        <f>IFERROR(__xludf.DUMMYFUNCTION("""COMPUTED_VALUE"""),46188.0)</f>
        <v>46188</v>
      </c>
      <c r="F587" s="5"/>
      <c r="G587" s="5" t="str">
        <f>IFERROR(__xludf.DUMMYFUNCTION("""COMPUTED_VALUE"""),"Discontinuation of the manufacture of the drug")</f>
        <v>Discontinuation of the manufacture of the drug</v>
      </c>
      <c r="H587" s="5"/>
      <c r="I587" s="5"/>
      <c r="J587" s="5" t="str">
        <f>IFERROR(__xludf.DUMMYFUNCTION("""COMPUTED_VALUE"""),"Neurology")</f>
        <v>Neurology</v>
      </c>
      <c r="K587" s="5" t="str">
        <f>IFERROR(__xludf.DUMMYFUNCTION("""COMPUTED_VALUE"""),"To Be Discontinued")</f>
        <v>To Be Discontinued</v>
      </c>
      <c r="L587" s="5"/>
      <c r="M587" s="10">
        <f>IFERROR(__xludf.DUMMYFUNCTION("""COMPUTED_VALUE"""),46188.0)</f>
        <v>46188</v>
      </c>
      <c r="N587" s="10">
        <f>IFERROR(__xludf.DUMMYFUNCTION("""COMPUTED_VALUE"""),46188.0)</f>
        <v>46188</v>
      </c>
      <c r="O587" s="5">
        <v>2026.0</v>
      </c>
      <c r="P587" s="5" t="str">
        <f>IFERROR(__xludf.DUMMYFUNCTION("""COMPUTED_VALUE"""),"Not stated")</f>
        <v>Not stated</v>
      </c>
      <c r="Q587" s="5" t="s">
        <v>135</v>
      </c>
      <c r="R587" s="5" t="s">
        <v>136</v>
      </c>
      <c r="S587" s="11">
        <v>133.0</v>
      </c>
    </row>
    <row r="588">
      <c r="A588" s="5" t="str">
        <f>IFERROR(__xludf.DUMMYFUNCTION("""COMPUTED_VALUE"""),"Dopamine Hydrochloride Injection")</f>
        <v>Dopamine Hydrochloride Injection</v>
      </c>
      <c r="B588" s="5" t="str">
        <f>IFERROR(__xludf.DUMMYFUNCTION("""COMPUTED_VALUE"""),"Hospira, Inc., a Pfizer Company")</f>
        <v>Hospira, Inc., a Pfizer Company</v>
      </c>
      <c r="C588" s="5" t="str">
        <f>IFERROR(__xludf.DUMMYFUNCTION("""COMPUTED_VALUE"""),"Dopamine Hydrochloride In Dextrose 5% In Plastic Container, Injection, 400 mg/250 mL (1.6 mg/1 mL) (NDC 0409-0042-12)")</f>
        <v>Dopamine Hydrochloride In Dextrose 5% In Plastic Container, Injection, 400 mg/250 mL (1.6 mg/1 mL) (NDC 0409-0042-12)</v>
      </c>
      <c r="D588" s="5" t="str">
        <f>IFERROR(__xludf.DUMMYFUNCTION("""COMPUTED_VALUE"""),"Reverified")</f>
        <v>Reverified</v>
      </c>
      <c r="E588" s="13">
        <f>IFERROR(__xludf.DUMMYFUNCTION("""COMPUTED_VALUE"""),46316.0)</f>
        <v>46316</v>
      </c>
      <c r="F588" s="5" t="str">
        <f>IFERROR(__xludf.DUMMYFUNCTION("""COMPUTED_VALUE"""),"Available")</f>
        <v>Available</v>
      </c>
      <c r="G588" s="5"/>
      <c r="H588" s="5"/>
      <c r="I588" s="5"/>
      <c r="J588" s="5" t="str">
        <f>IFERROR(__xludf.DUMMYFUNCTION("""COMPUTED_VALUE"""),"Cardiovascular")</f>
        <v>Cardiovascular</v>
      </c>
      <c r="K588" s="5" t="str">
        <f>IFERROR(__xludf.DUMMYFUNCTION("""COMPUTED_VALUE"""),"Current")</f>
        <v>Current</v>
      </c>
      <c r="L588" s="5"/>
      <c r="M588" s="5"/>
      <c r="N588" s="10">
        <f>IFERROR(__xludf.DUMMYFUNCTION("""COMPUTED_VALUE"""),43045.0)</f>
        <v>43045</v>
      </c>
      <c r="O588" s="5">
        <v>2017.0</v>
      </c>
      <c r="P588" s="5" t="str">
        <f>IFERROR(__xludf.DUMMYFUNCTION("""COMPUTED_VALUE"""),"Available")</f>
        <v>Available</v>
      </c>
      <c r="Q588" s="5" t="s">
        <v>135</v>
      </c>
      <c r="R588" s="5" t="s">
        <v>136</v>
      </c>
      <c r="S588" s="11">
        <v>3276.0</v>
      </c>
    </row>
    <row r="589">
      <c r="A589" s="5" t="str">
        <f>IFERROR(__xludf.DUMMYFUNCTION("""COMPUTED_VALUE"""),"Dopamine Hydrochloride Injection")</f>
        <v>Dopamine Hydrochloride Injection</v>
      </c>
      <c r="B589" s="5" t="str">
        <f>IFERROR(__xludf.DUMMYFUNCTION("""COMPUTED_VALUE"""),"Hospira, Inc., a Pfizer Company")</f>
        <v>Hospira, Inc., a Pfizer Company</v>
      </c>
      <c r="C589" s="5" t="str">
        <f>IFERROR(__xludf.DUMMYFUNCTION("""COMPUTED_VALUE"""),"Dopamine Hydrochloride In Dextrose 5% In Plastic Container, Injection, 800 mg/250 mL (3.2 mg/1 mL) (NDC 0409-1858-12)")</f>
        <v>Dopamine Hydrochloride In Dextrose 5% In Plastic Container, Injection, 800 mg/250 mL (3.2 mg/1 mL) (NDC 0409-1858-12)</v>
      </c>
      <c r="D589" s="5" t="str">
        <f>IFERROR(__xludf.DUMMYFUNCTION("""COMPUTED_VALUE"""),"Reverified")</f>
        <v>Reverified</v>
      </c>
      <c r="E589" s="13">
        <f>IFERROR(__xludf.DUMMYFUNCTION("""COMPUTED_VALUE"""),46316.0)</f>
        <v>46316</v>
      </c>
      <c r="F589" s="5" t="str">
        <f>IFERROR(__xludf.DUMMYFUNCTION("""COMPUTED_VALUE"""),"Available")</f>
        <v>Available</v>
      </c>
      <c r="G589" s="5"/>
      <c r="H589" s="5"/>
      <c r="I589" s="5"/>
      <c r="J589" s="5" t="str">
        <f>IFERROR(__xludf.DUMMYFUNCTION("""COMPUTED_VALUE"""),"Cardiovascular")</f>
        <v>Cardiovascular</v>
      </c>
      <c r="K589" s="5" t="str">
        <f>IFERROR(__xludf.DUMMYFUNCTION("""COMPUTED_VALUE"""),"Current")</f>
        <v>Current</v>
      </c>
      <c r="L589" s="5"/>
      <c r="M589" s="5"/>
      <c r="N589" s="10">
        <f>IFERROR(__xludf.DUMMYFUNCTION("""COMPUTED_VALUE"""),43045.0)</f>
        <v>43045</v>
      </c>
      <c r="O589" s="5">
        <v>2017.0</v>
      </c>
      <c r="P589" s="5" t="str">
        <f>IFERROR(__xludf.DUMMYFUNCTION("""COMPUTED_VALUE"""),"Available")</f>
        <v>Available</v>
      </c>
      <c r="Q589" s="5" t="s">
        <v>135</v>
      </c>
      <c r="R589" s="5" t="s">
        <v>136</v>
      </c>
      <c r="S589" s="11">
        <v>3276.0</v>
      </c>
    </row>
    <row r="590">
      <c r="A590" s="5" t="str">
        <f>IFERROR(__xludf.DUMMYFUNCTION("""COMPUTED_VALUE"""),"Dopamine Hydrochloride Injection")</f>
        <v>Dopamine Hydrochloride Injection</v>
      </c>
      <c r="B590" s="5" t="str">
        <f>IFERROR(__xludf.DUMMYFUNCTION("""COMPUTED_VALUE"""),"Baxter Healthcare")</f>
        <v>Baxter Healthcare</v>
      </c>
      <c r="C590" s="5" t="str">
        <f>IFERROR(__xludf.DUMMYFUNCTION("""COMPUTED_VALUE"""),"Dopamine Hydrochloride In Dextrose 5% In Plastic Container, Injection, 80 mg/100 mL (NDC 0338-1005-03)")</f>
        <v>Dopamine Hydrochloride In Dextrose 5% In Plastic Container, Injection, 80 mg/100 mL (NDC 0338-1005-03)</v>
      </c>
      <c r="D590" s="5" t="str">
        <f>IFERROR(__xludf.DUMMYFUNCTION("""COMPUTED_VALUE"""),"Reverified")</f>
        <v>Reverified</v>
      </c>
      <c r="E590" s="13">
        <f>IFERROR(__xludf.DUMMYFUNCTION("""COMPUTED_VALUE"""),46311.0)</f>
        <v>46311</v>
      </c>
      <c r="F590" s="5" t="str">
        <f>IFERROR(__xludf.DUMMYFUNCTION("""COMPUTED_VALUE"""),"Available")</f>
        <v>Available</v>
      </c>
      <c r="G590" s="5"/>
      <c r="H590" s="5"/>
      <c r="I590" s="5"/>
      <c r="J590" s="5" t="str">
        <f>IFERROR(__xludf.DUMMYFUNCTION("""COMPUTED_VALUE"""),"Cardiovascular")</f>
        <v>Cardiovascular</v>
      </c>
      <c r="K590" s="5" t="str">
        <f>IFERROR(__xludf.DUMMYFUNCTION("""COMPUTED_VALUE"""),"Current")</f>
        <v>Current</v>
      </c>
      <c r="L590" s="5"/>
      <c r="M590" s="5"/>
      <c r="N590" s="10">
        <f>IFERROR(__xludf.DUMMYFUNCTION("""COMPUTED_VALUE"""),43045.0)</f>
        <v>43045</v>
      </c>
      <c r="O590" s="5">
        <v>2017.0</v>
      </c>
      <c r="P590" s="5" t="str">
        <f>IFERROR(__xludf.DUMMYFUNCTION("""COMPUTED_VALUE"""),"Available")</f>
        <v>Available</v>
      </c>
      <c r="Q590" s="5" t="s">
        <v>135</v>
      </c>
      <c r="R590" s="5" t="s">
        <v>136</v>
      </c>
      <c r="S590" s="11">
        <v>3276.0</v>
      </c>
    </row>
    <row r="591">
      <c r="A591" s="5" t="str">
        <f>IFERROR(__xludf.DUMMYFUNCTION("""COMPUTED_VALUE"""),"Dopamine Hydrochloride Injection")</f>
        <v>Dopamine Hydrochloride Injection</v>
      </c>
      <c r="B591" s="5" t="str">
        <f>IFERROR(__xludf.DUMMYFUNCTION("""COMPUTED_VALUE"""),"Baxter Healthcare")</f>
        <v>Baxter Healthcare</v>
      </c>
      <c r="C591" s="5" t="str">
        <f>IFERROR(__xludf.DUMMYFUNCTION("""COMPUTED_VALUE"""),"Dopamine Hydrochloride In Dextrose 5% In Plastic Container, Injection, 160 mg/100 mL (NDC 0338-1007-02)")</f>
        <v>Dopamine Hydrochloride In Dextrose 5% In Plastic Container, Injection, 160 mg/100 mL (NDC 0338-1007-02)</v>
      </c>
      <c r="D591" s="5" t="str">
        <f>IFERROR(__xludf.DUMMYFUNCTION("""COMPUTED_VALUE"""),"Reverified")</f>
        <v>Reverified</v>
      </c>
      <c r="E591" s="13">
        <f>IFERROR(__xludf.DUMMYFUNCTION("""COMPUTED_VALUE"""),46311.0)</f>
        <v>46311</v>
      </c>
      <c r="F591" s="5" t="str">
        <f>IFERROR(__xludf.DUMMYFUNCTION("""COMPUTED_VALUE"""),"Available")</f>
        <v>Available</v>
      </c>
      <c r="G591" s="5"/>
      <c r="H591" s="5"/>
      <c r="I591" s="5"/>
      <c r="J591" s="5" t="str">
        <f>IFERROR(__xludf.DUMMYFUNCTION("""COMPUTED_VALUE"""),"Cardiovascular")</f>
        <v>Cardiovascular</v>
      </c>
      <c r="K591" s="5" t="str">
        <f>IFERROR(__xludf.DUMMYFUNCTION("""COMPUTED_VALUE"""),"Current")</f>
        <v>Current</v>
      </c>
      <c r="L591" s="5"/>
      <c r="M591" s="5"/>
      <c r="N591" s="10">
        <f>IFERROR(__xludf.DUMMYFUNCTION("""COMPUTED_VALUE"""),43045.0)</f>
        <v>43045</v>
      </c>
      <c r="O591" s="5">
        <v>2017.0</v>
      </c>
      <c r="P591" s="5" t="str">
        <f>IFERROR(__xludf.DUMMYFUNCTION("""COMPUTED_VALUE"""),"Available")</f>
        <v>Available</v>
      </c>
      <c r="Q591" s="5" t="s">
        <v>135</v>
      </c>
      <c r="R591" s="5" t="s">
        <v>136</v>
      </c>
      <c r="S591" s="11">
        <v>3276.0</v>
      </c>
    </row>
    <row r="592">
      <c r="A592" s="5" t="str">
        <f>IFERROR(__xludf.DUMMYFUNCTION("""COMPUTED_VALUE"""),"Dopamine Hydrochloride Injection")</f>
        <v>Dopamine Hydrochloride Injection</v>
      </c>
      <c r="B592" s="5" t="str">
        <f>IFERROR(__xludf.DUMMYFUNCTION("""COMPUTED_VALUE"""),"Baxter Healthcare")</f>
        <v>Baxter Healthcare</v>
      </c>
      <c r="C592" s="5" t="str">
        <f>IFERROR(__xludf.DUMMYFUNCTION("""COMPUTED_VALUE"""),"Dopamine Hydrochloride In Dextrose 5% In Plastic Container, Injection, 160 mg/100 mL (NDC 0338-1007-03)")</f>
        <v>Dopamine Hydrochloride In Dextrose 5% In Plastic Container, Injection, 160 mg/100 mL (NDC 0338-1007-03)</v>
      </c>
      <c r="D592" s="5" t="str">
        <f>IFERROR(__xludf.DUMMYFUNCTION("""COMPUTED_VALUE"""),"Reverified")</f>
        <v>Reverified</v>
      </c>
      <c r="E592" s="13">
        <f>IFERROR(__xludf.DUMMYFUNCTION("""COMPUTED_VALUE"""),46311.0)</f>
        <v>46311</v>
      </c>
      <c r="F592" s="5" t="str">
        <f>IFERROR(__xludf.DUMMYFUNCTION("""COMPUTED_VALUE"""),"Available")</f>
        <v>Available</v>
      </c>
      <c r="G592" s="5"/>
      <c r="H592" s="5"/>
      <c r="I592" s="5"/>
      <c r="J592" s="5" t="str">
        <f>IFERROR(__xludf.DUMMYFUNCTION("""COMPUTED_VALUE"""),"Cardiovascular")</f>
        <v>Cardiovascular</v>
      </c>
      <c r="K592" s="5" t="str">
        <f>IFERROR(__xludf.DUMMYFUNCTION("""COMPUTED_VALUE"""),"Current")</f>
        <v>Current</v>
      </c>
      <c r="L592" s="5"/>
      <c r="M592" s="5"/>
      <c r="N592" s="10">
        <f>IFERROR(__xludf.DUMMYFUNCTION("""COMPUTED_VALUE"""),43045.0)</f>
        <v>43045</v>
      </c>
      <c r="O592" s="5">
        <v>2017.0</v>
      </c>
      <c r="P592" s="5" t="str">
        <f>IFERROR(__xludf.DUMMYFUNCTION("""COMPUTED_VALUE"""),"Available")</f>
        <v>Available</v>
      </c>
      <c r="Q592" s="5" t="s">
        <v>135</v>
      </c>
      <c r="R592" s="5" t="s">
        <v>136</v>
      </c>
      <c r="S592" s="11">
        <v>3276.0</v>
      </c>
    </row>
    <row r="593">
      <c r="A593" s="5" t="str">
        <f>IFERROR(__xludf.DUMMYFUNCTION("""COMPUTED_VALUE"""),"Dopamine Hydrochloride Injection")</f>
        <v>Dopamine Hydrochloride Injection</v>
      </c>
      <c r="B593" s="5" t="str">
        <f>IFERROR(__xludf.DUMMYFUNCTION("""COMPUTED_VALUE"""),"Baxter Healthcare")</f>
        <v>Baxter Healthcare</v>
      </c>
      <c r="C593" s="5" t="str">
        <f>IFERROR(__xludf.DUMMYFUNCTION("""COMPUTED_VALUE"""),"Dopamine Hydrochloride In Dextrose 5% In Plastic Container, Injection, 80 mg/100 mL (NDC 0338-1005-02)")</f>
        <v>Dopamine Hydrochloride In Dextrose 5% In Plastic Container, Injection, 80 mg/100 mL (NDC 0338-1005-02)</v>
      </c>
      <c r="D593" s="5" t="str">
        <f>IFERROR(__xludf.DUMMYFUNCTION("""COMPUTED_VALUE"""),"Reverified")</f>
        <v>Reverified</v>
      </c>
      <c r="E593" s="13">
        <f>IFERROR(__xludf.DUMMYFUNCTION("""COMPUTED_VALUE"""),46311.0)</f>
        <v>46311</v>
      </c>
      <c r="F593" s="5" t="str">
        <f>IFERROR(__xludf.DUMMYFUNCTION("""COMPUTED_VALUE"""),"Available")</f>
        <v>Available</v>
      </c>
      <c r="G593" s="5"/>
      <c r="H593" s="5"/>
      <c r="I593" s="5"/>
      <c r="J593" s="5" t="str">
        <f>IFERROR(__xludf.DUMMYFUNCTION("""COMPUTED_VALUE"""),"Cardiovascular")</f>
        <v>Cardiovascular</v>
      </c>
      <c r="K593" s="5" t="str">
        <f>IFERROR(__xludf.DUMMYFUNCTION("""COMPUTED_VALUE"""),"Current")</f>
        <v>Current</v>
      </c>
      <c r="L593" s="5"/>
      <c r="M593" s="5"/>
      <c r="N593" s="10">
        <f>IFERROR(__xludf.DUMMYFUNCTION("""COMPUTED_VALUE"""),43045.0)</f>
        <v>43045</v>
      </c>
      <c r="O593" s="5">
        <v>2017.0</v>
      </c>
      <c r="P593" s="5" t="str">
        <f>IFERROR(__xludf.DUMMYFUNCTION("""COMPUTED_VALUE"""),"Available")</f>
        <v>Available</v>
      </c>
      <c r="Q593" s="5" t="s">
        <v>135</v>
      </c>
      <c r="R593" s="5" t="s">
        <v>136</v>
      </c>
      <c r="S593" s="11">
        <v>3276.0</v>
      </c>
    </row>
    <row r="594">
      <c r="A594" s="5" t="str">
        <f>IFERROR(__xludf.DUMMYFUNCTION("""COMPUTED_VALUE"""),"Dopamine Hydrochloride Injection")</f>
        <v>Dopamine Hydrochloride Injection</v>
      </c>
      <c r="B594" s="5" t="str">
        <f>IFERROR(__xludf.DUMMYFUNCTION("""COMPUTED_VALUE"""),"Hospira, Inc., a Pfizer Company")</f>
        <v>Hospira, Inc., a Pfizer Company</v>
      </c>
      <c r="C594" s="5" t="str">
        <f>IFERROR(__xludf.DUMMYFUNCTION("""COMPUTED_VALUE"""),"Dopamine Hydrochloride In Dextrose 5% In Plastic Container, Injection, 800 mg/500 mL (1.6 mg/1 mL) (NDC 0409-7809-24)")</f>
        <v>Dopamine Hydrochloride In Dextrose 5% In Plastic Container, Injection, 800 mg/500 mL (1.6 mg/1 mL) (NDC 0409-7809-24)</v>
      </c>
      <c r="D594" s="5" t="str">
        <f>IFERROR(__xludf.DUMMYFUNCTION("""COMPUTED_VALUE"""),"Revised")</f>
        <v>Revised</v>
      </c>
      <c r="E594" s="13">
        <f>IFERROR(__xludf.DUMMYFUNCTION("""COMPUTED_VALUE"""),46316.0)</f>
        <v>46316</v>
      </c>
      <c r="F594" s="5" t="str">
        <f>IFERROR(__xludf.DUMMYFUNCTION("""COMPUTED_VALUE"""),"Unavailable")</f>
        <v>Unavailable</v>
      </c>
      <c r="G594" s="5" t="str">
        <f>IFERROR(__xludf.DUMMYFUNCTION("""COMPUTED_VALUE"""),"Next Delivery and Estimated Recovery: December 2027; Shortage per Manufacturer: Manufacturing Delay")</f>
        <v>Next Delivery and Estimated Recovery: December 2027; Shortage per Manufacturer: Manufacturing Delay</v>
      </c>
      <c r="H594" s="5"/>
      <c r="I594" s="5" t="str">
        <f>IFERROR(__xludf.DUMMYFUNCTION("""COMPUTED_VALUE"""),"Other")</f>
        <v>Other</v>
      </c>
      <c r="J594" s="5" t="str">
        <f>IFERROR(__xludf.DUMMYFUNCTION("""COMPUTED_VALUE"""),"Cardiovascular")</f>
        <v>Cardiovascular</v>
      </c>
      <c r="K594" s="5" t="str">
        <f>IFERROR(__xludf.DUMMYFUNCTION("""COMPUTED_VALUE"""),"Current")</f>
        <v>Current</v>
      </c>
      <c r="L594" s="5"/>
      <c r="M594" s="5"/>
      <c r="N594" s="10">
        <f>IFERROR(__xludf.DUMMYFUNCTION("""COMPUTED_VALUE"""),43045.0)</f>
        <v>43045</v>
      </c>
      <c r="O594" s="5">
        <v>2017.0</v>
      </c>
      <c r="P594" s="5" t="str">
        <f>IFERROR(__xludf.DUMMYFUNCTION("""COMPUTED_VALUE"""),"Unavailable")</f>
        <v>Unavailable</v>
      </c>
      <c r="Q594" s="5" t="s">
        <v>47</v>
      </c>
      <c r="R594" s="5" t="s">
        <v>136</v>
      </c>
      <c r="S594" s="11">
        <v>3276.0</v>
      </c>
    </row>
    <row r="595">
      <c r="A595" s="5" t="str">
        <f>IFERROR(__xludf.DUMMYFUNCTION("""COMPUTED_VALUE"""),"Dopamine Hydrochloride Injection")</f>
        <v>Dopamine Hydrochloride Injection</v>
      </c>
      <c r="B595" s="5" t="str">
        <f>IFERROR(__xludf.DUMMYFUNCTION("""COMPUTED_VALUE"""),"Hospira, Inc., a Pfizer Company")</f>
        <v>Hospira, Inc., a Pfizer Company</v>
      </c>
      <c r="C595" s="5" t="str">
        <f>IFERROR(__xludf.DUMMYFUNCTION("""COMPUTED_VALUE"""),"Dopamine Hydrochloride, Injection, 200 mg/5mL (40 mg/1 mL) (NDC 0409-5820-01)")</f>
        <v>Dopamine Hydrochloride, Injection, 200 mg/5mL (40 mg/1 mL) (NDC 0409-5820-01)</v>
      </c>
      <c r="D595" s="5" t="str">
        <f>IFERROR(__xludf.DUMMYFUNCTION("""COMPUTED_VALUE"""),"Reverified")</f>
        <v>Reverified</v>
      </c>
      <c r="E595" s="13">
        <f>IFERROR(__xludf.DUMMYFUNCTION("""COMPUTED_VALUE"""),46316.0)</f>
        <v>46316</v>
      </c>
      <c r="F595" s="5" t="str">
        <f>IFERROR(__xludf.DUMMYFUNCTION("""COMPUTED_VALUE"""),"Available")</f>
        <v>Available</v>
      </c>
      <c r="G595" s="5"/>
      <c r="H595" s="5"/>
      <c r="I595" s="5"/>
      <c r="J595" s="5" t="str">
        <f>IFERROR(__xludf.DUMMYFUNCTION("""COMPUTED_VALUE"""),"Cardiovascular")</f>
        <v>Cardiovascular</v>
      </c>
      <c r="K595" s="5" t="str">
        <f>IFERROR(__xludf.DUMMYFUNCTION("""COMPUTED_VALUE"""),"Current")</f>
        <v>Current</v>
      </c>
      <c r="L595" s="5"/>
      <c r="M595" s="5"/>
      <c r="N595" s="10">
        <f>IFERROR(__xludf.DUMMYFUNCTION("""COMPUTED_VALUE"""),43045.0)</f>
        <v>43045</v>
      </c>
      <c r="O595" s="5">
        <v>2017.0</v>
      </c>
      <c r="P595" s="5" t="str">
        <f>IFERROR(__xludf.DUMMYFUNCTION("""COMPUTED_VALUE"""),"Available")</f>
        <v>Available</v>
      </c>
      <c r="Q595" s="5" t="s">
        <v>135</v>
      </c>
      <c r="R595" s="5" t="s">
        <v>136</v>
      </c>
      <c r="S595" s="11">
        <v>3276.0</v>
      </c>
    </row>
    <row r="596">
      <c r="A596" s="5" t="str">
        <f>IFERROR(__xludf.DUMMYFUNCTION("""COMPUTED_VALUE"""),"Dopamine Hydrochloride Injection")</f>
        <v>Dopamine Hydrochloride Injection</v>
      </c>
      <c r="B596" s="5" t="str">
        <f>IFERROR(__xludf.DUMMYFUNCTION("""COMPUTED_VALUE"""),"Hospira, Inc., a Pfizer Company")</f>
        <v>Hospira, Inc., a Pfizer Company</v>
      </c>
      <c r="C596" s="5" t="str">
        <f>IFERROR(__xludf.DUMMYFUNCTION("""COMPUTED_VALUE"""),"Dopamine Hydrochloride, Injection, 400 mg/10mL (40 mg/1 mL) (NDC 0409-9104-20)")</f>
        <v>Dopamine Hydrochloride, Injection, 400 mg/10mL (40 mg/1 mL) (NDC 0409-9104-20)</v>
      </c>
      <c r="D596" s="5" t="str">
        <f>IFERROR(__xludf.DUMMYFUNCTION("""COMPUTED_VALUE"""),"Reverified")</f>
        <v>Reverified</v>
      </c>
      <c r="E596" s="10">
        <f>IFERROR(__xludf.DUMMYFUNCTION("""COMPUTED_VALUE"""),46303.0)</f>
        <v>46303</v>
      </c>
      <c r="F596" s="5" t="str">
        <f>IFERROR(__xludf.DUMMYFUNCTION("""COMPUTED_VALUE"""),"Available")</f>
        <v>Available</v>
      </c>
      <c r="G596" s="5"/>
      <c r="H596" s="5"/>
      <c r="I596" s="5"/>
      <c r="J596" s="5" t="str">
        <f>IFERROR(__xludf.DUMMYFUNCTION("""COMPUTED_VALUE"""),"Cardiovascular")</f>
        <v>Cardiovascular</v>
      </c>
      <c r="K596" s="5" t="str">
        <f>IFERROR(__xludf.DUMMYFUNCTION("""COMPUTED_VALUE"""),"Current")</f>
        <v>Current</v>
      </c>
      <c r="L596" s="5"/>
      <c r="M596" s="5"/>
      <c r="N596" s="10">
        <f>IFERROR(__xludf.DUMMYFUNCTION("""COMPUTED_VALUE"""),43045.0)</f>
        <v>43045</v>
      </c>
      <c r="O596" s="5">
        <v>2017.0</v>
      </c>
      <c r="P596" s="5" t="str">
        <f>IFERROR(__xludf.DUMMYFUNCTION("""COMPUTED_VALUE"""),"Available")</f>
        <v>Available</v>
      </c>
      <c r="Q596" s="5" t="s">
        <v>135</v>
      </c>
      <c r="R596" s="5" t="s">
        <v>136</v>
      </c>
      <c r="S596" s="11">
        <v>3276.0</v>
      </c>
    </row>
    <row r="597">
      <c r="A597" s="5" t="str">
        <f>IFERROR(__xludf.DUMMYFUNCTION("""COMPUTED_VALUE"""),"Dopamine Hydrochloride Injection")</f>
        <v>Dopamine Hydrochloride Injection</v>
      </c>
      <c r="B597" s="5" t="str">
        <f>IFERROR(__xludf.DUMMYFUNCTION("""COMPUTED_VALUE"""),"Hikma Pharmaceuticals USA, Inc.")</f>
        <v>Hikma Pharmaceuticals USA, Inc.</v>
      </c>
      <c r="C597" s="5" t="str">
        <f>IFERROR(__xludf.DUMMYFUNCTION("""COMPUTED_VALUE"""),"Dopamine Hydrochloride, Injection, 40 mg/1 mL (NDC 0143-9252-25)")</f>
        <v>Dopamine Hydrochloride, Injection, 40 mg/1 mL (NDC 0143-9252-25)</v>
      </c>
      <c r="D597" s="5" t="str">
        <f>IFERROR(__xludf.DUMMYFUNCTION("""COMPUTED_VALUE"""),"Reverified")</f>
        <v>Reverified</v>
      </c>
      <c r="E597" s="13">
        <f>IFERROR(__xludf.DUMMYFUNCTION("""COMPUTED_VALUE"""),46309.0)</f>
        <v>46309</v>
      </c>
      <c r="F597" s="5" t="str">
        <f>IFERROR(__xludf.DUMMYFUNCTION("""COMPUTED_VALUE"""),"Unavailable")</f>
        <v>Unavailable</v>
      </c>
      <c r="G597" s="5" t="str">
        <f>IFERROR(__xludf.DUMMYFUNCTION("""COMPUTED_VALUE"""),"Product temporarily on backorder. Additional lots will be available in the February 2027 timeframe.")</f>
        <v>Product temporarily on backorder. Additional lots will be available in the February 2027 timeframe.</v>
      </c>
      <c r="H597" s="5"/>
      <c r="I597" s="5" t="str">
        <f>IFERROR(__xludf.DUMMYFUNCTION("""COMPUTED_VALUE"""),"Demand increase for the drug")</f>
        <v>Demand increase for the drug</v>
      </c>
      <c r="J597" s="5" t="str">
        <f>IFERROR(__xludf.DUMMYFUNCTION("""COMPUTED_VALUE"""),"Cardiovascular")</f>
        <v>Cardiovascular</v>
      </c>
      <c r="K597" s="5" t="str">
        <f>IFERROR(__xludf.DUMMYFUNCTION("""COMPUTED_VALUE"""),"Current")</f>
        <v>Current</v>
      </c>
      <c r="L597" s="5"/>
      <c r="M597" s="5"/>
      <c r="N597" s="10">
        <f>IFERROR(__xludf.DUMMYFUNCTION("""COMPUTED_VALUE"""),43045.0)</f>
        <v>43045</v>
      </c>
      <c r="O597" s="5">
        <v>2017.0</v>
      </c>
      <c r="P597" s="5" t="str">
        <f>IFERROR(__xludf.DUMMYFUNCTION("""COMPUTED_VALUE"""),"Unavailable")</f>
        <v>Unavailable</v>
      </c>
      <c r="Q597" s="5" t="s">
        <v>134</v>
      </c>
      <c r="R597" s="5" t="s">
        <v>136</v>
      </c>
      <c r="S597" s="11">
        <v>3276.0</v>
      </c>
    </row>
    <row r="598">
      <c r="A598" s="5" t="str">
        <f>IFERROR(__xludf.DUMMYFUNCTION("""COMPUTED_VALUE"""),"Dopamine Hydrochloride Injection")</f>
        <v>Dopamine Hydrochloride Injection</v>
      </c>
      <c r="B598" s="5" t="str">
        <f>IFERROR(__xludf.DUMMYFUNCTION("""COMPUTED_VALUE"""),"Hikma Pharmaceuticals USA, Inc.")</f>
        <v>Hikma Pharmaceuticals USA, Inc.</v>
      </c>
      <c r="C598" s="5" t="str">
        <f>IFERROR(__xludf.DUMMYFUNCTION("""COMPUTED_VALUE"""),"Dopamine Hydrochloride, Injection, 40 mg/1 mL (NDC 0143-9254-25)")</f>
        <v>Dopamine Hydrochloride, Injection, 40 mg/1 mL (NDC 0143-9254-25)</v>
      </c>
      <c r="D598" s="5" t="str">
        <f>IFERROR(__xludf.DUMMYFUNCTION("""COMPUTED_VALUE"""),"Revised")</f>
        <v>Revised</v>
      </c>
      <c r="E598" s="13">
        <f>IFERROR(__xludf.DUMMYFUNCTION("""COMPUTED_VALUE"""),46309.0)</f>
        <v>46309</v>
      </c>
      <c r="F598" s="5" t="str">
        <f>IFERROR(__xludf.DUMMYFUNCTION("""COMPUTED_VALUE"""),"Unavailable")</f>
        <v>Unavailable</v>
      </c>
      <c r="G598" s="5" t="str">
        <f>IFERROR(__xludf.DUMMYFUNCTION("""COMPUTED_VALUE"""),"Additional lots will be available in the November 2026 timeframe.  Product will be made available as it is released.")</f>
        <v>Additional lots will be available in the November 2026 timeframe.  Product will be made available as it is released.</v>
      </c>
      <c r="H598" s="5"/>
      <c r="I598" s="5" t="str">
        <f>IFERROR(__xludf.DUMMYFUNCTION("""COMPUTED_VALUE"""),"Demand increase for the drug")</f>
        <v>Demand increase for the drug</v>
      </c>
      <c r="J598" s="5" t="str">
        <f>IFERROR(__xludf.DUMMYFUNCTION("""COMPUTED_VALUE"""),"Cardiovascular")</f>
        <v>Cardiovascular</v>
      </c>
      <c r="K598" s="5" t="str">
        <f>IFERROR(__xludf.DUMMYFUNCTION("""COMPUTED_VALUE"""),"Current")</f>
        <v>Current</v>
      </c>
      <c r="L598" s="5"/>
      <c r="M598" s="5"/>
      <c r="N598" s="10">
        <f>IFERROR(__xludf.DUMMYFUNCTION("""COMPUTED_VALUE"""),43045.0)</f>
        <v>43045</v>
      </c>
      <c r="O598" s="5">
        <v>2017.0</v>
      </c>
      <c r="P598" s="5" t="str">
        <f>IFERROR(__xludf.DUMMYFUNCTION("""COMPUTED_VALUE"""),"Unavailable")</f>
        <v>Unavailable</v>
      </c>
      <c r="Q598" s="5" t="s">
        <v>134</v>
      </c>
      <c r="R598" s="5" t="s">
        <v>136</v>
      </c>
      <c r="S598" s="11">
        <v>3276.0</v>
      </c>
    </row>
    <row r="599">
      <c r="A599" s="5" t="str">
        <f>IFERROR(__xludf.DUMMYFUNCTION("""COMPUTED_VALUE"""),"Doxercalciferol Injection")</f>
        <v>Doxercalciferol Injection</v>
      </c>
      <c r="B599" s="5" t="str">
        <f>IFERROR(__xludf.DUMMYFUNCTION("""COMPUTED_VALUE"""),"Sanofi-Aventis U.S. LLC")</f>
        <v>Sanofi-Aventis U.S. LLC</v>
      </c>
      <c r="C599" s="5" t="str">
        <f>IFERROR(__xludf.DUMMYFUNCTION("""COMPUTED_VALUE"""),"Hectorol, Injection, 4 mcg/2 mL injection 50 single-dose vials (NDC 58468-0123-1)")</f>
        <v>Hectorol, Injection, 4 mcg/2 mL injection 50 single-dose vials (NDC 58468-0123-1)</v>
      </c>
      <c r="D599" s="5" t="str">
        <f>IFERROR(__xludf.DUMMYFUNCTION("""COMPUTED_VALUE"""),"New")</f>
        <v>New</v>
      </c>
      <c r="E599" s="13">
        <f>IFERROR(__xludf.DUMMYFUNCTION("""COMPUTED_VALUE"""),46001.0)</f>
        <v>46001</v>
      </c>
      <c r="F599" s="5"/>
      <c r="G599" s="5" t="str">
        <f>IFERROR(__xludf.DUMMYFUNCTION("""COMPUTED_VALUE"""),"Discontinuation of the manufacture of the drug")</f>
        <v>Discontinuation of the manufacture of the drug</v>
      </c>
      <c r="H599" s="5"/>
      <c r="I599" s="5"/>
      <c r="J599" s="5" t="str">
        <f>IFERROR(__xludf.DUMMYFUNCTION("""COMPUTED_VALUE"""),"Endocrinology/Metabolism")</f>
        <v>Endocrinology/Metabolism</v>
      </c>
      <c r="K599" s="5" t="str">
        <f>IFERROR(__xludf.DUMMYFUNCTION("""COMPUTED_VALUE"""),"To Be Discontinued")</f>
        <v>To Be Discontinued</v>
      </c>
      <c r="L599" s="5"/>
      <c r="M599" s="13">
        <f>IFERROR(__xludf.DUMMYFUNCTION("""COMPUTED_VALUE"""),46001.0)</f>
        <v>46001</v>
      </c>
      <c r="N599" s="13">
        <f>IFERROR(__xludf.DUMMYFUNCTION("""COMPUTED_VALUE"""),46001.0)</f>
        <v>46001</v>
      </c>
      <c r="O599" s="5">
        <v>2025.0</v>
      </c>
      <c r="P599" s="5" t="str">
        <f>IFERROR(__xludf.DUMMYFUNCTION("""COMPUTED_VALUE"""),"Not stated")</f>
        <v>Not stated</v>
      </c>
      <c r="Q599" s="5" t="s">
        <v>135</v>
      </c>
      <c r="R599" s="5" t="s">
        <v>136</v>
      </c>
      <c r="S599" s="11">
        <v>320.0</v>
      </c>
    </row>
    <row r="600">
      <c r="A600" s="5" t="str">
        <f>IFERROR(__xludf.DUMMYFUNCTION("""COMPUTED_VALUE"""),"Doxercalciferol Injection")</f>
        <v>Doxercalciferol Injection</v>
      </c>
      <c r="B600" s="5" t="str">
        <f>IFERROR(__xludf.DUMMYFUNCTION("""COMPUTED_VALUE"""),"Sanofi-Aventis U.S. LLC")</f>
        <v>Sanofi-Aventis U.S. LLC</v>
      </c>
      <c r="C600" s="5" t="str">
        <f>IFERROR(__xludf.DUMMYFUNCTION("""COMPUTED_VALUE"""),"Hectorol, Injection, 2 mcg/mL injection 50 single-dose vials (NDC 58468-0126-1)")</f>
        <v>Hectorol, Injection, 2 mcg/mL injection 50 single-dose vials (NDC 58468-0126-1)</v>
      </c>
      <c r="D600" s="5" t="str">
        <f>IFERROR(__xludf.DUMMYFUNCTION("""COMPUTED_VALUE"""),"New")</f>
        <v>New</v>
      </c>
      <c r="E600" s="13">
        <f>IFERROR(__xludf.DUMMYFUNCTION("""COMPUTED_VALUE"""),46001.0)</f>
        <v>46001</v>
      </c>
      <c r="F600" s="5"/>
      <c r="G600" s="5" t="str">
        <f>IFERROR(__xludf.DUMMYFUNCTION("""COMPUTED_VALUE"""),"Discontinuation of the manufacture of the drug")</f>
        <v>Discontinuation of the manufacture of the drug</v>
      </c>
      <c r="H600" s="5"/>
      <c r="I600" s="5"/>
      <c r="J600" s="5" t="str">
        <f>IFERROR(__xludf.DUMMYFUNCTION("""COMPUTED_VALUE"""),"Endocrinology/Metabolism")</f>
        <v>Endocrinology/Metabolism</v>
      </c>
      <c r="K600" s="5" t="str">
        <f>IFERROR(__xludf.DUMMYFUNCTION("""COMPUTED_VALUE"""),"To Be Discontinued")</f>
        <v>To Be Discontinued</v>
      </c>
      <c r="L600" s="5"/>
      <c r="M600" s="13">
        <f>IFERROR(__xludf.DUMMYFUNCTION("""COMPUTED_VALUE"""),46001.0)</f>
        <v>46001</v>
      </c>
      <c r="N600" s="13">
        <f>IFERROR(__xludf.DUMMYFUNCTION("""COMPUTED_VALUE"""),46001.0)</f>
        <v>46001</v>
      </c>
      <c r="O600" s="5">
        <v>2025.0</v>
      </c>
      <c r="P600" s="5" t="str">
        <f>IFERROR(__xludf.DUMMYFUNCTION("""COMPUTED_VALUE"""),"Not stated")</f>
        <v>Not stated</v>
      </c>
      <c r="Q600" s="5" t="s">
        <v>135</v>
      </c>
      <c r="R600" s="5" t="s">
        <v>136</v>
      </c>
      <c r="S600" s="11">
        <v>320.0</v>
      </c>
    </row>
    <row r="601">
      <c r="A601" s="5" t="str">
        <f>IFERROR(__xludf.DUMMYFUNCTION("""COMPUTED_VALUE"""),"Doxercalciferol Injection")</f>
        <v>Doxercalciferol Injection</v>
      </c>
      <c r="B601" s="5" t="str">
        <f>IFERROR(__xludf.DUMMYFUNCTION("""COMPUTED_VALUE"""),"Sanofi-Aventis U.S. LLC")</f>
        <v>Sanofi-Aventis U.S. LLC</v>
      </c>
      <c r="C601" s="5" t="str">
        <f>IFERROR(__xludf.DUMMYFUNCTION("""COMPUTED_VALUE"""),"Hectorol, Injection, 4 mcg/2 mL injection 50 multiple-dose vials (NDC 58468-0127-1)")</f>
        <v>Hectorol, Injection, 4 mcg/2 mL injection 50 multiple-dose vials (NDC 58468-0127-1)</v>
      </c>
      <c r="D601" s="5" t="str">
        <f>IFERROR(__xludf.DUMMYFUNCTION("""COMPUTED_VALUE"""),"New")</f>
        <v>New</v>
      </c>
      <c r="E601" s="13">
        <f>IFERROR(__xludf.DUMMYFUNCTION("""COMPUTED_VALUE"""),46001.0)</f>
        <v>46001</v>
      </c>
      <c r="F601" s="5"/>
      <c r="G601" s="5" t="str">
        <f>IFERROR(__xludf.DUMMYFUNCTION("""COMPUTED_VALUE"""),"Discontinuation of the manufacture of the drug")</f>
        <v>Discontinuation of the manufacture of the drug</v>
      </c>
      <c r="H601" s="5"/>
      <c r="I601" s="5"/>
      <c r="J601" s="5" t="str">
        <f>IFERROR(__xludf.DUMMYFUNCTION("""COMPUTED_VALUE"""),"Endocrinology/Metabolism")</f>
        <v>Endocrinology/Metabolism</v>
      </c>
      <c r="K601" s="5" t="str">
        <f>IFERROR(__xludf.DUMMYFUNCTION("""COMPUTED_VALUE"""),"To Be Discontinued")</f>
        <v>To Be Discontinued</v>
      </c>
      <c r="L601" s="5"/>
      <c r="M601" s="13">
        <f>IFERROR(__xludf.DUMMYFUNCTION("""COMPUTED_VALUE"""),46001.0)</f>
        <v>46001</v>
      </c>
      <c r="N601" s="13">
        <f>IFERROR(__xludf.DUMMYFUNCTION("""COMPUTED_VALUE"""),46001.0)</f>
        <v>46001</v>
      </c>
      <c r="O601" s="5">
        <v>2025.0</v>
      </c>
      <c r="P601" s="5" t="str">
        <f>IFERROR(__xludf.DUMMYFUNCTION("""COMPUTED_VALUE"""),"Not stated")</f>
        <v>Not stated</v>
      </c>
      <c r="Q601" s="5" t="s">
        <v>135</v>
      </c>
      <c r="R601" s="5" t="s">
        <v>136</v>
      </c>
      <c r="S601" s="11">
        <v>320.0</v>
      </c>
    </row>
    <row r="602">
      <c r="A602" s="5" t="str">
        <f>IFERROR(__xludf.DUMMYFUNCTION("""COMPUTED_VALUE"""),"Doxycycline Hyclate Tablet")</f>
        <v>Doxycycline Hyclate Tablet</v>
      </c>
      <c r="B602" s="5" t="str">
        <f>IFERROR(__xludf.DUMMYFUNCTION("""COMPUTED_VALUE"""),"Mylan Pharmaceuticals Inc., a Viatris Company")</f>
        <v>Mylan Pharmaceuticals Inc., a Viatris Company</v>
      </c>
      <c r="C602" s="5" t="str">
        <f>IFERROR(__xludf.DUMMYFUNCTION("""COMPUTED_VALUE"""),"Doxycycline Hyclate, Tablet, 100 mg (NDC 0378-0167-02)")</f>
        <v>Doxycycline Hyclate, Tablet, 100 mg (NDC 0378-0167-02)</v>
      </c>
      <c r="D602" s="5" t="str">
        <f>IFERROR(__xludf.DUMMYFUNCTION("""COMPUTED_VALUE"""),"New")</f>
        <v>New</v>
      </c>
      <c r="E602" s="10">
        <f>IFERROR(__xludf.DUMMYFUNCTION("""COMPUTED_VALUE"""),46034.0)</f>
        <v>46034</v>
      </c>
      <c r="F602" s="5"/>
      <c r="G602" s="5" t="str">
        <f>IFERROR(__xludf.DUMMYFUNCTION("""COMPUTED_VALUE"""),"Discontinuation of the manufacture of the drug")</f>
        <v>Discontinuation of the manufacture of the drug</v>
      </c>
      <c r="H602" s="5"/>
      <c r="I602" s="5"/>
      <c r="J602" s="5" t="str">
        <f>IFERROR(__xludf.DUMMYFUNCTION("""COMPUTED_VALUE"""),"Anti-Infective")</f>
        <v>Anti-Infective</v>
      </c>
      <c r="K602" s="5" t="str">
        <f>IFERROR(__xludf.DUMMYFUNCTION("""COMPUTED_VALUE"""),"To Be Discontinued")</f>
        <v>To Be Discontinued</v>
      </c>
      <c r="L602" s="5"/>
      <c r="M602" s="10">
        <f>IFERROR(__xludf.DUMMYFUNCTION("""COMPUTED_VALUE"""),46034.0)</f>
        <v>46034</v>
      </c>
      <c r="N602" s="10">
        <f>IFERROR(__xludf.DUMMYFUNCTION("""COMPUTED_VALUE"""),46034.0)</f>
        <v>46034</v>
      </c>
      <c r="O602" s="5">
        <v>2026.0</v>
      </c>
      <c r="P602" s="5" t="str">
        <f>IFERROR(__xludf.DUMMYFUNCTION("""COMPUTED_VALUE"""),"Not stated")</f>
        <v>Not stated</v>
      </c>
      <c r="Q602" s="5" t="s">
        <v>135</v>
      </c>
      <c r="R602" s="5" t="s">
        <v>136</v>
      </c>
      <c r="S602" s="11">
        <v>287.0</v>
      </c>
    </row>
    <row r="603">
      <c r="A603" s="5" t="str">
        <f>IFERROR(__xludf.DUMMYFUNCTION("""COMPUTED_VALUE"""),"Doxycycline Hyclate Tablet")</f>
        <v>Doxycycline Hyclate Tablet</v>
      </c>
      <c r="B603" s="5" t="str">
        <f>IFERROR(__xludf.DUMMYFUNCTION("""COMPUTED_VALUE"""),"Mylan Pharmaceuticals Inc., a Viatris Company")</f>
        <v>Mylan Pharmaceuticals Inc., a Viatris Company</v>
      </c>
      <c r="C603" s="5" t="str">
        <f>IFERROR(__xludf.DUMMYFUNCTION("""COMPUTED_VALUE"""),"Doxycycline Hyclate, Tablet, 100 mg (NDC 0378-0167-13)")</f>
        <v>Doxycycline Hyclate, Tablet, 100 mg (NDC 0378-0167-13)</v>
      </c>
      <c r="D603" s="5" t="str">
        <f>IFERROR(__xludf.DUMMYFUNCTION("""COMPUTED_VALUE"""),"New")</f>
        <v>New</v>
      </c>
      <c r="E603" s="10">
        <f>IFERROR(__xludf.DUMMYFUNCTION("""COMPUTED_VALUE"""),46034.0)</f>
        <v>46034</v>
      </c>
      <c r="F603" s="5"/>
      <c r="G603" s="5" t="str">
        <f>IFERROR(__xludf.DUMMYFUNCTION("""COMPUTED_VALUE"""),"Discontinuation of the manufacture of the drug")</f>
        <v>Discontinuation of the manufacture of the drug</v>
      </c>
      <c r="H603" s="5"/>
      <c r="I603" s="5"/>
      <c r="J603" s="5" t="str">
        <f>IFERROR(__xludf.DUMMYFUNCTION("""COMPUTED_VALUE"""),"Anti-Infective")</f>
        <v>Anti-Infective</v>
      </c>
      <c r="K603" s="5" t="str">
        <f>IFERROR(__xludf.DUMMYFUNCTION("""COMPUTED_VALUE"""),"To Be Discontinued")</f>
        <v>To Be Discontinued</v>
      </c>
      <c r="L603" s="5"/>
      <c r="M603" s="10">
        <f>IFERROR(__xludf.DUMMYFUNCTION("""COMPUTED_VALUE"""),46034.0)</f>
        <v>46034</v>
      </c>
      <c r="N603" s="10">
        <f>IFERROR(__xludf.DUMMYFUNCTION("""COMPUTED_VALUE"""),46034.0)</f>
        <v>46034</v>
      </c>
      <c r="O603" s="5">
        <v>2026.0</v>
      </c>
      <c r="P603" s="5" t="str">
        <f>IFERROR(__xludf.DUMMYFUNCTION("""COMPUTED_VALUE"""),"Not stated")</f>
        <v>Not stated</v>
      </c>
      <c r="Q603" s="5" t="s">
        <v>135</v>
      </c>
      <c r="R603" s="5" t="s">
        <v>136</v>
      </c>
      <c r="S603" s="11">
        <v>287.0</v>
      </c>
    </row>
    <row r="604">
      <c r="A604" s="5" t="str">
        <f>IFERROR(__xludf.DUMMYFUNCTION("""COMPUTED_VALUE"""),"Doxycycline Hyclate Tablet, Delayed Release")</f>
        <v>Doxycycline Hyclate Tablet, Delayed Release</v>
      </c>
      <c r="B604" s="5" t="str">
        <f>IFERROR(__xludf.DUMMYFUNCTION("""COMPUTED_VALUE"""),"Teva Pharmaceuticals USA, Inc.")</f>
        <v>Teva Pharmaceuticals USA, Inc.</v>
      </c>
      <c r="C604" s="5" t="str">
        <f>IFERROR(__xludf.DUMMYFUNCTION("""COMPUTED_VALUE"""),"Doxycycline Hyclate, Tablet, Delayed Release, 50 mg (NDC 0591-4550-22)")</f>
        <v>Doxycycline Hyclate, Tablet, Delayed Release, 50 mg (NDC 0591-4550-22)</v>
      </c>
      <c r="D604" s="5" t="str">
        <f>IFERROR(__xludf.DUMMYFUNCTION("""COMPUTED_VALUE"""),"New")</f>
        <v>New</v>
      </c>
      <c r="E604" s="10">
        <f>IFERROR(__xludf.DUMMYFUNCTION("""COMPUTED_VALUE"""),46233.0)</f>
        <v>46233</v>
      </c>
      <c r="F604" s="5"/>
      <c r="G604" s="5" t="str">
        <f>IFERROR(__xludf.DUMMYFUNCTION("""COMPUTED_VALUE"""),"Discontinuation of the manufacture of the drug")</f>
        <v>Discontinuation of the manufacture of the drug</v>
      </c>
      <c r="H604" s="5"/>
      <c r="I604" s="5"/>
      <c r="J604" s="5" t="str">
        <f>IFERROR(__xludf.DUMMYFUNCTION("""COMPUTED_VALUE"""),"Anti-Infective")</f>
        <v>Anti-Infective</v>
      </c>
      <c r="K604" s="5" t="str">
        <f>IFERROR(__xludf.DUMMYFUNCTION("""COMPUTED_VALUE"""),"To Be Discontinued")</f>
        <v>To Be Discontinued</v>
      </c>
      <c r="L604" s="5"/>
      <c r="M604" s="10">
        <f>IFERROR(__xludf.DUMMYFUNCTION("""COMPUTED_VALUE"""),46233.0)</f>
        <v>46233</v>
      </c>
      <c r="N604" s="10">
        <f>IFERROR(__xludf.DUMMYFUNCTION("""COMPUTED_VALUE"""),46233.0)</f>
        <v>46233</v>
      </c>
      <c r="O604" s="5">
        <v>2026.0</v>
      </c>
      <c r="P604" s="5" t="str">
        <f>IFERROR(__xludf.DUMMYFUNCTION("""COMPUTED_VALUE"""),"Not stated")</f>
        <v>Not stated</v>
      </c>
      <c r="Q604" s="5" t="s">
        <v>135</v>
      </c>
      <c r="R604" s="5" t="s">
        <v>136</v>
      </c>
      <c r="S604" s="11">
        <v>88.0</v>
      </c>
    </row>
    <row r="605">
      <c r="A605" s="5" t="str">
        <f>IFERROR(__xludf.DUMMYFUNCTION("""COMPUTED_VALUE"""),"Doxycycline Hyclate Tablet, Delayed Release")</f>
        <v>Doxycycline Hyclate Tablet, Delayed Release</v>
      </c>
      <c r="B605" s="5" t="str">
        <f>IFERROR(__xludf.DUMMYFUNCTION("""COMPUTED_VALUE"""),"Teva Pharmaceuticals USA, Inc.")</f>
        <v>Teva Pharmaceuticals USA, Inc.</v>
      </c>
      <c r="C605" s="5" t="str">
        <f>IFERROR(__xludf.DUMMYFUNCTION("""COMPUTED_VALUE"""),"Doxycycline Hyclate, Tablet, Delayed Release, 200 mg (NDC 0591-4575-60)")</f>
        <v>Doxycycline Hyclate, Tablet, Delayed Release, 200 mg (NDC 0591-4575-60)</v>
      </c>
      <c r="D605" s="5" t="str">
        <f>IFERROR(__xludf.DUMMYFUNCTION("""COMPUTED_VALUE"""),"New")</f>
        <v>New</v>
      </c>
      <c r="E605" s="10">
        <f>IFERROR(__xludf.DUMMYFUNCTION("""COMPUTED_VALUE"""),46233.0)</f>
        <v>46233</v>
      </c>
      <c r="F605" s="5"/>
      <c r="G605" s="5" t="str">
        <f>IFERROR(__xludf.DUMMYFUNCTION("""COMPUTED_VALUE"""),"Discontinuation of the manufacture of the drug")</f>
        <v>Discontinuation of the manufacture of the drug</v>
      </c>
      <c r="H605" s="5"/>
      <c r="I605" s="5"/>
      <c r="J605" s="5" t="str">
        <f>IFERROR(__xludf.DUMMYFUNCTION("""COMPUTED_VALUE"""),"Anti-Infective")</f>
        <v>Anti-Infective</v>
      </c>
      <c r="K605" s="5" t="str">
        <f>IFERROR(__xludf.DUMMYFUNCTION("""COMPUTED_VALUE"""),"To Be Discontinued")</f>
        <v>To Be Discontinued</v>
      </c>
      <c r="L605" s="5"/>
      <c r="M605" s="10">
        <f>IFERROR(__xludf.DUMMYFUNCTION("""COMPUTED_VALUE"""),46233.0)</f>
        <v>46233</v>
      </c>
      <c r="N605" s="10">
        <f>IFERROR(__xludf.DUMMYFUNCTION("""COMPUTED_VALUE"""),46233.0)</f>
        <v>46233</v>
      </c>
      <c r="O605" s="5">
        <v>2026.0</v>
      </c>
      <c r="P605" s="5" t="str">
        <f>IFERROR(__xludf.DUMMYFUNCTION("""COMPUTED_VALUE"""),"Not stated")</f>
        <v>Not stated</v>
      </c>
      <c r="Q605" s="5" t="s">
        <v>135</v>
      </c>
      <c r="R605" s="5" t="s">
        <v>136</v>
      </c>
      <c r="S605" s="11">
        <v>88.0</v>
      </c>
    </row>
    <row r="606">
      <c r="A606" s="5" t="str">
        <f>IFERROR(__xludf.DUMMYFUNCTION("""COMPUTED_VALUE"""),"Doxylamine Succinate and Pyridoxine  Hydrochloride Tablet, Delayed Release")</f>
        <v>Doxylamine Succinate and Pyridoxine  Hydrochloride Tablet, Delayed Release</v>
      </c>
      <c r="B606" s="5" t="str">
        <f>IFERROR(__xludf.DUMMYFUNCTION("""COMPUTED_VALUE"""),"Mylan Pharmaceuticals Inc., a Viatris Company")</f>
        <v>Mylan Pharmaceuticals Inc., a Viatris Company</v>
      </c>
      <c r="C606" s="5" t="str">
        <f>IFERROR(__xludf.DUMMYFUNCTION("""COMPUTED_VALUE"""),"Doxylamine Succinate and Pyridoxine  Hydrochloride, Tablet, Delayed Release, 10 mg; 10 mg (NDC 0378-4615-01)")</f>
        <v>Doxylamine Succinate and Pyridoxine  Hydrochloride, Tablet, Delayed Release, 10 mg; 10 mg (NDC 0378-4615-01)</v>
      </c>
      <c r="D606" s="5" t="str">
        <f>IFERROR(__xludf.DUMMYFUNCTION("""COMPUTED_VALUE"""),"New")</f>
        <v>New</v>
      </c>
      <c r="E606" s="10">
        <f>IFERROR(__xludf.DUMMYFUNCTION("""COMPUTED_VALUE"""),46034.0)</f>
        <v>46034</v>
      </c>
      <c r="F606" s="5"/>
      <c r="G606" s="5" t="str">
        <f>IFERROR(__xludf.DUMMYFUNCTION("""COMPUTED_VALUE"""),"A business decision was made to discontinue manufacture of the drug.")</f>
        <v>A business decision was made to discontinue manufacture of the drug.</v>
      </c>
      <c r="H606" s="5"/>
      <c r="I606" s="5"/>
      <c r="J606" s="5" t="str">
        <f>IFERROR(__xludf.DUMMYFUNCTION("""COMPUTED_VALUE"""),"Other")</f>
        <v>Other</v>
      </c>
      <c r="K606" s="5" t="str">
        <f>IFERROR(__xludf.DUMMYFUNCTION("""COMPUTED_VALUE"""),"To Be Discontinued")</f>
        <v>To Be Discontinued</v>
      </c>
      <c r="L606" s="5"/>
      <c r="M606" s="10">
        <f>IFERROR(__xludf.DUMMYFUNCTION("""COMPUTED_VALUE"""),46034.0)</f>
        <v>46034</v>
      </c>
      <c r="N606" s="10">
        <f>IFERROR(__xludf.DUMMYFUNCTION("""COMPUTED_VALUE"""),46034.0)</f>
        <v>46034</v>
      </c>
      <c r="O606" s="5">
        <v>2026.0</v>
      </c>
      <c r="P606" s="5" t="str">
        <f>IFERROR(__xludf.DUMMYFUNCTION("""COMPUTED_VALUE"""),"Not stated")</f>
        <v>Not stated</v>
      </c>
      <c r="Q606" s="5" t="s">
        <v>135</v>
      </c>
      <c r="R606" s="5" t="s">
        <v>136</v>
      </c>
      <c r="S606" s="11">
        <v>287.0</v>
      </c>
    </row>
    <row r="607">
      <c r="A607" s="5" t="str">
        <f>IFERROR(__xludf.DUMMYFUNCTION("""COMPUTED_VALUE"""),"Echothiophate Iodide Ophthalmic Solution")</f>
        <v>Echothiophate Iodide Ophthalmic Solution</v>
      </c>
      <c r="B607" s="5" t="str">
        <f>IFERROR(__xludf.DUMMYFUNCTION("""COMPUTED_VALUE"""),"Fera Pharmaceuticals")</f>
        <v>Fera Pharmaceuticals</v>
      </c>
      <c r="C607" s="5" t="str">
        <f>IFERROR(__xludf.DUMMYFUNCTION("""COMPUTED_VALUE"""),"Phospholine Iodide, Ophthalmic Solution, 0.125% (NDC 48102-053-05)")</f>
        <v>Phospholine Iodide, Ophthalmic Solution, 0.125% (NDC 48102-053-05)</v>
      </c>
      <c r="D607" s="5" t="str">
        <f>IFERROR(__xludf.DUMMYFUNCTION("""COMPUTED_VALUE"""),"Reverified")</f>
        <v>Reverified</v>
      </c>
      <c r="E607" s="10">
        <f>IFERROR(__xludf.DUMMYFUNCTION("""COMPUTED_VALUE"""),46266.0)</f>
        <v>46266</v>
      </c>
      <c r="F607" s="5" t="str">
        <f>IFERROR(__xludf.DUMMYFUNCTION("""COMPUTED_VALUE"""),"Available")</f>
        <v>Available</v>
      </c>
      <c r="G607" s="5" t="str">
        <f>IFERROR(__xludf.DUMMYFUNCTION("""COMPUTED_VALUE"""),"Available through limited distribution by Walgreens Specialty Pharmacy.")</f>
        <v>Available through limited distribution by Walgreens Specialty Pharmacy.</v>
      </c>
      <c r="H607" s="5"/>
      <c r="I607" s="5" t="str">
        <f>IFERROR(__xludf.DUMMYFUNCTION("""COMPUTED_VALUE"""),"Other")</f>
        <v>Other</v>
      </c>
      <c r="J607" s="5" t="str">
        <f>IFERROR(__xludf.DUMMYFUNCTION("""COMPUTED_VALUE"""),"Ophthalmology")</f>
        <v>Ophthalmology</v>
      </c>
      <c r="K607" s="5" t="str">
        <f>IFERROR(__xludf.DUMMYFUNCTION("""COMPUTED_VALUE"""),"Current")</f>
        <v>Current</v>
      </c>
      <c r="L607" s="5"/>
      <c r="M607" s="5"/>
      <c r="N607" s="10">
        <f>IFERROR(__xludf.DUMMYFUNCTION("""COMPUTED_VALUE"""),43732.0)</f>
        <v>43732</v>
      </c>
      <c r="O607" s="5">
        <v>2019.0</v>
      </c>
      <c r="P607" s="5" t="str">
        <f>IFERROR(__xludf.DUMMYFUNCTION("""COMPUTED_VALUE"""),"Available")</f>
        <v>Available</v>
      </c>
      <c r="Q607" s="5" t="s">
        <v>47</v>
      </c>
      <c r="R607" s="5" t="s">
        <v>136</v>
      </c>
      <c r="S607" s="11">
        <v>2589.0</v>
      </c>
    </row>
    <row r="608">
      <c r="A608" s="5" t="str">
        <f>IFERROR(__xludf.DUMMYFUNCTION("""COMPUTED_VALUE"""),"Emtricitabine Capsule")</f>
        <v>Emtricitabine Capsule</v>
      </c>
      <c r="B608" s="5" t="str">
        <f>IFERROR(__xludf.DUMMYFUNCTION("""COMPUTED_VALUE"""),"Gilead Sciences, Inc.")</f>
        <v>Gilead Sciences, Inc.</v>
      </c>
      <c r="C608" s="5" t="str">
        <f>IFERROR(__xludf.DUMMYFUNCTION("""COMPUTED_VALUE"""),"Emtriva, Capsule, 200 mg (NDC 61958-0601-1)")</f>
        <v>Emtriva, Capsule, 200 mg (NDC 61958-0601-1)</v>
      </c>
      <c r="D608" s="5" t="str">
        <f>IFERROR(__xludf.DUMMYFUNCTION("""COMPUTED_VALUE"""),"New")</f>
        <v>New</v>
      </c>
      <c r="E608" s="10">
        <f>IFERROR(__xludf.DUMMYFUNCTION("""COMPUTED_VALUE"""),46190.0)</f>
        <v>46190</v>
      </c>
      <c r="F608" s="5"/>
      <c r="G608" s="5" t="str">
        <f>IFERROR(__xludf.DUMMYFUNCTION("""COMPUTED_VALUE"""),"Product expected to be available until March 2027")</f>
        <v>Product expected to be available until March 2027</v>
      </c>
      <c r="H608" s="5"/>
      <c r="I608" s="5"/>
      <c r="J608" s="5" t="str">
        <f>IFERROR(__xludf.DUMMYFUNCTION("""COMPUTED_VALUE"""),"Anti-Infective")</f>
        <v>Anti-Infective</v>
      </c>
      <c r="K608" s="5" t="str">
        <f>IFERROR(__xludf.DUMMYFUNCTION("""COMPUTED_VALUE"""),"To Be Discontinued")</f>
        <v>To Be Discontinued</v>
      </c>
      <c r="L608" s="5"/>
      <c r="M608" s="10">
        <f>IFERROR(__xludf.DUMMYFUNCTION("""COMPUTED_VALUE"""),46190.0)</f>
        <v>46190</v>
      </c>
      <c r="N608" s="10">
        <f>IFERROR(__xludf.DUMMYFUNCTION("""COMPUTED_VALUE"""),46190.0)</f>
        <v>46190</v>
      </c>
      <c r="O608" s="5">
        <v>2026.0</v>
      </c>
      <c r="P608" s="5" t="str">
        <f>IFERROR(__xludf.DUMMYFUNCTION("""COMPUTED_VALUE"""),"Not stated")</f>
        <v>Not stated</v>
      </c>
      <c r="Q608" s="5" t="s">
        <v>135</v>
      </c>
      <c r="R608" s="5" t="s">
        <v>136</v>
      </c>
      <c r="S608" s="11">
        <v>131.0</v>
      </c>
    </row>
    <row r="609">
      <c r="A609" s="5" t="str">
        <f>IFERROR(__xludf.DUMMYFUNCTION("""COMPUTED_VALUE"""),"Emtricitabine Oral Solution")</f>
        <v>Emtricitabine Oral Solution</v>
      </c>
      <c r="B609" s="5" t="str">
        <f>IFERROR(__xludf.DUMMYFUNCTION("""COMPUTED_VALUE"""),"Gilead Sciences, Inc.")</f>
        <v>Gilead Sciences, Inc.</v>
      </c>
      <c r="C609" s="5" t="str">
        <f>IFERROR(__xludf.DUMMYFUNCTION("""COMPUTED_VALUE"""),"Emtriva, Oral Solution, 10 mg/1 mL (NDC 61958-0602-1)")</f>
        <v>Emtriva, Oral Solution, 10 mg/1 mL (NDC 61958-0602-1)</v>
      </c>
      <c r="D609" s="5" t="str">
        <f>IFERROR(__xludf.DUMMYFUNCTION("""COMPUTED_VALUE"""),"New")</f>
        <v>New</v>
      </c>
      <c r="E609" s="10">
        <f>IFERROR(__xludf.DUMMYFUNCTION("""COMPUTED_VALUE"""),46190.0)</f>
        <v>46190</v>
      </c>
      <c r="F609" s="5"/>
      <c r="G609" s="5" t="str">
        <f>IFERROR(__xludf.DUMMYFUNCTION("""COMPUTED_VALUE"""),"Product expected to be available until March 2027")</f>
        <v>Product expected to be available until March 2027</v>
      </c>
      <c r="H609" s="5"/>
      <c r="I609" s="5"/>
      <c r="J609" s="5" t="str">
        <f>IFERROR(__xludf.DUMMYFUNCTION("""COMPUTED_VALUE"""),"Anti-Infective")</f>
        <v>Anti-Infective</v>
      </c>
      <c r="K609" s="5" t="str">
        <f>IFERROR(__xludf.DUMMYFUNCTION("""COMPUTED_VALUE"""),"To Be Discontinued")</f>
        <v>To Be Discontinued</v>
      </c>
      <c r="L609" s="5"/>
      <c r="M609" s="10">
        <f>IFERROR(__xludf.DUMMYFUNCTION("""COMPUTED_VALUE"""),46190.0)</f>
        <v>46190</v>
      </c>
      <c r="N609" s="10">
        <f>IFERROR(__xludf.DUMMYFUNCTION("""COMPUTED_VALUE"""),46190.0)</f>
        <v>46190</v>
      </c>
      <c r="O609" s="5">
        <v>2026.0</v>
      </c>
      <c r="P609" s="5" t="str">
        <f>IFERROR(__xludf.DUMMYFUNCTION("""COMPUTED_VALUE"""),"Not stated")</f>
        <v>Not stated</v>
      </c>
      <c r="Q609" s="5" t="s">
        <v>135</v>
      </c>
      <c r="R609" s="5" t="s">
        <v>136</v>
      </c>
      <c r="S609" s="11">
        <v>131.0</v>
      </c>
    </row>
    <row r="610">
      <c r="A610" s="5" t="str">
        <f>IFERROR(__xludf.DUMMYFUNCTION("""COMPUTED_VALUE"""),"Enoxaparin Sodium Injection")</f>
        <v>Enoxaparin Sodium Injection</v>
      </c>
      <c r="B610" s="5" t="str">
        <f>IFERROR(__xludf.DUMMYFUNCTION("""COMPUTED_VALUE"""),"Sanofi-Aventis U.S. LLC")</f>
        <v>Sanofi-Aventis U.S. LLC</v>
      </c>
      <c r="C610" s="5" t="str">
        <f>IFERROR(__xludf.DUMMYFUNCTION("""COMPUTED_VALUE"""),"Lovenox, Injection, 40 mg/.4 mL (NDC 0075-0620-40)")</f>
        <v>Lovenox, Injection, 40 mg/.4 mL (NDC 0075-0620-40)</v>
      </c>
      <c r="D610" s="5" t="str">
        <f>IFERROR(__xludf.DUMMYFUNCTION("""COMPUTED_VALUE"""),"New")</f>
        <v>New</v>
      </c>
      <c r="E610" s="13">
        <f>IFERROR(__xludf.DUMMYFUNCTION("""COMPUTED_VALUE"""),46315.0)</f>
        <v>46315</v>
      </c>
      <c r="F610" s="5"/>
      <c r="G610"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10" s="5"/>
      <c r="I610" s="5"/>
      <c r="J610" s="5" t="str">
        <f>IFERROR(__xludf.DUMMYFUNCTION("""COMPUTED_VALUE"""),"Hematology")</f>
        <v>Hematology</v>
      </c>
      <c r="K610" s="5" t="str">
        <f>IFERROR(__xludf.DUMMYFUNCTION("""COMPUTED_VALUE"""),"To Be Discontinued")</f>
        <v>To Be Discontinued</v>
      </c>
      <c r="L610" s="5"/>
      <c r="M610" s="13">
        <f>IFERROR(__xludf.DUMMYFUNCTION("""COMPUTED_VALUE"""),46315.0)</f>
        <v>46315</v>
      </c>
      <c r="N610" s="13">
        <f>IFERROR(__xludf.DUMMYFUNCTION("""COMPUTED_VALUE"""),46315.0)</f>
        <v>46315</v>
      </c>
      <c r="O610" s="5">
        <v>2026.0</v>
      </c>
      <c r="P610" s="5" t="str">
        <f>IFERROR(__xludf.DUMMYFUNCTION("""COMPUTED_VALUE"""),"Not stated")</f>
        <v>Not stated</v>
      </c>
      <c r="Q610" s="5" t="s">
        <v>135</v>
      </c>
      <c r="R610" s="5" t="s">
        <v>136</v>
      </c>
      <c r="S610" s="11">
        <v>6.0</v>
      </c>
    </row>
    <row r="611">
      <c r="A611" s="5" t="str">
        <f>IFERROR(__xludf.DUMMYFUNCTION("""COMPUTED_VALUE"""),"Enoxaparin Sodium Injection")</f>
        <v>Enoxaparin Sodium Injection</v>
      </c>
      <c r="B611" s="5" t="str">
        <f>IFERROR(__xludf.DUMMYFUNCTION("""COMPUTED_VALUE"""),"Sanofi-Aventis U.S. LLC")</f>
        <v>Sanofi-Aventis U.S. LLC</v>
      </c>
      <c r="C611" s="5" t="str">
        <f>IFERROR(__xludf.DUMMYFUNCTION("""COMPUTED_VALUE"""),"Lovenox, Injection, 60 mg/.6 mL (NDC 0075-0621-60)")</f>
        <v>Lovenox, Injection, 60 mg/.6 mL (NDC 0075-0621-60)</v>
      </c>
      <c r="D611" s="5" t="str">
        <f>IFERROR(__xludf.DUMMYFUNCTION("""COMPUTED_VALUE"""),"New")</f>
        <v>New</v>
      </c>
      <c r="E611" s="13">
        <f>IFERROR(__xludf.DUMMYFUNCTION("""COMPUTED_VALUE"""),46315.0)</f>
        <v>46315</v>
      </c>
      <c r="F611" s="5"/>
      <c r="G611"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11" s="5"/>
      <c r="I611" s="5"/>
      <c r="J611" s="5" t="str">
        <f>IFERROR(__xludf.DUMMYFUNCTION("""COMPUTED_VALUE"""),"Hematology")</f>
        <v>Hematology</v>
      </c>
      <c r="K611" s="5" t="str">
        <f>IFERROR(__xludf.DUMMYFUNCTION("""COMPUTED_VALUE"""),"To Be Discontinued")</f>
        <v>To Be Discontinued</v>
      </c>
      <c r="L611" s="5"/>
      <c r="M611" s="13">
        <f>IFERROR(__xludf.DUMMYFUNCTION("""COMPUTED_VALUE"""),46315.0)</f>
        <v>46315</v>
      </c>
      <c r="N611" s="13">
        <f>IFERROR(__xludf.DUMMYFUNCTION("""COMPUTED_VALUE"""),46315.0)</f>
        <v>46315</v>
      </c>
      <c r="O611" s="5">
        <v>2026.0</v>
      </c>
      <c r="P611" s="5" t="str">
        <f>IFERROR(__xludf.DUMMYFUNCTION("""COMPUTED_VALUE"""),"Not stated")</f>
        <v>Not stated</v>
      </c>
      <c r="Q611" s="5" t="s">
        <v>135</v>
      </c>
      <c r="R611" s="5" t="s">
        <v>136</v>
      </c>
      <c r="S611" s="11">
        <v>6.0</v>
      </c>
    </row>
    <row r="612">
      <c r="A612" s="5" t="str">
        <f>IFERROR(__xludf.DUMMYFUNCTION("""COMPUTED_VALUE"""),"Enoxaparin Sodium Injection")</f>
        <v>Enoxaparin Sodium Injection</v>
      </c>
      <c r="B612" s="5" t="str">
        <f>IFERROR(__xludf.DUMMYFUNCTION("""COMPUTED_VALUE"""),"Sanofi-Aventis U.S. LLC")</f>
        <v>Sanofi-Aventis U.S. LLC</v>
      </c>
      <c r="C612" s="5" t="str">
        <f>IFERROR(__xludf.DUMMYFUNCTION("""COMPUTED_VALUE"""),"Lovenox, Injection, 80 mg/.8 mL (NDC 0075-0622-80)")</f>
        <v>Lovenox, Injection, 80 mg/.8 mL (NDC 0075-0622-80)</v>
      </c>
      <c r="D612" s="5" t="str">
        <f>IFERROR(__xludf.DUMMYFUNCTION("""COMPUTED_VALUE"""),"New")</f>
        <v>New</v>
      </c>
      <c r="E612" s="13">
        <f>IFERROR(__xludf.DUMMYFUNCTION("""COMPUTED_VALUE"""),46315.0)</f>
        <v>46315</v>
      </c>
      <c r="F612" s="5"/>
      <c r="G612"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12" s="5"/>
      <c r="I612" s="5"/>
      <c r="J612" s="5" t="str">
        <f>IFERROR(__xludf.DUMMYFUNCTION("""COMPUTED_VALUE"""),"Hematology")</f>
        <v>Hematology</v>
      </c>
      <c r="K612" s="5" t="str">
        <f>IFERROR(__xludf.DUMMYFUNCTION("""COMPUTED_VALUE"""),"To Be Discontinued")</f>
        <v>To Be Discontinued</v>
      </c>
      <c r="L612" s="5"/>
      <c r="M612" s="13">
        <f>IFERROR(__xludf.DUMMYFUNCTION("""COMPUTED_VALUE"""),46315.0)</f>
        <v>46315</v>
      </c>
      <c r="N612" s="13">
        <f>IFERROR(__xludf.DUMMYFUNCTION("""COMPUTED_VALUE"""),46315.0)</f>
        <v>46315</v>
      </c>
      <c r="O612" s="5">
        <v>2026.0</v>
      </c>
      <c r="P612" s="5" t="str">
        <f>IFERROR(__xludf.DUMMYFUNCTION("""COMPUTED_VALUE"""),"Not stated")</f>
        <v>Not stated</v>
      </c>
      <c r="Q612" s="5" t="s">
        <v>135</v>
      </c>
      <c r="R612" s="5" t="s">
        <v>136</v>
      </c>
      <c r="S612" s="11">
        <v>6.0</v>
      </c>
    </row>
    <row r="613">
      <c r="A613" s="5" t="str">
        <f>IFERROR(__xludf.DUMMYFUNCTION("""COMPUTED_VALUE"""),"Enoxaparin Sodium Injection")</f>
        <v>Enoxaparin Sodium Injection</v>
      </c>
      <c r="B613" s="5" t="str">
        <f>IFERROR(__xludf.DUMMYFUNCTION("""COMPUTED_VALUE"""),"Sanofi-Aventis U.S. LLC")</f>
        <v>Sanofi-Aventis U.S. LLC</v>
      </c>
      <c r="C613" s="5" t="str">
        <f>IFERROR(__xludf.DUMMYFUNCTION("""COMPUTED_VALUE"""),"Lovenox, Injection, 100 mg/1 mL (NDC 0075-0623-00)")</f>
        <v>Lovenox, Injection, 100 mg/1 mL (NDC 0075-0623-00)</v>
      </c>
      <c r="D613" s="5" t="str">
        <f>IFERROR(__xludf.DUMMYFUNCTION("""COMPUTED_VALUE"""),"New")</f>
        <v>New</v>
      </c>
      <c r="E613" s="13">
        <f>IFERROR(__xludf.DUMMYFUNCTION("""COMPUTED_VALUE"""),46315.0)</f>
        <v>46315</v>
      </c>
      <c r="F613" s="5"/>
      <c r="G613"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13" s="5"/>
      <c r="I613" s="5"/>
      <c r="J613" s="5" t="str">
        <f>IFERROR(__xludf.DUMMYFUNCTION("""COMPUTED_VALUE"""),"Hematology")</f>
        <v>Hematology</v>
      </c>
      <c r="K613" s="5" t="str">
        <f>IFERROR(__xludf.DUMMYFUNCTION("""COMPUTED_VALUE"""),"To Be Discontinued")</f>
        <v>To Be Discontinued</v>
      </c>
      <c r="L613" s="5"/>
      <c r="M613" s="13">
        <f>IFERROR(__xludf.DUMMYFUNCTION("""COMPUTED_VALUE"""),46315.0)</f>
        <v>46315</v>
      </c>
      <c r="N613" s="13">
        <f>IFERROR(__xludf.DUMMYFUNCTION("""COMPUTED_VALUE"""),46315.0)</f>
        <v>46315</v>
      </c>
      <c r="O613" s="5">
        <v>2026.0</v>
      </c>
      <c r="P613" s="5" t="str">
        <f>IFERROR(__xludf.DUMMYFUNCTION("""COMPUTED_VALUE"""),"Not stated")</f>
        <v>Not stated</v>
      </c>
      <c r="Q613" s="5" t="s">
        <v>135</v>
      </c>
      <c r="R613" s="5" t="s">
        <v>136</v>
      </c>
      <c r="S613" s="11">
        <v>6.0</v>
      </c>
    </row>
    <row r="614">
      <c r="A614" s="5" t="str">
        <f>IFERROR(__xludf.DUMMYFUNCTION("""COMPUTED_VALUE"""),"Enoxaparin Sodium Injection")</f>
        <v>Enoxaparin Sodium Injection</v>
      </c>
      <c r="B614" s="5" t="str">
        <f>IFERROR(__xludf.DUMMYFUNCTION("""COMPUTED_VALUE"""),"Sanofi-Aventis U.S. LLC")</f>
        <v>Sanofi-Aventis U.S. LLC</v>
      </c>
      <c r="C614" s="5" t="str">
        <f>IFERROR(__xludf.DUMMYFUNCTION("""COMPUTED_VALUE"""),"Lovenox, Injection, 30 mg/.3 mL (NDC 0075-0624-30)")</f>
        <v>Lovenox, Injection, 30 mg/.3 mL (NDC 0075-0624-30)</v>
      </c>
      <c r="D614" s="5" t="str">
        <f>IFERROR(__xludf.DUMMYFUNCTION("""COMPUTED_VALUE"""),"New")</f>
        <v>New</v>
      </c>
      <c r="E614" s="13">
        <f>IFERROR(__xludf.DUMMYFUNCTION("""COMPUTED_VALUE"""),46315.0)</f>
        <v>46315</v>
      </c>
      <c r="F614" s="5"/>
      <c r="G614"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14" s="5"/>
      <c r="I614" s="5"/>
      <c r="J614" s="5" t="str">
        <f>IFERROR(__xludf.DUMMYFUNCTION("""COMPUTED_VALUE"""),"Hematology")</f>
        <v>Hematology</v>
      </c>
      <c r="K614" s="5" t="str">
        <f>IFERROR(__xludf.DUMMYFUNCTION("""COMPUTED_VALUE"""),"To Be Discontinued")</f>
        <v>To Be Discontinued</v>
      </c>
      <c r="L614" s="5"/>
      <c r="M614" s="13">
        <f>IFERROR(__xludf.DUMMYFUNCTION("""COMPUTED_VALUE"""),46315.0)</f>
        <v>46315</v>
      </c>
      <c r="N614" s="13">
        <f>IFERROR(__xludf.DUMMYFUNCTION("""COMPUTED_VALUE"""),46315.0)</f>
        <v>46315</v>
      </c>
      <c r="O614" s="5">
        <v>2026.0</v>
      </c>
      <c r="P614" s="5" t="str">
        <f>IFERROR(__xludf.DUMMYFUNCTION("""COMPUTED_VALUE"""),"Not stated")</f>
        <v>Not stated</v>
      </c>
      <c r="Q614" s="5" t="s">
        <v>135</v>
      </c>
      <c r="R614" s="5" t="s">
        <v>136</v>
      </c>
      <c r="S614" s="11">
        <v>6.0</v>
      </c>
    </row>
    <row r="615">
      <c r="A615" s="5" t="str">
        <f>IFERROR(__xludf.DUMMYFUNCTION("""COMPUTED_VALUE"""),"Enoxaparin Sodium Injection")</f>
        <v>Enoxaparin Sodium Injection</v>
      </c>
      <c r="B615" s="5" t="str">
        <f>IFERROR(__xludf.DUMMYFUNCTION("""COMPUTED_VALUE"""),"Sanofi-Aventis U.S. LLC")</f>
        <v>Sanofi-Aventis U.S. LLC</v>
      </c>
      <c r="C615" s="5" t="str">
        <f>IFERROR(__xludf.DUMMYFUNCTION("""COMPUTED_VALUE"""),"Lovenox, Injection, 300 mg/3 mL (NDC 0075-0626-03)")</f>
        <v>Lovenox, Injection, 300 mg/3 mL (NDC 0075-0626-03)</v>
      </c>
      <c r="D615" s="5" t="str">
        <f>IFERROR(__xludf.DUMMYFUNCTION("""COMPUTED_VALUE"""),"New")</f>
        <v>New</v>
      </c>
      <c r="E615" s="13">
        <f>IFERROR(__xludf.DUMMYFUNCTION("""COMPUTED_VALUE"""),46315.0)</f>
        <v>46315</v>
      </c>
      <c r="F615" s="5"/>
      <c r="G615"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15" s="5"/>
      <c r="I615" s="5"/>
      <c r="J615" s="5" t="str">
        <f>IFERROR(__xludf.DUMMYFUNCTION("""COMPUTED_VALUE"""),"Hematology")</f>
        <v>Hematology</v>
      </c>
      <c r="K615" s="5" t="str">
        <f>IFERROR(__xludf.DUMMYFUNCTION("""COMPUTED_VALUE"""),"To Be Discontinued")</f>
        <v>To Be Discontinued</v>
      </c>
      <c r="L615" s="5"/>
      <c r="M615" s="13">
        <f>IFERROR(__xludf.DUMMYFUNCTION("""COMPUTED_VALUE"""),46315.0)</f>
        <v>46315</v>
      </c>
      <c r="N615" s="13">
        <f>IFERROR(__xludf.DUMMYFUNCTION("""COMPUTED_VALUE"""),46315.0)</f>
        <v>46315</v>
      </c>
      <c r="O615" s="5">
        <v>2026.0</v>
      </c>
      <c r="P615" s="5" t="str">
        <f>IFERROR(__xludf.DUMMYFUNCTION("""COMPUTED_VALUE"""),"Not stated")</f>
        <v>Not stated</v>
      </c>
      <c r="Q615" s="5" t="s">
        <v>135</v>
      </c>
      <c r="R615" s="5" t="s">
        <v>136</v>
      </c>
      <c r="S615" s="11">
        <v>6.0</v>
      </c>
    </row>
    <row r="616">
      <c r="A616" s="5" t="str">
        <f>IFERROR(__xludf.DUMMYFUNCTION("""COMPUTED_VALUE"""),"Enoxaparin Sodium Injection")</f>
        <v>Enoxaparin Sodium Injection</v>
      </c>
      <c r="B616" s="5" t="str">
        <f>IFERROR(__xludf.DUMMYFUNCTION("""COMPUTED_VALUE"""),"Sanofi-Aventis U.S. LLC")</f>
        <v>Sanofi-Aventis U.S. LLC</v>
      </c>
      <c r="C616" s="5" t="str">
        <f>IFERROR(__xludf.DUMMYFUNCTION("""COMPUTED_VALUE"""),"Lovenox, Injection, 120 mg/.8 mL (NDC 0075-2912-01)")</f>
        <v>Lovenox, Injection, 120 mg/.8 mL (NDC 0075-2912-01)</v>
      </c>
      <c r="D616" s="5" t="str">
        <f>IFERROR(__xludf.DUMMYFUNCTION("""COMPUTED_VALUE"""),"New")</f>
        <v>New</v>
      </c>
      <c r="E616" s="13">
        <f>IFERROR(__xludf.DUMMYFUNCTION("""COMPUTED_VALUE"""),46315.0)</f>
        <v>46315</v>
      </c>
      <c r="F616" s="5"/>
      <c r="G616"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16" s="5"/>
      <c r="I616" s="5"/>
      <c r="J616" s="5" t="str">
        <f>IFERROR(__xludf.DUMMYFUNCTION("""COMPUTED_VALUE"""),"Hematology")</f>
        <v>Hematology</v>
      </c>
      <c r="K616" s="5" t="str">
        <f>IFERROR(__xludf.DUMMYFUNCTION("""COMPUTED_VALUE"""),"To Be Discontinued")</f>
        <v>To Be Discontinued</v>
      </c>
      <c r="L616" s="5"/>
      <c r="M616" s="13">
        <f>IFERROR(__xludf.DUMMYFUNCTION("""COMPUTED_VALUE"""),46315.0)</f>
        <v>46315</v>
      </c>
      <c r="N616" s="13">
        <f>IFERROR(__xludf.DUMMYFUNCTION("""COMPUTED_VALUE"""),46315.0)</f>
        <v>46315</v>
      </c>
      <c r="O616" s="5">
        <v>2026.0</v>
      </c>
      <c r="P616" s="5" t="str">
        <f>IFERROR(__xludf.DUMMYFUNCTION("""COMPUTED_VALUE"""),"Not stated")</f>
        <v>Not stated</v>
      </c>
      <c r="Q616" s="5" t="s">
        <v>135</v>
      </c>
      <c r="R616" s="5" t="s">
        <v>136</v>
      </c>
      <c r="S616" s="11">
        <v>6.0</v>
      </c>
    </row>
    <row r="617">
      <c r="A617" s="5" t="str">
        <f>IFERROR(__xludf.DUMMYFUNCTION("""COMPUTED_VALUE"""),"Enoxaparin Sodium Injection")</f>
        <v>Enoxaparin Sodium Injection</v>
      </c>
      <c r="B617" s="5" t="str">
        <f>IFERROR(__xludf.DUMMYFUNCTION("""COMPUTED_VALUE"""),"Sanofi-Aventis U.S. LLC")</f>
        <v>Sanofi-Aventis U.S. LLC</v>
      </c>
      <c r="C617" s="5" t="str">
        <f>IFERROR(__xludf.DUMMYFUNCTION("""COMPUTED_VALUE"""),"Lovenox, Injection, 150 mg/1 mL (NDC 0075-2915-01)")</f>
        <v>Lovenox, Injection, 150 mg/1 mL (NDC 0075-2915-01)</v>
      </c>
      <c r="D617" s="5" t="str">
        <f>IFERROR(__xludf.DUMMYFUNCTION("""COMPUTED_VALUE"""),"New")</f>
        <v>New</v>
      </c>
      <c r="E617" s="13">
        <f>IFERROR(__xludf.DUMMYFUNCTION("""COMPUTED_VALUE"""),46315.0)</f>
        <v>46315</v>
      </c>
      <c r="F617" s="5"/>
      <c r="G617"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17" s="5"/>
      <c r="I617" s="5"/>
      <c r="J617" s="5" t="str">
        <f>IFERROR(__xludf.DUMMYFUNCTION("""COMPUTED_VALUE"""),"Hematology")</f>
        <v>Hematology</v>
      </c>
      <c r="K617" s="5" t="str">
        <f>IFERROR(__xludf.DUMMYFUNCTION("""COMPUTED_VALUE"""),"To Be Discontinued")</f>
        <v>To Be Discontinued</v>
      </c>
      <c r="L617" s="5"/>
      <c r="M617" s="13">
        <f>IFERROR(__xludf.DUMMYFUNCTION("""COMPUTED_VALUE"""),46315.0)</f>
        <v>46315</v>
      </c>
      <c r="N617" s="13">
        <f>IFERROR(__xludf.DUMMYFUNCTION("""COMPUTED_VALUE"""),46315.0)</f>
        <v>46315</v>
      </c>
      <c r="O617" s="5">
        <v>2026.0</v>
      </c>
      <c r="P617" s="5" t="str">
        <f>IFERROR(__xludf.DUMMYFUNCTION("""COMPUTED_VALUE"""),"Not stated")</f>
        <v>Not stated</v>
      </c>
      <c r="Q617" s="5" t="s">
        <v>135</v>
      </c>
      <c r="R617" s="5" t="s">
        <v>136</v>
      </c>
      <c r="S617" s="11">
        <v>6.0</v>
      </c>
    </row>
    <row r="618">
      <c r="A618" s="5" t="str">
        <f>IFERROR(__xludf.DUMMYFUNCTION("""COMPUTED_VALUE"""),"Enoxaparin Sodium Injection")</f>
        <v>Enoxaparin Sodium Injection</v>
      </c>
      <c r="B618" s="5" t="str">
        <f>IFERROR(__xludf.DUMMYFUNCTION("""COMPUTED_VALUE"""),"Sanofi-Aventis U.S. LLC")</f>
        <v>Sanofi-Aventis U.S. LLC</v>
      </c>
      <c r="C618" s="5" t="str">
        <f>IFERROR(__xludf.DUMMYFUNCTION("""COMPUTED_VALUE"""),"Lovenox, Injection, 30 mg/.3 mL (NDC 0075-8013-10)")</f>
        <v>Lovenox, Injection, 30 mg/.3 mL (NDC 0075-8013-10)</v>
      </c>
      <c r="D618" s="5" t="str">
        <f>IFERROR(__xludf.DUMMYFUNCTION("""COMPUTED_VALUE"""),"New")</f>
        <v>New</v>
      </c>
      <c r="E618" s="13">
        <f>IFERROR(__xludf.DUMMYFUNCTION("""COMPUTED_VALUE"""),46315.0)</f>
        <v>46315</v>
      </c>
      <c r="F618" s="5"/>
      <c r="G618"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18" s="5"/>
      <c r="I618" s="5"/>
      <c r="J618" s="5" t="str">
        <f>IFERROR(__xludf.DUMMYFUNCTION("""COMPUTED_VALUE"""),"Hematology")</f>
        <v>Hematology</v>
      </c>
      <c r="K618" s="5" t="str">
        <f>IFERROR(__xludf.DUMMYFUNCTION("""COMPUTED_VALUE"""),"To Be Discontinued")</f>
        <v>To Be Discontinued</v>
      </c>
      <c r="L618" s="5"/>
      <c r="M618" s="13">
        <f>IFERROR(__xludf.DUMMYFUNCTION("""COMPUTED_VALUE"""),46315.0)</f>
        <v>46315</v>
      </c>
      <c r="N618" s="13">
        <f>IFERROR(__xludf.DUMMYFUNCTION("""COMPUTED_VALUE"""),46315.0)</f>
        <v>46315</v>
      </c>
      <c r="O618" s="5">
        <v>2026.0</v>
      </c>
      <c r="P618" s="5" t="str">
        <f>IFERROR(__xludf.DUMMYFUNCTION("""COMPUTED_VALUE"""),"Not stated")</f>
        <v>Not stated</v>
      </c>
      <c r="Q618" s="5" t="s">
        <v>135</v>
      </c>
      <c r="R618" s="5" t="s">
        <v>136</v>
      </c>
      <c r="S618" s="11">
        <v>6.0</v>
      </c>
    </row>
    <row r="619">
      <c r="A619" s="5" t="str">
        <f>IFERROR(__xludf.DUMMYFUNCTION("""COMPUTED_VALUE"""),"Enoxaparin Sodium Injection")</f>
        <v>Enoxaparin Sodium Injection</v>
      </c>
      <c r="B619" s="5" t="str">
        <f>IFERROR(__xludf.DUMMYFUNCTION("""COMPUTED_VALUE"""),"Sanofi-Aventis U.S. LLC")</f>
        <v>Sanofi-Aventis U.S. LLC</v>
      </c>
      <c r="C619" s="5" t="str">
        <f>IFERROR(__xludf.DUMMYFUNCTION("""COMPUTED_VALUE"""),"Lovenox, Injection, 40 mg/.4 mL (NDC 0075-8014-10)")</f>
        <v>Lovenox, Injection, 40 mg/.4 mL (NDC 0075-8014-10)</v>
      </c>
      <c r="D619" s="5" t="str">
        <f>IFERROR(__xludf.DUMMYFUNCTION("""COMPUTED_VALUE"""),"New")</f>
        <v>New</v>
      </c>
      <c r="E619" s="13">
        <f>IFERROR(__xludf.DUMMYFUNCTION("""COMPUTED_VALUE"""),46315.0)</f>
        <v>46315</v>
      </c>
      <c r="F619" s="5"/>
      <c r="G619"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19" s="5"/>
      <c r="I619" s="5"/>
      <c r="J619" s="5" t="str">
        <f>IFERROR(__xludf.DUMMYFUNCTION("""COMPUTED_VALUE"""),"Hematology")</f>
        <v>Hematology</v>
      </c>
      <c r="K619" s="5" t="str">
        <f>IFERROR(__xludf.DUMMYFUNCTION("""COMPUTED_VALUE"""),"To Be Discontinued")</f>
        <v>To Be Discontinued</v>
      </c>
      <c r="L619" s="5"/>
      <c r="M619" s="13">
        <f>IFERROR(__xludf.DUMMYFUNCTION("""COMPUTED_VALUE"""),46315.0)</f>
        <v>46315</v>
      </c>
      <c r="N619" s="13">
        <f>IFERROR(__xludf.DUMMYFUNCTION("""COMPUTED_VALUE"""),46315.0)</f>
        <v>46315</v>
      </c>
      <c r="O619" s="5">
        <v>2026.0</v>
      </c>
      <c r="P619" s="5" t="str">
        <f>IFERROR(__xludf.DUMMYFUNCTION("""COMPUTED_VALUE"""),"Not stated")</f>
        <v>Not stated</v>
      </c>
      <c r="Q619" s="5" t="s">
        <v>135</v>
      </c>
      <c r="R619" s="5" t="s">
        <v>136</v>
      </c>
      <c r="S619" s="11">
        <v>6.0</v>
      </c>
    </row>
    <row r="620">
      <c r="A620" s="5" t="str">
        <f>IFERROR(__xludf.DUMMYFUNCTION("""COMPUTED_VALUE"""),"Enoxaparin Sodium Injection")</f>
        <v>Enoxaparin Sodium Injection</v>
      </c>
      <c r="B620" s="5" t="str">
        <f>IFERROR(__xludf.DUMMYFUNCTION("""COMPUTED_VALUE"""),"Sanofi-Aventis U.S. LLC")</f>
        <v>Sanofi-Aventis U.S. LLC</v>
      </c>
      <c r="C620" s="5" t="str">
        <f>IFERROR(__xludf.DUMMYFUNCTION("""COMPUTED_VALUE"""),"Lovenox, Injection, 60 mg/.6 mL (NDC 0075-8016-10)")</f>
        <v>Lovenox, Injection, 60 mg/.6 mL (NDC 0075-8016-10)</v>
      </c>
      <c r="D620" s="5" t="str">
        <f>IFERROR(__xludf.DUMMYFUNCTION("""COMPUTED_VALUE"""),"New")</f>
        <v>New</v>
      </c>
      <c r="E620" s="13">
        <f>IFERROR(__xludf.DUMMYFUNCTION("""COMPUTED_VALUE"""),46315.0)</f>
        <v>46315</v>
      </c>
      <c r="F620" s="5"/>
      <c r="G620"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20" s="5"/>
      <c r="I620" s="5"/>
      <c r="J620" s="5" t="str">
        <f>IFERROR(__xludf.DUMMYFUNCTION("""COMPUTED_VALUE"""),"Hematology")</f>
        <v>Hematology</v>
      </c>
      <c r="K620" s="5" t="str">
        <f>IFERROR(__xludf.DUMMYFUNCTION("""COMPUTED_VALUE"""),"To Be Discontinued")</f>
        <v>To Be Discontinued</v>
      </c>
      <c r="L620" s="5"/>
      <c r="M620" s="13">
        <f>IFERROR(__xludf.DUMMYFUNCTION("""COMPUTED_VALUE"""),46315.0)</f>
        <v>46315</v>
      </c>
      <c r="N620" s="13">
        <f>IFERROR(__xludf.DUMMYFUNCTION("""COMPUTED_VALUE"""),46315.0)</f>
        <v>46315</v>
      </c>
      <c r="O620" s="5">
        <v>2026.0</v>
      </c>
      <c r="P620" s="5" t="str">
        <f>IFERROR(__xludf.DUMMYFUNCTION("""COMPUTED_VALUE"""),"Not stated")</f>
        <v>Not stated</v>
      </c>
      <c r="Q620" s="5" t="s">
        <v>135</v>
      </c>
      <c r="R620" s="5" t="s">
        <v>136</v>
      </c>
      <c r="S620" s="11">
        <v>6.0</v>
      </c>
    </row>
    <row r="621">
      <c r="A621" s="5" t="str">
        <f>IFERROR(__xludf.DUMMYFUNCTION("""COMPUTED_VALUE"""),"Enoxaparin Sodium Injection")</f>
        <v>Enoxaparin Sodium Injection</v>
      </c>
      <c r="B621" s="5" t="str">
        <f>IFERROR(__xludf.DUMMYFUNCTION("""COMPUTED_VALUE"""),"Sanofi-Aventis U.S. LLC")</f>
        <v>Sanofi-Aventis U.S. LLC</v>
      </c>
      <c r="C621" s="5" t="str">
        <f>IFERROR(__xludf.DUMMYFUNCTION("""COMPUTED_VALUE"""),"Lovenox, Injection, 80 mg/.8 mL (NDC 0075-8018-10)")</f>
        <v>Lovenox, Injection, 80 mg/.8 mL (NDC 0075-8018-10)</v>
      </c>
      <c r="D621" s="5" t="str">
        <f>IFERROR(__xludf.DUMMYFUNCTION("""COMPUTED_VALUE"""),"New")</f>
        <v>New</v>
      </c>
      <c r="E621" s="13">
        <f>IFERROR(__xludf.DUMMYFUNCTION("""COMPUTED_VALUE"""),46315.0)</f>
        <v>46315</v>
      </c>
      <c r="F621" s="5"/>
      <c r="G621"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21" s="5"/>
      <c r="I621" s="5"/>
      <c r="J621" s="5" t="str">
        <f>IFERROR(__xludf.DUMMYFUNCTION("""COMPUTED_VALUE"""),"Hematology")</f>
        <v>Hematology</v>
      </c>
      <c r="K621" s="5" t="str">
        <f>IFERROR(__xludf.DUMMYFUNCTION("""COMPUTED_VALUE"""),"To Be Discontinued")</f>
        <v>To Be Discontinued</v>
      </c>
      <c r="L621" s="5"/>
      <c r="M621" s="13">
        <f>IFERROR(__xludf.DUMMYFUNCTION("""COMPUTED_VALUE"""),46315.0)</f>
        <v>46315</v>
      </c>
      <c r="N621" s="13">
        <f>IFERROR(__xludf.DUMMYFUNCTION("""COMPUTED_VALUE"""),46315.0)</f>
        <v>46315</v>
      </c>
      <c r="O621" s="5">
        <v>2026.0</v>
      </c>
      <c r="P621" s="5" t="str">
        <f>IFERROR(__xludf.DUMMYFUNCTION("""COMPUTED_VALUE"""),"Not stated")</f>
        <v>Not stated</v>
      </c>
      <c r="Q621" s="5" t="s">
        <v>135</v>
      </c>
      <c r="R621" s="5" t="s">
        <v>136</v>
      </c>
      <c r="S621" s="11">
        <v>6.0</v>
      </c>
    </row>
    <row r="622">
      <c r="A622" s="5" t="str">
        <f>IFERROR(__xludf.DUMMYFUNCTION("""COMPUTED_VALUE"""),"Enoxaparin Sodium Injection")</f>
        <v>Enoxaparin Sodium Injection</v>
      </c>
      <c r="B622" s="5" t="str">
        <f>IFERROR(__xludf.DUMMYFUNCTION("""COMPUTED_VALUE"""),"Sanofi-Aventis U.S. LLC")</f>
        <v>Sanofi-Aventis U.S. LLC</v>
      </c>
      <c r="C622" s="5" t="str">
        <f>IFERROR(__xludf.DUMMYFUNCTION("""COMPUTED_VALUE"""),"Lovenox, Injection, 100 mg/1 mL (NDC 0075-8020-10)")</f>
        <v>Lovenox, Injection, 100 mg/1 mL (NDC 0075-8020-10)</v>
      </c>
      <c r="D622" s="5" t="str">
        <f>IFERROR(__xludf.DUMMYFUNCTION("""COMPUTED_VALUE"""),"New")</f>
        <v>New</v>
      </c>
      <c r="E622" s="13">
        <f>IFERROR(__xludf.DUMMYFUNCTION("""COMPUTED_VALUE"""),46315.0)</f>
        <v>46315</v>
      </c>
      <c r="F622" s="5"/>
      <c r="G622"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22" s="5"/>
      <c r="I622" s="5"/>
      <c r="J622" s="5" t="str">
        <f>IFERROR(__xludf.DUMMYFUNCTION("""COMPUTED_VALUE"""),"Hematology")</f>
        <v>Hematology</v>
      </c>
      <c r="K622" s="5" t="str">
        <f>IFERROR(__xludf.DUMMYFUNCTION("""COMPUTED_VALUE"""),"To Be Discontinued")</f>
        <v>To Be Discontinued</v>
      </c>
      <c r="L622" s="5"/>
      <c r="M622" s="13">
        <f>IFERROR(__xludf.DUMMYFUNCTION("""COMPUTED_VALUE"""),46315.0)</f>
        <v>46315</v>
      </c>
      <c r="N622" s="13">
        <f>IFERROR(__xludf.DUMMYFUNCTION("""COMPUTED_VALUE"""),46315.0)</f>
        <v>46315</v>
      </c>
      <c r="O622" s="5">
        <v>2026.0</v>
      </c>
      <c r="P622" s="5" t="str">
        <f>IFERROR(__xludf.DUMMYFUNCTION("""COMPUTED_VALUE"""),"Not stated")</f>
        <v>Not stated</v>
      </c>
      <c r="Q622" s="5" t="s">
        <v>135</v>
      </c>
      <c r="R622" s="5" t="s">
        <v>136</v>
      </c>
      <c r="S622" s="11">
        <v>6.0</v>
      </c>
    </row>
    <row r="623">
      <c r="A623" s="5" t="str">
        <f>IFERROR(__xludf.DUMMYFUNCTION("""COMPUTED_VALUE"""),"Enoxaparin Sodium Injection")</f>
        <v>Enoxaparin Sodium Injection</v>
      </c>
      <c r="B623" s="5" t="str">
        <f>IFERROR(__xludf.DUMMYFUNCTION("""COMPUTED_VALUE"""),"Sanofi-Aventis U.S. LLC")</f>
        <v>Sanofi-Aventis U.S. LLC</v>
      </c>
      <c r="C623" s="5" t="str">
        <f>IFERROR(__xludf.DUMMYFUNCTION("""COMPUTED_VALUE"""),"Lovenox, Injection, 120 mg/.8 mL (NDC 0075-8022-10)")</f>
        <v>Lovenox, Injection, 120 mg/.8 mL (NDC 0075-8022-10)</v>
      </c>
      <c r="D623" s="5" t="str">
        <f>IFERROR(__xludf.DUMMYFUNCTION("""COMPUTED_VALUE"""),"New")</f>
        <v>New</v>
      </c>
      <c r="E623" s="13">
        <f>IFERROR(__xludf.DUMMYFUNCTION("""COMPUTED_VALUE"""),46315.0)</f>
        <v>46315</v>
      </c>
      <c r="F623" s="5"/>
      <c r="G623"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23" s="5"/>
      <c r="I623" s="5"/>
      <c r="J623" s="5" t="str">
        <f>IFERROR(__xludf.DUMMYFUNCTION("""COMPUTED_VALUE"""),"Hematology")</f>
        <v>Hematology</v>
      </c>
      <c r="K623" s="5" t="str">
        <f>IFERROR(__xludf.DUMMYFUNCTION("""COMPUTED_VALUE"""),"To Be Discontinued")</f>
        <v>To Be Discontinued</v>
      </c>
      <c r="L623" s="5"/>
      <c r="M623" s="13">
        <f>IFERROR(__xludf.DUMMYFUNCTION("""COMPUTED_VALUE"""),46315.0)</f>
        <v>46315</v>
      </c>
      <c r="N623" s="13">
        <f>IFERROR(__xludf.DUMMYFUNCTION("""COMPUTED_VALUE"""),46315.0)</f>
        <v>46315</v>
      </c>
      <c r="O623" s="5">
        <v>2026.0</v>
      </c>
      <c r="P623" s="5" t="str">
        <f>IFERROR(__xludf.DUMMYFUNCTION("""COMPUTED_VALUE"""),"Not stated")</f>
        <v>Not stated</v>
      </c>
      <c r="Q623" s="5" t="s">
        <v>135</v>
      </c>
      <c r="R623" s="5" t="s">
        <v>136</v>
      </c>
      <c r="S623" s="11">
        <v>6.0</v>
      </c>
    </row>
    <row r="624">
      <c r="A624" s="5" t="str">
        <f>IFERROR(__xludf.DUMMYFUNCTION("""COMPUTED_VALUE"""),"Enoxaparin Sodium Injection")</f>
        <v>Enoxaparin Sodium Injection</v>
      </c>
      <c r="B624" s="5" t="str">
        <f>IFERROR(__xludf.DUMMYFUNCTION("""COMPUTED_VALUE"""),"Sanofi-Aventis U.S. LLC")</f>
        <v>Sanofi-Aventis U.S. LLC</v>
      </c>
      <c r="C624" s="5" t="str">
        <f>IFERROR(__xludf.DUMMYFUNCTION("""COMPUTED_VALUE"""),"Lovenox, Injection, 150 mg/1 mL (NDC 0075-8025-10)")</f>
        <v>Lovenox, Injection, 150 mg/1 mL (NDC 0075-8025-10)</v>
      </c>
      <c r="D624" s="5" t="str">
        <f>IFERROR(__xludf.DUMMYFUNCTION("""COMPUTED_VALUE"""),"New")</f>
        <v>New</v>
      </c>
      <c r="E624" s="13">
        <f>IFERROR(__xludf.DUMMYFUNCTION("""COMPUTED_VALUE"""),46315.0)</f>
        <v>46315</v>
      </c>
      <c r="F624" s="5"/>
      <c r="G624"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24" s="5"/>
      <c r="I624" s="5"/>
      <c r="J624" s="5" t="str">
        <f>IFERROR(__xludf.DUMMYFUNCTION("""COMPUTED_VALUE"""),"Hematology")</f>
        <v>Hematology</v>
      </c>
      <c r="K624" s="5" t="str">
        <f>IFERROR(__xludf.DUMMYFUNCTION("""COMPUTED_VALUE"""),"To Be Discontinued")</f>
        <v>To Be Discontinued</v>
      </c>
      <c r="L624" s="5"/>
      <c r="M624" s="13">
        <f>IFERROR(__xludf.DUMMYFUNCTION("""COMPUTED_VALUE"""),46315.0)</f>
        <v>46315</v>
      </c>
      <c r="N624" s="13">
        <f>IFERROR(__xludf.DUMMYFUNCTION("""COMPUTED_VALUE"""),46315.0)</f>
        <v>46315</v>
      </c>
      <c r="O624" s="5">
        <v>2026.0</v>
      </c>
      <c r="P624" s="5" t="str">
        <f>IFERROR(__xludf.DUMMYFUNCTION("""COMPUTED_VALUE"""),"Not stated")</f>
        <v>Not stated</v>
      </c>
      <c r="Q624" s="5" t="s">
        <v>135</v>
      </c>
      <c r="R624" s="5" t="s">
        <v>136</v>
      </c>
      <c r="S624" s="11">
        <v>6.0</v>
      </c>
    </row>
    <row r="625">
      <c r="A625" s="5" t="str">
        <f>IFERROR(__xludf.DUMMYFUNCTION("""COMPUTED_VALUE"""),"Enoxaparin Sodium Injection")</f>
        <v>Enoxaparin Sodium Injection</v>
      </c>
      <c r="B625" s="5" t="str">
        <f>IFERROR(__xludf.DUMMYFUNCTION("""COMPUTED_VALUE"""),"Sanofi-Aventis U.S. LLC")</f>
        <v>Sanofi-Aventis U.S. LLC</v>
      </c>
      <c r="C625" s="5" t="str">
        <f>IFERROR(__xludf.DUMMYFUNCTION("""COMPUTED_VALUE"""),"Lovenox, Injection, 300 mg/3 mL (NDC 0075-8030-01)")</f>
        <v>Lovenox, Injection, 300 mg/3 mL (NDC 0075-8030-01)</v>
      </c>
      <c r="D625" s="5" t="str">
        <f>IFERROR(__xludf.DUMMYFUNCTION("""COMPUTED_VALUE"""),"New")</f>
        <v>New</v>
      </c>
      <c r="E625" s="13">
        <f>IFERROR(__xludf.DUMMYFUNCTION("""COMPUTED_VALUE"""),46315.0)</f>
        <v>46315</v>
      </c>
      <c r="F625" s="5"/>
      <c r="G625"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25" s="5"/>
      <c r="I625" s="5"/>
      <c r="J625" s="5" t="str">
        <f>IFERROR(__xludf.DUMMYFUNCTION("""COMPUTED_VALUE"""),"Hematology")</f>
        <v>Hematology</v>
      </c>
      <c r="K625" s="5" t="str">
        <f>IFERROR(__xludf.DUMMYFUNCTION("""COMPUTED_VALUE"""),"To Be Discontinued")</f>
        <v>To Be Discontinued</v>
      </c>
      <c r="L625" s="5"/>
      <c r="M625" s="13">
        <f>IFERROR(__xludf.DUMMYFUNCTION("""COMPUTED_VALUE"""),46315.0)</f>
        <v>46315</v>
      </c>
      <c r="N625" s="13">
        <f>IFERROR(__xludf.DUMMYFUNCTION("""COMPUTED_VALUE"""),46315.0)</f>
        <v>46315</v>
      </c>
      <c r="O625" s="5">
        <v>2026.0</v>
      </c>
      <c r="P625" s="5" t="str">
        <f>IFERROR(__xludf.DUMMYFUNCTION("""COMPUTED_VALUE"""),"Not stated")</f>
        <v>Not stated</v>
      </c>
      <c r="Q625" s="5" t="s">
        <v>135</v>
      </c>
      <c r="R625" s="5" t="s">
        <v>136</v>
      </c>
      <c r="S625" s="11">
        <v>6.0</v>
      </c>
    </row>
    <row r="626">
      <c r="A626" s="5" t="str">
        <f>IFERROR(__xludf.DUMMYFUNCTION("""COMPUTED_VALUE"""),"Enoxaparin Sodium Injection")</f>
        <v>Enoxaparin Sodium Injection</v>
      </c>
      <c r="B626" s="5" t="str">
        <f>IFERROR(__xludf.DUMMYFUNCTION("""COMPUTED_VALUE"""),"Sanofi-Aventis U.S. LLC")</f>
        <v>Sanofi-Aventis U.S. LLC</v>
      </c>
      <c r="C626" s="5" t="str">
        <f>IFERROR(__xludf.DUMMYFUNCTION("""COMPUTED_VALUE"""),"Enoxaparin Sodium, Injection, 30 mg/.3 mL (NDC 0955-1003-10)")</f>
        <v>Enoxaparin Sodium, Injection, 30 mg/.3 mL (NDC 0955-1003-10)</v>
      </c>
      <c r="D626" s="5" t="str">
        <f>IFERROR(__xludf.DUMMYFUNCTION("""COMPUTED_VALUE"""),"New")</f>
        <v>New</v>
      </c>
      <c r="E626" s="13">
        <f>IFERROR(__xludf.DUMMYFUNCTION("""COMPUTED_VALUE"""),46315.0)</f>
        <v>46315</v>
      </c>
      <c r="F626" s="5"/>
      <c r="G626"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26" s="5"/>
      <c r="I626" s="5"/>
      <c r="J626" s="5" t="str">
        <f>IFERROR(__xludf.DUMMYFUNCTION("""COMPUTED_VALUE"""),"Hematology")</f>
        <v>Hematology</v>
      </c>
      <c r="K626" s="5" t="str">
        <f>IFERROR(__xludf.DUMMYFUNCTION("""COMPUTED_VALUE"""),"To Be Discontinued")</f>
        <v>To Be Discontinued</v>
      </c>
      <c r="L626" s="5"/>
      <c r="M626" s="13">
        <f>IFERROR(__xludf.DUMMYFUNCTION("""COMPUTED_VALUE"""),46315.0)</f>
        <v>46315</v>
      </c>
      <c r="N626" s="13">
        <f>IFERROR(__xludf.DUMMYFUNCTION("""COMPUTED_VALUE"""),46315.0)</f>
        <v>46315</v>
      </c>
      <c r="O626" s="5">
        <v>2026.0</v>
      </c>
      <c r="P626" s="5" t="str">
        <f>IFERROR(__xludf.DUMMYFUNCTION("""COMPUTED_VALUE"""),"Not stated")</f>
        <v>Not stated</v>
      </c>
      <c r="Q626" s="5" t="s">
        <v>135</v>
      </c>
      <c r="R626" s="5" t="s">
        <v>136</v>
      </c>
      <c r="S626" s="11">
        <v>6.0</v>
      </c>
    </row>
    <row r="627">
      <c r="A627" s="5" t="str">
        <f>IFERROR(__xludf.DUMMYFUNCTION("""COMPUTED_VALUE"""),"Enoxaparin Sodium Injection")</f>
        <v>Enoxaparin Sodium Injection</v>
      </c>
      <c r="B627" s="5" t="str">
        <f>IFERROR(__xludf.DUMMYFUNCTION("""COMPUTED_VALUE"""),"Sanofi-Aventis U.S. LLC")</f>
        <v>Sanofi-Aventis U.S. LLC</v>
      </c>
      <c r="C627" s="5" t="str">
        <f>IFERROR(__xludf.DUMMYFUNCTION("""COMPUTED_VALUE"""),"Enoxaparin Sodium, Injection, 40 mg/.4 mL (NDC 0955-1004-10)")</f>
        <v>Enoxaparin Sodium, Injection, 40 mg/.4 mL (NDC 0955-1004-10)</v>
      </c>
      <c r="D627" s="5" t="str">
        <f>IFERROR(__xludf.DUMMYFUNCTION("""COMPUTED_VALUE"""),"New")</f>
        <v>New</v>
      </c>
      <c r="E627" s="13">
        <f>IFERROR(__xludf.DUMMYFUNCTION("""COMPUTED_VALUE"""),46315.0)</f>
        <v>46315</v>
      </c>
      <c r="F627" s="5"/>
      <c r="G627"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27" s="5"/>
      <c r="I627" s="5"/>
      <c r="J627" s="5" t="str">
        <f>IFERROR(__xludf.DUMMYFUNCTION("""COMPUTED_VALUE"""),"Hematology")</f>
        <v>Hematology</v>
      </c>
      <c r="K627" s="5" t="str">
        <f>IFERROR(__xludf.DUMMYFUNCTION("""COMPUTED_VALUE"""),"To Be Discontinued")</f>
        <v>To Be Discontinued</v>
      </c>
      <c r="L627" s="5"/>
      <c r="M627" s="13">
        <f>IFERROR(__xludf.DUMMYFUNCTION("""COMPUTED_VALUE"""),46315.0)</f>
        <v>46315</v>
      </c>
      <c r="N627" s="13">
        <f>IFERROR(__xludf.DUMMYFUNCTION("""COMPUTED_VALUE"""),46315.0)</f>
        <v>46315</v>
      </c>
      <c r="O627" s="5">
        <v>2026.0</v>
      </c>
      <c r="P627" s="5" t="str">
        <f>IFERROR(__xludf.DUMMYFUNCTION("""COMPUTED_VALUE"""),"Not stated")</f>
        <v>Not stated</v>
      </c>
      <c r="Q627" s="5" t="s">
        <v>135</v>
      </c>
      <c r="R627" s="5" t="s">
        <v>136</v>
      </c>
      <c r="S627" s="11">
        <v>6.0</v>
      </c>
    </row>
    <row r="628">
      <c r="A628" s="5" t="str">
        <f>IFERROR(__xludf.DUMMYFUNCTION("""COMPUTED_VALUE"""),"Enoxaparin Sodium Injection")</f>
        <v>Enoxaparin Sodium Injection</v>
      </c>
      <c r="B628" s="5" t="str">
        <f>IFERROR(__xludf.DUMMYFUNCTION("""COMPUTED_VALUE"""),"Sanofi-Aventis U.S. LLC")</f>
        <v>Sanofi-Aventis U.S. LLC</v>
      </c>
      <c r="C628" s="5" t="str">
        <f>IFERROR(__xludf.DUMMYFUNCTION("""COMPUTED_VALUE"""),"Enoxaparin Sodium, Injection, 60 mg/.6 mL (NDC 0955-1006-10)")</f>
        <v>Enoxaparin Sodium, Injection, 60 mg/.6 mL (NDC 0955-1006-10)</v>
      </c>
      <c r="D628" s="5" t="str">
        <f>IFERROR(__xludf.DUMMYFUNCTION("""COMPUTED_VALUE"""),"New")</f>
        <v>New</v>
      </c>
      <c r="E628" s="13">
        <f>IFERROR(__xludf.DUMMYFUNCTION("""COMPUTED_VALUE"""),46315.0)</f>
        <v>46315</v>
      </c>
      <c r="F628" s="5"/>
      <c r="G628"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28" s="5"/>
      <c r="I628" s="5"/>
      <c r="J628" s="5" t="str">
        <f>IFERROR(__xludf.DUMMYFUNCTION("""COMPUTED_VALUE"""),"Hematology")</f>
        <v>Hematology</v>
      </c>
      <c r="K628" s="5" t="str">
        <f>IFERROR(__xludf.DUMMYFUNCTION("""COMPUTED_VALUE"""),"To Be Discontinued")</f>
        <v>To Be Discontinued</v>
      </c>
      <c r="L628" s="5"/>
      <c r="M628" s="13">
        <f>IFERROR(__xludf.DUMMYFUNCTION("""COMPUTED_VALUE"""),46315.0)</f>
        <v>46315</v>
      </c>
      <c r="N628" s="13">
        <f>IFERROR(__xludf.DUMMYFUNCTION("""COMPUTED_VALUE"""),46315.0)</f>
        <v>46315</v>
      </c>
      <c r="O628" s="5">
        <v>2026.0</v>
      </c>
      <c r="P628" s="5" t="str">
        <f>IFERROR(__xludf.DUMMYFUNCTION("""COMPUTED_VALUE"""),"Not stated")</f>
        <v>Not stated</v>
      </c>
      <c r="Q628" s="5" t="s">
        <v>135</v>
      </c>
      <c r="R628" s="5" t="s">
        <v>136</v>
      </c>
      <c r="S628" s="11">
        <v>6.0</v>
      </c>
    </row>
    <row r="629">
      <c r="A629" s="5" t="str">
        <f>IFERROR(__xludf.DUMMYFUNCTION("""COMPUTED_VALUE"""),"Enoxaparin Sodium Injection")</f>
        <v>Enoxaparin Sodium Injection</v>
      </c>
      <c r="B629" s="5" t="str">
        <f>IFERROR(__xludf.DUMMYFUNCTION("""COMPUTED_VALUE"""),"Sanofi-Aventis U.S. LLC")</f>
        <v>Sanofi-Aventis U.S. LLC</v>
      </c>
      <c r="C629" s="5" t="str">
        <f>IFERROR(__xludf.DUMMYFUNCTION("""COMPUTED_VALUE"""),"Enoxaparin Sodium, Injection, 80 mg/.8 mL (NDC 0955-1008-10)")</f>
        <v>Enoxaparin Sodium, Injection, 80 mg/.8 mL (NDC 0955-1008-10)</v>
      </c>
      <c r="D629" s="5" t="str">
        <f>IFERROR(__xludf.DUMMYFUNCTION("""COMPUTED_VALUE"""),"New")</f>
        <v>New</v>
      </c>
      <c r="E629" s="13">
        <f>IFERROR(__xludf.DUMMYFUNCTION("""COMPUTED_VALUE"""),46315.0)</f>
        <v>46315</v>
      </c>
      <c r="F629" s="5"/>
      <c r="G629"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29" s="5"/>
      <c r="I629" s="5"/>
      <c r="J629" s="5" t="str">
        <f>IFERROR(__xludf.DUMMYFUNCTION("""COMPUTED_VALUE"""),"Hematology")</f>
        <v>Hematology</v>
      </c>
      <c r="K629" s="5" t="str">
        <f>IFERROR(__xludf.DUMMYFUNCTION("""COMPUTED_VALUE"""),"To Be Discontinued")</f>
        <v>To Be Discontinued</v>
      </c>
      <c r="L629" s="5"/>
      <c r="M629" s="13">
        <f>IFERROR(__xludf.DUMMYFUNCTION("""COMPUTED_VALUE"""),46315.0)</f>
        <v>46315</v>
      </c>
      <c r="N629" s="13">
        <f>IFERROR(__xludf.DUMMYFUNCTION("""COMPUTED_VALUE"""),46315.0)</f>
        <v>46315</v>
      </c>
      <c r="O629" s="5">
        <v>2026.0</v>
      </c>
      <c r="P629" s="5" t="str">
        <f>IFERROR(__xludf.DUMMYFUNCTION("""COMPUTED_VALUE"""),"Not stated")</f>
        <v>Not stated</v>
      </c>
      <c r="Q629" s="5" t="s">
        <v>135</v>
      </c>
      <c r="R629" s="5" t="s">
        <v>136</v>
      </c>
      <c r="S629" s="11">
        <v>6.0</v>
      </c>
    </row>
    <row r="630">
      <c r="A630" s="5" t="str">
        <f>IFERROR(__xludf.DUMMYFUNCTION("""COMPUTED_VALUE"""),"Enoxaparin Sodium Injection")</f>
        <v>Enoxaparin Sodium Injection</v>
      </c>
      <c r="B630" s="5" t="str">
        <f>IFERROR(__xludf.DUMMYFUNCTION("""COMPUTED_VALUE"""),"Sanofi-Aventis U.S. LLC")</f>
        <v>Sanofi-Aventis U.S. LLC</v>
      </c>
      <c r="C630" s="5" t="str">
        <f>IFERROR(__xludf.DUMMYFUNCTION("""COMPUTED_VALUE"""),"Enoxaparin Sodium, Injection, 100 mg/1 mL (NDC 0955-1010-10)")</f>
        <v>Enoxaparin Sodium, Injection, 100 mg/1 mL (NDC 0955-1010-10)</v>
      </c>
      <c r="D630" s="5" t="str">
        <f>IFERROR(__xludf.DUMMYFUNCTION("""COMPUTED_VALUE"""),"New")</f>
        <v>New</v>
      </c>
      <c r="E630" s="13">
        <f>IFERROR(__xludf.DUMMYFUNCTION("""COMPUTED_VALUE"""),46315.0)</f>
        <v>46315</v>
      </c>
      <c r="F630" s="5"/>
      <c r="G630"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30" s="5"/>
      <c r="I630" s="5"/>
      <c r="J630" s="5" t="str">
        <f>IFERROR(__xludf.DUMMYFUNCTION("""COMPUTED_VALUE"""),"Hematology")</f>
        <v>Hematology</v>
      </c>
      <c r="K630" s="5" t="str">
        <f>IFERROR(__xludf.DUMMYFUNCTION("""COMPUTED_VALUE"""),"To Be Discontinued")</f>
        <v>To Be Discontinued</v>
      </c>
      <c r="L630" s="5"/>
      <c r="M630" s="13">
        <f>IFERROR(__xludf.DUMMYFUNCTION("""COMPUTED_VALUE"""),46315.0)</f>
        <v>46315</v>
      </c>
      <c r="N630" s="13">
        <f>IFERROR(__xludf.DUMMYFUNCTION("""COMPUTED_VALUE"""),46315.0)</f>
        <v>46315</v>
      </c>
      <c r="O630" s="5">
        <v>2026.0</v>
      </c>
      <c r="P630" s="5" t="str">
        <f>IFERROR(__xludf.DUMMYFUNCTION("""COMPUTED_VALUE"""),"Not stated")</f>
        <v>Not stated</v>
      </c>
      <c r="Q630" s="5" t="s">
        <v>135</v>
      </c>
      <c r="R630" s="5" t="s">
        <v>136</v>
      </c>
      <c r="S630" s="11">
        <v>6.0</v>
      </c>
    </row>
    <row r="631">
      <c r="A631" s="5" t="str">
        <f>IFERROR(__xludf.DUMMYFUNCTION("""COMPUTED_VALUE"""),"Enoxaparin Sodium Injection")</f>
        <v>Enoxaparin Sodium Injection</v>
      </c>
      <c r="B631" s="5" t="str">
        <f>IFERROR(__xludf.DUMMYFUNCTION("""COMPUTED_VALUE"""),"Sanofi-Aventis U.S. LLC")</f>
        <v>Sanofi-Aventis U.S. LLC</v>
      </c>
      <c r="C631" s="5" t="str">
        <f>IFERROR(__xludf.DUMMYFUNCTION("""COMPUTED_VALUE"""),"Enoxaparin Sodium, Injection, 120 mg/.8 mL (NDC 0955-1012-10)")</f>
        <v>Enoxaparin Sodium, Injection, 120 mg/.8 mL (NDC 0955-1012-10)</v>
      </c>
      <c r="D631" s="5" t="str">
        <f>IFERROR(__xludf.DUMMYFUNCTION("""COMPUTED_VALUE"""),"New")</f>
        <v>New</v>
      </c>
      <c r="E631" s="13">
        <f>IFERROR(__xludf.DUMMYFUNCTION("""COMPUTED_VALUE"""),46315.0)</f>
        <v>46315</v>
      </c>
      <c r="F631" s="5"/>
      <c r="G631"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31" s="5"/>
      <c r="I631" s="5"/>
      <c r="J631" s="5" t="str">
        <f>IFERROR(__xludf.DUMMYFUNCTION("""COMPUTED_VALUE"""),"Hematology")</f>
        <v>Hematology</v>
      </c>
      <c r="K631" s="5" t="str">
        <f>IFERROR(__xludf.DUMMYFUNCTION("""COMPUTED_VALUE"""),"To Be Discontinued")</f>
        <v>To Be Discontinued</v>
      </c>
      <c r="L631" s="5"/>
      <c r="M631" s="13">
        <f>IFERROR(__xludf.DUMMYFUNCTION("""COMPUTED_VALUE"""),46315.0)</f>
        <v>46315</v>
      </c>
      <c r="N631" s="13">
        <f>IFERROR(__xludf.DUMMYFUNCTION("""COMPUTED_VALUE"""),46315.0)</f>
        <v>46315</v>
      </c>
      <c r="O631" s="5">
        <v>2026.0</v>
      </c>
      <c r="P631" s="5" t="str">
        <f>IFERROR(__xludf.DUMMYFUNCTION("""COMPUTED_VALUE"""),"Not stated")</f>
        <v>Not stated</v>
      </c>
      <c r="Q631" s="5" t="s">
        <v>135</v>
      </c>
      <c r="R631" s="5" t="s">
        <v>136</v>
      </c>
      <c r="S631" s="11">
        <v>6.0</v>
      </c>
    </row>
    <row r="632">
      <c r="A632" s="5" t="str">
        <f>IFERROR(__xludf.DUMMYFUNCTION("""COMPUTED_VALUE"""),"Enoxaparin Sodium Injection")</f>
        <v>Enoxaparin Sodium Injection</v>
      </c>
      <c r="B632" s="5" t="str">
        <f>IFERROR(__xludf.DUMMYFUNCTION("""COMPUTED_VALUE"""),"Sanofi-Aventis U.S. LLC")</f>
        <v>Sanofi-Aventis U.S. LLC</v>
      </c>
      <c r="C632" s="5" t="str">
        <f>IFERROR(__xludf.DUMMYFUNCTION("""COMPUTED_VALUE"""),"Enoxaparin Sodium, Injection, 150 mg/1 mL (NDC 0955-1015-10)")</f>
        <v>Enoxaparin Sodium, Injection, 150 mg/1 mL (NDC 0955-1015-10)</v>
      </c>
      <c r="D632" s="5" t="str">
        <f>IFERROR(__xludf.DUMMYFUNCTION("""COMPUTED_VALUE"""),"New")</f>
        <v>New</v>
      </c>
      <c r="E632" s="13">
        <f>IFERROR(__xludf.DUMMYFUNCTION("""COMPUTED_VALUE"""),46315.0)</f>
        <v>46315</v>
      </c>
      <c r="F632" s="5"/>
      <c r="G632"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32" s="5"/>
      <c r="I632" s="5"/>
      <c r="J632" s="5" t="str">
        <f>IFERROR(__xludf.DUMMYFUNCTION("""COMPUTED_VALUE"""),"Hematology")</f>
        <v>Hematology</v>
      </c>
      <c r="K632" s="5" t="str">
        <f>IFERROR(__xludf.DUMMYFUNCTION("""COMPUTED_VALUE"""),"To Be Discontinued")</f>
        <v>To Be Discontinued</v>
      </c>
      <c r="L632" s="5"/>
      <c r="M632" s="13">
        <f>IFERROR(__xludf.DUMMYFUNCTION("""COMPUTED_VALUE"""),46315.0)</f>
        <v>46315</v>
      </c>
      <c r="N632" s="13">
        <f>IFERROR(__xludf.DUMMYFUNCTION("""COMPUTED_VALUE"""),46315.0)</f>
        <v>46315</v>
      </c>
      <c r="O632" s="5">
        <v>2026.0</v>
      </c>
      <c r="P632" s="5" t="str">
        <f>IFERROR(__xludf.DUMMYFUNCTION("""COMPUTED_VALUE"""),"Not stated")</f>
        <v>Not stated</v>
      </c>
      <c r="Q632" s="5" t="s">
        <v>135</v>
      </c>
      <c r="R632" s="5" t="s">
        <v>136</v>
      </c>
      <c r="S632" s="11">
        <v>6.0</v>
      </c>
    </row>
    <row r="633">
      <c r="A633" s="5" t="str">
        <f>IFERROR(__xludf.DUMMYFUNCTION("""COMPUTED_VALUE"""),"Enoxaparin Sodium Injection")</f>
        <v>Enoxaparin Sodium Injection</v>
      </c>
      <c r="B633" s="5" t="str">
        <f>IFERROR(__xludf.DUMMYFUNCTION("""COMPUTED_VALUE"""),"Sanofi-Aventis U.S. LLC")</f>
        <v>Sanofi-Aventis U.S. LLC</v>
      </c>
      <c r="C633" s="5" t="str">
        <f>IFERROR(__xludf.DUMMYFUNCTION("""COMPUTED_VALUE"""),"Enoxaparin Sodium, Injection, 300 mg/3 mL (NDC 0955-1016-01)")</f>
        <v>Enoxaparin Sodium, Injection, 300 mg/3 mL (NDC 0955-1016-01)</v>
      </c>
      <c r="D633" s="5" t="str">
        <f>IFERROR(__xludf.DUMMYFUNCTION("""COMPUTED_VALUE"""),"New")</f>
        <v>New</v>
      </c>
      <c r="E633" s="13">
        <f>IFERROR(__xludf.DUMMYFUNCTION("""COMPUTED_VALUE"""),46315.0)</f>
        <v>46315</v>
      </c>
      <c r="F633" s="5"/>
      <c r="G633" s="5" t="str">
        <f>IFERROR(__xludf.DUMMYFUNCTION("""COMPUTED_VALUE"""),"Discontinuation of the manufacture of the drug for the U.S. market. This decision is not related to product safety or quality concerns. FDA-approved generic enoxaparin products and other treatment options are available. Remaining inventory may continue to"&amp;" be available through wholesalers and other distribution channels until existing supplies are depleted. Availability may vary by presentation with last lot expected to expire in March 2029.")</f>
        <v>Discontinuation of the manufacture of the drug for the U.S. market. This decision is not related to product safety or quality concerns. FDA-approved generic enoxaparin products and other treatment options are available. Remaining inventory may continue to be available through wholesalers and other distribution channels until existing supplies are depleted. Availability may vary by presentation with last lot expected to expire in March 2029.</v>
      </c>
      <c r="H633" s="5"/>
      <c r="I633" s="5"/>
      <c r="J633" s="5" t="str">
        <f>IFERROR(__xludf.DUMMYFUNCTION("""COMPUTED_VALUE"""),"Hematology")</f>
        <v>Hematology</v>
      </c>
      <c r="K633" s="5" t="str">
        <f>IFERROR(__xludf.DUMMYFUNCTION("""COMPUTED_VALUE"""),"To Be Discontinued")</f>
        <v>To Be Discontinued</v>
      </c>
      <c r="L633" s="5"/>
      <c r="M633" s="13">
        <f>IFERROR(__xludf.DUMMYFUNCTION("""COMPUTED_VALUE"""),46315.0)</f>
        <v>46315</v>
      </c>
      <c r="N633" s="13">
        <f>IFERROR(__xludf.DUMMYFUNCTION("""COMPUTED_VALUE"""),46315.0)</f>
        <v>46315</v>
      </c>
      <c r="O633" s="5">
        <v>2026.0</v>
      </c>
      <c r="P633" s="5" t="str">
        <f>IFERROR(__xludf.DUMMYFUNCTION("""COMPUTED_VALUE"""),"Not stated")</f>
        <v>Not stated</v>
      </c>
      <c r="Q633" s="5" t="s">
        <v>135</v>
      </c>
      <c r="R633" s="5" t="s">
        <v>136</v>
      </c>
      <c r="S633" s="11">
        <v>6.0</v>
      </c>
    </row>
    <row r="634">
      <c r="A634" s="5" t="str">
        <f>IFERROR(__xludf.DUMMYFUNCTION("""COMPUTED_VALUE"""),"Epinephrine Bitartrate, Lidocaine Hydrochloride Injection")</f>
        <v>Epinephrine Bitartrate, Lidocaine Hydrochloride Injection</v>
      </c>
      <c r="B634" s="5" t="str">
        <f>IFERROR(__xludf.DUMMYFUNCTION("""COMPUTED_VALUE"""),"Fresenius Kabi USA, LLC")</f>
        <v>Fresenius Kabi USA, LLC</v>
      </c>
      <c r="C634" s="5" t="str">
        <f>IFERROR(__xludf.DUMMYFUNCTION("""COMPUTED_VALUE"""),"Xylocaine, Injection, .01 mg/1 mL; 10 mg/1 mL (NDC 63323-482-17)")</f>
        <v>Xylocaine, Injection, .01 mg/1 mL; 10 mg/1 mL (NDC 63323-482-17)</v>
      </c>
      <c r="D634" s="5" t="str">
        <f>IFERROR(__xludf.DUMMYFUNCTION("""COMPUTED_VALUE"""),"Reverified")</f>
        <v>Reverified</v>
      </c>
      <c r="E634" s="13">
        <f>IFERROR(__xludf.DUMMYFUNCTION("""COMPUTED_VALUE"""),46310.0)</f>
        <v>46310</v>
      </c>
      <c r="F634" s="5" t="str">
        <f>IFERROR(__xludf.DUMMYFUNCTION("""COMPUTED_VALUE"""),"Unavailable")</f>
        <v>Unavailable</v>
      </c>
      <c r="G634" s="5" t="str">
        <f>IFERROR(__xludf.DUMMYFUNCTION("""COMPUTED_VALUE"""),"Next release November 2026. Check wholesalers for inventory.")</f>
        <v>Next release November 2026. Check wholesalers for inventory.</v>
      </c>
      <c r="H634" s="5"/>
      <c r="I634" s="5" t="str">
        <f>IFERROR(__xludf.DUMMYFUNCTION("""COMPUTED_VALUE"""),"Demand increase for the drug")</f>
        <v>Demand increase for the drug</v>
      </c>
      <c r="J634" s="5" t="str">
        <f>IFERROR(__xludf.DUMMYFUNCTION("""COMPUTED_VALUE"""),"Anesthesia; Pediatric")</f>
        <v>Anesthesia; Pediatric</v>
      </c>
      <c r="K634" s="5" t="str">
        <f>IFERROR(__xludf.DUMMYFUNCTION("""COMPUTED_VALUE"""),"Current")</f>
        <v>Current</v>
      </c>
      <c r="L634" s="5"/>
      <c r="M634" s="5"/>
      <c r="N634" s="13">
        <f>IFERROR(__xludf.DUMMYFUNCTION("""COMPUTED_VALUE"""),42657.0)</f>
        <v>42657</v>
      </c>
      <c r="O634" s="5">
        <v>2016.0</v>
      </c>
      <c r="P634" s="5" t="str">
        <f>IFERROR(__xludf.DUMMYFUNCTION("""COMPUTED_VALUE"""),"Unavailable")</f>
        <v>Unavailable</v>
      </c>
      <c r="Q634" s="5" t="s">
        <v>134</v>
      </c>
      <c r="R634" s="5" t="s">
        <v>136</v>
      </c>
      <c r="S634" s="11">
        <v>3664.0</v>
      </c>
    </row>
    <row r="635">
      <c r="A635" s="5" t="str">
        <f>IFERROR(__xludf.DUMMYFUNCTION("""COMPUTED_VALUE"""),"Epinephrine Bitartrate, Lidocaine Hydrochloride Injection")</f>
        <v>Epinephrine Bitartrate, Lidocaine Hydrochloride Injection</v>
      </c>
      <c r="B635" s="5" t="str">
        <f>IFERROR(__xludf.DUMMYFUNCTION("""COMPUTED_VALUE"""),"Fresenius Kabi USA, LLC")</f>
        <v>Fresenius Kabi USA, LLC</v>
      </c>
      <c r="C635" s="5" t="str">
        <f>IFERROR(__xludf.DUMMYFUNCTION("""COMPUTED_VALUE"""),"Xylocaine, Injection, .005 mg/1 mL; 10 mg/1 mL (NDC 63323-487-17)")</f>
        <v>Xylocaine, Injection, .005 mg/1 mL; 10 mg/1 mL (NDC 63323-487-17)</v>
      </c>
      <c r="D635" s="5" t="str">
        <f>IFERROR(__xludf.DUMMYFUNCTION("""COMPUTED_VALUE"""),"Reverified")</f>
        <v>Reverified</v>
      </c>
      <c r="E635" s="13">
        <f>IFERROR(__xludf.DUMMYFUNCTION("""COMPUTED_VALUE"""),46310.0)</f>
        <v>46310</v>
      </c>
      <c r="F635" s="5" t="str">
        <f>IFERROR(__xludf.DUMMYFUNCTION("""COMPUTED_VALUE"""),"Available")</f>
        <v>Available</v>
      </c>
      <c r="G635" s="5" t="str">
        <f>IFERROR(__xludf.DUMMYFUNCTION("""COMPUTED_VALUE"""),"Check wholesalers for inventory")</f>
        <v>Check wholesalers for inventory</v>
      </c>
      <c r="H635" s="5"/>
      <c r="I635" s="5"/>
      <c r="J635" s="5" t="str">
        <f>IFERROR(__xludf.DUMMYFUNCTION("""COMPUTED_VALUE"""),"Anesthesia; Pediatric")</f>
        <v>Anesthesia; Pediatric</v>
      </c>
      <c r="K635" s="5" t="str">
        <f>IFERROR(__xludf.DUMMYFUNCTION("""COMPUTED_VALUE"""),"Current")</f>
        <v>Current</v>
      </c>
      <c r="L635" s="5"/>
      <c r="M635" s="5"/>
      <c r="N635" s="13">
        <f>IFERROR(__xludf.DUMMYFUNCTION("""COMPUTED_VALUE"""),42657.0)</f>
        <v>42657</v>
      </c>
      <c r="O635" s="5">
        <v>2016.0</v>
      </c>
      <c r="P635" s="5" t="str">
        <f>IFERROR(__xludf.DUMMYFUNCTION("""COMPUTED_VALUE"""),"Available")</f>
        <v>Available</v>
      </c>
      <c r="Q635" s="5" t="s">
        <v>135</v>
      </c>
      <c r="R635" s="5" t="s">
        <v>136</v>
      </c>
      <c r="S635" s="11">
        <v>3664.0</v>
      </c>
    </row>
    <row r="636">
      <c r="A636" s="5" t="str">
        <f>IFERROR(__xludf.DUMMYFUNCTION("""COMPUTED_VALUE"""),"Epinephrine Bitartrate, Lidocaine Hydrochloride Injection")</f>
        <v>Epinephrine Bitartrate, Lidocaine Hydrochloride Injection</v>
      </c>
      <c r="B636" s="5" t="str">
        <f>IFERROR(__xludf.DUMMYFUNCTION("""COMPUTED_VALUE"""),"Fresenius Kabi USA, LLC")</f>
        <v>Fresenius Kabi USA, LLC</v>
      </c>
      <c r="C636" s="5" t="str">
        <f>IFERROR(__xludf.DUMMYFUNCTION("""COMPUTED_VALUE"""),"Xylocaine, Injection, .005 mg/1 mL; 15 mg/1 mL (NDC 63323-488-17)")</f>
        <v>Xylocaine, Injection, .005 mg/1 mL; 15 mg/1 mL (NDC 63323-488-17)</v>
      </c>
      <c r="D636" s="5" t="str">
        <f>IFERROR(__xludf.DUMMYFUNCTION("""COMPUTED_VALUE"""),"Reverified")</f>
        <v>Reverified</v>
      </c>
      <c r="E636" s="13">
        <f>IFERROR(__xludf.DUMMYFUNCTION("""COMPUTED_VALUE"""),46310.0)</f>
        <v>46310</v>
      </c>
      <c r="F636" s="5" t="str">
        <f>IFERROR(__xludf.DUMMYFUNCTION("""COMPUTED_VALUE"""),"Available")</f>
        <v>Available</v>
      </c>
      <c r="G636" s="5" t="str">
        <f>IFERROR(__xludf.DUMMYFUNCTION("""COMPUTED_VALUE"""),"Check wholesalers for inventory")</f>
        <v>Check wholesalers for inventory</v>
      </c>
      <c r="H636" s="5"/>
      <c r="I636" s="5"/>
      <c r="J636" s="5" t="str">
        <f>IFERROR(__xludf.DUMMYFUNCTION("""COMPUTED_VALUE"""),"Anesthesia; Pediatric")</f>
        <v>Anesthesia; Pediatric</v>
      </c>
      <c r="K636" s="5" t="str">
        <f>IFERROR(__xludf.DUMMYFUNCTION("""COMPUTED_VALUE"""),"Current")</f>
        <v>Current</v>
      </c>
      <c r="L636" s="5"/>
      <c r="M636" s="5"/>
      <c r="N636" s="13">
        <f>IFERROR(__xludf.DUMMYFUNCTION("""COMPUTED_VALUE"""),42657.0)</f>
        <v>42657</v>
      </c>
      <c r="O636" s="5">
        <v>2016.0</v>
      </c>
      <c r="P636" s="5" t="str">
        <f>IFERROR(__xludf.DUMMYFUNCTION("""COMPUTED_VALUE"""),"Available")</f>
        <v>Available</v>
      </c>
      <c r="Q636" s="5" t="s">
        <v>135</v>
      </c>
      <c r="R636" s="5" t="s">
        <v>136</v>
      </c>
      <c r="S636" s="11">
        <v>3664.0</v>
      </c>
    </row>
    <row r="637">
      <c r="A637" s="5" t="str">
        <f>IFERROR(__xludf.DUMMYFUNCTION("""COMPUTED_VALUE"""),"Epinephrine Bitartrate, Lidocaine Hydrochloride Injection")</f>
        <v>Epinephrine Bitartrate, Lidocaine Hydrochloride Injection</v>
      </c>
      <c r="B637" s="5" t="str">
        <f>IFERROR(__xludf.DUMMYFUNCTION("""COMPUTED_VALUE"""),"Fresenius Kabi USA, LLC")</f>
        <v>Fresenius Kabi USA, LLC</v>
      </c>
      <c r="C637" s="5" t="str">
        <f>IFERROR(__xludf.DUMMYFUNCTION("""COMPUTED_VALUE"""),"Xylocaine, Injection, .005 mg/1 mL; 20 mg/1 mL (NDC 63323-489-17)")</f>
        <v>Xylocaine, Injection, .005 mg/1 mL; 20 mg/1 mL (NDC 63323-489-17)</v>
      </c>
      <c r="D637" s="5" t="str">
        <f>IFERROR(__xludf.DUMMYFUNCTION("""COMPUTED_VALUE"""),"Reverified")</f>
        <v>Reverified</v>
      </c>
      <c r="E637" s="13">
        <f>IFERROR(__xludf.DUMMYFUNCTION("""COMPUTED_VALUE"""),46310.0)</f>
        <v>46310</v>
      </c>
      <c r="F637" s="5" t="str">
        <f>IFERROR(__xludf.DUMMYFUNCTION("""COMPUTED_VALUE"""),"Available")</f>
        <v>Available</v>
      </c>
      <c r="G637" s="5" t="str">
        <f>IFERROR(__xludf.DUMMYFUNCTION("""COMPUTED_VALUE"""),"Check wholesalers for inventory")</f>
        <v>Check wholesalers for inventory</v>
      </c>
      <c r="H637" s="5"/>
      <c r="I637" s="5"/>
      <c r="J637" s="5" t="str">
        <f>IFERROR(__xludf.DUMMYFUNCTION("""COMPUTED_VALUE"""),"Anesthesia; Pediatric")</f>
        <v>Anesthesia; Pediatric</v>
      </c>
      <c r="K637" s="5" t="str">
        <f>IFERROR(__xludf.DUMMYFUNCTION("""COMPUTED_VALUE"""),"Current")</f>
        <v>Current</v>
      </c>
      <c r="L637" s="5"/>
      <c r="M637" s="5"/>
      <c r="N637" s="13">
        <f>IFERROR(__xludf.DUMMYFUNCTION("""COMPUTED_VALUE"""),42657.0)</f>
        <v>42657</v>
      </c>
      <c r="O637" s="5">
        <v>2016.0</v>
      </c>
      <c r="P637" s="5" t="str">
        <f>IFERROR(__xludf.DUMMYFUNCTION("""COMPUTED_VALUE"""),"Available")</f>
        <v>Available</v>
      </c>
      <c r="Q637" s="5" t="s">
        <v>135</v>
      </c>
      <c r="R637" s="5" t="s">
        <v>136</v>
      </c>
      <c r="S637" s="11">
        <v>3664.0</v>
      </c>
    </row>
    <row r="638">
      <c r="A638" s="5" t="str">
        <f>IFERROR(__xludf.DUMMYFUNCTION("""COMPUTED_VALUE"""),"Epinephrine Bitartrate, Lidocaine Hydrochloride Injection")</f>
        <v>Epinephrine Bitartrate, Lidocaine Hydrochloride Injection</v>
      </c>
      <c r="B638" s="5" t="str">
        <f>IFERROR(__xludf.DUMMYFUNCTION("""COMPUTED_VALUE"""),"Hospira, Inc., a Pfizer Company")</f>
        <v>Hospira, Inc., a Pfizer Company</v>
      </c>
      <c r="C638" s="5" t="str">
        <f>IFERROR(__xludf.DUMMYFUNCTION("""COMPUTED_VALUE"""),"Lidocaine Hydrochloride And Epinephrine, Injection, 250 mg/50 mL (0.5%; 1:200,000) (NDC 0409-3177-01)")</f>
        <v>Lidocaine Hydrochloride And Epinephrine, Injection, 250 mg/50 mL (0.5%; 1:200,000) (NDC 0409-3177-01)</v>
      </c>
      <c r="D638" s="5" t="str">
        <f>IFERROR(__xludf.DUMMYFUNCTION("""COMPUTED_VALUE"""),"Revised")</f>
        <v>Revised</v>
      </c>
      <c r="E638" s="13">
        <f>IFERROR(__xludf.DUMMYFUNCTION("""COMPUTED_VALUE"""),46316.0)</f>
        <v>46316</v>
      </c>
      <c r="F638" s="5" t="str">
        <f>IFERROR(__xludf.DUMMYFUNCTION("""COMPUTED_VALUE"""),"Unavailable")</f>
        <v>Unavailable</v>
      </c>
      <c r="G638" s="5" t="str">
        <f>IFERROR(__xludf.DUMMYFUNCTION("""COMPUTED_VALUE"""),"Next Delivery: November 2026; Estimated Recovery: December 2026; Shortage per Manufacturer: Manufacturing Delay")</f>
        <v>Next Delivery: November 2026; Estimated Recovery: December 2026; Shortage per Manufacturer: Manufacturing Delay</v>
      </c>
      <c r="H638" s="5"/>
      <c r="I638" s="5" t="str">
        <f>IFERROR(__xludf.DUMMYFUNCTION("""COMPUTED_VALUE"""),"Other")</f>
        <v>Other</v>
      </c>
      <c r="J638" s="5" t="str">
        <f>IFERROR(__xludf.DUMMYFUNCTION("""COMPUTED_VALUE"""),"Anesthesia; Pediatric")</f>
        <v>Anesthesia; Pediatric</v>
      </c>
      <c r="K638" s="5" t="str">
        <f>IFERROR(__xludf.DUMMYFUNCTION("""COMPUTED_VALUE"""),"Current")</f>
        <v>Current</v>
      </c>
      <c r="L638" s="5"/>
      <c r="M638" s="5"/>
      <c r="N638" s="10">
        <f>IFERROR(__xludf.DUMMYFUNCTION("""COMPUTED_VALUE"""),40961.0)</f>
        <v>40961</v>
      </c>
      <c r="O638" s="5">
        <v>2012.0</v>
      </c>
      <c r="P638" s="5" t="str">
        <f>IFERROR(__xludf.DUMMYFUNCTION("""COMPUTED_VALUE"""),"Unavailable")</f>
        <v>Unavailable</v>
      </c>
      <c r="Q638" s="5" t="s">
        <v>47</v>
      </c>
      <c r="R638" s="5" t="s">
        <v>136</v>
      </c>
      <c r="S638" s="11">
        <v>5360.0</v>
      </c>
    </row>
    <row r="639">
      <c r="A639" s="5" t="str">
        <f>IFERROR(__xludf.DUMMYFUNCTION("""COMPUTED_VALUE"""),"Epinephrine Bitartrate, Lidocaine Hydrochloride Injection")</f>
        <v>Epinephrine Bitartrate, Lidocaine Hydrochloride Injection</v>
      </c>
      <c r="B639" s="5" t="str">
        <f>IFERROR(__xludf.DUMMYFUNCTION("""COMPUTED_VALUE"""),"Hospira, Inc., a Pfizer Company")</f>
        <v>Hospira, Inc., a Pfizer Company</v>
      </c>
      <c r="C639" s="5" t="str">
        <f>IFERROR(__xludf.DUMMYFUNCTION("""COMPUTED_VALUE"""),"Lidocaine Hydrochloride And Epinephrine, Injection, 200 mg/20 mL (1%; 1:100,000) (NDC 0409-3178-01)")</f>
        <v>Lidocaine Hydrochloride And Epinephrine, Injection, 200 mg/20 mL (1%; 1:100,000) (NDC 0409-3178-01)</v>
      </c>
      <c r="D639" s="5" t="str">
        <f>IFERROR(__xludf.DUMMYFUNCTION("""COMPUTED_VALUE"""),"Revised")</f>
        <v>Revised</v>
      </c>
      <c r="E639" s="13">
        <f>IFERROR(__xludf.DUMMYFUNCTION("""COMPUTED_VALUE"""),46316.0)</f>
        <v>46316</v>
      </c>
      <c r="F639" s="5" t="str">
        <f>IFERROR(__xludf.DUMMYFUNCTION("""COMPUTED_VALUE"""),"Limited Availability")</f>
        <v>Limited Availability</v>
      </c>
      <c r="G639" s="5" t="str">
        <f>IFERROR(__xludf.DUMMYFUNCTION("""COMPUTED_VALUE"""),"Limited Supply Available. Next Delivery: October 2026; Estimated Recovery: December 2026; Shortage per Manufacturer: Manufacturing Delay")</f>
        <v>Limited Supply Available. Next Delivery: October 2026; Estimated Recovery: December 2026; Shortage per Manufacturer: Manufacturing Delay</v>
      </c>
      <c r="H639" s="5"/>
      <c r="I639" s="5" t="str">
        <f>IFERROR(__xludf.DUMMYFUNCTION("""COMPUTED_VALUE"""),"Other")</f>
        <v>Other</v>
      </c>
      <c r="J639" s="5" t="str">
        <f>IFERROR(__xludf.DUMMYFUNCTION("""COMPUTED_VALUE"""),"Anesthesia; Pediatric")</f>
        <v>Anesthesia; Pediatric</v>
      </c>
      <c r="K639" s="5" t="str">
        <f>IFERROR(__xludf.DUMMYFUNCTION("""COMPUTED_VALUE"""),"Current")</f>
        <v>Current</v>
      </c>
      <c r="L639" s="5"/>
      <c r="M639" s="5"/>
      <c r="N639" s="10">
        <f>IFERROR(__xludf.DUMMYFUNCTION("""COMPUTED_VALUE"""),40961.0)</f>
        <v>40961</v>
      </c>
      <c r="O639" s="5">
        <v>2012.0</v>
      </c>
      <c r="P639" s="5" t="str">
        <f>IFERROR(__xludf.DUMMYFUNCTION("""COMPUTED_VALUE"""),"Limited Availability")</f>
        <v>Limited Availability</v>
      </c>
      <c r="Q639" s="5" t="s">
        <v>47</v>
      </c>
      <c r="R639" s="5" t="s">
        <v>136</v>
      </c>
      <c r="S639" s="11">
        <v>5360.0</v>
      </c>
    </row>
    <row r="640">
      <c r="A640" s="5" t="str">
        <f>IFERROR(__xludf.DUMMYFUNCTION("""COMPUTED_VALUE"""),"Epinephrine Bitartrate, Lidocaine Hydrochloride Injection")</f>
        <v>Epinephrine Bitartrate, Lidocaine Hydrochloride Injection</v>
      </c>
      <c r="B640" s="5" t="str">
        <f>IFERROR(__xludf.DUMMYFUNCTION("""COMPUTED_VALUE"""),"Hospira, Inc., a Pfizer Company")</f>
        <v>Hospira, Inc., a Pfizer Company</v>
      </c>
      <c r="C640" s="5" t="str">
        <f>IFERROR(__xludf.DUMMYFUNCTION("""COMPUTED_VALUE"""),"Lidocaine Hydrochloride And Epinephrine, Injection, 300 mg/30 mL (1%; 1:100,000) (NDC 0409-3178-02)")</f>
        <v>Lidocaine Hydrochloride And Epinephrine, Injection, 300 mg/30 mL (1%; 1:100,000) (NDC 0409-3178-02)</v>
      </c>
      <c r="D640" s="5" t="str">
        <f>IFERROR(__xludf.DUMMYFUNCTION("""COMPUTED_VALUE"""),"Revised")</f>
        <v>Revised</v>
      </c>
      <c r="E640" s="13">
        <f>IFERROR(__xludf.DUMMYFUNCTION("""COMPUTED_VALUE"""),46316.0)</f>
        <v>46316</v>
      </c>
      <c r="F640" s="5" t="str">
        <f>IFERROR(__xludf.DUMMYFUNCTION("""COMPUTED_VALUE"""),"Unavailable")</f>
        <v>Unavailable</v>
      </c>
      <c r="G640" s="5" t="str">
        <f>IFERROR(__xludf.DUMMYFUNCTION("""COMPUTED_VALUE"""),"Next Delivery: January 2027; Estimated Recovery: June 2027; Shortage per Manufacturer: Manufacturing Delay")</f>
        <v>Next Delivery: January 2027; Estimated Recovery: June 2027; Shortage per Manufacturer: Manufacturing Delay</v>
      </c>
      <c r="H640" s="5"/>
      <c r="I640" s="5" t="str">
        <f>IFERROR(__xludf.DUMMYFUNCTION("""COMPUTED_VALUE"""),"Other")</f>
        <v>Other</v>
      </c>
      <c r="J640" s="5" t="str">
        <f>IFERROR(__xludf.DUMMYFUNCTION("""COMPUTED_VALUE"""),"Anesthesia; Pediatric")</f>
        <v>Anesthesia; Pediatric</v>
      </c>
      <c r="K640" s="5" t="str">
        <f>IFERROR(__xludf.DUMMYFUNCTION("""COMPUTED_VALUE"""),"Current")</f>
        <v>Current</v>
      </c>
      <c r="L640" s="5"/>
      <c r="M640" s="5"/>
      <c r="N640" s="10">
        <f>IFERROR(__xludf.DUMMYFUNCTION("""COMPUTED_VALUE"""),40961.0)</f>
        <v>40961</v>
      </c>
      <c r="O640" s="5">
        <v>2012.0</v>
      </c>
      <c r="P640" s="5" t="str">
        <f>IFERROR(__xludf.DUMMYFUNCTION("""COMPUTED_VALUE"""),"Unavailable")</f>
        <v>Unavailable</v>
      </c>
      <c r="Q640" s="5" t="s">
        <v>47</v>
      </c>
      <c r="R640" s="5" t="s">
        <v>136</v>
      </c>
      <c r="S640" s="11">
        <v>5360.0</v>
      </c>
    </row>
    <row r="641">
      <c r="A641" s="5" t="str">
        <f>IFERROR(__xludf.DUMMYFUNCTION("""COMPUTED_VALUE"""),"Epinephrine Bitartrate, Lidocaine Hydrochloride Injection")</f>
        <v>Epinephrine Bitartrate, Lidocaine Hydrochloride Injection</v>
      </c>
      <c r="B641" s="5" t="str">
        <f>IFERROR(__xludf.DUMMYFUNCTION("""COMPUTED_VALUE"""),"Hospira, Inc., a Pfizer Company")</f>
        <v>Hospira, Inc., a Pfizer Company</v>
      </c>
      <c r="C641" s="5" t="str">
        <f>IFERROR(__xludf.DUMMYFUNCTION("""COMPUTED_VALUE"""),"Lidocaine Hydrochloride And Epinephrine, Injection, 500 mg/50 mL (1%; 1:100,000) (NDC 0409-3178-03)")</f>
        <v>Lidocaine Hydrochloride And Epinephrine, Injection, 500 mg/50 mL (1%; 1:100,000) (NDC 0409-3178-03)</v>
      </c>
      <c r="D641" s="5" t="str">
        <f>IFERROR(__xludf.DUMMYFUNCTION("""COMPUTED_VALUE"""),"Revised")</f>
        <v>Revised</v>
      </c>
      <c r="E641" s="13">
        <f>IFERROR(__xludf.DUMMYFUNCTION("""COMPUTED_VALUE"""),46316.0)</f>
        <v>46316</v>
      </c>
      <c r="F641" s="5" t="str">
        <f>IFERROR(__xludf.DUMMYFUNCTION("""COMPUTED_VALUE"""),"Limited Availability")</f>
        <v>Limited Availability</v>
      </c>
      <c r="G641" s="5" t="str">
        <f>IFERROR(__xludf.DUMMYFUNCTION("""COMPUTED_VALUE"""),"Limited Supply Available. Next Delivery: April 2027; Estimated Recovery: June 2027; Shortage per Manufacturer: Manufacturing Delay")</f>
        <v>Limited Supply Available. Next Delivery: April 2027; Estimated Recovery: June 2027; Shortage per Manufacturer: Manufacturing Delay</v>
      </c>
      <c r="H641" s="5"/>
      <c r="I641" s="5" t="str">
        <f>IFERROR(__xludf.DUMMYFUNCTION("""COMPUTED_VALUE"""),"Other")</f>
        <v>Other</v>
      </c>
      <c r="J641" s="5" t="str">
        <f>IFERROR(__xludf.DUMMYFUNCTION("""COMPUTED_VALUE"""),"Anesthesia; Pediatric")</f>
        <v>Anesthesia; Pediatric</v>
      </c>
      <c r="K641" s="5" t="str">
        <f>IFERROR(__xludf.DUMMYFUNCTION("""COMPUTED_VALUE"""),"Current")</f>
        <v>Current</v>
      </c>
      <c r="L641" s="5"/>
      <c r="M641" s="5"/>
      <c r="N641" s="10">
        <f>IFERROR(__xludf.DUMMYFUNCTION("""COMPUTED_VALUE"""),40961.0)</f>
        <v>40961</v>
      </c>
      <c r="O641" s="5">
        <v>2012.0</v>
      </c>
      <c r="P641" s="5" t="str">
        <f>IFERROR(__xludf.DUMMYFUNCTION("""COMPUTED_VALUE"""),"Limited Availability")</f>
        <v>Limited Availability</v>
      </c>
      <c r="Q641" s="5" t="s">
        <v>47</v>
      </c>
      <c r="R641" s="5" t="s">
        <v>136</v>
      </c>
      <c r="S641" s="11">
        <v>5360.0</v>
      </c>
    </row>
    <row r="642">
      <c r="A642" s="5" t="str">
        <f>IFERROR(__xludf.DUMMYFUNCTION("""COMPUTED_VALUE"""),"Epinephrine Bitartrate, Lidocaine Hydrochloride Injection")</f>
        <v>Epinephrine Bitartrate, Lidocaine Hydrochloride Injection</v>
      </c>
      <c r="B642" s="5" t="str">
        <f>IFERROR(__xludf.DUMMYFUNCTION("""COMPUTED_VALUE"""),"Hospira, Inc., a Pfizer Company")</f>
        <v>Hospira, Inc., a Pfizer Company</v>
      </c>
      <c r="C642" s="5" t="str">
        <f>IFERROR(__xludf.DUMMYFUNCTION("""COMPUTED_VALUE"""),"Lidocaine Hydrochloride And Epinephrine, Injection, 75 mg/5 mL (1.5%; 1:200,000) (NDC 0409-1209-01)")</f>
        <v>Lidocaine Hydrochloride And Epinephrine, Injection, 75 mg/5 mL (1.5%; 1:200,000) (NDC 0409-1209-01)</v>
      </c>
      <c r="D642" s="5" t="str">
        <f>IFERROR(__xludf.DUMMYFUNCTION("""COMPUTED_VALUE"""),"Revised")</f>
        <v>Revised</v>
      </c>
      <c r="E642" s="13">
        <f>IFERROR(__xludf.DUMMYFUNCTION("""COMPUTED_VALUE"""),46316.0)</f>
        <v>46316</v>
      </c>
      <c r="F642" s="5" t="str">
        <f>IFERROR(__xludf.DUMMYFUNCTION("""COMPUTED_VALUE"""),"Unavailable")</f>
        <v>Unavailable</v>
      </c>
      <c r="G642" s="5" t="str">
        <f>IFERROR(__xludf.DUMMYFUNCTION("""COMPUTED_VALUE"""),"Next Delivery: January 2027; Estimated Recovery: March 2027; Shortage per Manufacturer: Manufacturing Delay")</f>
        <v>Next Delivery: January 2027; Estimated Recovery: March 2027; Shortage per Manufacturer: Manufacturing Delay</v>
      </c>
      <c r="H642" s="5"/>
      <c r="I642" s="5" t="str">
        <f>IFERROR(__xludf.DUMMYFUNCTION("""COMPUTED_VALUE"""),"Other")</f>
        <v>Other</v>
      </c>
      <c r="J642" s="5" t="str">
        <f>IFERROR(__xludf.DUMMYFUNCTION("""COMPUTED_VALUE"""),"Anesthesia; Pediatric")</f>
        <v>Anesthesia; Pediatric</v>
      </c>
      <c r="K642" s="5" t="str">
        <f>IFERROR(__xludf.DUMMYFUNCTION("""COMPUTED_VALUE"""),"Current")</f>
        <v>Current</v>
      </c>
      <c r="L642" s="5"/>
      <c r="M642" s="5"/>
      <c r="N642" s="10">
        <f>IFERROR(__xludf.DUMMYFUNCTION("""COMPUTED_VALUE"""),40961.0)</f>
        <v>40961</v>
      </c>
      <c r="O642" s="5">
        <v>2012.0</v>
      </c>
      <c r="P642" s="5" t="str">
        <f>IFERROR(__xludf.DUMMYFUNCTION("""COMPUTED_VALUE"""),"Unavailable")</f>
        <v>Unavailable</v>
      </c>
      <c r="Q642" s="5" t="s">
        <v>47</v>
      </c>
      <c r="R642" s="5" t="s">
        <v>136</v>
      </c>
      <c r="S642" s="11">
        <v>5360.0</v>
      </c>
    </row>
    <row r="643">
      <c r="A643" s="5" t="str">
        <f>IFERROR(__xludf.DUMMYFUNCTION("""COMPUTED_VALUE"""),"Epinephrine Bitartrate, Lidocaine Hydrochloride Injection")</f>
        <v>Epinephrine Bitartrate, Lidocaine Hydrochloride Injection</v>
      </c>
      <c r="B643" s="5" t="str">
        <f>IFERROR(__xludf.DUMMYFUNCTION("""COMPUTED_VALUE"""),"Hospira, Inc., a Pfizer Company")</f>
        <v>Hospira, Inc., a Pfizer Company</v>
      </c>
      <c r="C643" s="5" t="str">
        <f>IFERROR(__xludf.DUMMYFUNCTION("""COMPUTED_VALUE"""),"Lidocaine Hydrochloride And Epinephrine, Injection, 450 mg/30 mL (1.5%; 1:200,000) (NDC 0409-3181-01)")</f>
        <v>Lidocaine Hydrochloride And Epinephrine, Injection, 450 mg/30 mL (1.5%; 1:200,000) (NDC 0409-3181-01)</v>
      </c>
      <c r="D643" s="5" t="str">
        <f>IFERROR(__xludf.DUMMYFUNCTION("""COMPUTED_VALUE"""),"Revised")</f>
        <v>Revised</v>
      </c>
      <c r="E643" s="13">
        <f>IFERROR(__xludf.DUMMYFUNCTION("""COMPUTED_VALUE"""),46316.0)</f>
        <v>46316</v>
      </c>
      <c r="F643" s="5" t="str">
        <f>IFERROR(__xludf.DUMMYFUNCTION("""COMPUTED_VALUE"""),"Limited Availalbility")</f>
        <v>Limited Availalbility</v>
      </c>
      <c r="G643" s="5" t="str">
        <f>IFERROR(__xludf.DUMMYFUNCTION("""COMPUTED_VALUE"""),"Limited Supply Available. Next Delivery and Estimated Recovery: June 2027; Shortage per Manufacturer: Manufacturing Delay")</f>
        <v>Limited Supply Available. Next Delivery and Estimated Recovery: June 2027; Shortage per Manufacturer: Manufacturing Delay</v>
      </c>
      <c r="H643" s="5"/>
      <c r="I643" s="5" t="str">
        <f>IFERROR(__xludf.DUMMYFUNCTION("""COMPUTED_VALUE"""),"Other")</f>
        <v>Other</v>
      </c>
      <c r="J643" s="5" t="str">
        <f>IFERROR(__xludf.DUMMYFUNCTION("""COMPUTED_VALUE"""),"Anesthesia; Pediatric")</f>
        <v>Anesthesia; Pediatric</v>
      </c>
      <c r="K643" s="5" t="str">
        <f>IFERROR(__xludf.DUMMYFUNCTION("""COMPUTED_VALUE"""),"Current")</f>
        <v>Current</v>
      </c>
      <c r="L643" s="5"/>
      <c r="M643" s="5"/>
      <c r="N643" s="10">
        <f>IFERROR(__xludf.DUMMYFUNCTION("""COMPUTED_VALUE"""),40961.0)</f>
        <v>40961</v>
      </c>
      <c r="O643" s="5">
        <v>2012.0</v>
      </c>
      <c r="P643" s="5" t="str">
        <f>IFERROR(__xludf.DUMMYFUNCTION("""COMPUTED_VALUE"""),"Limited Availability")</f>
        <v>Limited Availability</v>
      </c>
      <c r="Q643" s="5" t="s">
        <v>47</v>
      </c>
      <c r="R643" s="5" t="s">
        <v>136</v>
      </c>
      <c r="S643" s="11">
        <v>5360.0</v>
      </c>
    </row>
    <row r="644">
      <c r="A644" s="5" t="str">
        <f>IFERROR(__xludf.DUMMYFUNCTION("""COMPUTED_VALUE"""),"Epinephrine Bitartrate, Lidocaine Hydrochloride Injection")</f>
        <v>Epinephrine Bitartrate, Lidocaine Hydrochloride Injection</v>
      </c>
      <c r="B644" s="5" t="str">
        <f>IFERROR(__xludf.DUMMYFUNCTION("""COMPUTED_VALUE"""),"Hospira, Inc., a Pfizer Company")</f>
        <v>Hospira, Inc., a Pfizer Company</v>
      </c>
      <c r="C644" s="5" t="str">
        <f>IFERROR(__xludf.DUMMYFUNCTION("""COMPUTED_VALUE"""),"Lidocaine Hydrochloride And Epinephrine, Injection, 400 mg/20 mL (2%; 1:100,000) (NDC 0409-3182-01)")</f>
        <v>Lidocaine Hydrochloride And Epinephrine, Injection, 400 mg/20 mL (2%; 1:100,000) (NDC 0409-3182-01)</v>
      </c>
      <c r="D644" s="5" t="str">
        <f>IFERROR(__xludf.DUMMYFUNCTION("""COMPUTED_VALUE"""),"Revised")</f>
        <v>Revised</v>
      </c>
      <c r="E644" s="13">
        <f>IFERROR(__xludf.DUMMYFUNCTION("""COMPUTED_VALUE"""),46316.0)</f>
        <v>46316</v>
      </c>
      <c r="F644" s="5" t="str">
        <f>IFERROR(__xludf.DUMMYFUNCTION("""COMPUTED_VALUE"""),"Unavailable")</f>
        <v>Unavailable</v>
      </c>
      <c r="G644" s="5" t="str">
        <f>IFERROR(__xludf.DUMMYFUNCTION("""COMPUTED_VALUE"""),"Next Delivery and Estimated Recovery: December 2028; Shortage per Manufacturer: Manufacturing Delay")</f>
        <v>Next Delivery and Estimated Recovery: December 2028; Shortage per Manufacturer: Manufacturing Delay</v>
      </c>
      <c r="H644" s="5"/>
      <c r="I644" s="5" t="str">
        <f>IFERROR(__xludf.DUMMYFUNCTION("""COMPUTED_VALUE"""),"Other")</f>
        <v>Other</v>
      </c>
      <c r="J644" s="5" t="str">
        <f>IFERROR(__xludf.DUMMYFUNCTION("""COMPUTED_VALUE"""),"Anesthesia; Pediatric")</f>
        <v>Anesthesia; Pediatric</v>
      </c>
      <c r="K644" s="5" t="str">
        <f>IFERROR(__xludf.DUMMYFUNCTION("""COMPUTED_VALUE"""),"Current")</f>
        <v>Current</v>
      </c>
      <c r="L644" s="5"/>
      <c r="M644" s="5"/>
      <c r="N644" s="10">
        <f>IFERROR(__xludf.DUMMYFUNCTION("""COMPUTED_VALUE"""),40961.0)</f>
        <v>40961</v>
      </c>
      <c r="O644" s="5">
        <v>2012.0</v>
      </c>
      <c r="P644" s="5" t="str">
        <f>IFERROR(__xludf.DUMMYFUNCTION("""COMPUTED_VALUE"""),"Unavailable")</f>
        <v>Unavailable</v>
      </c>
      <c r="Q644" s="5" t="s">
        <v>47</v>
      </c>
      <c r="R644" s="5" t="s">
        <v>136</v>
      </c>
      <c r="S644" s="11">
        <v>5360.0</v>
      </c>
    </row>
    <row r="645">
      <c r="A645" s="5" t="str">
        <f>IFERROR(__xludf.DUMMYFUNCTION("""COMPUTED_VALUE"""),"Epinephrine Bitartrate, Lidocaine Hydrochloride Injection")</f>
        <v>Epinephrine Bitartrate, Lidocaine Hydrochloride Injection</v>
      </c>
      <c r="B645" s="5" t="str">
        <f>IFERROR(__xludf.DUMMYFUNCTION("""COMPUTED_VALUE"""),"Hospira, Inc., a Pfizer Company")</f>
        <v>Hospira, Inc., a Pfizer Company</v>
      </c>
      <c r="C645" s="5" t="str">
        <f>IFERROR(__xludf.DUMMYFUNCTION("""COMPUTED_VALUE"""),"Lidocaine Hydrochloride and Epinephrine, Injection, 600 mg/30 mL (2%; 1:100,000) (NDC 0409-3182-02)")</f>
        <v>Lidocaine Hydrochloride and Epinephrine, Injection, 600 mg/30 mL (2%; 1:100,000) (NDC 0409-3182-02)</v>
      </c>
      <c r="D645" s="5" t="str">
        <f>IFERROR(__xludf.DUMMYFUNCTION("""COMPUTED_VALUE"""),"Revised")</f>
        <v>Revised</v>
      </c>
      <c r="E645" s="13">
        <f>IFERROR(__xludf.DUMMYFUNCTION("""COMPUTED_VALUE"""),46316.0)</f>
        <v>46316</v>
      </c>
      <c r="F645" s="5" t="str">
        <f>IFERROR(__xludf.DUMMYFUNCTION("""COMPUTED_VALUE"""),"Limited Availability")</f>
        <v>Limited Availability</v>
      </c>
      <c r="G645" s="5" t="str">
        <f>IFERROR(__xludf.DUMMYFUNCTION("""COMPUTED_VALUE"""),"Limited Supply Available. Next Delivery and Estimated Recovery: June 2027; Shortage per Manufacturer: Manufacturing Delay")</f>
        <v>Limited Supply Available. Next Delivery and Estimated Recovery: June 2027; Shortage per Manufacturer: Manufacturing Delay</v>
      </c>
      <c r="H645" s="5"/>
      <c r="I645" s="5" t="str">
        <f>IFERROR(__xludf.DUMMYFUNCTION("""COMPUTED_VALUE"""),"Other")</f>
        <v>Other</v>
      </c>
      <c r="J645" s="5" t="str">
        <f>IFERROR(__xludf.DUMMYFUNCTION("""COMPUTED_VALUE"""),"Anesthesia; Pediatric")</f>
        <v>Anesthesia; Pediatric</v>
      </c>
      <c r="K645" s="5" t="str">
        <f>IFERROR(__xludf.DUMMYFUNCTION("""COMPUTED_VALUE"""),"Current")</f>
        <v>Current</v>
      </c>
      <c r="L645" s="5"/>
      <c r="M645" s="5"/>
      <c r="N645" s="10">
        <f>IFERROR(__xludf.DUMMYFUNCTION("""COMPUTED_VALUE"""),40961.0)</f>
        <v>40961</v>
      </c>
      <c r="O645" s="5">
        <v>2012.0</v>
      </c>
      <c r="P645" s="5" t="str">
        <f>IFERROR(__xludf.DUMMYFUNCTION("""COMPUTED_VALUE"""),"Limited Availability")</f>
        <v>Limited Availability</v>
      </c>
      <c r="Q645" s="5" t="s">
        <v>47</v>
      </c>
      <c r="R645" s="5" t="s">
        <v>136</v>
      </c>
      <c r="S645" s="11">
        <v>5360.0</v>
      </c>
    </row>
    <row r="646">
      <c r="A646" s="5" t="str">
        <f>IFERROR(__xludf.DUMMYFUNCTION("""COMPUTED_VALUE"""),"Epinephrine Bitartrate, Lidocaine Hydrochloride Injection")</f>
        <v>Epinephrine Bitartrate, Lidocaine Hydrochloride Injection</v>
      </c>
      <c r="B646" s="5" t="str">
        <f>IFERROR(__xludf.DUMMYFUNCTION("""COMPUTED_VALUE"""),"Hospira, Inc., a Pfizer Company")</f>
        <v>Hospira, Inc., a Pfizer Company</v>
      </c>
      <c r="C646" s="5" t="str">
        <f>IFERROR(__xludf.DUMMYFUNCTION("""COMPUTED_VALUE"""),"Lidocaine Hydrochloride And Epinephrine, Injection, 1 g/50 mL (2%; 1:100,000) (NDC 0409-3182-03)")</f>
        <v>Lidocaine Hydrochloride And Epinephrine, Injection, 1 g/50 mL (2%; 1:100,000) (NDC 0409-3182-03)</v>
      </c>
      <c r="D646" s="5" t="str">
        <f>IFERROR(__xludf.DUMMYFUNCTION("""COMPUTED_VALUE"""),"Revised")</f>
        <v>Revised</v>
      </c>
      <c r="E646" s="13">
        <f>IFERROR(__xludf.DUMMYFUNCTION("""COMPUTED_VALUE"""),46316.0)</f>
        <v>46316</v>
      </c>
      <c r="F646" s="5" t="str">
        <f>IFERROR(__xludf.DUMMYFUNCTION("""COMPUTED_VALUE"""),"Limited Availability")</f>
        <v>Limited Availability</v>
      </c>
      <c r="G646" s="5" t="str">
        <f>IFERROR(__xludf.DUMMYFUNCTION("""COMPUTED_VALUE"""),"Limited Supply Available. Next Delivery and Estimated Recovery: June 2027; Shortage per Manufacturer: Manufacturing Delay")</f>
        <v>Limited Supply Available. Next Delivery and Estimated Recovery: June 2027; Shortage per Manufacturer: Manufacturing Delay</v>
      </c>
      <c r="H646" s="5"/>
      <c r="I646" s="5" t="str">
        <f>IFERROR(__xludf.DUMMYFUNCTION("""COMPUTED_VALUE"""),"Other")</f>
        <v>Other</v>
      </c>
      <c r="J646" s="5" t="str">
        <f>IFERROR(__xludf.DUMMYFUNCTION("""COMPUTED_VALUE"""),"Anesthesia; Pediatric")</f>
        <v>Anesthesia; Pediatric</v>
      </c>
      <c r="K646" s="5" t="str">
        <f>IFERROR(__xludf.DUMMYFUNCTION("""COMPUTED_VALUE"""),"Current")</f>
        <v>Current</v>
      </c>
      <c r="L646" s="5"/>
      <c r="M646" s="5"/>
      <c r="N646" s="10">
        <f>IFERROR(__xludf.DUMMYFUNCTION("""COMPUTED_VALUE"""),40961.0)</f>
        <v>40961</v>
      </c>
      <c r="O646" s="5">
        <v>2012.0</v>
      </c>
      <c r="P646" s="5" t="str">
        <f>IFERROR(__xludf.DUMMYFUNCTION("""COMPUTED_VALUE"""),"Limited Availability")</f>
        <v>Limited Availability</v>
      </c>
      <c r="Q646" s="5" t="s">
        <v>47</v>
      </c>
      <c r="R646" s="5" t="s">
        <v>136</v>
      </c>
      <c r="S646" s="11">
        <v>5360.0</v>
      </c>
    </row>
    <row r="647">
      <c r="A647" s="5" t="str">
        <f>IFERROR(__xludf.DUMMYFUNCTION("""COMPUTED_VALUE"""),"Epinephrine Bitartrate, Lidocaine Hydrochloride Injection")</f>
        <v>Epinephrine Bitartrate, Lidocaine Hydrochloride Injection</v>
      </c>
      <c r="B647" s="5" t="str">
        <f>IFERROR(__xludf.DUMMYFUNCTION("""COMPUTED_VALUE"""),"Hospira, Inc., a Pfizer Company")</f>
        <v>Hospira, Inc., a Pfizer Company</v>
      </c>
      <c r="C647" s="5" t="str">
        <f>IFERROR(__xludf.DUMMYFUNCTION("""COMPUTED_VALUE"""),"Lidocaine Hydrochloride And Epinephrine, Injection, 400 mg/20 mL (2%; 1:200,000) (NDC 0409-3183-01)")</f>
        <v>Lidocaine Hydrochloride And Epinephrine, Injection, 400 mg/20 mL (2%; 1:200,000) (NDC 0409-3183-01)</v>
      </c>
      <c r="D647" s="5" t="str">
        <f>IFERROR(__xludf.DUMMYFUNCTION("""COMPUTED_VALUE"""),"Revised")</f>
        <v>Revised</v>
      </c>
      <c r="E647" s="13">
        <f>IFERROR(__xludf.DUMMYFUNCTION("""COMPUTED_VALUE"""),46316.0)</f>
        <v>46316</v>
      </c>
      <c r="F647" s="5" t="str">
        <f>IFERROR(__xludf.DUMMYFUNCTION("""COMPUTED_VALUE"""),"Limited Availability")</f>
        <v>Limited Availability</v>
      </c>
      <c r="G647" s="5" t="str">
        <f>IFERROR(__xludf.DUMMYFUNCTION("""COMPUTED_VALUE"""),"Limited Supply Available. Next Delivery: January 2027; Estimated Recovery: March 2027; Shortage per Manufacturer: Manufacturing Delay")</f>
        <v>Limited Supply Available. Next Delivery: January 2027; Estimated Recovery: March 2027; Shortage per Manufacturer: Manufacturing Delay</v>
      </c>
      <c r="H647" s="5"/>
      <c r="I647" s="5" t="str">
        <f>IFERROR(__xludf.DUMMYFUNCTION("""COMPUTED_VALUE"""),"Other")</f>
        <v>Other</v>
      </c>
      <c r="J647" s="5" t="str">
        <f>IFERROR(__xludf.DUMMYFUNCTION("""COMPUTED_VALUE"""),"Anesthesia; Pediatric")</f>
        <v>Anesthesia; Pediatric</v>
      </c>
      <c r="K647" s="5" t="str">
        <f>IFERROR(__xludf.DUMMYFUNCTION("""COMPUTED_VALUE"""),"Current")</f>
        <v>Current</v>
      </c>
      <c r="L647" s="5"/>
      <c r="M647" s="5"/>
      <c r="N647" s="10">
        <f>IFERROR(__xludf.DUMMYFUNCTION("""COMPUTED_VALUE"""),40961.0)</f>
        <v>40961</v>
      </c>
      <c r="O647" s="5">
        <v>2012.0</v>
      </c>
      <c r="P647" s="5" t="str">
        <f>IFERROR(__xludf.DUMMYFUNCTION("""COMPUTED_VALUE"""),"Limited Availability")</f>
        <v>Limited Availability</v>
      </c>
      <c r="Q647" s="5" t="s">
        <v>47</v>
      </c>
      <c r="R647" s="5" t="s">
        <v>136</v>
      </c>
      <c r="S647" s="11">
        <v>5360.0</v>
      </c>
    </row>
    <row r="648">
      <c r="A648" s="5" t="str">
        <f>IFERROR(__xludf.DUMMYFUNCTION("""COMPUTED_VALUE"""),"Epinephrine Bitartrate, Lidocaine Hydrochloride Injection")</f>
        <v>Epinephrine Bitartrate, Lidocaine Hydrochloride Injection</v>
      </c>
      <c r="B648" s="5" t="str">
        <f>IFERROR(__xludf.DUMMYFUNCTION("""COMPUTED_VALUE"""),"Fresenius Kabi USA, LLC")</f>
        <v>Fresenius Kabi USA, LLC</v>
      </c>
      <c r="C648" s="5" t="str">
        <f>IFERROR(__xludf.DUMMYFUNCTION("""COMPUTED_VALUE"""),"Xylocaine, Injection, .005 mg/1 mL; 5 mg/1 mL (NDC 63323-481-57)")</f>
        <v>Xylocaine, Injection, .005 mg/1 mL; 5 mg/1 mL (NDC 63323-481-57)</v>
      </c>
      <c r="D648" s="5" t="str">
        <f>IFERROR(__xludf.DUMMYFUNCTION("""COMPUTED_VALUE"""),"Reverified")</f>
        <v>Reverified</v>
      </c>
      <c r="E648" s="13">
        <f>IFERROR(__xludf.DUMMYFUNCTION("""COMPUTED_VALUE"""),46310.0)</f>
        <v>46310</v>
      </c>
      <c r="F648" s="5" t="str">
        <f>IFERROR(__xludf.DUMMYFUNCTION("""COMPUTED_VALUE"""),"Unavailable")</f>
        <v>Unavailable</v>
      </c>
      <c r="G648" s="5" t="str">
        <f>IFERROR(__xludf.DUMMYFUNCTION("""COMPUTED_VALUE"""),"Next release October 2026. Check wholesalers for inventory.")</f>
        <v>Next release October 2026. Check wholesalers for inventory.</v>
      </c>
      <c r="H648" s="5"/>
      <c r="I648" s="5" t="str">
        <f>IFERROR(__xludf.DUMMYFUNCTION("""COMPUTED_VALUE"""),"Demand increase for the drug")</f>
        <v>Demand increase for the drug</v>
      </c>
      <c r="J648" s="5" t="str">
        <f>IFERROR(__xludf.DUMMYFUNCTION("""COMPUTED_VALUE"""),"Anesthesia; Pediatric")</f>
        <v>Anesthesia; Pediatric</v>
      </c>
      <c r="K648" s="5" t="str">
        <f>IFERROR(__xludf.DUMMYFUNCTION("""COMPUTED_VALUE"""),"Current")</f>
        <v>Current</v>
      </c>
      <c r="L648" s="5"/>
      <c r="M648" s="5"/>
      <c r="N648" s="13">
        <f>IFERROR(__xludf.DUMMYFUNCTION("""COMPUTED_VALUE"""),42657.0)</f>
        <v>42657</v>
      </c>
      <c r="O648" s="5">
        <v>2016.0</v>
      </c>
      <c r="P648" s="5" t="str">
        <f>IFERROR(__xludf.DUMMYFUNCTION("""COMPUTED_VALUE"""),"Unavailable")</f>
        <v>Unavailable</v>
      </c>
      <c r="Q648" s="5" t="s">
        <v>134</v>
      </c>
      <c r="R648" s="5" t="s">
        <v>136</v>
      </c>
      <c r="S648" s="11">
        <v>3664.0</v>
      </c>
    </row>
    <row r="649">
      <c r="A649" s="5" t="str">
        <f>IFERROR(__xludf.DUMMYFUNCTION("""COMPUTED_VALUE"""),"Epinephrine Bitartrate, Lidocaine Hydrochloride Injection")</f>
        <v>Epinephrine Bitartrate, Lidocaine Hydrochloride Injection</v>
      </c>
      <c r="B649" s="5" t="str">
        <f>IFERROR(__xludf.DUMMYFUNCTION("""COMPUTED_VALUE"""),"Fresenius Kabi USA, LLC")</f>
        <v>Fresenius Kabi USA, LLC</v>
      </c>
      <c r="C649" s="5" t="str">
        <f>IFERROR(__xludf.DUMMYFUNCTION("""COMPUTED_VALUE"""),"Xylocaine, Injection, .01 mg/1 mL; 10 mg/1 mL (NDC 63323-482-27)")</f>
        <v>Xylocaine, Injection, .01 mg/1 mL; 10 mg/1 mL (NDC 63323-482-27)</v>
      </c>
      <c r="D649" s="5" t="str">
        <f>IFERROR(__xludf.DUMMYFUNCTION("""COMPUTED_VALUE"""),"Reverified")</f>
        <v>Reverified</v>
      </c>
      <c r="E649" s="13">
        <f>IFERROR(__xludf.DUMMYFUNCTION("""COMPUTED_VALUE"""),46310.0)</f>
        <v>46310</v>
      </c>
      <c r="F649" s="5" t="str">
        <f>IFERROR(__xludf.DUMMYFUNCTION("""COMPUTED_VALUE"""),"Available")</f>
        <v>Available</v>
      </c>
      <c r="G649" s="5" t="str">
        <f>IFERROR(__xludf.DUMMYFUNCTION("""COMPUTED_VALUE"""),"Check wholesalers for inventory")</f>
        <v>Check wholesalers for inventory</v>
      </c>
      <c r="H649" s="5"/>
      <c r="I649" s="5"/>
      <c r="J649" s="5" t="str">
        <f>IFERROR(__xludf.DUMMYFUNCTION("""COMPUTED_VALUE"""),"Anesthesia; Pediatric")</f>
        <v>Anesthesia; Pediatric</v>
      </c>
      <c r="K649" s="5" t="str">
        <f>IFERROR(__xludf.DUMMYFUNCTION("""COMPUTED_VALUE"""),"Current")</f>
        <v>Current</v>
      </c>
      <c r="L649" s="5"/>
      <c r="M649" s="5"/>
      <c r="N649" s="13">
        <f>IFERROR(__xludf.DUMMYFUNCTION("""COMPUTED_VALUE"""),42657.0)</f>
        <v>42657</v>
      </c>
      <c r="O649" s="5">
        <v>2016.0</v>
      </c>
      <c r="P649" s="5" t="str">
        <f>IFERROR(__xludf.DUMMYFUNCTION("""COMPUTED_VALUE"""),"Available")</f>
        <v>Available</v>
      </c>
      <c r="Q649" s="5" t="s">
        <v>135</v>
      </c>
      <c r="R649" s="5" t="s">
        <v>136</v>
      </c>
      <c r="S649" s="11">
        <v>3664.0</v>
      </c>
    </row>
    <row r="650">
      <c r="A650" s="5" t="str">
        <f>IFERROR(__xludf.DUMMYFUNCTION("""COMPUTED_VALUE"""),"Epinephrine Bitartrate, Lidocaine Hydrochloride Injection")</f>
        <v>Epinephrine Bitartrate, Lidocaine Hydrochloride Injection</v>
      </c>
      <c r="B650" s="5" t="str">
        <f>IFERROR(__xludf.DUMMYFUNCTION("""COMPUTED_VALUE"""),"Fresenius Kabi USA, LLC")</f>
        <v>Fresenius Kabi USA, LLC</v>
      </c>
      <c r="C650" s="5" t="str">
        <f>IFERROR(__xludf.DUMMYFUNCTION("""COMPUTED_VALUE"""),"Xylocaine, Injection, .01 mg/1 mL; 10 mg/1 mL (NDC 63323-482-57)")</f>
        <v>Xylocaine, Injection, .01 mg/1 mL; 10 mg/1 mL (NDC 63323-482-57)</v>
      </c>
      <c r="D650" s="5" t="str">
        <f>IFERROR(__xludf.DUMMYFUNCTION("""COMPUTED_VALUE"""),"Reverified")</f>
        <v>Reverified</v>
      </c>
      <c r="E650" s="13">
        <f>IFERROR(__xludf.DUMMYFUNCTION("""COMPUTED_VALUE"""),46310.0)</f>
        <v>46310</v>
      </c>
      <c r="F650" s="5" t="str">
        <f>IFERROR(__xludf.DUMMYFUNCTION("""COMPUTED_VALUE"""),"Available")</f>
        <v>Available</v>
      </c>
      <c r="G650" s="5" t="str">
        <f>IFERROR(__xludf.DUMMYFUNCTION("""COMPUTED_VALUE"""),"Check wholesalers for inventory")</f>
        <v>Check wholesalers for inventory</v>
      </c>
      <c r="H650" s="5"/>
      <c r="I650" s="5"/>
      <c r="J650" s="5" t="str">
        <f>IFERROR(__xludf.DUMMYFUNCTION("""COMPUTED_VALUE"""),"Anesthesia; Pediatric")</f>
        <v>Anesthesia; Pediatric</v>
      </c>
      <c r="K650" s="5" t="str">
        <f>IFERROR(__xludf.DUMMYFUNCTION("""COMPUTED_VALUE"""),"Current")</f>
        <v>Current</v>
      </c>
      <c r="L650" s="5"/>
      <c r="M650" s="5"/>
      <c r="N650" s="13">
        <f>IFERROR(__xludf.DUMMYFUNCTION("""COMPUTED_VALUE"""),42657.0)</f>
        <v>42657</v>
      </c>
      <c r="O650" s="5">
        <v>2016.0</v>
      </c>
      <c r="P650" s="5" t="str">
        <f>IFERROR(__xludf.DUMMYFUNCTION("""COMPUTED_VALUE"""),"Available")</f>
        <v>Available</v>
      </c>
      <c r="Q650" s="5" t="s">
        <v>135</v>
      </c>
      <c r="R650" s="5" t="s">
        <v>136</v>
      </c>
      <c r="S650" s="11">
        <v>3664.0</v>
      </c>
    </row>
    <row r="651">
      <c r="A651" s="5" t="str">
        <f>IFERROR(__xludf.DUMMYFUNCTION("""COMPUTED_VALUE"""),"Epinephrine Bitartrate, Lidocaine Hydrochloride Injection")</f>
        <v>Epinephrine Bitartrate, Lidocaine Hydrochloride Injection</v>
      </c>
      <c r="B651" s="5" t="str">
        <f>IFERROR(__xludf.DUMMYFUNCTION("""COMPUTED_VALUE"""),"Fresenius Kabi USA, LLC")</f>
        <v>Fresenius Kabi USA, LLC</v>
      </c>
      <c r="C651" s="5" t="str">
        <f>IFERROR(__xludf.DUMMYFUNCTION("""COMPUTED_VALUE"""),"Xylocaine, Injection, .01 mg/1 mL; 20 mg/1 mL (NDC 63323-483-27)")</f>
        <v>Xylocaine, Injection, .01 mg/1 mL; 20 mg/1 mL (NDC 63323-483-27)</v>
      </c>
      <c r="D651" s="5" t="str">
        <f>IFERROR(__xludf.DUMMYFUNCTION("""COMPUTED_VALUE"""),"Reverified")</f>
        <v>Reverified</v>
      </c>
      <c r="E651" s="13">
        <f>IFERROR(__xludf.DUMMYFUNCTION("""COMPUTED_VALUE"""),46310.0)</f>
        <v>46310</v>
      </c>
      <c r="F651" s="5" t="str">
        <f>IFERROR(__xludf.DUMMYFUNCTION("""COMPUTED_VALUE"""),"Available")</f>
        <v>Available</v>
      </c>
      <c r="G651" s="5" t="str">
        <f>IFERROR(__xludf.DUMMYFUNCTION("""COMPUTED_VALUE"""),"Check wholesalers for inventory")</f>
        <v>Check wholesalers for inventory</v>
      </c>
      <c r="H651" s="5"/>
      <c r="I651" s="5"/>
      <c r="J651" s="5" t="str">
        <f>IFERROR(__xludf.DUMMYFUNCTION("""COMPUTED_VALUE"""),"Anesthesia; Pediatric")</f>
        <v>Anesthesia; Pediatric</v>
      </c>
      <c r="K651" s="5" t="str">
        <f>IFERROR(__xludf.DUMMYFUNCTION("""COMPUTED_VALUE"""),"Current")</f>
        <v>Current</v>
      </c>
      <c r="L651" s="5"/>
      <c r="M651" s="5"/>
      <c r="N651" s="13">
        <f>IFERROR(__xludf.DUMMYFUNCTION("""COMPUTED_VALUE"""),42657.0)</f>
        <v>42657</v>
      </c>
      <c r="O651" s="5">
        <v>2016.0</v>
      </c>
      <c r="P651" s="5" t="str">
        <f>IFERROR(__xludf.DUMMYFUNCTION("""COMPUTED_VALUE"""),"Available")</f>
        <v>Available</v>
      </c>
      <c r="Q651" s="5" t="s">
        <v>135</v>
      </c>
      <c r="R651" s="5" t="s">
        <v>136</v>
      </c>
      <c r="S651" s="11">
        <v>3664.0</v>
      </c>
    </row>
    <row r="652">
      <c r="A652" s="5" t="str">
        <f>IFERROR(__xludf.DUMMYFUNCTION("""COMPUTED_VALUE"""),"Epinephrine Bitartrate, Lidocaine Hydrochloride Injection")</f>
        <v>Epinephrine Bitartrate, Lidocaine Hydrochloride Injection</v>
      </c>
      <c r="B652" s="5" t="str">
        <f>IFERROR(__xludf.DUMMYFUNCTION("""COMPUTED_VALUE"""),"Fresenius Kabi USA, LLC")</f>
        <v>Fresenius Kabi USA, LLC</v>
      </c>
      <c r="C652" s="5" t="str">
        <f>IFERROR(__xludf.DUMMYFUNCTION("""COMPUTED_VALUE"""),"Xylocaine, Injection, .01 mg/1 mL; 20 mg/1 mL (NDC 63323-483-57)")</f>
        <v>Xylocaine, Injection, .01 mg/1 mL; 20 mg/1 mL (NDC 63323-483-57)</v>
      </c>
      <c r="D652" s="5" t="str">
        <f>IFERROR(__xludf.DUMMYFUNCTION("""COMPUTED_VALUE"""),"Reverified")</f>
        <v>Reverified</v>
      </c>
      <c r="E652" s="13">
        <f>IFERROR(__xludf.DUMMYFUNCTION("""COMPUTED_VALUE"""),46310.0)</f>
        <v>46310</v>
      </c>
      <c r="F652" s="5" t="str">
        <f>IFERROR(__xludf.DUMMYFUNCTION("""COMPUTED_VALUE"""),"Available")</f>
        <v>Available</v>
      </c>
      <c r="G652" s="5" t="str">
        <f>IFERROR(__xludf.DUMMYFUNCTION("""COMPUTED_VALUE"""),"Check wholesalers for inventory")</f>
        <v>Check wholesalers for inventory</v>
      </c>
      <c r="H652" s="5"/>
      <c r="I652" s="5"/>
      <c r="J652" s="5" t="str">
        <f>IFERROR(__xludf.DUMMYFUNCTION("""COMPUTED_VALUE"""),"Anesthesia; Pediatric")</f>
        <v>Anesthesia; Pediatric</v>
      </c>
      <c r="K652" s="5" t="str">
        <f>IFERROR(__xludf.DUMMYFUNCTION("""COMPUTED_VALUE"""),"Current")</f>
        <v>Current</v>
      </c>
      <c r="L652" s="5"/>
      <c r="M652" s="5"/>
      <c r="N652" s="13">
        <f>IFERROR(__xludf.DUMMYFUNCTION("""COMPUTED_VALUE"""),42657.0)</f>
        <v>42657</v>
      </c>
      <c r="O652" s="5">
        <v>2016.0</v>
      </c>
      <c r="P652" s="5" t="str">
        <f>IFERROR(__xludf.DUMMYFUNCTION("""COMPUTED_VALUE"""),"Available")</f>
        <v>Available</v>
      </c>
      <c r="Q652" s="5" t="s">
        <v>135</v>
      </c>
      <c r="R652" s="5" t="s">
        <v>136</v>
      </c>
      <c r="S652" s="11">
        <v>3664.0</v>
      </c>
    </row>
    <row r="653">
      <c r="A653" s="5" t="str">
        <f>IFERROR(__xludf.DUMMYFUNCTION("""COMPUTED_VALUE"""),"Epinephrine Bitartrate, Lidocaine Hydrochloride Injection")</f>
        <v>Epinephrine Bitartrate, Lidocaine Hydrochloride Injection</v>
      </c>
      <c r="B653" s="5" t="str">
        <f>IFERROR(__xludf.DUMMYFUNCTION("""COMPUTED_VALUE"""),"Fresenius Kabi USA, LLC")</f>
        <v>Fresenius Kabi USA, LLC</v>
      </c>
      <c r="C653" s="5" t="str">
        <f>IFERROR(__xludf.DUMMYFUNCTION("""COMPUTED_VALUE"""),"Xylocaine, Injection, .005 mg/1 mL; 10 mg/1 mL (NDC 63323-487-37)")</f>
        <v>Xylocaine, Injection, .005 mg/1 mL; 10 mg/1 mL (NDC 63323-487-37)</v>
      </c>
      <c r="D653" s="5" t="str">
        <f>IFERROR(__xludf.DUMMYFUNCTION("""COMPUTED_VALUE"""),"Reverified")</f>
        <v>Reverified</v>
      </c>
      <c r="E653" s="13">
        <f>IFERROR(__xludf.DUMMYFUNCTION("""COMPUTED_VALUE"""),46310.0)</f>
        <v>46310</v>
      </c>
      <c r="F653" s="5" t="str">
        <f>IFERROR(__xludf.DUMMYFUNCTION("""COMPUTED_VALUE"""),"Available")</f>
        <v>Available</v>
      </c>
      <c r="G653" s="5" t="str">
        <f>IFERROR(__xludf.DUMMYFUNCTION("""COMPUTED_VALUE"""),"Check wholesalers for inventory")</f>
        <v>Check wholesalers for inventory</v>
      </c>
      <c r="H653" s="5"/>
      <c r="I653" s="5"/>
      <c r="J653" s="5" t="str">
        <f>IFERROR(__xludf.DUMMYFUNCTION("""COMPUTED_VALUE"""),"Anesthesia; Pediatric")</f>
        <v>Anesthesia; Pediatric</v>
      </c>
      <c r="K653" s="5" t="str">
        <f>IFERROR(__xludf.DUMMYFUNCTION("""COMPUTED_VALUE"""),"Current")</f>
        <v>Current</v>
      </c>
      <c r="L653" s="5"/>
      <c r="M653" s="5"/>
      <c r="N653" s="13">
        <f>IFERROR(__xludf.DUMMYFUNCTION("""COMPUTED_VALUE"""),42657.0)</f>
        <v>42657</v>
      </c>
      <c r="O653" s="5">
        <v>2016.0</v>
      </c>
      <c r="P653" s="5" t="str">
        <f>IFERROR(__xludf.DUMMYFUNCTION("""COMPUTED_VALUE"""),"Available")</f>
        <v>Available</v>
      </c>
      <c r="Q653" s="5" t="s">
        <v>135</v>
      </c>
      <c r="R653" s="5" t="s">
        <v>136</v>
      </c>
      <c r="S653" s="11">
        <v>3664.0</v>
      </c>
    </row>
    <row r="654">
      <c r="A654" s="5" t="str">
        <f>IFERROR(__xludf.DUMMYFUNCTION("""COMPUTED_VALUE"""),"Epinephrine Bitartrate, Lidocaine Hydrochloride Injection")</f>
        <v>Epinephrine Bitartrate, Lidocaine Hydrochloride Injection</v>
      </c>
      <c r="B654" s="5" t="str">
        <f>IFERROR(__xludf.DUMMYFUNCTION("""COMPUTED_VALUE"""),"Fresenius Kabi USA, LLC")</f>
        <v>Fresenius Kabi USA, LLC</v>
      </c>
      <c r="C654" s="5" t="str">
        <f>IFERROR(__xludf.DUMMYFUNCTION("""COMPUTED_VALUE"""),"Xylocaine, Injection, .005 mg/1 mL; 15 mg/1 mL (NDC 63323-488-37)")</f>
        <v>Xylocaine, Injection, .005 mg/1 mL; 15 mg/1 mL (NDC 63323-488-37)</v>
      </c>
      <c r="D654" s="5" t="str">
        <f>IFERROR(__xludf.DUMMYFUNCTION("""COMPUTED_VALUE"""),"Reverified")</f>
        <v>Reverified</v>
      </c>
      <c r="E654" s="13">
        <f>IFERROR(__xludf.DUMMYFUNCTION("""COMPUTED_VALUE"""),46310.0)</f>
        <v>46310</v>
      </c>
      <c r="F654" s="5" t="str">
        <f>IFERROR(__xludf.DUMMYFUNCTION("""COMPUTED_VALUE"""),"Available")</f>
        <v>Available</v>
      </c>
      <c r="G654" s="5" t="str">
        <f>IFERROR(__xludf.DUMMYFUNCTION("""COMPUTED_VALUE"""),"Check wholesalers for inventory")</f>
        <v>Check wholesalers for inventory</v>
      </c>
      <c r="H654" s="5"/>
      <c r="I654" s="5"/>
      <c r="J654" s="5" t="str">
        <f>IFERROR(__xludf.DUMMYFUNCTION("""COMPUTED_VALUE"""),"Anesthesia; Pediatric")</f>
        <v>Anesthesia; Pediatric</v>
      </c>
      <c r="K654" s="5" t="str">
        <f>IFERROR(__xludf.DUMMYFUNCTION("""COMPUTED_VALUE"""),"Current")</f>
        <v>Current</v>
      </c>
      <c r="L654" s="5"/>
      <c r="M654" s="5"/>
      <c r="N654" s="13">
        <f>IFERROR(__xludf.DUMMYFUNCTION("""COMPUTED_VALUE"""),42657.0)</f>
        <v>42657</v>
      </c>
      <c r="O654" s="5">
        <v>2016.0</v>
      </c>
      <c r="P654" s="5" t="str">
        <f>IFERROR(__xludf.DUMMYFUNCTION("""COMPUTED_VALUE"""),"Available")</f>
        <v>Available</v>
      </c>
      <c r="Q654" s="5" t="s">
        <v>135</v>
      </c>
      <c r="R654" s="5" t="s">
        <v>136</v>
      </c>
      <c r="S654" s="11">
        <v>3664.0</v>
      </c>
    </row>
    <row r="655">
      <c r="A655" s="5" t="str">
        <f>IFERROR(__xludf.DUMMYFUNCTION("""COMPUTED_VALUE"""),"Epinephrine Bitartrate, Lidocaine Hydrochloride Injection")</f>
        <v>Epinephrine Bitartrate, Lidocaine Hydrochloride Injection</v>
      </c>
      <c r="B655" s="5" t="str">
        <f>IFERROR(__xludf.DUMMYFUNCTION("""COMPUTED_VALUE"""),"Fresenius Kabi USA, LLC")</f>
        <v>Fresenius Kabi USA, LLC</v>
      </c>
      <c r="C655" s="5" t="str">
        <f>IFERROR(__xludf.DUMMYFUNCTION("""COMPUTED_VALUE"""),"Xylocaine, Injection, .005 mg/1 mL; 20 mg/1 mL (NDC 63323-489-27)")</f>
        <v>Xylocaine, Injection, .005 mg/1 mL; 20 mg/1 mL (NDC 63323-489-27)</v>
      </c>
      <c r="D655" s="5" t="str">
        <f>IFERROR(__xludf.DUMMYFUNCTION("""COMPUTED_VALUE"""),"Reverified")</f>
        <v>Reverified</v>
      </c>
      <c r="E655" s="13">
        <f>IFERROR(__xludf.DUMMYFUNCTION("""COMPUTED_VALUE"""),46310.0)</f>
        <v>46310</v>
      </c>
      <c r="F655" s="5" t="str">
        <f>IFERROR(__xludf.DUMMYFUNCTION("""COMPUTED_VALUE"""),"Unavailable")</f>
        <v>Unavailable</v>
      </c>
      <c r="G655" s="5" t="str">
        <f>IFERROR(__xludf.DUMMYFUNCTION("""COMPUTED_VALUE"""),"Next release October 2026. Check wholesalers for inventory.")</f>
        <v>Next release October 2026. Check wholesalers for inventory.</v>
      </c>
      <c r="H655" s="5"/>
      <c r="I655" s="5" t="str">
        <f>IFERROR(__xludf.DUMMYFUNCTION("""COMPUTED_VALUE"""),"Other")</f>
        <v>Other</v>
      </c>
      <c r="J655" s="5" t="str">
        <f>IFERROR(__xludf.DUMMYFUNCTION("""COMPUTED_VALUE"""),"Anesthesia; Pediatric")</f>
        <v>Anesthesia; Pediatric</v>
      </c>
      <c r="K655" s="5" t="str">
        <f>IFERROR(__xludf.DUMMYFUNCTION("""COMPUTED_VALUE"""),"Current")</f>
        <v>Current</v>
      </c>
      <c r="L655" s="5"/>
      <c r="M655" s="5"/>
      <c r="N655" s="13">
        <f>IFERROR(__xludf.DUMMYFUNCTION("""COMPUTED_VALUE"""),42657.0)</f>
        <v>42657</v>
      </c>
      <c r="O655" s="5">
        <v>2016.0</v>
      </c>
      <c r="P655" s="5" t="str">
        <f>IFERROR(__xludf.DUMMYFUNCTION("""COMPUTED_VALUE"""),"Unavailable")</f>
        <v>Unavailable</v>
      </c>
      <c r="Q655" s="5" t="s">
        <v>47</v>
      </c>
      <c r="R655" s="5" t="s">
        <v>136</v>
      </c>
      <c r="S655" s="11">
        <v>3664.0</v>
      </c>
    </row>
    <row r="656">
      <c r="A656" s="5" t="str">
        <f>IFERROR(__xludf.DUMMYFUNCTION("""COMPUTED_VALUE"""),"Epinephrine Injection")</f>
        <v>Epinephrine Injection</v>
      </c>
      <c r="B656" s="5" t="str">
        <f>IFERROR(__xludf.DUMMYFUNCTION("""COMPUTED_VALUE"""),"Hospira, Inc., a Pfizer Company")</f>
        <v>Hospira, Inc., a Pfizer Company</v>
      </c>
      <c r="C656" s="5" t="str">
        <f>IFERROR(__xludf.DUMMYFUNCTION("""COMPUTED_VALUE"""),"Epinephrine, Injection, .1 mg/1 mL (NDC 0409-4933-01)")</f>
        <v>Epinephrine, Injection, .1 mg/1 mL (NDC 0409-4933-01)</v>
      </c>
      <c r="D656" s="5" t="str">
        <f>IFERROR(__xludf.DUMMYFUNCTION("""COMPUTED_VALUE"""),"New")</f>
        <v>New</v>
      </c>
      <c r="E656" s="10">
        <f>IFERROR(__xludf.DUMMYFUNCTION("""COMPUTED_VALUE"""),45968.0)</f>
        <v>45968</v>
      </c>
      <c r="F656" s="5"/>
      <c r="G656" s="5" t="str">
        <f>IFERROR(__xludf.DUMMYFUNCTION("""COMPUTED_VALUE"""),"Discontinuation of the manufacture of the drug")</f>
        <v>Discontinuation of the manufacture of the drug</v>
      </c>
      <c r="H656" s="5"/>
      <c r="I656" s="5"/>
      <c r="J656" s="5" t="str">
        <f>IFERROR(__xludf.DUMMYFUNCTION("""COMPUTED_VALUE"""),"Cardiovascular; Endocrinology/Metabolism")</f>
        <v>Cardiovascular; Endocrinology/Metabolism</v>
      </c>
      <c r="K656" s="5" t="str">
        <f>IFERROR(__xludf.DUMMYFUNCTION("""COMPUTED_VALUE"""),"To Be Discontinued")</f>
        <v>To Be Discontinued</v>
      </c>
      <c r="L656" s="5"/>
      <c r="M656" s="10">
        <f>IFERROR(__xludf.DUMMYFUNCTION("""COMPUTED_VALUE"""),45968.0)</f>
        <v>45968</v>
      </c>
      <c r="N656" s="10">
        <f>IFERROR(__xludf.DUMMYFUNCTION("""COMPUTED_VALUE"""),45968.0)</f>
        <v>45968</v>
      </c>
      <c r="O656" s="5">
        <v>2025.0</v>
      </c>
      <c r="P656" s="5" t="str">
        <f>IFERROR(__xludf.DUMMYFUNCTION("""COMPUTED_VALUE"""),"Not stated")</f>
        <v>Not stated</v>
      </c>
      <c r="Q656" s="5" t="s">
        <v>135</v>
      </c>
      <c r="R656" s="5" t="s">
        <v>136</v>
      </c>
      <c r="S656" s="11">
        <v>353.0</v>
      </c>
    </row>
    <row r="657">
      <c r="A657" s="5" t="str">
        <f>IFERROR(__xludf.DUMMYFUNCTION("""COMPUTED_VALUE"""),"Epinephrine Injection")</f>
        <v>Epinephrine Injection</v>
      </c>
      <c r="B657" s="5" t="str">
        <f>IFERROR(__xludf.DUMMYFUNCTION("""COMPUTED_VALUE"""),"Hospira, Inc., a Pfizer Company")</f>
        <v>Hospira, Inc., a Pfizer Company</v>
      </c>
      <c r="C657" s="5" t="str">
        <f>IFERROR(__xludf.DUMMYFUNCTION("""COMPUTED_VALUE"""),"Epinephrine, Injection, .1 mg/1 mL (NDC 0409-4933-10)")</f>
        <v>Epinephrine, Injection, .1 mg/1 mL (NDC 0409-4933-10)</v>
      </c>
      <c r="D657" s="5" t="str">
        <f>IFERROR(__xludf.DUMMYFUNCTION("""COMPUTED_VALUE"""),"New")</f>
        <v>New</v>
      </c>
      <c r="E657" s="10">
        <f>IFERROR(__xludf.DUMMYFUNCTION("""COMPUTED_VALUE"""),45968.0)</f>
        <v>45968</v>
      </c>
      <c r="F657" s="5"/>
      <c r="G657" s="5" t="str">
        <f>IFERROR(__xludf.DUMMYFUNCTION("""COMPUTED_VALUE"""),"Discontinuation of the manufacture of the drug")</f>
        <v>Discontinuation of the manufacture of the drug</v>
      </c>
      <c r="H657" s="5"/>
      <c r="I657" s="5"/>
      <c r="J657" s="5" t="str">
        <f>IFERROR(__xludf.DUMMYFUNCTION("""COMPUTED_VALUE"""),"Cardiovascular; Endocrinology/Metabolism")</f>
        <v>Cardiovascular; Endocrinology/Metabolism</v>
      </c>
      <c r="K657" s="5" t="str">
        <f>IFERROR(__xludf.DUMMYFUNCTION("""COMPUTED_VALUE"""),"To Be Discontinued")</f>
        <v>To Be Discontinued</v>
      </c>
      <c r="L657" s="5"/>
      <c r="M657" s="10">
        <f>IFERROR(__xludf.DUMMYFUNCTION("""COMPUTED_VALUE"""),45968.0)</f>
        <v>45968</v>
      </c>
      <c r="N657" s="10">
        <f>IFERROR(__xludf.DUMMYFUNCTION("""COMPUTED_VALUE"""),45968.0)</f>
        <v>45968</v>
      </c>
      <c r="O657" s="5">
        <v>2025.0</v>
      </c>
      <c r="P657" s="5" t="str">
        <f>IFERROR(__xludf.DUMMYFUNCTION("""COMPUTED_VALUE"""),"Not stated")</f>
        <v>Not stated</v>
      </c>
      <c r="Q657" s="5" t="s">
        <v>135</v>
      </c>
      <c r="R657" s="5" t="s">
        <v>136</v>
      </c>
      <c r="S657" s="11">
        <v>353.0</v>
      </c>
    </row>
    <row r="658">
      <c r="A658" s="5" t="str">
        <f>IFERROR(__xludf.DUMMYFUNCTION("""COMPUTED_VALUE"""),"Etomidate Injection")</f>
        <v>Etomidate Injection</v>
      </c>
      <c r="B658" s="5" t="str">
        <f>IFERROR(__xludf.DUMMYFUNCTION("""COMPUTED_VALUE"""),"Caplin Steriles, Ltd.")</f>
        <v>Caplin Steriles, Ltd.</v>
      </c>
      <c r="C658" s="5" t="str">
        <f>IFERROR(__xludf.DUMMYFUNCTION("""COMPUTED_VALUE"""),"Etomidate, Injection, 2 mg/mL (NDC 72485-508-10)")</f>
        <v>Etomidate, Injection, 2 mg/mL (NDC 72485-508-10)</v>
      </c>
      <c r="D658" s="5" t="str">
        <f>IFERROR(__xludf.DUMMYFUNCTION("""COMPUTED_VALUE"""),"Revised")</f>
        <v>Revised</v>
      </c>
      <c r="E658" s="10">
        <f>IFERROR(__xludf.DUMMYFUNCTION("""COMPUTED_VALUE"""),46189.0)</f>
        <v>46189</v>
      </c>
      <c r="F658" s="5" t="str">
        <f>IFERROR(__xludf.DUMMYFUNCTION("""COMPUTED_VALUE"""),"Available")</f>
        <v>Available</v>
      </c>
      <c r="G658" s="5" t="str">
        <f>IFERROR(__xludf.DUMMYFUNCTION("""COMPUTED_VALUE"""),"Check wholesalers for inventory; Marketed by Armas Pharmaceuticals, Inc. 908-803-2586")</f>
        <v>Check wholesalers for inventory; Marketed by Armas Pharmaceuticals, Inc. 908-803-2586</v>
      </c>
      <c r="H658" s="5"/>
      <c r="I658" s="5"/>
      <c r="J658" s="5" t="str">
        <f>IFERROR(__xludf.DUMMYFUNCTION("""COMPUTED_VALUE"""),"Anesthesia")</f>
        <v>Anesthesia</v>
      </c>
      <c r="K658" s="5" t="str">
        <f>IFERROR(__xludf.DUMMYFUNCTION("""COMPUTED_VALUE"""),"Current")</f>
        <v>Current</v>
      </c>
      <c r="L658" s="5"/>
      <c r="M658" s="5"/>
      <c r="N658" s="10">
        <f>IFERROR(__xludf.DUMMYFUNCTION("""COMPUTED_VALUE"""),44839.0)</f>
        <v>44839</v>
      </c>
      <c r="O658" s="5">
        <v>2022.0</v>
      </c>
      <c r="P658" s="5" t="str">
        <f>IFERROR(__xludf.DUMMYFUNCTION("""COMPUTED_VALUE"""),"Available")</f>
        <v>Available</v>
      </c>
      <c r="Q658" s="5" t="s">
        <v>135</v>
      </c>
      <c r="R658" s="5" t="s">
        <v>136</v>
      </c>
      <c r="S658" s="11">
        <v>1482.0</v>
      </c>
    </row>
    <row r="659">
      <c r="A659" s="5" t="str">
        <f>IFERROR(__xludf.DUMMYFUNCTION("""COMPUTED_VALUE"""),"Etomidate Injection")</f>
        <v>Etomidate Injection</v>
      </c>
      <c r="B659" s="5" t="str">
        <f>IFERROR(__xludf.DUMMYFUNCTION("""COMPUTED_VALUE"""),"Caplin Steriles, Ltd.")</f>
        <v>Caplin Steriles, Ltd.</v>
      </c>
      <c r="C659" s="5" t="str">
        <f>IFERROR(__xludf.DUMMYFUNCTION("""COMPUTED_VALUE"""),"Etomidate, Injection, 2 mg/mL (NDC 72485-509-10)")</f>
        <v>Etomidate, Injection, 2 mg/mL (NDC 72485-509-10)</v>
      </c>
      <c r="D659" s="5" t="str">
        <f>IFERROR(__xludf.DUMMYFUNCTION("""COMPUTED_VALUE"""),"Revised")</f>
        <v>Revised</v>
      </c>
      <c r="E659" s="10">
        <f>IFERROR(__xludf.DUMMYFUNCTION("""COMPUTED_VALUE"""),46189.0)</f>
        <v>46189</v>
      </c>
      <c r="F659" s="5" t="str">
        <f>IFERROR(__xludf.DUMMYFUNCTION("""COMPUTED_VALUE"""),"Available")</f>
        <v>Available</v>
      </c>
      <c r="G659" s="5" t="str">
        <f>IFERROR(__xludf.DUMMYFUNCTION("""COMPUTED_VALUE"""),"Check wholesalers for inventory; Marketed by Armas Pharmaceuticals, Inc. 908-803-2586")</f>
        <v>Check wholesalers for inventory; Marketed by Armas Pharmaceuticals, Inc. 908-803-2586</v>
      </c>
      <c r="H659" s="5"/>
      <c r="I659" s="5"/>
      <c r="J659" s="5" t="str">
        <f>IFERROR(__xludf.DUMMYFUNCTION("""COMPUTED_VALUE"""),"Anesthesia")</f>
        <v>Anesthesia</v>
      </c>
      <c r="K659" s="5" t="str">
        <f>IFERROR(__xludf.DUMMYFUNCTION("""COMPUTED_VALUE"""),"Current")</f>
        <v>Current</v>
      </c>
      <c r="L659" s="5"/>
      <c r="M659" s="5"/>
      <c r="N659" s="10">
        <f>IFERROR(__xludf.DUMMYFUNCTION("""COMPUTED_VALUE"""),44839.0)</f>
        <v>44839</v>
      </c>
      <c r="O659" s="5">
        <v>2022.0</v>
      </c>
      <c r="P659" s="5" t="str">
        <f>IFERROR(__xludf.DUMMYFUNCTION("""COMPUTED_VALUE"""),"Available")</f>
        <v>Available</v>
      </c>
      <c r="Q659" s="5" t="s">
        <v>135</v>
      </c>
      <c r="R659" s="5" t="s">
        <v>136</v>
      </c>
      <c r="S659" s="11">
        <v>1482.0</v>
      </c>
    </row>
    <row r="660">
      <c r="A660" s="5" t="str">
        <f>IFERROR(__xludf.DUMMYFUNCTION("""COMPUTED_VALUE"""),"Etomidate Injection")</f>
        <v>Etomidate Injection</v>
      </c>
      <c r="B660" s="5" t="str">
        <f>IFERROR(__xludf.DUMMYFUNCTION("""COMPUTED_VALUE"""),"Eugia US LLC")</f>
        <v>Eugia US LLC</v>
      </c>
      <c r="C660" s="5" t="str">
        <f>IFERROR(__xludf.DUMMYFUNCTION("""COMPUTED_VALUE"""),"Etomidate, Injection, 20 mg/10 mL (NDC 55150-221-10)")</f>
        <v>Etomidate, Injection, 20 mg/10 mL (NDC 55150-221-10)</v>
      </c>
      <c r="D660" s="5" t="str">
        <f>IFERROR(__xludf.DUMMYFUNCTION("""COMPUTED_VALUE"""),"Reverified")</f>
        <v>Reverified</v>
      </c>
      <c r="E660" s="13">
        <f>IFERROR(__xludf.DUMMYFUNCTION("""COMPUTED_VALUE"""),46314.0)</f>
        <v>46314</v>
      </c>
      <c r="F660" s="5" t="str">
        <f>IFERROR(__xludf.DUMMYFUNCTION("""COMPUTED_VALUE"""),"Unavailable")</f>
        <v>Unavailable</v>
      </c>
      <c r="G660" s="5" t="str">
        <f>IFERROR(__xludf.DUMMYFUNCTION("""COMPUTED_VALUE"""),"On backorder. Recovery: TBD. Check wholesalers for inventory")</f>
        <v>On backorder. Recovery: TBD. Check wholesalers for inventory</v>
      </c>
      <c r="H660" s="5"/>
      <c r="I660" s="5" t="str">
        <f>IFERROR(__xludf.DUMMYFUNCTION("""COMPUTED_VALUE"""),"Demand increase for the drug")</f>
        <v>Demand increase for the drug</v>
      </c>
      <c r="J660" s="5" t="str">
        <f>IFERROR(__xludf.DUMMYFUNCTION("""COMPUTED_VALUE"""),"Anesthesia")</f>
        <v>Anesthesia</v>
      </c>
      <c r="K660" s="5" t="str">
        <f>IFERROR(__xludf.DUMMYFUNCTION("""COMPUTED_VALUE"""),"Current")</f>
        <v>Current</v>
      </c>
      <c r="L660" s="5"/>
      <c r="M660" s="5"/>
      <c r="N660" s="10">
        <f>IFERROR(__xludf.DUMMYFUNCTION("""COMPUTED_VALUE"""),44839.0)</f>
        <v>44839</v>
      </c>
      <c r="O660" s="5">
        <v>2022.0</v>
      </c>
      <c r="P660" s="5" t="str">
        <f>IFERROR(__xludf.DUMMYFUNCTION("""COMPUTED_VALUE"""),"Unavailable")</f>
        <v>Unavailable</v>
      </c>
      <c r="Q660" s="5" t="s">
        <v>134</v>
      </c>
      <c r="R660" s="5" t="s">
        <v>136</v>
      </c>
      <c r="S660" s="11">
        <v>1482.0</v>
      </c>
    </row>
    <row r="661">
      <c r="A661" s="5" t="str">
        <f>IFERROR(__xludf.DUMMYFUNCTION("""COMPUTED_VALUE"""),"Etomidate Injection")</f>
        <v>Etomidate Injection</v>
      </c>
      <c r="B661" s="5" t="str">
        <f>IFERROR(__xludf.DUMMYFUNCTION("""COMPUTED_VALUE"""),"Eugia US LLC")</f>
        <v>Eugia US LLC</v>
      </c>
      <c r="C661" s="5" t="str">
        <f>IFERROR(__xludf.DUMMYFUNCTION("""COMPUTED_VALUE"""),"Etomidate, Injection, 40 mg/20 mL (NDC 55150-222-20)")</f>
        <v>Etomidate, Injection, 40 mg/20 mL (NDC 55150-222-20)</v>
      </c>
      <c r="D661" s="5" t="str">
        <f>IFERROR(__xludf.DUMMYFUNCTION("""COMPUTED_VALUE"""),"Reverified")</f>
        <v>Reverified</v>
      </c>
      <c r="E661" s="13">
        <f>IFERROR(__xludf.DUMMYFUNCTION("""COMPUTED_VALUE"""),46314.0)</f>
        <v>46314</v>
      </c>
      <c r="F661" s="5" t="str">
        <f>IFERROR(__xludf.DUMMYFUNCTION("""COMPUTED_VALUE"""),"Unavailable")</f>
        <v>Unavailable</v>
      </c>
      <c r="G661" s="5" t="str">
        <f>IFERROR(__xludf.DUMMYFUNCTION("""COMPUTED_VALUE"""),"On backorder. Recovery: TBD. Check wholesalers for inventory")</f>
        <v>On backorder. Recovery: TBD. Check wholesalers for inventory</v>
      </c>
      <c r="H661" s="5"/>
      <c r="I661" s="5" t="str">
        <f>IFERROR(__xludf.DUMMYFUNCTION("""COMPUTED_VALUE"""),"Demand increase for the drug")</f>
        <v>Demand increase for the drug</v>
      </c>
      <c r="J661" s="5" t="str">
        <f>IFERROR(__xludf.DUMMYFUNCTION("""COMPUTED_VALUE"""),"Anesthesia")</f>
        <v>Anesthesia</v>
      </c>
      <c r="K661" s="5" t="str">
        <f>IFERROR(__xludf.DUMMYFUNCTION("""COMPUTED_VALUE"""),"Current")</f>
        <v>Current</v>
      </c>
      <c r="L661" s="5"/>
      <c r="M661" s="5"/>
      <c r="N661" s="10">
        <f>IFERROR(__xludf.DUMMYFUNCTION("""COMPUTED_VALUE"""),44839.0)</f>
        <v>44839</v>
      </c>
      <c r="O661" s="5">
        <v>2022.0</v>
      </c>
      <c r="P661" s="5" t="str">
        <f>IFERROR(__xludf.DUMMYFUNCTION("""COMPUTED_VALUE"""),"Unavailable")</f>
        <v>Unavailable</v>
      </c>
      <c r="Q661" s="5" t="s">
        <v>134</v>
      </c>
      <c r="R661" s="5" t="s">
        <v>136</v>
      </c>
      <c r="S661" s="11">
        <v>1482.0</v>
      </c>
    </row>
    <row r="662">
      <c r="A662" s="5" t="str">
        <f>IFERROR(__xludf.DUMMYFUNCTION("""COMPUTED_VALUE"""),"Etomidate Injection")</f>
        <v>Etomidate Injection</v>
      </c>
      <c r="B662" s="5" t="str">
        <f>IFERROR(__xludf.DUMMYFUNCTION("""COMPUTED_VALUE"""),"Gland Pharma Limited")</f>
        <v>Gland Pharma Limited</v>
      </c>
      <c r="C662" s="5" t="str">
        <f>IFERROR(__xludf.DUMMYFUNCTION("""COMPUTED_VALUE"""),"Etomidate, Injection, 2 mg/1 mL (NDC 72266-146-10)")</f>
        <v>Etomidate, Injection, 2 mg/1 mL (NDC 72266-146-10)</v>
      </c>
      <c r="D662" s="5" t="str">
        <f>IFERROR(__xludf.DUMMYFUNCTION("""COMPUTED_VALUE"""),"Reverified")</f>
        <v>Reverified</v>
      </c>
      <c r="E662" s="13">
        <f>IFERROR(__xludf.DUMMYFUNCTION("""COMPUTED_VALUE"""),46316.0)</f>
        <v>46316</v>
      </c>
      <c r="F662" s="5" t="str">
        <f>IFERROR(__xludf.DUMMYFUNCTION("""COMPUTED_VALUE"""),"Available")</f>
        <v>Available</v>
      </c>
      <c r="G662" s="5" t="str">
        <f>IFERROR(__xludf.DUMMYFUNCTION("""COMPUTED_VALUE"""),"Distributed by Fosun Pharma USA, Inc.. To order, contact: 833-291-9645.")</f>
        <v>Distributed by Fosun Pharma USA, Inc.. To order, contact: 833-291-9645.</v>
      </c>
      <c r="H662" s="5"/>
      <c r="I662" s="5"/>
      <c r="J662" s="5" t="str">
        <f>IFERROR(__xludf.DUMMYFUNCTION("""COMPUTED_VALUE"""),"Anesthesia")</f>
        <v>Anesthesia</v>
      </c>
      <c r="K662" s="5" t="str">
        <f>IFERROR(__xludf.DUMMYFUNCTION("""COMPUTED_VALUE"""),"Current")</f>
        <v>Current</v>
      </c>
      <c r="L662" s="5"/>
      <c r="M662" s="5"/>
      <c r="N662" s="10">
        <f>IFERROR(__xludf.DUMMYFUNCTION("""COMPUTED_VALUE"""),44839.0)</f>
        <v>44839</v>
      </c>
      <c r="O662" s="5">
        <v>2022.0</v>
      </c>
      <c r="P662" s="5" t="str">
        <f>IFERROR(__xludf.DUMMYFUNCTION("""COMPUTED_VALUE"""),"Available")</f>
        <v>Available</v>
      </c>
      <c r="Q662" s="5" t="s">
        <v>135</v>
      </c>
      <c r="R662" s="5" t="s">
        <v>136</v>
      </c>
      <c r="S662" s="11">
        <v>1482.0</v>
      </c>
    </row>
    <row r="663">
      <c r="A663" s="5" t="str">
        <f>IFERROR(__xludf.DUMMYFUNCTION("""COMPUTED_VALUE"""),"Etomidate Injection")</f>
        <v>Etomidate Injection</v>
      </c>
      <c r="B663" s="5" t="str">
        <f>IFERROR(__xludf.DUMMYFUNCTION("""COMPUTED_VALUE"""),"Gland Pharma Limited")</f>
        <v>Gland Pharma Limited</v>
      </c>
      <c r="C663" s="5" t="str">
        <f>IFERROR(__xludf.DUMMYFUNCTION("""COMPUTED_VALUE"""),"Etomidate, Injection, 2 mg/1 mL (NDC 72266-147-10)")</f>
        <v>Etomidate, Injection, 2 mg/1 mL (NDC 72266-147-10)</v>
      </c>
      <c r="D663" s="5" t="str">
        <f>IFERROR(__xludf.DUMMYFUNCTION("""COMPUTED_VALUE"""),"Reverified")</f>
        <v>Reverified</v>
      </c>
      <c r="E663" s="13">
        <f>IFERROR(__xludf.DUMMYFUNCTION("""COMPUTED_VALUE"""),46316.0)</f>
        <v>46316</v>
      </c>
      <c r="F663" s="5" t="str">
        <f>IFERROR(__xludf.DUMMYFUNCTION("""COMPUTED_VALUE"""),"Available")</f>
        <v>Available</v>
      </c>
      <c r="G663" s="5" t="str">
        <f>IFERROR(__xludf.DUMMYFUNCTION("""COMPUTED_VALUE"""),"Distributed by Fosun Pharma USA, Inc.. To order, contact: 833-291-9645.")</f>
        <v>Distributed by Fosun Pharma USA, Inc.. To order, contact: 833-291-9645.</v>
      </c>
      <c r="H663" s="5"/>
      <c r="I663" s="5"/>
      <c r="J663" s="5" t="str">
        <f>IFERROR(__xludf.DUMMYFUNCTION("""COMPUTED_VALUE"""),"Anesthesia")</f>
        <v>Anesthesia</v>
      </c>
      <c r="K663" s="5" t="str">
        <f>IFERROR(__xludf.DUMMYFUNCTION("""COMPUTED_VALUE"""),"Current")</f>
        <v>Current</v>
      </c>
      <c r="L663" s="5"/>
      <c r="M663" s="5"/>
      <c r="N663" s="10">
        <f>IFERROR(__xludf.DUMMYFUNCTION("""COMPUTED_VALUE"""),44839.0)</f>
        <v>44839</v>
      </c>
      <c r="O663" s="5">
        <v>2022.0</v>
      </c>
      <c r="P663" s="5" t="str">
        <f>IFERROR(__xludf.DUMMYFUNCTION("""COMPUTED_VALUE"""),"Available")</f>
        <v>Available</v>
      </c>
      <c r="Q663" s="5" t="s">
        <v>135</v>
      </c>
      <c r="R663" s="5" t="s">
        <v>136</v>
      </c>
      <c r="S663" s="11">
        <v>1482.0</v>
      </c>
    </row>
    <row r="664">
      <c r="A664" s="5" t="str">
        <f>IFERROR(__xludf.DUMMYFUNCTION("""COMPUTED_VALUE"""),"Etomidate Injection")</f>
        <v>Etomidate Injection</v>
      </c>
      <c r="B664" s="5" t="str">
        <f>IFERROR(__xludf.DUMMYFUNCTION("""COMPUTED_VALUE"""),"Hikma Pharmaceuticals USA, Inc.")</f>
        <v>Hikma Pharmaceuticals USA, Inc.</v>
      </c>
      <c r="C664" s="5" t="str">
        <f>IFERROR(__xludf.DUMMYFUNCTION("""COMPUTED_VALUE"""),"Etomidate, Injection, 2 mg/1 mL (NDC 0143-9506-10)")</f>
        <v>Etomidate, Injection, 2 mg/1 mL (NDC 0143-9506-10)</v>
      </c>
      <c r="D664" s="5" t="str">
        <f>IFERROR(__xludf.DUMMYFUNCTION("""COMPUTED_VALUE"""),"Reverified")</f>
        <v>Reverified</v>
      </c>
      <c r="E664" s="13">
        <f>IFERROR(__xludf.DUMMYFUNCTION("""COMPUTED_VALUE"""),46309.0)</f>
        <v>46309</v>
      </c>
      <c r="F664" s="5" t="str">
        <f>IFERROR(__xludf.DUMMYFUNCTION("""COMPUTED_VALUE"""),"Available")</f>
        <v>Available</v>
      </c>
      <c r="G664" s="5" t="str">
        <f>IFERROR(__xludf.DUMMYFUNCTION("""COMPUTED_VALUE"""),"Additional product will be made available as it is released.")</f>
        <v>Additional product will be made available as it is released.</v>
      </c>
      <c r="H664" s="5"/>
      <c r="I664" s="5"/>
      <c r="J664" s="5" t="str">
        <f>IFERROR(__xludf.DUMMYFUNCTION("""COMPUTED_VALUE"""),"Anesthesia")</f>
        <v>Anesthesia</v>
      </c>
      <c r="K664" s="5" t="str">
        <f>IFERROR(__xludf.DUMMYFUNCTION("""COMPUTED_VALUE"""),"Current")</f>
        <v>Current</v>
      </c>
      <c r="L664" s="5"/>
      <c r="M664" s="5"/>
      <c r="N664" s="10">
        <f>IFERROR(__xludf.DUMMYFUNCTION("""COMPUTED_VALUE"""),44839.0)</f>
        <v>44839</v>
      </c>
      <c r="O664" s="5">
        <v>2022.0</v>
      </c>
      <c r="P664" s="5" t="str">
        <f>IFERROR(__xludf.DUMMYFUNCTION("""COMPUTED_VALUE"""),"Available")</f>
        <v>Available</v>
      </c>
      <c r="Q664" s="5" t="s">
        <v>135</v>
      </c>
      <c r="R664" s="5" t="s">
        <v>136</v>
      </c>
      <c r="S664" s="11">
        <v>1482.0</v>
      </c>
    </row>
    <row r="665">
      <c r="A665" s="5" t="str">
        <f>IFERROR(__xludf.DUMMYFUNCTION("""COMPUTED_VALUE"""),"Etomidate Injection")</f>
        <v>Etomidate Injection</v>
      </c>
      <c r="B665" s="5" t="str">
        <f>IFERROR(__xludf.DUMMYFUNCTION("""COMPUTED_VALUE"""),"Hikma Pharmaceuticals USA, Inc.")</f>
        <v>Hikma Pharmaceuticals USA, Inc.</v>
      </c>
      <c r="C665" s="5" t="str">
        <f>IFERROR(__xludf.DUMMYFUNCTION("""COMPUTED_VALUE"""),"Etomidate, Injection, 2 mg/1 mL (NDC 0143-9507-10)")</f>
        <v>Etomidate, Injection, 2 mg/1 mL (NDC 0143-9507-10)</v>
      </c>
      <c r="D665" s="5" t="str">
        <f>IFERROR(__xludf.DUMMYFUNCTION("""COMPUTED_VALUE"""),"Reverified")</f>
        <v>Reverified</v>
      </c>
      <c r="E665" s="13">
        <f>IFERROR(__xludf.DUMMYFUNCTION("""COMPUTED_VALUE"""),46309.0)</f>
        <v>46309</v>
      </c>
      <c r="F665" s="5" t="str">
        <f>IFERROR(__xludf.DUMMYFUNCTION("""COMPUTED_VALUE"""),"Available")</f>
        <v>Available</v>
      </c>
      <c r="G665" s="5" t="str">
        <f>IFERROR(__xludf.DUMMYFUNCTION("""COMPUTED_VALUE"""),"Additional product will be made available as it is released.")</f>
        <v>Additional product will be made available as it is released.</v>
      </c>
      <c r="H665" s="5"/>
      <c r="I665" s="5"/>
      <c r="J665" s="5" t="str">
        <f>IFERROR(__xludf.DUMMYFUNCTION("""COMPUTED_VALUE"""),"Anesthesia")</f>
        <v>Anesthesia</v>
      </c>
      <c r="K665" s="5" t="str">
        <f>IFERROR(__xludf.DUMMYFUNCTION("""COMPUTED_VALUE"""),"Current")</f>
        <v>Current</v>
      </c>
      <c r="L665" s="5"/>
      <c r="M665" s="5"/>
      <c r="N665" s="10">
        <f>IFERROR(__xludf.DUMMYFUNCTION("""COMPUTED_VALUE"""),44839.0)</f>
        <v>44839</v>
      </c>
      <c r="O665" s="5">
        <v>2022.0</v>
      </c>
      <c r="P665" s="5" t="str">
        <f>IFERROR(__xludf.DUMMYFUNCTION("""COMPUTED_VALUE"""),"Available")</f>
        <v>Available</v>
      </c>
      <c r="Q665" s="5" t="s">
        <v>135</v>
      </c>
      <c r="R665" s="5" t="s">
        <v>136</v>
      </c>
      <c r="S665" s="11">
        <v>1482.0</v>
      </c>
    </row>
    <row r="666">
      <c r="A666" s="5" t="str">
        <f>IFERROR(__xludf.DUMMYFUNCTION("""COMPUTED_VALUE"""),"Etomidate Injection")</f>
        <v>Etomidate Injection</v>
      </c>
      <c r="B666" s="5" t="str">
        <f>IFERROR(__xludf.DUMMYFUNCTION("""COMPUTED_VALUE"""),"Hikma Pharmaceuticals USA, Inc.")</f>
        <v>Hikma Pharmaceuticals USA, Inc.</v>
      </c>
      <c r="C666" s="5" t="str">
        <f>IFERROR(__xludf.DUMMYFUNCTION("""COMPUTED_VALUE"""),"Etomidate, Injection, 2 mg/1 mL (NDC 0143-9310-10)")</f>
        <v>Etomidate, Injection, 2 mg/1 mL (NDC 0143-9310-10)</v>
      </c>
      <c r="D666" s="5" t="str">
        <f>IFERROR(__xludf.DUMMYFUNCTION("""COMPUTED_VALUE"""),"Reverified")</f>
        <v>Reverified</v>
      </c>
      <c r="E666" s="13">
        <f>IFERROR(__xludf.DUMMYFUNCTION("""COMPUTED_VALUE"""),46309.0)</f>
        <v>46309</v>
      </c>
      <c r="F666" s="5" t="str">
        <f>IFERROR(__xludf.DUMMYFUNCTION("""COMPUTED_VALUE"""),"Available")</f>
        <v>Available</v>
      </c>
      <c r="G666" s="5" t="str">
        <f>IFERROR(__xludf.DUMMYFUNCTION("""COMPUTED_VALUE"""),"Novaplus label")</f>
        <v>Novaplus label</v>
      </c>
      <c r="H666" s="5"/>
      <c r="I666" s="5"/>
      <c r="J666" s="5" t="str">
        <f>IFERROR(__xludf.DUMMYFUNCTION("""COMPUTED_VALUE"""),"Anesthesia")</f>
        <v>Anesthesia</v>
      </c>
      <c r="K666" s="5" t="str">
        <f>IFERROR(__xludf.DUMMYFUNCTION("""COMPUTED_VALUE"""),"Current")</f>
        <v>Current</v>
      </c>
      <c r="L666" s="5"/>
      <c r="M666" s="5"/>
      <c r="N666" s="10">
        <f>IFERROR(__xludf.DUMMYFUNCTION("""COMPUTED_VALUE"""),44839.0)</f>
        <v>44839</v>
      </c>
      <c r="O666" s="5">
        <v>2022.0</v>
      </c>
      <c r="P666" s="5" t="str">
        <f>IFERROR(__xludf.DUMMYFUNCTION("""COMPUTED_VALUE"""),"Available")</f>
        <v>Available</v>
      </c>
      <c r="Q666" s="5" t="s">
        <v>135</v>
      </c>
      <c r="R666" s="5" t="s">
        <v>136</v>
      </c>
      <c r="S666" s="11">
        <v>1482.0</v>
      </c>
    </row>
    <row r="667">
      <c r="A667" s="5" t="str">
        <f>IFERROR(__xludf.DUMMYFUNCTION("""COMPUTED_VALUE"""),"Etomidate Injection")</f>
        <v>Etomidate Injection</v>
      </c>
      <c r="B667" s="5" t="str">
        <f>IFERROR(__xludf.DUMMYFUNCTION("""COMPUTED_VALUE"""),"Hikma Pharmaceuticals USA, Inc.")</f>
        <v>Hikma Pharmaceuticals USA, Inc.</v>
      </c>
      <c r="C667" s="5" t="str">
        <f>IFERROR(__xludf.DUMMYFUNCTION("""COMPUTED_VALUE"""),"Etomidate, Injection, 2 mg/1 mL (NDC 0143-9311-10)")</f>
        <v>Etomidate, Injection, 2 mg/1 mL (NDC 0143-9311-10)</v>
      </c>
      <c r="D667" s="5" t="str">
        <f>IFERROR(__xludf.DUMMYFUNCTION("""COMPUTED_VALUE"""),"Reverified")</f>
        <v>Reverified</v>
      </c>
      <c r="E667" s="13">
        <f>IFERROR(__xludf.DUMMYFUNCTION("""COMPUTED_VALUE"""),46309.0)</f>
        <v>46309</v>
      </c>
      <c r="F667" s="5" t="str">
        <f>IFERROR(__xludf.DUMMYFUNCTION("""COMPUTED_VALUE"""),"Available")</f>
        <v>Available</v>
      </c>
      <c r="G667" s="5" t="str">
        <f>IFERROR(__xludf.DUMMYFUNCTION("""COMPUTED_VALUE"""),"Novaplus label")</f>
        <v>Novaplus label</v>
      </c>
      <c r="H667" s="5"/>
      <c r="I667" s="5"/>
      <c r="J667" s="5" t="str">
        <f>IFERROR(__xludf.DUMMYFUNCTION("""COMPUTED_VALUE"""),"Anesthesia")</f>
        <v>Anesthesia</v>
      </c>
      <c r="K667" s="5" t="str">
        <f>IFERROR(__xludf.DUMMYFUNCTION("""COMPUTED_VALUE"""),"Current")</f>
        <v>Current</v>
      </c>
      <c r="L667" s="5"/>
      <c r="M667" s="5"/>
      <c r="N667" s="10">
        <f>IFERROR(__xludf.DUMMYFUNCTION("""COMPUTED_VALUE"""),44839.0)</f>
        <v>44839</v>
      </c>
      <c r="O667" s="5">
        <v>2022.0</v>
      </c>
      <c r="P667" s="5" t="str">
        <f>IFERROR(__xludf.DUMMYFUNCTION("""COMPUTED_VALUE"""),"Available")</f>
        <v>Available</v>
      </c>
      <c r="Q667" s="5" t="s">
        <v>135</v>
      </c>
      <c r="R667" s="5" t="s">
        <v>136</v>
      </c>
      <c r="S667" s="11">
        <v>1482.0</v>
      </c>
    </row>
    <row r="668">
      <c r="A668" s="5" t="str">
        <f>IFERROR(__xludf.DUMMYFUNCTION("""COMPUTED_VALUE"""),"Etomidate Injection")</f>
        <v>Etomidate Injection</v>
      </c>
      <c r="B668" s="5" t="str">
        <f>IFERROR(__xludf.DUMMYFUNCTION("""COMPUTED_VALUE"""),"Mylan Institutional, a Viatris Company")</f>
        <v>Mylan Institutional, a Viatris Company</v>
      </c>
      <c r="C668" s="5" t="str">
        <f>IFERROR(__xludf.DUMMYFUNCTION("""COMPUTED_VALUE"""),"Etomidate, Injection, 2 mg/1 mL (NDC 67457-902-10)")</f>
        <v>Etomidate, Injection, 2 mg/1 mL (NDC 67457-902-10)</v>
      </c>
      <c r="D668" s="5" t="str">
        <f>IFERROR(__xludf.DUMMYFUNCTION("""COMPUTED_VALUE"""),"Reverified")</f>
        <v>Reverified</v>
      </c>
      <c r="E668" s="13">
        <f>IFERROR(__xludf.DUMMYFUNCTION("""COMPUTED_VALUE"""),46314.0)</f>
        <v>46314</v>
      </c>
      <c r="F668" s="5" t="str">
        <f>IFERROR(__xludf.DUMMYFUNCTION("""COMPUTED_VALUE"""),"Unavailable")</f>
        <v>Unavailable</v>
      </c>
      <c r="G668" s="5" t="str">
        <f>IFERROR(__xludf.DUMMYFUNCTION("""COMPUTED_VALUE"""),"Estimated recovery: November 2026")</f>
        <v>Estimated recovery: November 2026</v>
      </c>
      <c r="H668" s="5"/>
      <c r="I668" s="5" t="str">
        <f>IFERROR(__xludf.DUMMYFUNCTION("""COMPUTED_VALUE"""),"Demand increase for the drug")</f>
        <v>Demand increase for the drug</v>
      </c>
      <c r="J668" s="5" t="str">
        <f>IFERROR(__xludf.DUMMYFUNCTION("""COMPUTED_VALUE"""),"Anesthesia")</f>
        <v>Anesthesia</v>
      </c>
      <c r="K668" s="5" t="str">
        <f>IFERROR(__xludf.DUMMYFUNCTION("""COMPUTED_VALUE"""),"Current")</f>
        <v>Current</v>
      </c>
      <c r="L668" s="5"/>
      <c r="M668" s="5"/>
      <c r="N668" s="10">
        <f>IFERROR(__xludf.DUMMYFUNCTION("""COMPUTED_VALUE"""),44839.0)</f>
        <v>44839</v>
      </c>
      <c r="O668" s="5">
        <v>2022.0</v>
      </c>
      <c r="P668" s="5" t="str">
        <f>IFERROR(__xludf.DUMMYFUNCTION("""COMPUTED_VALUE"""),"Unavailable")</f>
        <v>Unavailable</v>
      </c>
      <c r="Q668" s="5" t="s">
        <v>134</v>
      </c>
      <c r="R668" s="5" t="s">
        <v>136</v>
      </c>
      <c r="S668" s="11">
        <v>1482.0</v>
      </c>
    </row>
    <row r="669">
      <c r="A669" s="5" t="str">
        <f>IFERROR(__xludf.DUMMYFUNCTION("""COMPUTED_VALUE"""),"Etomidate Injection")</f>
        <v>Etomidate Injection</v>
      </c>
      <c r="B669" s="5" t="str">
        <f>IFERROR(__xludf.DUMMYFUNCTION("""COMPUTED_VALUE"""),"Mylan Institutional, a Viatris Company")</f>
        <v>Mylan Institutional, a Viatris Company</v>
      </c>
      <c r="C669" s="5" t="str">
        <f>IFERROR(__xludf.DUMMYFUNCTION("""COMPUTED_VALUE"""),"Etomidate, Injection, 2 mg/1 mL (NDC 67457-903-20)")</f>
        <v>Etomidate, Injection, 2 mg/1 mL (NDC 67457-903-20)</v>
      </c>
      <c r="D669" s="5" t="str">
        <f>IFERROR(__xludf.DUMMYFUNCTION("""COMPUTED_VALUE"""),"Reverified")</f>
        <v>Reverified</v>
      </c>
      <c r="E669" s="13">
        <f>IFERROR(__xludf.DUMMYFUNCTION("""COMPUTED_VALUE"""),46314.0)</f>
        <v>46314</v>
      </c>
      <c r="F669" s="5" t="str">
        <f>IFERROR(__xludf.DUMMYFUNCTION("""COMPUTED_VALUE"""),"Available")</f>
        <v>Available</v>
      </c>
      <c r="G669" s="5"/>
      <c r="H669" s="5"/>
      <c r="I669" s="5"/>
      <c r="J669" s="5" t="str">
        <f>IFERROR(__xludf.DUMMYFUNCTION("""COMPUTED_VALUE"""),"Anesthesia")</f>
        <v>Anesthesia</v>
      </c>
      <c r="K669" s="5" t="str">
        <f>IFERROR(__xludf.DUMMYFUNCTION("""COMPUTED_VALUE"""),"Current")</f>
        <v>Current</v>
      </c>
      <c r="L669" s="5"/>
      <c r="M669" s="5"/>
      <c r="N669" s="10">
        <f>IFERROR(__xludf.DUMMYFUNCTION("""COMPUTED_VALUE"""),44839.0)</f>
        <v>44839</v>
      </c>
      <c r="O669" s="5">
        <v>2022.0</v>
      </c>
      <c r="P669" s="5" t="str">
        <f>IFERROR(__xludf.DUMMYFUNCTION("""COMPUTED_VALUE"""),"Available")</f>
        <v>Available</v>
      </c>
      <c r="Q669" s="5" t="s">
        <v>135</v>
      </c>
      <c r="R669" s="5" t="s">
        <v>136</v>
      </c>
      <c r="S669" s="11">
        <v>1482.0</v>
      </c>
    </row>
    <row r="670">
      <c r="A670" s="5" t="str">
        <f>IFERROR(__xludf.DUMMYFUNCTION("""COMPUTED_VALUE"""),"Etomidate Injection")</f>
        <v>Etomidate Injection</v>
      </c>
      <c r="B670" s="5" t="str">
        <f>IFERROR(__xludf.DUMMYFUNCTION("""COMPUTED_VALUE"""),"Hospira, Inc., a Pfizer Company")</f>
        <v>Hospira, Inc., a Pfizer Company</v>
      </c>
      <c r="C670" s="5" t="str">
        <f>IFERROR(__xludf.DUMMYFUNCTION("""COMPUTED_VALUE"""),"Amidate, Injection, 2 mg/1 mL (NDC 0409-6695-01)")</f>
        <v>Amidate, Injection, 2 mg/1 mL (NDC 0409-6695-01)</v>
      </c>
      <c r="D670" s="5" t="str">
        <f>IFERROR(__xludf.DUMMYFUNCTION("""COMPUTED_VALUE"""),"Revised")</f>
        <v>Revised</v>
      </c>
      <c r="E670" s="13">
        <f>IFERROR(__xludf.DUMMYFUNCTION("""COMPUTED_VALUE"""),46316.0)</f>
        <v>46316</v>
      </c>
      <c r="F670" s="5" t="str">
        <f>IFERROR(__xludf.DUMMYFUNCTION("""COMPUTED_VALUE"""),"Unavailable")</f>
        <v>Unavailable</v>
      </c>
      <c r="G670" s="5" t="str">
        <f>IFERROR(__xludf.DUMMYFUNCTION("""COMPUTED_VALUE"""),"Next Delivery: November 2026; Estimated Recovery: December 2026; Shortage per Manufacturer: Manufacturing Delay")</f>
        <v>Next Delivery: November 2026; Estimated Recovery: December 2026; Shortage per Manufacturer: Manufacturing Delay</v>
      </c>
      <c r="H670" s="5"/>
      <c r="I670" s="5" t="str">
        <f>IFERROR(__xludf.DUMMYFUNCTION("""COMPUTED_VALUE"""),"Other")</f>
        <v>Other</v>
      </c>
      <c r="J670" s="5" t="str">
        <f>IFERROR(__xludf.DUMMYFUNCTION("""COMPUTED_VALUE"""),"Anesthesia")</f>
        <v>Anesthesia</v>
      </c>
      <c r="K670" s="5" t="str">
        <f>IFERROR(__xludf.DUMMYFUNCTION("""COMPUTED_VALUE"""),"Current")</f>
        <v>Current</v>
      </c>
      <c r="L670" s="5"/>
      <c r="M670" s="5"/>
      <c r="N670" s="10">
        <f>IFERROR(__xludf.DUMMYFUNCTION("""COMPUTED_VALUE"""),44839.0)</f>
        <v>44839</v>
      </c>
      <c r="O670" s="5">
        <v>2022.0</v>
      </c>
      <c r="P670" s="5" t="str">
        <f>IFERROR(__xludf.DUMMYFUNCTION("""COMPUTED_VALUE"""),"Unavailable")</f>
        <v>Unavailable</v>
      </c>
      <c r="Q670" s="5" t="s">
        <v>47</v>
      </c>
      <c r="R670" s="5" t="s">
        <v>136</v>
      </c>
      <c r="S670" s="11">
        <v>1482.0</v>
      </c>
    </row>
    <row r="671">
      <c r="A671" s="5" t="str">
        <f>IFERROR(__xludf.DUMMYFUNCTION("""COMPUTED_VALUE"""),"Etomidate Injection")</f>
        <v>Etomidate Injection</v>
      </c>
      <c r="B671" s="5" t="str">
        <f>IFERROR(__xludf.DUMMYFUNCTION("""COMPUTED_VALUE"""),"Hospira, Inc., a Pfizer Company")</f>
        <v>Hospira, Inc., a Pfizer Company</v>
      </c>
      <c r="C671" s="5" t="str">
        <f>IFERROR(__xludf.DUMMYFUNCTION("""COMPUTED_VALUE"""),"Amidate, Injection, 2 mg/mL (NDC 0409-6695-02)")</f>
        <v>Amidate, Injection, 2 mg/mL (NDC 0409-6695-02)</v>
      </c>
      <c r="D671" s="5" t="str">
        <f>IFERROR(__xludf.DUMMYFUNCTION("""COMPUTED_VALUE"""),"Revised")</f>
        <v>Revised</v>
      </c>
      <c r="E671" s="13">
        <f>IFERROR(__xludf.DUMMYFUNCTION("""COMPUTED_VALUE"""),46316.0)</f>
        <v>46316</v>
      </c>
      <c r="F671" s="5" t="str">
        <f>IFERROR(__xludf.DUMMYFUNCTION("""COMPUTED_VALUE"""),"Unavailable")</f>
        <v>Unavailable</v>
      </c>
      <c r="G671" s="5" t="str">
        <f>IFERROR(__xludf.DUMMYFUNCTION("""COMPUTED_VALUE"""),"Next Delivery: November 2026; Estimated Recovery: December 2026; Shortage per Manufacturer: Manufacturing Delay")</f>
        <v>Next Delivery: November 2026; Estimated Recovery: December 2026; Shortage per Manufacturer: Manufacturing Delay</v>
      </c>
      <c r="H671" s="5"/>
      <c r="I671" s="5" t="str">
        <f>IFERROR(__xludf.DUMMYFUNCTION("""COMPUTED_VALUE"""),"Other")</f>
        <v>Other</v>
      </c>
      <c r="J671" s="5" t="str">
        <f>IFERROR(__xludf.DUMMYFUNCTION("""COMPUTED_VALUE"""),"Anesthesia")</f>
        <v>Anesthesia</v>
      </c>
      <c r="K671" s="5" t="str">
        <f>IFERROR(__xludf.DUMMYFUNCTION("""COMPUTED_VALUE"""),"Current")</f>
        <v>Current</v>
      </c>
      <c r="L671" s="5"/>
      <c r="M671" s="5"/>
      <c r="N671" s="10">
        <f>IFERROR(__xludf.DUMMYFUNCTION("""COMPUTED_VALUE"""),44839.0)</f>
        <v>44839</v>
      </c>
      <c r="O671" s="5">
        <v>2022.0</v>
      </c>
      <c r="P671" s="5" t="str">
        <f>IFERROR(__xludf.DUMMYFUNCTION("""COMPUTED_VALUE"""),"Unavailable")</f>
        <v>Unavailable</v>
      </c>
      <c r="Q671" s="5" t="s">
        <v>47</v>
      </c>
      <c r="R671" s="5" t="s">
        <v>136</v>
      </c>
      <c r="S671" s="11">
        <v>1482.0</v>
      </c>
    </row>
    <row r="672">
      <c r="A672" s="5" t="str">
        <f>IFERROR(__xludf.DUMMYFUNCTION("""COMPUTED_VALUE"""),"Etomidate Injection")</f>
        <v>Etomidate Injection</v>
      </c>
      <c r="B672" s="5" t="str">
        <f>IFERROR(__xludf.DUMMYFUNCTION("""COMPUTED_VALUE"""),"Caplin Steriles, Ltd.")</f>
        <v>Caplin Steriles, Ltd.</v>
      </c>
      <c r="C672" s="5" t="str">
        <f>IFERROR(__xludf.DUMMYFUNCTION("""COMPUTED_VALUE"""),"Etomidate, Injection, 2mg/1 mL (NDC 65219-445-10)")</f>
        <v>Etomidate, Injection, 2mg/1 mL (NDC 65219-445-10)</v>
      </c>
      <c r="D672" s="5" t="str">
        <f>IFERROR(__xludf.DUMMYFUNCTION("""COMPUTED_VALUE"""),"Revised")</f>
        <v>Revised</v>
      </c>
      <c r="E672" s="10">
        <f>IFERROR(__xludf.DUMMYFUNCTION("""COMPUTED_VALUE"""),46189.0)</f>
        <v>46189</v>
      </c>
      <c r="F672" s="5" t="str">
        <f>IFERROR(__xludf.DUMMYFUNCTION("""COMPUTED_VALUE"""),"Available")</f>
        <v>Available</v>
      </c>
      <c r="G672" s="5" t="str">
        <f>IFERROR(__xludf.DUMMYFUNCTION("""COMPUTED_VALUE"""),"Check wholesalers for inventory; Marketed by Fresenius Kabi")</f>
        <v>Check wholesalers for inventory; Marketed by Fresenius Kabi</v>
      </c>
      <c r="H672" s="5"/>
      <c r="I672" s="5"/>
      <c r="J672" s="5" t="str">
        <f>IFERROR(__xludf.DUMMYFUNCTION("""COMPUTED_VALUE"""),"Anesthesia")</f>
        <v>Anesthesia</v>
      </c>
      <c r="K672" s="5" t="str">
        <f>IFERROR(__xludf.DUMMYFUNCTION("""COMPUTED_VALUE"""),"Current")</f>
        <v>Current</v>
      </c>
      <c r="L672" s="5"/>
      <c r="M672" s="5"/>
      <c r="N672" s="10">
        <f>IFERROR(__xludf.DUMMYFUNCTION("""COMPUTED_VALUE"""),44839.0)</f>
        <v>44839</v>
      </c>
      <c r="O672" s="5">
        <v>2022.0</v>
      </c>
      <c r="P672" s="5" t="str">
        <f>IFERROR(__xludf.DUMMYFUNCTION("""COMPUTED_VALUE"""),"Available")</f>
        <v>Available</v>
      </c>
      <c r="Q672" s="5" t="s">
        <v>135</v>
      </c>
      <c r="R672" s="5" t="s">
        <v>136</v>
      </c>
      <c r="S672" s="11">
        <v>1482.0</v>
      </c>
    </row>
    <row r="673">
      <c r="A673" s="5" t="str">
        <f>IFERROR(__xludf.DUMMYFUNCTION("""COMPUTED_VALUE"""),"Etomidate Injection")</f>
        <v>Etomidate Injection</v>
      </c>
      <c r="B673" s="5" t="str">
        <f>IFERROR(__xludf.DUMMYFUNCTION("""COMPUTED_VALUE"""),"Caplin Steriles, Ltd.")</f>
        <v>Caplin Steriles, Ltd.</v>
      </c>
      <c r="C673" s="5" t="str">
        <f>IFERROR(__xludf.DUMMYFUNCTION("""COMPUTED_VALUE"""),"Etomidate, Injection, 2mg/mL (NDC 65219-447-20)")</f>
        <v>Etomidate, Injection, 2mg/mL (NDC 65219-447-20)</v>
      </c>
      <c r="D673" s="5" t="str">
        <f>IFERROR(__xludf.DUMMYFUNCTION("""COMPUTED_VALUE"""),"Revised")</f>
        <v>Revised</v>
      </c>
      <c r="E673" s="10">
        <f>IFERROR(__xludf.DUMMYFUNCTION("""COMPUTED_VALUE"""),46189.0)</f>
        <v>46189</v>
      </c>
      <c r="F673" s="5" t="str">
        <f>IFERROR(__xludf.DUMMYFUNCTION("""COMPUTED_VALUE"""),"Available")</f>
        <v>Available</v>
      </c>
      <c r="G673" s="5" t="str">
        <f>IFERROR(__xludf.DUMMYFUNCTION("""COMPUTED_VALUE"""),"Check wholesalers for inventory; Marketed by Fresenius Kabi")</f>
        <v>Check wholesalers for inventory; Marketed by Fresenius Kabi</v>
      </c>
      <c r="H673" s="5"/>
      <c r="I673" s="5"/>
      <c r="J673" s="5" t="str">
        <f>IFERROR(__xludf.DUMMYFUNCTION("""COMPUTED_VALUE"""),"Anesthesia")</f>
        <v>Anesthesia</v>
      </c>
      <c r="K673" s="5" t="str">
        <f>IFERROR(__xludf.DUMMYFUNCTION("""COMPUTED_VALUE"""),"Current")</f>
        <v>Current</v>
      </c>
      <c r="L673" s="5"/>
      <c r="M673" s="5"/>
      <c r="N673" s="10">
        <f>IFERROR(__xludf.DUMMYFUNCTION("""COMPUTED_VALUE"""),44839.0)</f>
        <v>44839</v>
      </c>
      <c r="O673" s="5">
        <v>2022.0</v>
      </c>
      <c r="P673" s="5" t="str">
        <f>IFERROR(__xludf.DUMMYFUNCTION("""COMPUTED_VALUE"""),"Available")</f>
        <v>Available</v>
      </c>
      <c r="Q673" s="5" t="s">
        <v>135</v>
      </c>
      <c r="R673" s="5" t="s">
        <v>136</v>
      </c>
      <c r="S673" s="11">
        <v>1482.0</v>
      </c>
    </row>
    <row r="674">
      <c r="A674" s="5" t="str">
        <f>IFERROR(__xludf.DUMMYFUNCTION("""COMPUTED_VALUE"""),"Etomidate Injection")</f>
        <v>Etomidate Injection</v>
      </c>
      <c r="B674" s="5" t="str">
        <f>IFERROR(__xludf.DUMMYFUNCTION("""COMPUTED_VALUE"""),"Hikma Pharmaceuticals USA, Inc.")</f>
        <v>Hikma Pharmaceuticals USA, Inc.</v>
      </c>
      <c r="C674" s="5" t="str">
        <f>IFERROR(__xludf.DUMMYFUNCTION("""COMPUTED_VALUE"""),"Etomidate, Injection, 2 mg/1 mL (NDC 72572-160-10)")</f>
        <v>Etomidate, Injection, 2 mg/1 mL (NDC 72572-160-10)</v>
      </c>
      <c r="D674" s="5" t="str">
        <f>IFERROR(__xludf.DUMMYFUNCTION("""COMPUTED_VALUE"""),"Reverified")</f>
        <v>Reverified</v>
      </c>
      <c r="E674" s="13">
        <f>IFERROR(__xludf.DUMMYFUNCTION("""COMPUTED_VALUE"""),46309.0)</f>
        <v>46309</v>
      </c>
      <c r="F674" s="5" t="str">
        <f>IFERROR(__xludf.DUMMYFUNCTION("""COMPUTED_VALUE"""),"Available")</f>
        <v>Available</v>
      </c>
      <c r="G674" s="5" t="str">
        <f>IFERROR(__xludf.DUMMYFUNCTION("""COMPUTED_VALUE"""),"Distributed by Civica")</f>
        <v>Distributed by Civica</v>
      </c>
      <c r="H674" s="5"/>
      <c r="I674" s="5"/>
      <c r="J674" s="5" t="str">
        <f>IFERROR(__xludf.DUMMYFUNCTION("""COMPUTED_VALUE"""),"Anesthesia")</f>
        <v>Anesthesia</v>
      </c>
      <c r="K674" s="5" t="str">
        <f>IFERROR(__xludf.DUMMYFUNCTION("""COMPUTED_VALUE"""),"Current")</f>
        <v>Current</v>
      </c>
      <c r="L674" s="5"/>
      <c r="M674" s="5"/>
      <c r="N674" s="10">
        <f>IFERROR(__xludf.DUMMYFUNCTION("""COMPUTED_VALUE"""),44839.0)</f>
        <v>44839</v>
      </c>
      <c r="O674" s="5">
        <v>2022.0</v>
      </c>
      <c r="P674" s="5" t="str">
        <f>IFERROR(__xludf.DUMMYFUNCTION("""COMPUTED_VALUE"""),"Available")</f>
        <v>Available</v>
      </c>
      <c r="Q674" s="5" t="s">
        <v>135</v>
      </c>
      <c r="R674" s="5" t="s">
        <v>136</v>
      </c>
      <c r="S674" s="11">
        <v>1482.0</v>
      </c>
    </row>
    <row r="675">
      <c r="A675" s="5" t="str">
        <f>IFERROR(__xludf.DUMMYFUNCTION("""COMPUTED_VALUE"""),"Etomidate Injection")</f>
        <v>Etomidate Injection</v>
      </c>
      <c r="B675" s="5" t="str">
        <f>IFERROR(__xludf.DUMMYFUNCTION("""COMPUTED_VALUE"""),"Hikma Pharmaceuticals USA, Inc.")</f>
        <v>Hikma Pharmaceuticals USA, Inc.</v>
      </c>
      <c r="C675" s="5" t="str">
        <f>IFERROR(__xludf.DUMMYFUNCTION("""COMPUTED_VALUE"""),"Etomidate, Injection, 2 mg/1 mL (NDC 72572-161-10)")</f>
        <v>Etomidate, Injection, 2 mg/1 mL (NDC 72572-161-10)</v>
      </c>
      <c r="D675" s="5" t="str">
        <f>IFERROR(__xludf.DUMMYFUNCTION("""COMPUTED_VALUE"""),"Reverified")</f>
        <v>Reverified</v>
      </c>
      <c r="E675" s="13">
        <f>IFERROR(__xludf.DUMMYFUNCTION("""COMPUTED_VALUE"""),46309.0)</f>
        <v>46309</v>
      </c>
      <c r="F675" s="5" t="str">
        <f>IFERROR(__xludf.DUMMYFUNCTION("""COMPUTED_VALUE"""),"Available")</f>
        <v>Available</v>
      </c>
      <c r="G675" s="5" t="str">
        <f>IFERROR(__xludf.DUMMYFUNCTION("""COMPUTED_VALUE"""),"Distributed by Civica")</f>
        <v>Distributed by Civica</v>
      </c>
      <c r="H675" s="5"/>
      <c r="I675" s="5"/>
      <c r="J675" s="5" t="str">
        <f>IFERROR(__xludf.DUMMYFUNCTION("""COMPUTED_VALUE"""),"Anesthesia")</f>
        <v>Anesthesia</v>
      </c>
      <c r="K675" s="5" t="str">
        <f>IFERROR(__xludf.DUMMYFUNCTION("""COMPUTED_VALUE"""),"Current")</f>
        <v>Current</v>
      </c>
      <c r="L675" s="5"/>
      <c r="M675" s="5"/>
      <c r="N675" s="10">
        <f>IFERROR(__xludf.DUMMYFUNCTION("""COMPUTED_VALUE"""),44839.0)</f>
        <v>44839</v>
      </c>
      <c r="O675" s="5">
        <v>2022.0</v>
      </c>
      <c r="P675" s="5" t="str">
        <f>IFERROR(__xludf.DUMMYFUNCTION("""COMPUTED_VALUE"""),"Available")</f>
        <v>Available</v>
      </c>
      <c r="Q675" s="5" t="s">
        <v>135</v>
      </c>
      <c r="R675" s="5" t="s">
        <v>136</v>
      </c>
      <c r="S675" s="11">
        <v>1482.0</v>
      </c>
    </row>
    <row r="676">
      <c r="A676" s="5" t="str">
        <f>IFERROR(__xludf.DUMMYFUNCTION("""COMPUTED_VALUE"""),"Etravirine Tablet")</f>
        <v>Etravirine Tablet</v>
      </c>
      <c r="B676" s="5" t="str">
        <f>IFERROR(__xludf.DUMMYFUNCTION("""COMPUTED_VALUE"""),"Janssen Research and Development")</f>
        <v>Janssen Research and Development</v>
      </c>
      <c r="C676" s="5" t="str">
        <f>IFERROR(__xludf.DUMMYFUNCTION("""COMPUTED_VALUE"""),"Etravirine, Tablet, 100 mg (NDC 10147-0570-1)")</f>
        <v>Etravirine, Tablet, 100 mg (NDC 10147-0570-1)</v>
      </c>
      <c r="D676" s="5" t="str">
        <f>IFERROR(__xludf.DUMMYFUNCTION("""COMPUTED_VALUE"""),"New")</f>
        <v>New</v>
      </c>
      <c r="E676" s="10">
        <f>IFERROR(__xludf.DUMMYFUNCTION("""COMPUTED_VALUE"""),46140.0)</f>
        <v>46140</v>
      </c>
      <c r="F676" s="5"/>
      <c r="G676" s="5" t="str">
        <f>IFERROR(__xludf.DUMMYFUNCTION("""COMPUTED_VALUE"""),"Discontinuation of the manufacture of the drug")</f>
        <v>Discontinuation of the manufacture of the drug</v>
      </c>
      <c r="H676" s="5"/>
      <c r="I676" s="5"/>
      <c r="J676" s="5" t="str">
        <f>IFERROR(__xludf.DUMMYFUNCTION("""COMPUTED_VALUE"""),"Antiviral")</f>
        <v>Antiviral</v>
      </c>
      <c r="K676" s="5" t="str">
        <f>IFERROR(__xludf.DUMMYFUNCTION("""COMPUTED_VALUE"""),"To Be Discontinued")</f>
        <v>To Be Discontinued</v>
      </c>
      <c r="L676" s="5"/>
      <c r="M676" s="10">
        <f>IFERROR(__xludf.DUMMYFUNCTION("""COMPUTED_VALUE"""),46140.0)</f>
        <v>46140</v>
      </c>
      <c r="N676" s="10">
        <f>IFERROR(__xludf.DUMMYFUNCTION("""COMPUTED_VALUE"""),46140.0)</f>
        <v>46140</v>
      </c>
      <c r="O676" s="5">
        <v>2026.0</v>
      </c>
      <c r="P676" s="5" t="str">
        <f>IFERROR(__xludf.DUMMYFUNCTION("""COMPUTED_VALUE"""),"Not stated")</f>
        <v>Not stated</v>
      </c>
      <c r="Q676" s="5" t="s">
        <v>135</v>
      </c>
      <c r="R676" s="5" t="s">
        <v>136</v>
      </c>
      <c r="S676" s="11">
        <v>181.0</v>
      </c>
    </row>
    <row r="677">
      <c r="A677" s="5" t="str">
        <f>IFERROR(__xludf.DUMMYFUNCTION("""COMPUTED_VALUE"""),"Etravirine Tablet")</f>
        <v>Etravirine Tablet</v>
      </c>
      <c r="B677" s="5" t="str">
        <f>IFERROR(__xludf.DUMMYFUNCTION("""COMPUTED_VALUE"""),"Janssen Research and Development")</f>
        <v>Janssen Research and Development</v>
      </c>
      <c r="C677" s="5" t="str">
        <f>IFERROR(__xludf.DUMMYFUNCTION("""COMPUTED_VALUE"""),"Intelence, Tablet, 100 mg (NDC 59676-570-01)")</f>
        <v>Intelence, Tablet, 100 mg (NDC 59676-570-01)</v>
      </c>
      <c r="D677" s="5" t="str">
        <f>IFERROR(__xludf.DUMMYFUNCTION("""COMPUTED_VALUE"""),"New")</f>
        <v>New</v>
      </c>
      <c r="E677" s="10">
        <f>IFERROR(__xludf.DUMMYFUNCTION("""COMPUTED_VALUE"""),46140.0)</f>
        <v>46140</v>
      </c>
      <c r="F677" s="5"/>
      <c r="G677" s="5" t="str">
        <f>IFERROR(__xludf.DUMMYFUNCTION("""COMPUTED_VALUE"""),"Discontinuation of the manufacture of the drug")</f>
        <v>Discontinuation of the manufacture of the drug</v>
      </c>
      <c r="H677" s="5"/>
      <c r="I677" s="5"/>
      <c r="J677" s="5" t="str">
        <f>IFERROR(__xludf.DUMMYFUNCTION("""COMPUTED_VALUE"""),"Antiviral")</f>
        <v>Antiviral</v>
      </c>
      <c r="K677" s="5" t="str">
        <f>IFERROR(__xludf.DUMMYFUNCTION("""COMPUTED_VALUE"""),"To Be Discontinued")</f>
        <v>To Be Discontinued</v>
      </c>
      <c r="L677" s="5"/>
      <c r="M677" s="10">
        <f>IFERROR(__xludf.DUMMYFUNCTION("""COMPUTED_VALUE"""),46140.0)</f>
        <v>46140</v>
      </c>
      <c r="N677" s="10">
        <f>IFERROR(__xludf.DUMMYFUNCTION("""COMPUTED_VALUE"""),46140.0)</f>
        <v>46140</v>
      </c>
      <c r="O677" s="5">
        <v>2026.0</v>
      </c>
      <c r="P677" s="5" t="str">
        <f>IFERROR(__xludf.DUMMYFUNCTION("""COMPUTED_VALUE"""),"Not stated")</f>
        <v>Not stated</v>
      </c>
      <c r="Q677" s="5" t="s">
        <v>135</v>
      </c>
      <c r="R677" s="5" t="s">
        <v>136</v>
      </c>
      <c r="S677" s="11">
        <v>181.0</v>
      </c>
    </row>
    <row r="678">
      <c r="A678" s="5" t="str">
        <f>IFERROR(__xludf.DUMMYFUNCTION("""COMPUTED_VALUE"""),"Everolimus Tablet")</f>
        <v>Everolimus Tablet</v>
      </c>
      <c r="B678" s="5" t="str">
        <f>IFERROR(__xludf.DUMMYFUNCTION("""COMPUTED_VALUE"""),"Endo Pharmaceuticals, Inc.")</f>
        <v>Endo Pharmaceuticals, Inc.</v>
      </c>
      <c r="C678" s="5" t="str">
        <f>IFERROR(__xludf.DUMMYFUNCTION("""COMPUTED_VALUE"""),"Everolimus, Tablet, 2.5 mg (NDC 49884-119-91)")</f>
        <v>Everolimus, Tablet, 2.5 mg (NDC 49884-119-91)</v>
      </c>
      <c r="D678" s="5" t="str">
        <f>IFERROR(__xludf.DUMMYFUNCTION("""COMPUTED_VALUE"""),"New")</f>
        <v>New</v>
      </c>
      <c r="E678" s="10">
        <f>IFERROR(__xludf.DUMMYFUNCTION("""COMPUTED_VALUE"""),46028.0)</f>
        <v>46028</v>
      </c>
      <c r="F678" s="5"/>
      <c r="G678" s="5" t="str">
        <f>IFERROR(__xludf.DUMMYFUNCTION("""COMPUTED_VALUE"""),"Discontinuation of the manufacture of the drug")</f>
        <v>Discontinuation of the manufacture of the drug</v>
      </c>
      <c r="H678" s="5"/>
      <c r="I678" s="5"/>
      <c r="J678" s="5" t="str">
        <f>IFERROR(__xludf.DUMMYFUNCTION("""COMPUTED_VALUE"""),"Transplant")</f>
        <v>Transplant</v>
      </c>
      <c r="K678" s="5" t="str">
        <f>IFERROR(__xludf.DUMMYFUNCTION("""COMPUTED_VALUE"""),"To Be Discontinued")</f>
        <v>To Be Discontinued</v>
      </c>
      <c r="L678" s="5"/>
      <c r="M678" s="10">
        <f>IFERROR(__xludf.DUMMYFUNCTION("""COMPUTED_VALUE"""),46028.0)</f>
        <v>46028</v>
      </c>
      <c r="N678" s="10">
        <f>IFERROR(__xludf.DUMMYFUNCTION("""COMPUTED_VALUE"""),46028.0)</f>
        <v>46028</v>
      </c>
      <c r="O678" s="5">
        <v>2026.0</v>
      </c>
      <c r="P678" s="5" t="str">
        <f>IFERROR(__xludf.DUMMYFUNCTION("""COMPUTED_VALUE"""),"Not stated")</f>
        <v>Not stated</v>
      </c>
      <c r="Q678" s="5" t="s">
        <v>135</v>
      </c>
      <c r="R678" s="5" t="s">
        <v>136</v>
      </c>
      <c r="S678" s="11">
        <v>293.0</v>
      </c>
    </row>
    <row r="679">
      <c r="A679" s="5" t="str">
        <f>IFERROR(__xludf.DUMMYFUNCTION("""COMPUTED_VALUE"""),"Everolimus Tablet")</f>
        <v>Everolimus Tablet</v>
      </c>
      <c r="B679" s="5" t="str">
        <f>IFERROR(__xludf.DUMMYFUNCTION("""COMPUTED_VALUE"""),"Endo Pharmaceuticals, Inc.")</f>
        <v>Endo Pharmaceuticals, Inc.</v>
      </c>
      <c r="C679" s="5" t="str">
        <f>IFERROR(__xludf.DUMMYFUNCTION("""COMPUTED_VALUE"""),"Everolimus, Tablet, 5 mg (NDC 49884-125-91)")</f>
        <v>Everolimus, Tablet, 5 mg (NDC 49884-125-91)</v>
      </c>
      <c r="D679" s="5" t="str">
        <f>IFERROR(__xludf.DUMMYFUNCTION("""COMPUTED_VALUE"""),"New")</f>
        <v>New</v>
      </c>
      <c r="E679" s="10">
        <f>IFERROR(__xludf.DUMMYFUNCTION("""COMPUTED_VALUE"""),46028.0)</f>
        <v>46028</v>
      </c>
      <c r="F679" s="5"/>
      <c r="G679" s="5" t="str">
        <f>IFERROR(__xludf.DUMMYFUNCTION("""COMPUTED_VALUE"""),"Discontinuation of the manufacture of the drug")</f>
        <v>Discontinuation of the manufacture of the drug</v>
      </c>
      <c r="H679" s="5"/>
      <c r="I679" s="5"/>
      <c r="J679" s="5" t="str">
        <f>IFERROR(__xludf.DUMMYFUNCTION("""COMPUTED_VALUE"""),"Transplant")</f>
        <v>Transplant</v>
      </c>
      <c r="K679" s="5" t="str">
        <f>IFERROR(__xludf.DUMMYFUNCTION("""COMPUTED_VALUE"""),"To Be Discontinued")</f>
        <v>To Be Discontinued</v>
      </c>
      <c r="L679" s="5"/>
      <c r="M679" s="10">
        <f>IFERROR(__xludf.DUMMYFUNCTION("""COMPUTED_VALUE"""),46028.0)</f>
        <v>46028</v>
      </c>
      <c r="N679" s="10">
        <f>IFERROR(__xludf.DUMMYFUNCTION("""COMPUTED_VALUE"""),46028.0)</f>
        <v>46028</v>
      </c>
      <c r="O679" s="5">
        <v>2026.0</v>
      </c>
      <c r="P679" s="5" t="str">
        <f>IFERROR(__xludf.DUMMYFUNCTION("""COMPUTED_VALUE"""),"Not stated")</f>
        <v>Not stated</v>
      </c>
      <c r="Q679" s="5" t="s">
        <v>135</v>
      </c>
      <c r="R679" s="5" t="s">
        <v>136</v>
      </c>
      <c r="S679" s="11">
        <v>293.0</v>
      </c>
    </row>
    <row r="680">
      <c r="A680" s="5" t="str">
        <f>IFERROR(__xludf.DUMMYFUNCTION("""COMPUTED_VALUE"""),"Everolimus Tablet")</f>
        <v>Everolimus Tablet</v>
      </c>
      <c r="B680" s="5" t="str">
        <f>IFERROR(__xludf.DUMMYFUNCTION("""COMPUTED_VALUE"""),"Endo Pharmaceuticals, Inc.")</f>
        <v>Endo Pharmaceuticals, Inc.</v>
      </c>
      <c r="C680" s="5" t="str">
        <f>IFERROR(__xludf.DUMMYFUNCTION("""COMPUTED_VALUE"""),"Everolimus, Tablet, 7.5 mg (NDC 49884-127-91)")</f>
        <v>Everolimus, Tablet, 7.5 mg (NDC 49884-127-91)</v>
      </c>
      <c r="D680" s="5" t="str">
        <f>IFERROR(__xludf.DUMMYFUNCTION("""COMPUTED_VALUE"""),"New")</f>
        <v>New</v>
      </c>
      <c r="E680" s="10">
        <f>IFERROR(__xludf.DUMMYFUNCTION("""COMPUTED_VALUE"""),46028.0)</f>
        <v>46028</v>
      </c>
      <c r="F680" s="5"/>
      <c r="G680" s="5" t="str">
        <f>IFERROR(__xludf.DUMMYFUNCTION("""COMPUTED_VALUE"""),"Discontinuation of the manufacture of the drug")</f>
        <v>Discontinuation of the manufacture of the drug</v>
      </c>
      <c r="H680" s="5"/>
      <c r="I680" s="5"/>
      <c r="J680" s="5" t="str">
        <f>IFERROR(__xludf.DUMMYFUNCTION("""COMPUTED_VALUE"""),"Transplant")</f>
        <v>Transplant</v>
      </c>
      <c r="K680" s="5" t="str">
        <f>IFERROR(__xludf.DUMMYFUNCTION("""COMPUTED_VALUE"""),"To Be Discontinued")</f>
        <v>To Be Discontinued</v>
      </c>
      <c r="L680" s="5"/>
      <c r="M680" s="10">
        <f>IFERROR(__xludf.DUMMYFUNCTION("""COMPUTED_VALUE"""),46028.0)</f>
        <v>46028</v>
      </c>
      <c r="N680" s="10">
        <f>IFERROR(__xludf.DUMMYFUNCTION("""COMPUTED_VALUE"""),46028.0)</f>
        <v>46028</v>
      </c>
      <c r="O680" s="5">
        <v>2026.0</v>
      </c>
      <c r="P680" s="5" t="str">
        <f>IFERROR(__xludf.DUMMYFUNCTION("""COMPUTED_VALUE"""),"Not stated")</f>
        <v>Not stated</v>
      </c>
      <c r="Q680" s="5" t="s">
        <v>135</v>
      </c>
      <c r="R680" s="5" t="s">
        <v>136</v>
      </c>
      <c r="S680" s="11">
        <v>293.0</v>
      </c>
    </row>
    <row r="681">
      <c r="A681" s="5" t="str">
        <f>IFERROR(__xludf.DUMMYFUNCTION("""COMPUTED_VALUE"""),"Everolimus Tablet")</f>
        <v>Everolimus Tablet</v>
      </c>
      <c r="B681" s="5" t="str">
        <f>IFERROR(__xludf.DUMMYFUNCTION("""COMPUTED_VALUE"""),"Endo Pharmaceuticals, Inc.")</f>
        <v>Endo Pharmaceuticals, Inc.</v>
      </c>
      <c r="C681" s="5" t="str">
        <f>IFERROR(__xludf.DUMMYFUNCTION("""COMPUTED_VALUE"""),"Everolimus, Tablet, 10 mg (NDC 49884-128-91)")</f>
        <v>Everolimus, Tablet, 10 mg (NDC 49884-128-91)</v>
      </c>
      <c r="D681" s="5" t="str">
        <f>IFERROR(__xludf.DUMMYFUNCTION("""COMPUTED_VALUE"""),"New")</f>
        <v>New</v>
      </c>
      <c r="E681" s="10">
        <f>IFERROR(__xludf.DUMMYFUNCTION("""COMPUTED_VALUE"""),46028.0)</f>
        <v>46028</v>
      </c>
      <c r="F681" s="5"/>
      <c r="G681" s="5" t="str">
        <f>IFERROR(__xludf.DUMMYFUNCTION("""COMPUTED_VALUE"""),"Discontinuation of the manufacture of the drug")</f>
        <v>Discontinuation of the manufacture of the drug</v>
      </c>
      <c r="H681" s="5"/>
      <c r="I681" s="5"/>
      <c r="J681" s="5" t="str">
        <f>IFERROR(__xludf.DUMMYFUNCTION("""COMPUTED_VALUE"""),"Transplant")</f>
        <v>Transplant</v>
      </c>
      <c r="K681" s="5" t="str">
        <f>IFERROR(__xludf.DUMMYFUNCTION("""COMPUTED_VALUE"""),"To Be Discontinued")</f>
        <v>To Be Discontinued</v>
      </c>
      <c r="L681" s="5"/>
      <c r="M681" s="10">
        <f>IFERROR(__xludf.DUMMYFUNCTION("""COMPUTED_VALUE"""),46028.0)</f>
        <v>46028</v>
      </c>
      <c r="N681" s="10">
        <f>IFERROR(__xludf.DUMMYFUNCTION("""COMPUTED_VALUE"""),46028.0)</f>
        <v>46028</v>
      </c>
      <c r="O681" s="5">
        <v>2026.0</v>
      </c>
      <c r="P681" s="5" t="str">
        <f>IFERROR(__xludf.DUMMYFUNCTION("""COMPUTED_VALUE"""),"Not stated")</f>
        <v>Not stated</v>
      </c>
      <c r="Q681" s="5" t="s">
        <v>135</v>
      </c>
      <c r="R681" s="5" t="s">
        <v>136</v>
      </c>
      <c r="S681" s="11">
        <v>293.0</v>
      </c>
    </row>
    <row r="682">
      <c r="A682" s="5" t="str">
        <f>IFERROR(__xludf.DUMMYFUNCTION("""COMPUTED_VALUE"""),"Everolimus Tablet")</f>
        <v>Everolimus Tablet</v>
      </c>
      <c r="B682" s="5" t="str">
        <f>IFERROR(__xludf.DUMMYFUNCTION("""COMPUTED_VALUE"""),"Teva Pharmaceuticals USA, Inc.")</f>
        <v>Teva Pharmaceuticals USA, Inc.</v>
      </c>
      <c r="C682" s="5" t="str">
        <f>IFERROR(__xludf.DUMMYFUNCTION("""COMPUTED_VALUE"""),"Everolimus, Tablet, 2.5 mg (NDC 0093-7766-24)")</f>
        <v>Everolimus, Tablet, 2.5 mg (NDC 0093-7766-24)</v>
      </c>
      <c r="D682" s="5" t="str">
        <f>IFERROR(__xludf.DUMMYFUNCTION("""COMPUTED_VALUE"""),"New")</f>
        <v>New</v>
      </c>
      <c r="E682" s="10">
        <f>IFERROR(__xludf.DUMMYFUNCTION("""COMPUTED_VALUE"""),46083.0)</f>
        <v>46083</v>
      </c>
      <c r="F682" s="5"/>
      <c r="G682" s="5" t="str">
        <f>IFERROR(__xludf.DUMMYFUNCTION("""COMPUTED_VALUE"""),"Discontinuation of the manufacture of the drug")</f>
        <v>Discontinuation of the manufacture of the drug</v>
      </c>
      <c r="H682" s="5"/>
      <c r="I682" s="5"/>
      <c r="J682" s="5" t="str">
        <f>IFERROR(__xludf.DUMMYFUNCTION("""COMPUTED_VALUE"""),"Transplant")</f>
        <v>Transplant</v>
      </c>
      <c r="K682" s="5" t="str">
        <f>IFERROR(__xludf.DUMMYFUNCTION("""COMPUTED_VALUE"""),"To Be Discontinued")</f>
        <v>To Be Discontinued</v>
      </c>
      <c r="L682" s="5"/>
      <c r="M682" s="10">
        <f>IFERROR(__xludf.DUMMYFUNCTION("""COMPUTED_VALUE"""),46083.0)</f>
        <v>46083</v>
      </c>
      <c r="N682" s="10">
        <f>IFERROR(__xludf.DUMMYFUNCTION("""COMPUTED_VALUE"""),46083.0)</f>
        <v>46083</v>
      </c>
      <c r="O682" s="5">
        <v>2026.0</v>
      </c>
      <c r="P682" s="5" t="str">
        <f>IFERROR(__xludf.DUMMYFUNCTION("""COMPUTED_VALUE"""),"Not stated")</f>
        <v>Not stated</v>
      </c>
      <c r="Q682" s="5" t="s">
        <v>135</v>
      </c>
      <c r="R682" s="5" t="s">
        <v>136</v>
      </c>
      <c r="S682" s="11">
        <v>238.0</v>
      </c>
    </row>
    <row r="683">
      <c r="A683" s="5" t="str">
        <f>IFERROR(__xludf.DUMMYFUNCTION("""COMPUTED_VALUE"""),"Everolimus Tablet")</f>
        <v>Everolimus Tablet</v>
      </c>
      <c r="B683" s="5" t="str">
        <f>IFERROR(__xludf.DUMMYFUNCTION("""COMPUTED_VALUE"""),"Teva Pharmaceuticals USA, Inc.")</f>
        <v>Teva Pharmaceuticals USA, Inc.</v>
      </c>
      <c r="C683" s="5" t="str">
        <f>IFERROR(__xludf.DUMMYFUNCTION("""COMPUTED_VALUE"""),"Everolimus, Tablet, 5 mg (NDC 0093-7767-24)")</f>
        <v>Everolimus, Tablet, 5 mg (NDC 0093-7767-24)</v>
      </c>
      <c r="D683" s="5" t="str">
        <f>IFERROR(__xludf.DUMMYFUNCTION("""COMPUTED_VALUE"""),"New")</f>
        <v>New</v>
      </c>
      <c r="E683" s="10">
        <f>IFERROR(__xludf.DUMMYFUNCTION("""COMPUTED_VALUE"""),46083.0)</f>
        <v>46083</v>
      </c>
      <c r="F683" s="5"/>
      <c r="G683" s="5" t="str">
        <f>IFERROR(__xludf.DUMMYFUNCTION("""COMPUTED_VALUE"""),"Discontinuation of the manufacture of the drug")</f>
        <v>Discontinuation of the manufacture of the drug</v>
      </c>
      <c r="H683" s="5"/>
      <c r="I683" s="5"/>
      <c r="J683" s="5" t="str">
        <f>IFERROR(__xludf.DUMMYFUNCTION("""COMPUTED_VALUE"""),"Transplant")</f>
        <v>Transplant</v>
      </c>
      <c r="K683" s="5" t="str">
        <f>IFERROR(__xludf.DUMMYFUNCTION("""COMPUTED_VALUE"""),"To Be Discontinued")</f>
        <v>To Be Discontinued</v>
      </c>
      <c r="L683" s="5"/>
      <c r="M683" s="10">
        <f>IFERROR(__xludf.DUMMYFUNCTION("""COMPUTED_VALUE"""),46083.0)</f>
        <v>46083</v>
      </c>
      <c r="N683" s="10">
        <f>IFERROR(__xludf.DUMMYFUNCTION("""COMPUTED_VALUE"""),46083.0)</f>
        <v>46083</v>
      </c>
      <c r="O683" s="5">
        <v>2026.0</v>
      </c>
      <c r="P683" s="5" t="str">
        <f>IFERROR(__xludf.DUMMYFUNCTION("""COMPUTED_VALUE"""),"Not stated")</f>
        <v>Not stated</v>
      </c>
      <c r="Q683" s="5" t="s">
        <v>135</v>
      </c>
      <c r="R683" s="5" t="s">
        <v>136</v>
      </c>
      <c r="S683" s="11">
        <v>238.0</v>
      </c>
    </row>
    <row r="684">
      <c r="A684" s="5" t="str">
        <f>IFERROR(__xludf.DUMMYFUNCTION("""COMPUTED_VALUE"""),"Everolimus Tablet")</f>
        <v>Everolimus Tablet</v>
      </c>
      <c r="B684" s="5" t="str">
        <f>IFERROR(__xludf.DUMMYFUNCTION("""COMPUTED_VALUE"""),"Teva Pharmaceuticals USA, Inc.")</f>
        <v>Teva Pharmaceuticals USA, Inc.</v>
      </c>
      <c r="C684" s="5" t="str">
        <f>IFERROR(__xludf.DUMMYFUNCTION("""COMPUTED_VALUE"""),"Everolimus, Tablet, 7.5 mg (NDC 0093-7768-24)")</f>
        <v>Everolimus, Tablet, 7.5 mg (NDC 0093-7768-24)</v>
      </c>
      <c r="D684" s="5" t="str">
        <f>IFERROR(__xludf.DUMMYFUNCTION("""COMPUTED_VALUE"""),"New")</f>
        <v>New</v>
      </c>
      <c r="E684" s="10">
        <f>IFERROR(__xludf.DUMMYFUNCTION("""COMPUTED_VALUE"""),46083.0)</f>
        <v>46083</v>
      </c>
      <c r="F684" s="5"/>
      <c r="G684" s="5" t="str">
        <f>IFERROR(__xludf.DUMMYFUNCTION("""COMPUTED_VALUE"""),"Discontinuation of the manufacture of the drug")</f>
        <v>Discontinuation of the manufacture of the drug</v>
      </c>
      <c r="H684" s="5"/>
      <c r="I684" s="5"/>
      <c r="J684" s="5" t="str">
        <f>IFERROR(__xludf.DUMMYFUNCTION("""COMPUTED_VALUE"""),"Transplant")</f>
        <v>Transplant</v>
      </c>
      <c r="K684" s="5" t="str">
        <f>IFERROR(__xludf.DUMMYFUNCTION("""COMPUTED_VALUE"""),"To Be Discontinued")</f>
        <v>To Be Discontinued</v>
      </c>
      <c r="L684" s="5"/>
      <c r="M684" s="10">
        <f>IFERROR(__xludf.DUMMYFUNCTION("""COMPUTED_VALUE"""),46083.0)</f>
        <v>46083</v>
      </c>
      <c r="N684" s="10">
        <f>IFERROR(__xludf.DUMMYFUNCTION("""COMPUTED_VALUE"""),46083.0)</f>
        <v>46083</v>
      </c>
      <c r="O684" s="5">
        <v>2026.0</v>
      </c>
      <c r="P684" s="5" t="str">
        <f>IFERROR(__xludf.DUMMYFUNCTION("""COMPUTED_VALUE"""),"Not stated")</f>
        <v>Not stated</v>
      </c>
      <c r="Q684" s="5" t="s">
        <v>135</v>
      </c>
      <c r="R684" s="5" t="s">
        <v>136</v>
      </c>
      <c r="S684" s="11">
        <v>238.0</v>
      </c>
    </row>
    <row r="685">
      <c r="A685" s="5" t="str">
        <f>IFERROR(__xludf.DUMMYFUNCTION("""COMPUTED_VALUE"""),"Everolimus Tablet")</f>
        <v>Everolimus Tablet</v>
      </c>
      <c r="B685" s="5" t="str">
        <f>IFERROR(__xludf.DUMMYFUNCTION("""COMPUTED_VALUE"""),"Teva Pharmaceuticals USA, Inc.")</f>
        <v>Teva Pharmaceuticals USA, Inc.</v>
      </c>
      <c r="C685" s="5" t="str">
        <f>IFERROR(__xludf.DUMMYFUNCTION("""COMPUTED_VALUE"""),"Everolimus, Tablet, 10 mg (NDC 0093-7769-24)")</f>
        <v>Everolimus, Tablet, 10 mg (NDC 0093-7769-24)</v>
      </c>
      <c r="D685" s="5" t="str">
        <f>IFERROR(__xludf.DUMMYFUNCTION("""COMPUTED_VALUE"""),"New")</f>
        <v>New</v>
      </c>
      <c r="E685" s="10">
        <f>IFERROR(__xludf.DUMMYFUNCTION("""COMPUTED_VALUE"""),46083.0)</f>
        <v>46083</v>
      </c>
      <c r="F685" s="5"/>
      <c r="G685" s="5" t="str">
        <f>IFERROR(__xludf.DUMMYFUNCTION("""COMPUTED_VALUE"""),"Discontinuation of the manufacture of the drug")</f>
        <v>Discontinuation of the manufacture of the drug</v>
      </c>
      <c r="H685" s="5"/>
      <c r="I685" s="5"/>
      <c r="J685" s="5" t="str">
        <f>IFERROR(__xludf.DUMMYFUNCTION("""COMPUTED_VALUE"""),"Transplant")</f>
        <v>Transplant</v>
      </c>
      <c r="K685" s="5" t="str">
        <f>IFERROR(__xludf.DUMMYFUNCTION("""COMPUTED_VALUE"""),"To Be Discontinued")</f>
        <v>To Be Discontinued</v>
      </c>
      <c r="L685" s="5"/>
      <c r="M685" s="10">
        <f>IFERROR(__xludf.DUMMYFUNCTION("""COMPUTED_VALUE"""),46083.0)</f>
        <v>46083</v>
      </c>
      <c r="N685" s="10">
        <f>IFERROR(__xludf.DUMMYFUNCTION("""COMPUTED_VALUE"""),46083.0)</f>
        <v>46083</v>
      </c>
      <c r="O685" s="5">
        <v>2026.0</v>
      </c>
      <c r="P685" s="5" t="str">
        <f>IFERROR(__xludf.DUMMYFUNCTION("""COMPUTED_VALUE"""),"Not stated")</f>
        <v>Not stated</v>
      </c>
      <c r="Q685" s="5" t="s">
        <v>135</v>
      </c>
      <c r="R685" s="5" t="s">
        <v>136</v>
      </c>
      <c r="S685" s="11">
        <v>238.0</v>
      </c>
    </row>
    <row r="686">
      <c r="A686" s="5" t="str">
        <f>IFERROR(__xludf.DUMMYFUNCTION("""COMPUTED_VALUE"""),"Everolimus Tablet")</f>
        <v>Everolimus Tablet</v>
      </c>
      <c r="B686" s="5" t="str">
        <f>IFERROR(__xludf.DUMMYFUNCTION("""COMPUTED_VALUE"""),"Mylan Pharmaceuticals Inc., a Viatris Company")</f>
        <v>Mylan Pharmaceuticals Inc., a Viatris Company</v>
      </c>
      <c r="C686" s="5" t="str">
        <f>IFERROR(__xludf.DUMMYFUNCTION("""COMPUTED_VALUE"""),"Everolimus, Tablet, 2 mg (NDC 0378-0005-85)")</f>
        <v>Everolimus, Tablet, 2 mg (NDC 0378-0005-85)</v>
      </c>
      <c r="D686" s="5" t="str">
        <f>IFERROR(__xludf.DUMMYFUNCTION("""COMPUTED_VALUE"""),"New")</f>
        <v>New</v>
      </c>
      <c r="E686" s="10">
        <f>IFERROR(__xludf.DUMMYFUNCTION("""COMPUTED_VALUE"""),45964.0)</f>
        <v>45964</v>
      </c>
      <c r="F686" s="5"/>
      <c r="G686" s="5" t="str">
        <f>IFERROR(__xludf.DUMMYFUNCTION("""COMPUTED_VALUE"""),"Discontinuation of the manufacture of the drug")</f>
        <v>Discontinuation of the manufacture of the drug</v>
      </c>
      <c r="H686" s="5"/>
      <c r="I686" s="5"/>
      <c r="J686" s="5" t="str">
        <f>IFERROR(__xludf.DUMMYFUNCTION("""COMPUTED_VALUE"""),"Transplant")</f>
        <v>Transplant</v>
      </c>
      <c r="K686" s="5" t="str">
        <f>IFERROR(__xludf.DUMMYFUNCTION("""COMPUTED_VALUE"""),"To Be Discontinued")</f>
        <v>To Be Discontinued</v>
      </c>
      <c r="L686" s="5"/>
      <c r="M686" s="10">
        <f>IFERROR(__xludf.DUMMYFUNCTION("""COMPUTED_VALUE"""),45964.0)</f>
        <v>45964</v>
      </c>
      <c r="N686" s="10">
        <f>IFERROR(__xludf.DUMMYFUNCTION("""COMPUTED_VALUE"""),45964.0)</f>
        <v>45964</v>
      </c>
      <c r="O686" s="5">
        <v>2025.0</v>
      </c>
      <c r="P686" s="5" t="str">
        <f>IFERROR(__xludf.DUMMYFUNCTION("""COMPUTED_VALUE"""),"Not stated")</f>
        <v>Not stated</v>
      </c>
      <c r="Q686" s="5" t="s">
        <v>135</v>
      </c>
      <c r="R686" s="5" t="s">
        <v>136</v>
      </c>
      <c r="S686" s="11">
        <v>357.0</v>
      </c>
    </row>
    <row r="687">
      <c r="A687" s="5" t="str">
        <f>IFERROR(__xludf.DUMMYFUNCTION("""COMPUTED_VALUE"""),"Everolimus Tablet")</f>
        <v>Everolimus Tablet</v>
      </c>
      <c r="B687" s="5" t="str">
        <f>IFERROR(__xludf.DUMMYFUNCTION("""COMPUTED_VALUE"""),"Mylan Pharmaceuticals Inc., a Viatris Company")</f>
        <v>Mylan Pharmaceuticals Inc., a Viatris Company</v>
      </c>
      <c r="C687" s="5" t="str">
        <f>IFERROR(__xludf.DUMMYFUNCTION("""COMPUTED_VALUE"""),"Everolimus, Tablet, 3 mg (NDC 0378-0006-85)")</f>
        <v>Everolimus, Tablet, 3 mg (NDC 0378-0006-85)</v>
      </c>
      <c r="D687" s="5" t="str">
        <f>IFERROR(__xludf.DUMMYFUNCTION("""COMPUTED_VALUE"""),"New")</f>
        <v>New</v>
      </c>
      <c r="E687" s="10">
        <f>IFERROR(__xludf.DUMMYFUNCTION("""COMPUTED_VALUE"""),45964.0)</f>
        <v>45964</v>
      </c>
      <c r="F687" s="5"/>
      <c r="G687" s="5" t="str">
        <f>IFERROR(__xludf.DUMMYFUNCTION("""COMPUTED_VALUE"""),"Discontinuation of the manufacture of the drug")</f>
        <v>Discontinuation of the manufacture of the drug</v>
      </c>
      <c r="H687" s="5"/>
      <c r="I687" s="5"/>
      <c r="J687" s="5" t="str">
        <f>IFERROR(__xludf.DUMMYFUNCTION("""COMPUTED_VALUE"""),"Transplant")</f>
        <v>Transplant</v>
      </c>
      <c r="K687" s="5" t="str">
        <f>IFERROR(__xludf.DUMMYFUNCTION("""COMPUTED_VALUE"""),"To Be Discontinued")</f>
        <v>To Be Discontinued</v>
      </c>
      <c r="L687" s="5"/>
      <c r="M687" s="10">
        <f>IFERROR(__xludf.DUMMYFUNCTION("""COMPUTED_VALUE"""),45964.0)</f>
        <v>45964</v>
      </c>
      <c r="N687" s="10">
        <f>IFERROR(__xludf.DUMMYFUNCTION("""COMPUTED_VALUE"""),45964.0)</f>
        <v>45964</v>
      </c>
      <c r="O687" s="5">
        <v>2025.0</v>
      </c>
      <c r="P687" s="5" t="str">
        <f>IFERROR(__xludf.DUMMYFUNCTION("""COMPUTED_VALUE"""),"Not stated")</f>
        <v>Not stated</v>
      </c>
      <c r="Q687" s="5" t="s">
        <v>135</v>
      </c>
      <c r="R687" s="5" t="s">
        <v>136</v>
      </c>
      <c r="S687" s="11">
        <v>357.0</v>
      </c>
    </row>
    <row r="688">
      <c r="A688" s="5" t="str">
        <f>IFERROR(__xludf.DUMMYFUNCTION("""COMPUTED_VALUE"""),"Everolimus Tablet")</f>
        <v>Everolimus Tablet</v>
      </c>
      <c r="B688" s="5" t="str">
        <f>IFERROR(__xludf.DUMMYFUNCTION("""COMPUTED_VALUE"""),"Mylan Pharmaceuticals Inc., a Viatris Company")</f>
        <v>Mylan Pharmaceuticals Inc., a Viatris Company</v>
      </c>
      <c r="C688" s="5" t="str">
        <f>IFERROR(__xludf.DUMMYFUNCTION("""COMPUTED_VALUE"""),"Everolimus, Tablet, 5 mg (NDC 0378-0007-85)")</f>
        <v>Everolimus, Tablet, 5 mg (NDC 0378-0007-85)</v>
      </c>
      <c r="D688" s="5" t="str">
        <f>IFERROR(__xludf.DUMMYFUNCTION("""COMPUTED_VALUE"""),"New")</f>
        <v>New</v>
      </c>
      <c r="E688" s="10">
        <f>IFERROR(__xludf.DUMMYFUNCTION("""COMPUTED_VALUE"""),45964.0)</f>
        <v>45964</v>
      </c>
      <c r="F688" s="5"/>
      <c r="G688" s="5" t="str">
        <f>IFERROR(__xludf.DUMMYFUNCTION("""COMPUTED_VALUE"""),"Discontinuation of the manufacture of the drug")</f>
        <v>Discontinuation of the manufacture of the drug</v>
      </c>
      <c r="H688" s="5"/>
      <c r="I688" s="5"/>
      <c r="J688" s="5" t="str">
        <f>IFERROR(__xludf.DUMMYFUNCTION("""COMPUTED_VALUE"""),"Transplant")</f>
        <v>Transplant</v>
      </c>
      <c r="K688" s="5" t="str">
        <f>IFERROR(__xludf.DUMMYFUNCTION("""COMPUTED_VALUE"""),"To Be Discontinued")</f>
        <v>To Be Discontinued</v>
      </c>
      <c r="L688" s="5"/>
      <c r="M688" s="10">
        <f>IFERROR(__xludf.DUMMYFUNCTION("""COMPUTED_VALUE"""),45964.0)</f>
        <v>45964</v>
      </c>
      <c r="N688" s="10">
        <f>IFERROR(__xludf.DUMMYFUNCTION("""COMPUTED_VALUE"""),45964.0)</f>
        <v>45964</v>
      </c>
      <c r="O688" s="5">
        <v>2025.0</v>
      </c>
      <c r="P688" s="5" t="str">
        <f>IFERROR(__xludf.DUMMYFUNCTION("""COMPUTED_VALUE"""),"Not stated")</f>
        <v>Not stated</v>
      </c>
      <c r="Q688" s="5" t="s">
        <v>135</v>
      </c>
      <c r="R688" s="5" t="s">
        <v>136</v>
      </c>
      <c r="S688" s="11">
        <v>357.0</v>
      </c>
    </row>
    <row r="689">
      <c r="A689" s="5" t="str">
        <f>IFERROR(__xludf.DUMMYFUNCTION("""COMPUTED_VALUE"""),"Everolimus Tablet")</f>
        <v>Everolimus Tablet</v>
      </c>
      <c r="B689" s="5" t="str">
        <f>IFERROR(__xludf.DUMMYFUNCTION("""COMPUTED_VALUE"""),"Par Health, USA LLC")</f>
        <v>Par Health, USA LLC</v>
      </c>
      <c r="C689" s="5" t="str">
        <f>IFERROR(__xludf.DUMMYFUNCTION("""COMPUTED_VALUE"""),"Everolimus, Tablet, .25 mg (NDC 49884-158-02)")</f>
        <v>Everolimus, Tablet, .25 mg (NDC 49884-158-02)</v>
      </c>
      <c r="D689" s="5" t="str">
        <f>IFERROR(__xludf.DUMMYFUNCTION("""COMPUTED_VALUE"""),"New")</f>
        <v>New</v>
      </c>
      <c r="E689" s="13">
        <f>IFERROR(__xludf.DUMMYFUNCTION("""COMPUTED_VALUE"""),46309.0)</f>
        <v>46309</v>
      </c>
      <c r="F689" s="5"/>
      <c r="G689" s="5" t="str">
        <f>IFERROR(__xludf.DUMMYFUNCTION("""COMPUTED_VALUE"""),"A business decision was made to withdraw from sale.")</f>
        <v>A business decision was made to withdraw from sale.</v>
      </c>
      <c r="H689" s="5"/>
      <c r="I689" s="5"/>
      <c r="J689" s="5" t="str">
        <f>IFERROR(__xludf.DUMMYFUNCTION("""COMPUTED_VALUE"""),"Transplant")</f>
        <v>Transplant</v>
      </c>
      <c r="K689" s="5" t="str">
        <f>IFERROR(__xludf.DUMMYFUNCTION("""COMPUTED_VALUE"""),"To Be Discontinued")</f>
        <v>To Be Discontinued</v>
      </c>
      <c r="L689" s="5"/>
      <c r="M689" s="13">
        <f>IFERROR(__xludf.DUMMYFUNCTION("""COMPUTED_VALUE"""),46309.0)</f>
        <v>46309</v>
      </c>
      <c r="N689" s="13">
        <f>IFERROR(__xludf.DUMMYFUNCTION("""COMPUTED_VALUE"""),46309.0)</f>
        <v>46309</v>
      </c>
      <c r="O689" s="5">
        <v>2026.0</v>
      </c>
      <c r="P689" s="5" t="str">
        <f>IFERROR(__xludf.DUMMYFUNCTION("""COMPUTED_VALUE"""),"Not stated")</f>
        <v>Not stated</v>
      </c>
      <c r="Q689" s="5" t="s">
        <v>135</v>
      </c>
      <c r="R689" s="5" t="s">
        <v>136</v>
      </c>
      <c r="S689" s="11">
        <v>12.0</v>
      </c>
    </row>
    <row r="690">
      <c r="A690" s="5" t="str">
        <f>IFERROR(__xludf.DUMMYFUNCTION("""COMPUTED_VALUE"""),"Everolimus Tablet")</f>
        <v>Everolimus Tablet</v>
      </c>
      <c r="B690" s="5" t="str">
        <f>IFERROR(__xludf.DUMMYFUNCTION("""COMPUTED_VALUE"""),"Par Health, USA LLC")</f>
        <v>Par Health, USA LLC</v>
      </c>
      <c r="C690" s="5" t="str">
        <f>IFERROR(__xludf.DUMMYFUNCTION("""COMPUTED_VALUE"""),"Everolimus, Tablet, .5 mg (NDC 49884-159-02)")</f>
        <v>Everolimus, Tablet, .5 mg (NDC 49884-159-02)</v>
      </c>
      <c r="D690" s="5" t="str">
        <f>IFERROR(__xludf.DUMMYFUNCTION("""COMPUTED_VALUE"""),"New")</f>
        <v>New</v>
      </c>
      <c r="E690" s="13">
        <f>IFERROR(__xludf.DUMMYFUNCTION("""COMPUTED_VALUE"""),46309.0)</f>
        <v>46309</v>
      </c>
      <c r="F690" s="5"/>
      <c r="G690" s="5" t="str">
        <f>IFERROR(__xludf.DUMMYFUNCTION("""COMPUTED_VALUE"""),"A business decision was made to withdraw from sale.")</f>
        <v>A business decision was made to withdraw from sale.</v>
      </c>
      <c r="H690" s="5"/>
      <c r="I690" s="5"/>
      <c r="J690" s="5" t="str">
        <f>IFERROR(__xludf.DUMMYFUNCTION("""COMPUTED_VALUE"""),"Transplant")</f>
        <v>Transplant</v>
      </c>
      <c r="K690" s="5" t="str">
        <f>IFERROR(__xludf.DUMMYFUNCTION("""COMPUTED_VALUE"""),"To Be Discontinued")</f>
        <v>To Be Discontinued</v>
      </c>
      <c r="L690" s="5"/>
      <c r="M690" s="13">
        <f>IFERROR(__xludf.DUMMYFUNCTION("""COMPUTED_VALUE"""),46309.0)</f>
        <v>46309</v>
      </c>
      <c r="N690" s="13">
        <f>IFERROR(__xludf.DUMMYFUNCTION("""COMPUTED_VALUE"""),46309.0)</f>
        <v>46309</v>
      </c>
      <c r="O690" s="5">
        <v>2026.0</v>
      </c>
      <c r="P690" s="5" t="str">
        <f>IFERROR(__xludf.DUMMYFUNCTION("""COMPUTED_VALUE"""),"Not stated")</f>
        <v>Not stated</v>
      </c>
      <c r="Q690" s="5" t="s">
        <v>135</v>
      </c>
      <c r="R690" s="5" t="s">
        <v>136</v>
      </c>
      <c r="S690" s="11">
        <v>12.0</v>
      </c>
    </row>
    <row r="691">
      <c r="A691" s="5" t="str">
        <f>IFERROR(__xludf.DUMMYFUNCTION("""COMPUTED_VALUE"""),"Everolimus Tablet")</f>
        <v>Everolimus Tablet</v>
      </c>
      <c r="B691" s="5" t="str">
        <f>IFERROR(__xludf.DUMMYFUNCTION("""COMPUTED_VALUE"""),"Par Health, USA LLC")</f>
        <v>Par Health, USA LLC</v>
      </c>
      <c r="C691" s="5" t="str">
        <f>IFERROR(__xludf.DUMMYFUNCTION("""COMPUTED_VALUE"""),"Everolimus, Tablet, .75 mg (NDC 49884-160-02)")</f>
        <v>Everolimus, Tablet, .75 mg (NDC 49884-160-02)</v>
      </c>
      <c r="D691" s="5" t="str">
        <f>IFERROR(__xludf.DUMMYFUNCTION("""COMPUTED_VALUE"""),"New")</f>
        <v>New</v>
      </c>
      <c r="E691" s="13">
        <f>IFERROR(__xludf.DUMMYFUNCTION("""COMPUTED_VALUE"""),46309.0)</f>
        <v>46309</v>
      </c>
      <c r="F691" s="5"/>
      <c r="G691" s="5" t="str">
        <f>IFERROR(__xludf.DUMMYFUNCTION("""COMPUTED_VALUE"""),"A business decision was made to withdraw from sale.")</f>
        <v>A business decision was made to withdraw from sale.</v>
      </c>
      <c r="H691" s="5"/>
      <c r="I691" s="5"/>
      <c r="J691" s="5" t="str">
        <f>IFERROR(__xludf.DUMMYFUNCTION("""COMPUTED_VALUE"""),"Transplant")</f>
        <v>Transplant</v>
      </c>
      <c r="K691" s="5" t="str">
        <f>IFERROR(__xludf.DUMMYFUNCTION("""COMPUTED_VALUE"""),"To Be Discontinued")</f>
        <v>To Be Discontinued</v>
      </c>
      <c r="L691" s="5"/>
      <c r="M691" s="13">
        <f>IFERROR(__xludf.DUMMYFUNCTION("""COMPUTED_VALUE"""),46309.0)</f>
        <v>46309</v>
      </c>
      <c r="N691" s="13">
        <f>IFERROR(__xludf.DUMMYFUNCTION("""COMPUTED_VALUE"""),46309.0)</f>
        <v>46309</v>
      </c>
      <c r="O691" s="5">
        <v>2026.0</v>
      </c>
      <c r="P691" s="5" t="str">
        <f>IFERROR(__xludf.DUMMYFUNCTION("""COMPUTED_VALUE"""),"Not stated")</f>
        <v>Not stated</v>
      </c>
      <c r="Q691" s="5" t="s">
        <v>135</v>
      </c>
      <c r="R691" s="5" t="s">
        <v>136</v>
      </c>
      <c r="S691" s="11">
        <v>12.0</v>
      </c>
    </row>
    <row r="692">
      <c r="A692" s="5" t="str">
        <f>IFERROR(__xludf.DUMMYFUNCTION("""COMPUTED_VALUE"""),"Everolimus Tablet")</f>
        <v>Everolimus Tablet</v>
      </c>
      <c r="B692" s="5" t="str">
        <f>IFERROR(__xludf.DUMMYFUNCTION("""COMPUTED_VALUE"""),"Par Health, USA LLC")</f>
        <v>Par Health, USA LLC</v>
      </c>
      <c r="C692" s="5" t="str">
        <f>IFERROR(__xludf.DUMMYFUNCTION("""COMPUTED_VALUE"""),"Everolimus, Tablet, 1 mg (NDC 49884-283-02)")</f>
        <v>Everolimus, Tablet, 1 mg (NDC 49884-283-02)</v>
      </c>
      <c r="D692" s="5" t="str">
        <f>IFERROR(__xludf.DUMMYFUNCTION("""COMPUTED_VALUE"""),"New")</f>
        <v>New</v>
      </c>
      <c r="E692" s="13">
        <f>IFERROR(__xludf.DUMMYFUNCTION("""COMPUTED_VALUE"""),46309.0)</f>
        <v>46309</v>
      </c>
      <c r="F692" s="5"/>
      <c r="G692" s="5" t="str">
        <f>IFERROR(__xludf.DUMMYFUNCTION("""COMPUTED_VALUE"""),"A business decision was made to withdraw from sale.")</f>
        <v>A business decision was made to withdraw from sale.</v>
      </c>
      <c r="H692" s="5"/>
      <c r="I692" s="5"/>
      <c r="J692" s="5" t="str">
        <f>IFERROR(__xludf.DUMMYFUNCTION("""COMPUTED_VALUE"""),"Transplant")</f>
        <v>Transplant</v>
      </c>
      <c r="K692" s="5" t="str">
        <f>IFERROR(__xludf.DUMMYFUNCTION("""COMPUTED_VALUE"""),"To Be Discontinued")</f>
        <v>To Be Discontinued</v>
      </c>
      <c r="L692" s="5"/>
      <c r="M692" s="13">
        <f>IFERROR(__xludf.DUMMYFUNCTION("""COMPUTED_VALUE"""),46309.0)</f>
        <v>46309</v>
      </c>
      <c r="N692" s="13">
        <f>IFERROR(__xludf.DUMMYFUNCTION("""COMPUTED_VALUE"""),46309.0)</f>
        <v>46309</v>
      </c>
      <c r="O692" s="5">
        <v>2026.0</v>
      </c>
      <c r="P692" s="5" t="str">
        <f>IFERROR(__xludf.DUMMYFUNCTION("""COMPUTED_VALUE"""),"Not stated")</f>
        <v>Not stated</v>
      </c>
      <c r="Q692" s="5" t="s">
        <v>135</v>
      </c>
      <c r="R692" s="5" t="s">
        <v>136</v>
      </c>
      <c r="S692" s="11">
        <v>12.0</v>
      </c>
    </row>
    <row r="693">
      <c r="A693" s="5" t="str">
        <f>IFERROR(__xludf.DUMMYFUNCTION("""COMPUTED_VALUE"""),"Felodipine Tablet, Extended Release")</f>
        <v>Felodipine Tablet, Extended Release</v>
      </c>
      <c r="B693" s="5" t="str">
        <f>IFERROR(__xludf.DUMMYFUNCTION("""COMPUTED_VALUE"""),"Par Health, USA LLC")</f>
        <v>Par Health, USA LLC</v>
      </c>
      <c r="C693" s="5" t="str">
        <f>IFERROR(__xludf.DUMMYFUNCTION("""COMPUTED_VALUE"""),"Felodipine, Tablet, Extended Release, 2.5 mg (NDC 0603-3581-21)")</f>
        <v>Felodipine, Tablet, Extended Release, 2.5 mg (NDC 0603-3581-21)</v>
      </c>
      <c r="D693" s="5" t="str">
        <f>IFERROR(__xludf.DUMMYFUNCTION("""COMPUTED_VALUE"""),"New")</f>
        <v>New</v>
      </c>
      <c r="E693" s="10">
        <f>IFERROR(__xludf.DUMMYFUNCTION("""COMPUTED_VALUE"""),46302.0)</f>
        <v>46302</v>
      </c>
      <c r="F693" s="5"/>
      <c r="G693" s="5" t="str">
        <f>IFERROR(__xludf.DUMMYFUNCTION("""COMPUTED_VALUE"""),"Discontinuation in the manufacturing of the drug product")</f>
        <v>Discontinuation in the manufacturing of the drug product</v>
      </c>
      <c r="H693" s="5"/>
      <c r="I693" s="5"/>
      <c r="J693" s="5" t="str">
        <f>IFERROR(__xludf.DUMMYFUNCTION("""COMPUTED_VALUE"""),"Cardiovascular")</f>
        <v>Cardiovascular</v>
      </c>
      <c r="K693" s="5" t="str">
        <f>IFERROR(__xludf.DUMMYFUNCTION("""COMPUTED_VALUE"""),"To Be Discontinued")</f>
        <v>To Be Discontinued</v>
      </c>
      <c r="L693" s="5"/>
      <c r="M693" s="10">
        <f>IFERROR(__xludf.DUMMYFUNCTION("""COMPUTED_VALUE"""),46296.0)</f>
        <v>46296</v>
      </c>
      <c r="N693" s="10">
        <f>IFERROR(__xludf.DUMMYFUNCTION("""COMPUTED_VALUE"""),46302.0)</f>
        <v>46302</v>
      </c>
      <c r="O693" s="5">
        <v>2026.0</v>
      </c>
      <c r="P693" s="5" t="str">
        <f>IFERROR(__xludf.DUMMYFUNCTION("""COMPUTED_VALUE"""),"Not stated")</f>
        <v>Not stated</v>
      </c>
      <c r="Q693" s="5" t="s">
        <v>135</v>
      </c>
      <c r="R693" s="5" t="s">
        <v>136</v>
      </c>
      <c r="S693" s="11">
        <v>19.0</v>
      </c>
    </row>
    <row r="694">
      <c r="A694" s="5" t="str">
        <f>IFERROR(__xludf.DUMMYFUNCTION("""COMPUTED_VALUE"""),"Felodipine Tablet, Extended Release")</f>
        <v>Felodipine Tablet, Extended Release</v>
      </c>
      <c r="B694" s="5" t="str">
        <f>IFERROR(__xludf.DUMMYFUNCTION("""COMPUTED_VALUE"""),"Par Health, USA LLC")</f>
        <v>Par Health, USA LLC</v>
      </c>
      <c r="C694" s="5" t="str">
        <f>IFERROR(__xludf.DUMMYFUNCTION("""COMPUTED_VALUE"""),"Felodipine, Tablet, Extended Release, 2.5 mg (NDC 0603-3581-28)")</f>
        <v>Felodipine, Tablet, Extended Release, 2.5 mg (NDC 0603-3581-28)</v>
      </c>
      <c r="D694" s="5" t="str">
        <f>IFERROR(__xludf.DUMMYFUNCTION("""COMPUTED_VALUE"""),"New")</f>
        <v>New</v>
      </c>
      <c r="E694" s="10">
        <f>IFERROR(__xludf.DUMMYFUNCTION("""COMPUTED_VALUE"""),46302.0)</f>
        <v>46302</v>
      </c>
      <c r="F694" s="5"/>
      <c r="G694" s="5" t="str">
        <f>IFERROR(__xludf.DUMMYFUNCTION("""COMPUTED_VALUE"""),"Discontinuation in the manufacturing of the drug product")</f>
        <v>Discontinuation in the manufacturing of the drug product</v>
      </c>
      <c r="H694" s="5"/>
      <c r="I694" s="5"/>
      <c r="J694" s="5" t="str">
        <f>IFERROR(__xludf.DUMMYFUNCTION("""COMPUTED_VALUE"""),"Cardiovascular")</f>
        <v>Cardiovascular</v>
      </c>
      <c r="K694" s="5" t="str">
        <f>IFERROR(__xludf.DUMMYFUNCTION("""COMPUTED_VALUE"""),"To Be Discontinued")</f>
        <v>To Be Discontinued</v>
      </c>
      <c r="L694" s="5"/>
      <c r="M694" s="10">
        <f>IFERROR(__xludf.DUMMYFUNCTION("""COMPUTED_VALUE"""),46296.0)</f>
        <v>46296</v>
      </c>
      <c r="N694" s="10">
        <f>IFERROR(__xludf.DUMMYFUNCTION("""COMPUTED_VALUE"""),46302.0)</f>
        <v>46302</v>
      </c>
      <c r="O694" s="5">
        <v>2026.0</v>
      </c>
      <c r="P694" s="5" t="str">
        <f>IFERROR(__xludf.DUMMYFUNCTION("""COMPUTED_VALUE"""),"Not stated")</f>
        <v>Not stated</v>
      </c>
      <c r="Q694" s="5" t="s">
        <v>135</v>
      </c>
      <c r="R694" s="5" t="s">
        <v>136</v>
      </c>
      <c r="S694" s="11">
        <v>19.0</v>
      </c>
    </row>
    <row r="695">
      <c r="A695" s="5" t="str">
        <f>IFERROR(__xludf.DUMMYFUNCTION("""COMPUTED_VALUE"""),"Felodipine Tablet, Extended Release")</f>
        <v>Felodipine Tablet, Extended Release</v>
      </c>
      <c r="B695" s="5" t="str">
        <f>IFERROR(__xludf.DUMMYFUNCTION("""COMPUTED_VALUE"""),"Par Health, USA LLC")</f>
        <v>Par Health, USA LLC</v>
      </c>
      <c r="C695" s="5" t="str">
        <f>IFERROR(__xludf.DUMMYFUNCTION("""COMPUTED_VALUE"""),"Felodipine, Tablet, Extended Release, 5 mg (NDC 0603-3582-21)")</f>
        <v>Felodipine, Tablet, Extended Release, 5 mg (NDC 0603-3582-21)</v>
      </c>
      <c r="D695" s="5" t="str">
        <f>IFERROR(__xludf.DUMMYFUNCTION("""COMPUTED_VALUE"""),"New")</f>
        <v>New</v>
      </c>
      <c r="E695" s="10">
        <f>IFERROR(__xludf.DUMMYFUNCTION("""COMPUTED_VALUE"""),46302.0)</f>
        <v>46302</v>
      </c>
      <c r="F695" s="5"/>
      <c r="G695" s="5" t="str">
        <f>IFERROR(__xludf.DUMMYFUNCTION("""COMPUTED_VALUE"""),"Discontinuation in the manufacturing of the drug product")</f>
        <v>Discontinuation in the manufacturing of the drug product</v>
      </c>
      <c r="H695" s="5"/>
      <c r="I695" s="5"/>
      <c r="J695" s="5" t="str">
        <f>IFERROR(__xludf.DUMMYFUNCTION("""COMPUTED_VALUE"""),"Cardiovascular")</f>
        <v>Cardiovascular</v>
      </c>
      <c r="K695" s="5" t="str">
        <f>IFERROR(__xludf.DUMMYFUNCTION("""COMPUTED_VALUE"""),"To Be Discontinued")</f>
        <v>To Be Discontinued</v>
      </c>
      <c r="L695" s="5"/>
      <c r="M695" s="10">
        <f>IFERROR(__xludf.DUMMYFUNCTION("""COMPUTED_VALUE"""),46296.0)</f>
        <v>46296</v>
      </c>
      <c r="N695" s="10">
        <f>IFERROR(__xludf.DUMMYFUNCTION("""COMPUTED_VALUE"""),46302.0)</f>
        <v>46302</v>
      </c>
      <c r="O695" s="5">
        <v>2026.0</v>
      </c>
      <c r="P695" s="5" t="str">
        <f>IFERROR(__xludf.DUMMYFUNCTION("""COMPUTED_VALUE"""),"Not stated")</f>
        <v>Not stated</v>
      </c>
      <c r="Q695" s="5" t="s">
        <v>135</v>
      </c>
      <c r="R695" s="5" t="s">
        <v>136</v>
      </c>
      <c r="S695" s="11">
        <v>19.0</v>
      </c>
    </row>
    <row r="696">
      <c r="A696" s="5" t="str">
        <f>IFERROR(__xludf.DUMMYFUNCTION("""COMPUTED_VALUE"""),"Felodipine Tablet, Extended Release")</f>
        <v>Felodipine Tablet, Extended Release</v>
      </c>
      <c r="B696" s="5" t="str">
        <f>IFERROR(__xludf.DUMMYFUNCTION("""COMPUTED_VALUE"""),"Par Health, USA LLC")</f>
        <v>Par Health, USA LLC</v>
      </c>
      <c r="C696" s="5" t="str">
        <f>IFERROR(__xludf.DUMMYFUNCTION("""COMPUTED_VALUE"""),"Felodipine, Tablet, Extended Release, 5 mg (NDC 0603-3582-28)")</f>
        <v>Felodipine, Tablet, Extended Release, 5 mg (NDC 0603-3582-28)</v>
      </c>
      <c r="D696" s="5" t="str">
        <f>IFERROR(__xludf.DUMMYFUNCTION("""COMPUTED_VALUE"""),"New")</f>
        <v>New</v>
      </c>
      <c r="E696" s="10">
        <f>IFERROR(__xludf.DUMMYFUNCTION("""COMPUTED_VALUE"""),46302.0)</f>
        <v>46302</v>
      </c>
      <c r="F696" s="5"/>
      <c r="G696" s="5" t="str">
        <f>IFERROR(__xludf.DUMMYFUNCTION("""COMPUTED_VALUE"""),"Discontinuation in the manufacturing of the drug product")</f>
        <v>Discontinuation in the manufacturing of the drug product</v>
      </c>
      <c r="H696" s="5"/>
      <c r="I696" s="5"/>
      <c r="J696" s="5" t="str">
        <f>IFERROR(__xludf.DUMMYFUNCTION("""COMPUTED_VALUE"""),"Cardiovascular")</f>
        <v>Cardiovascular</v>
      </c>
      <c r="K696" s="5" t="str">
        <f>IFERROR(__xludf.DUMMYFUNCTION("""COMPUTED_VALUE"""),"To Be Discontinued")</f>
        <v>To Be Discontinued</v>
      </c>
      <c r="L696" s="5"/>
      <c r="M696" s="10">
        <f>IFERROR(__xludf.DUMMYFUNCTION("""COMPUTED_VALUE"""),46296.0)</f>
        <v>46296</v>
      </c>
      <c r="N696" s="10">
        <f>IFERROR(__xludf.DUMMYFUNCTION("""COMPUTED_VALUE"""),46302.0)</f>
        <v>46302</v>
      </c>
      <c r="O696" s="5">
        <v>2026.0</v>
      </c>
      <c r="P696" s="5" t="str">
        <f>IFERROR(__xludf.DUMMYFUNCTION("""COMPUTED_VALUE"""),"Not stated")</f>
        <v>Not stated</v>
      </c>
      <c r="Q696" s="5" t="s">
        <v>135</v>
      </c>
      <c r="R696" s="5" t="s">
        <v>136</v>
      </c>
      <c r="S696" s="11">
        <v>19.0</v>
      </c>
    </row>
    <row r="697">
      <c r="A697" s="5" t="str">
        <f>IFERROR(__xludf.DUMMYFUNCTION("""COMPUTED_VALUE"""),"Felodipine Tablet, Film Coated, Extended Release")</f>
        <v>Felodipine Tablet, Film Coated, Extended Release</v>
      </c>
      <c r="B697" s="5" t="str">
        <f>IFERROR(__xludf.DUMMYFUNCTION("""COMPUTED_VALUE"""),"Par Health, USA LLC")</f>
        <v>Par Health, USA LLC</v>
      </c>
      <c r="C697" s="5" t="str">
        <f>IFERROR(__xludf.DUMMYFUNCTION("""COMPUTED_VALUE"""),"Felodipine, Tablet, Film Coated, Extended Release, 10 mg (NDC 0603-3583-21)")</f>
        <v>Felodipine, Tablet, Film Coated, Extended Release, 10 mg (NDC 0603-3583-21)</v>
      </c>
      <c r="D697" s="5" t="str">
        <f>IFERROR(__xludf.DUMMYFUNCTION("""COMPUTED_VALUE"""),"New")</f>
        <v>New</v>
      </c>
      <c r="E697" s="10">
        <f>IFERROR(__xludf.DUMMYFUNCTION("""COMPUTED_VALUE"""),46302.0)</f>
        <v>46302</v>
      </c>
      <c r="F697" s="5"/>
      <c r="G697" s="5" t="str">
        <f>IFERROR(__xludf.DUMMYFUNCTION("""COMPUTED_VALUE"""),"Discontinuation in the manufacturing of the drug product")</f>
        <v>Discontinuation in the manufacturing of the drug product</v>
      </c>
      <c r="H697" s="5"/>
      <c r="I697" s="5"/>
      <c r="J697" s="5" t="str">
        <f>IFERROR(__xludf.DUMMYFUNCTION("""COMPUTED_VALUE"""),"Cardiovascular")</f>
        <v>Cardiovascular</v>
      </c>
      <c r="K697" s="5" t="str">
        <f>IFERROR(__xludf.DUMMYFUNCTION("""COMPUTED_VALUE"""),"To Be Discontinued")</f>
        <v>To Be Discontinued</v>
      </c>
      <c r="L697" s="5"/>
      <c r="M697" s="10">
        <f>IFERROR(__xludf.DUMMYFUNCTION("""COMPUTED_VALUE"""),46296.0)</f>
        <v>46296</v>
      </c>
      <c r="N697" s="10">
        <f>IFERROR(__xludf.DUMMYFUNCTION("""COMPUTED_VALUE"""),46302.0)</f>
        <v>46302</v>
      </c>
      <c r="O697" s="5">
        <v>2026.0</v>
      </c>
      <c r="P697" s="5" t="str">
        <f>IFERROR(__xludf.DUMMYFUNCTION("""COMPUTED_VALUE"""),"Not stated")</f>
        <v>Not stated</v>
      </c>
      <c r="Q697" s="5" t="s">
        <v>135</v>
      </c>
      <c r="R697" s="5" t="s">
        <v>136</v>
      </c>
      <c r="S697" s="11">
        <v>19.0</v>
      </c>
    </row>
    <row r="698">
      <c r="A698" s="5" t="str">
        <f>IFERROR(__xludf.DUMMYFUNCTION("""COMPUTED_VALUE"""),"Felodipine Tablet, Film Coated, Extended Release")</f>
        <v>Felodipine Tablet, Film Coated, Extended Release</v>
      </c>
      <c r="B698" s="5" t="str">
        <f>IFERROR(__xludf.DUMMYFUNCTION("""COMPUTED_VALUE"""),"Par Health, USA LLC")</f>
        <v>Par Health, USA LLC</v>
      </c>
      <c r="C698" s="5" t="str">
        <f>IFERROR(__xludf.DUMMYFUNCTION("""COMPUTED_VALUE"""),"Felodipine, Tablet, Film Coated, Extended Release, 10 mg (NDC 0603-3583-28)")</f>
        <v>Felodipine, Tablet, Film Coated, Extended Release, 10 mg (NDC 0603-3583-28)</v>
      </c>
      <c r="D698" s="5" t="str">
        <f>IFERROR(__xludf.DUMMYFUNCTION("""COMPUTED_VALUE"""),"New")</f>
        <v>New</v>
      </c>
      <c r="E698" s="10">
        <f>IFERROR(__xludf.DUMMYFUNCTION("""COMPUTED_VALUE"""),46302.0)</f>
        <v>46302</v>
      </c>
      <c r="F698" s="5"/>
      <c r="G698" s="5" t="str">
        <f>IFERROR(__xludf.DUMMYFUNCTION("""COMPUTED_VALUE"""),"Discontinuation in the manufacturing of the drug product")</f>
        <v>Discontinuation in the manufacturing of the drug product</v>
      </c>
      <c r="H698" s="5"/>
      <c r="I698" s="5"/>
      <c r="J698" s="5" t="str">
        <f>IFERROR(__xludf.DUMMYFUNCTION("""COMPUTED_VALUE"""),"Cardiovascular")</f>
        <v>Cardiovascular</v>
      </c>
      <c r="K698" s="5" t="str">
        <f>IFERROR(__xludf.DUMMYFUNCTION("""COMPUTED_VALUE"""),"To Be Discontinued")</f>
        <v>To Be Discontinued</v>
      </c>
      <c r="L698" s="5"/>
      <c r="M698" s="10">
        <f>IFERROR(__xludf.DUMMYFUNCTION("""COMPUTED_VALUE"""),46296.0)</f>
        <v>46296</v>
      </c>
      <c r="N698" s="10">
        <f>IFERROR(__xludf.DUMMYFUNCTION("""COMPUTED_VALUE"""),46302.0)</f>
        <v>46302</v>
      </c>
      <c r="O698" s="5">
        <v>2026.0</v>
      </c>
      <c r="P698" s="5" t="str">
        <f>IFERROR(__xludf.DUMMYFUNCTION("""COMPUTED_VALUE"""),"Not stated")</f>
        <v>Not stated</v>
      </c>
      <c r="Q698" s="5" t="s">
        <v>135</v>
      </c>
      <c r="R698" s="5" t="s">
        <v>136</v>
      </c>
      <c r="S698" s="11">
        <v>19.0</v>
      </c>
    </row>
    <row r="699">
      <c r="A699" s="5" t="str">
        <f>IFERROR(__xludf.DUMMYFUNCTION("""COMPUTED_VALUE"""),"Fentanyl Citrate Injection")</f>
        <v>Fentanyl Citrate Injection</v>
      </c>
      <c r="B699" s="5" t="str">
        <f>IFERROR(__xludf.DUMMYFUNCTION("""COMPUTED_VALUE"""),"Hospira, Inc., a Pfizer Company")</f>
        <v>Hospira, Inc., a Pfizer Company</v>
      </c>
      <c r="C699" s="5" t="str">
        <f>IFERROR(__xludf.DUMMYFUNCTION("""COMPUTED_VALUE"""),"Fentanyl Citrate, Injection, 2,500 mcg/50 mL (50 mcg/mL) Single Dose Glass Fliptop Vial (NDC 0409-9094-55)")</f>
        <v>Fentanyl Citrate, Injection, 2,500 mcg/50 mL (50 mcg/mL) Single Dose Glass Fliptop Vial (NDC 0409-9094-55)</v>
      </c>
      <c r="D699" s="5" t="str">
        <f>IFERROR(__xludf.DUMMYFUNCTION("""COMPUTED_VALUE"""),"Revised")</f>
        <v>Revised</v>
      </c>
      <c r="E699" s="13">
        <f>IFERROR(__xludf.DUMMYFUNCTION("""COMPUTED_VALUE"""),46316.0)</f>
        <v>46316</v>
      </c>
      <c r="F699" s="5" t="str">
        <f>IFERROR(__xludf.DUMMYFUNCTION("""COMPUTED_VALUE"""),"Available")</f>
        <v>Available</v>
      </c>
      <c r="G699" s="5"/>
      <c r="H699" s="5"/>
      <c r="I699" s="5"/>
      <c r="J699" s="5" t="str">
        <f>IFERROR(__xludf.DUMMYFUNCTION("""COMPUTED_VALUE"""),"Analgesia/Addiction; Pediatric")</f>
        <v>Analgesia/Addiction; Pediatric</v>
      </c>
      <c r="K699" s="5" t="str">
        <f>IFERROR(__xludf.DUMMYFUNCTION("""COMPUTED_VALUE"""),"Current")</f>
        <v>Current</v>
      </c>
      <c r="L699" s="5"/>
      <c r="M699" s="5"/>
      <c r="N699" s="10">
        <f>IFERROR(__xludf.DUMMYFUNCTION("""COMPUTED_VALUE"""),40909.0)</f>
        <v>40909</v>
      </c>
      <c r="O699" s="5">
        <v>2012.0</v>
      </c>
      <c r="P699" s="5" t="str">
        <f>IFERROR(__xludf.DUMMYFUNCTION("""COMPUTED_VALUE"""),"Available")</f>
        <v>Available</v>
      </c>
      <c r="Q699" s="5" t="s">
        <v>135</v>
      </c>
      <c r="R699" s="5" t="s">
        <v>136</v>
      </c>
      <c r="S699" s="11">
        <v>5412.0</v>
      </c>
    </row>
    <row r="700">
      <c r="A700" s="5" t="str">
        <f>IFERROR(__xludf.DUMMYFUNCTION("""COMPUTED_VALUE"""),"Fentanyl Citrate Injection")</f>
        <v>Fentanyl Citrate Injection</v>
      </c>
      <c r="B700" s="5" t="str">
        <f>IFERROR(__xludf.DUMMYFUNCTION("""COMPUTED_VALUE"""),"Hikma Pharmaceuticals USA, Inc.")</f>
        <v>Hikma Pharmaceuticals USA, Inc.</v>
      </c>
      <c r="C700" s="5" t="str">
        <f>IFERROR(__xludf.DUMMYFUNCTION("""COMPUTED_VALUE"""),"Fentanyl Citrate, Injection, 50 mcg/1 mL (NDC 0641-6247-25)")</f>
        <v>Fentanyl Citrate, Injection, 50 mcg/1 mL (NDC 0641-6247-25)</v>
      </c>
      <c r="D700" s="5" t="str">
        <f>IFERROR(__xludf.DUMMYFUNCTION("""COMPUTED_VALUE"""),"Reverified")</f>
        <v>Reverified</v>
      </c>
      <c r="E700" s="13">
        <f>IFERROR(__xludf.DUMMYFUNCTION("""COMPUTED_VALUE"""),46309.0)</f>
        <v>46309</v>
      </c>
      <c r="F700" s="5" t="str">
        <f>IFERROR(__xludf.DUMMYFUNCTION("""COMPUTED_VALUE"""),"Available")</f>
        <v>Available</v>
      </c>
      <c r="G700" s="5" t="str">
        <f>IFERROR(__xludf.DUMMYFUNCTION("""COMPUTED_VALUE"""),"Additional lots will be scheduled for manufacturing to meet demand.  Product will be made available as it is released.")</f>
        <v>Additional lots will be scheduled for manufacturing to meet demand.  Product will be made available as it is released.</v>
      </c>
      <c r="H700" s="5"/>
      <c r="I700" s="5"/>
      <c r="J700" s="5" t="str">
        <f>IFERROR(__xludf.DUMMYFUNCTION("""COMPUTED_VALUE"""),"Analgesia/Addiction; Pediatric")</f>
        <v>Analgesia/Addiction; Pediatric</v>
      </c>
      <c r="K700" s="5" t="str">
        <f>IFERROR(__xludf.DUMMYFUNCTION("""COMPUTED_VALUE"""),"Current")</f>
        <v>Current</v>
      </c>
      <c r="L700" s="5"/>
      <c r="M700" s="5"/>
      <c r="N700" s="13">
        <f>IFERROR(__xludf.DUMMYFUNCTION("""COMPUTED_VALUE"""),45280.0)</f>
        <v>45280</v>
      </c>
      <c r="O700" s="5">
        <v>2023.0</v>
      </c>
      <c r="P700" s="5" t="str">
        <f>IFERROR(__xludf.DUMMYFUNCTION("""COMPUTED_VALUE"""),"Available")</f>
        <v>Available</v>
      </c>
      <c r="Q700" s="5" t="s">
        <v>135</v>
      </c>
      <c r="R700" s="5" t="s">
        <v>136</v>
      </c>
      <c r="S700" s="11">
        <v>1041.0</v>
      </c>
    </row>
    <row r="701">
      <c r="A701" s="5" t="str">
        <f>IFERROR(__xludf.DUMMYFUNCTION("""COMPUTED_VALUE"""),"Fentanyl Citrate Injection")</f>
        <v>Fentanyl Citrate Injection</v>
      </c>
      <c r="B701" s="5" t="str">
        <f>IFERROR(__xludf.DUMMYFUNCTION("""COMPUTED_VALUE"""),"Fresenius Kabi USA, LLC")</f>
        <v>Fresenius Kabi USA, LLC</v>
      </c>
      <c r="C701" s="5" t="str">
        <f>IFERROR(__xludf.DUMMYFUNCTION("""COMPUTED_VALUE"""),"Fentanyl Citrate, Injection, 50 ug/1 mL (NDC 63323-808-11)")</f>
        <v>Fentanyl Citrate, Injection, 50 ug/1 mL (NDC 63323-808-11)</v>
      </c>
      <c r="D701" s="5" t="str">
        <f>IFERROR(__xludf.DUMMYFUNCTION("""COMPUTED_VALUE"""),"Reverified")</f>
        <v>Reverified</v>
      </c>
      <c r="E701" s="13">
        <f>IFERROR(__xludf.DUMMYFUNCTION("""COMPUTED_VALUE"""),46310.0)</f>
        <v>46310</v>
      </c>
      <c r="F701" s="5" t="str">
        <f>IFERROR(__xludf.DUMMYFUNCTION("""COMPUTED_VALUE"""),"Available")</f>
        <v>Available</v>
      </c>
      <c r="G701" s="5" t="str">
        <f>IFERROR(__xludf.DUMMYFUNCTION("""COMPUTED_VALUE"""),"Check wholesalers for inventory")</f>
        <v>Check wholesalers for inventory</v>
      </c>
      <c r="H701" s="5"/>
      <c r="I701" s="5"/>
      <c r="J701" s="5" t="str">
        <f>IFERROR(__xludf.DUMMYFUNCTION("""COMPUTED_VALUE"""),"Analgesia/Addiction; Pediatric")</f>
        <v>Analgesia/Addiction; Pediatric</v>
      </c>
      <c r="K701" s="5" t="str">
        <f>IFERROR(__xludf.DUMMYFUNCTION("""COMPUTED_VALUE"""),"Current")</f>
        <v>Current</v>
      </c>
      <c r="L701" s="5"/>
      <c r="M701" s="5"/>
      <c r="N701" s="10">
        <f>IFERROR(__xludf.DUMMYFUNCTION("""COMPUTED_VALUE"""),40909.0)</f>
        <v>40909</v>
      </c>
      <c r="O701" s="5">
        <v>2012.0</v>
      </c>
      <c r="P701" s="5" t="str">
        <f>IFERROR(__xludf.DUMMYFUNCTION("""COMPUTED_VALUE"""),"Available")</f>
        <v>Available</v>
      </c>
      <c r="Q701" s="5" t="s">
        <v>135</v>
      </c>
      <c r="R701" s="5" t="s">
        <v>136</v>
      </c>
      <c r="S701" s="11">
        <v>5412.0</v>
      </c>
    </row>
    <row r="702">
      <c r="A702" s="5" t="str">
        <f>IFERROR(__xludf.DUMMYFUNCTION("""COMPUTED_VALUE"""),"Fentanyl Citrate Injection")</f>
        <v>Fentanyl Citrate Injection</v>
      </c>
      <c r="B702" s="5" t="str">
        <f>IFERROR(__xludf.DUMMYFUNCTION("""COMPUTED_VALUE"""),"Hospira, Inc., a Pfizer Company")</f>
        <v>Hospira, Inc., a Pfizer Company</v>
      </c>
      <c r="C702" s="5" t="str">
        <f>IFERROR(__xludf.DUMMYFUNCTION("""COMPUTED_VALUE"""),"Fentanyl Citrate, Injection, 100 mcg/2 mL (50 ug/1 mL) (NDC 0409-9094-22)")</f>
        <v>Fentanyl Citrate, Injection, 100 mcg/2 mL (50 ug/1 mL) (NDC 0409-9094-22)</v>
      </c>
      <c r="D702" s="5" t="str">
        <f>IFERROR(__xludf.DUMMYFUNCTION("""COMPUTED_VALUE"""),"Revised")</f>
        <v>Revised</v>
      </c>
      <c r="E702" s="13">
        <f>IFERROR(__xludf.DUMMYFUNCTION("""COMPUTED_VALUE"""),46316.0)</f>
        <v>46316</v>
      </c>
      <c r="F702" s="5" t="str">
        <f>IFERROR(__xludf.DUMMYFUNCTION("""COMPUTED_VALUE"""),"Available")</f>
        <v>Available</v>
      </c>
      <c r="G702" s="5"/>
      <c r="H702" s="5"/>
      <c r="I702" s="5"/>
      <c r="J702" s="5" t="str">
        <f>IFERROR(__xludf.DUMMYFUNCTION("""COMPUTED_VALUE"""),"Analgesia/Addiction; Pediatric")</f>
        <v>Analgesia/Addiction; Pediatric</v>
      </c>
      <c r="K702" s="5" t="str">
        <f>IFERROR(__xludf.DUMMYFUNCTION("""COMPUTED_VALUE"""),"Current")</f>
        <v>Current</v>
      </c>
      <c r="L702" s="5"/>
      <c r="M702" s="5"/>
      <c r="N702" s="10">
        <f>IFERROR(__xludf.DUMMYFUNCTION("""COMPUTED_VALUE"""),40909.0)</f>
        <v>40909</v>
      </c>
      <c r="O702" s="5">
        <v>2012.0</v>
      </c>
      <c r="P702" s="5" t="str">
        <f>IFERROR(__xludf.DUMMYFUNCTION("""COMPUTED_VALUE"""),"Available")</f>
        <v>Available</v>
      </c>
      <c r="Q702" s="5" t="s">
        <v>135</v>
      </c>
      <c r="R702" s="5" t="s">
        <v>136</v>
      </c>
      <c r="S702" s="11">
        <v>5412.0</v>
      </c>
    </row>
    <row r="703">
      <c r="A703" s="5" t="str">
        <f>IFERROR(__xludf.DUMMYFUNCTION("""COMPUTED_VALUE"""),"Fentanyl Citrate Injection")</f>
        <v>Fentanyl Citrate Injection</v>
      </c>
      <c r="B703" s="5" t="str">
        <f>IFERROR(__xludf.DUMMYFUNCTION("""COMPUTED_VALUE"""),"Hospira, Inc., a Pfizer Company")</f>
        <v>Hospira, Inc., a Pfizer Company</v>
      </c>
      <c r="C703" s="5" t="str">
        <f>IFERROR(__xludf.DUMMYFUNCTION("""COMPUTED_VALUE"""),"Fentanyl Citrate, Injection, 250 mcg/5 mL (50 ug/1 mL) (NDC 0409-9094-25)")</f>
        <v>Fentanyl Citrate, Injection, 250 mcg/5 mL (50 ug/1 mL) (NDC 0409-9094-25)</v>
      </c>
      <c r="D703" s="5" t="str">
        <f>IFERROR(__xludf.DUMMYFUNCTION("""COMPUTED_VALUE"""),"Revised")</f>
        <v>Revised</v>
      </c>
      <c r="E703" s="13">
        <f>IFERROR(__xludf.DUMMYFUNCTION("""COMPUTED_VALUE"""),46316.0)</f>
        <v>46316</v>
      </c>
      <c r="F703" s="5" t="str">
        <f>IFERROR(__xludf.DUMMYFUNCTION("""COMPUTED_VALUE"""),"Limited Availability")</f>
        <v>Limited Availability</v>
      </c>
      <c r="G703" s="5" t="str">
        <f>IFERROR(__xludf.DUMMYFUNCTION("""COMPUTED_VALUE"""),"Limited Supply Available. Next Delivery: October 2026; Estimated Recovery: December 2026")</f>
        <v>Limited Supply Available. Next Delivery: October 2026; Estimated Recovery: December 2026</v>
      </c>
      <c r="H703" s="5"/>
      <c r="I703" s="5" t="str">
        <f>IFERROR(__xludf.DUMMYFUNCTION("""COMPUTED_VALUE"""),"Demand increase for the drug")</f>
        <v>Demand increase for the drug</v>
      </c>
      <c r="J703" s="5" t="str">
        <f>IFERROR(__xludf.DUMMYFUNCTION("""COMPUTED_VALUE"""),"Analgesia/Addiction; Pediatric")</f>
        <v>Analgesia/Addiction; Pediatric</v>
      </c>
      <c r="K703" s="5" t="str">
        <f>IFERROR(__xludf.DUMMYFUNCTION("""COMPUTED_VALUE"""),"Current")</f>
        <v>Current</v>
      </c>
      <c r="L703" s="5"/>
      <c r="M703" s="5"/>
      <c r="N703" s="10">
        <f>IFERROR(__xludf.DUMMYFUNCTION("""COMPUTED_VALUE"""),40909.0)</f>
        <v>40909</v>
      </c>
      <c r="O703" s="5">
        <v>2012.0</v>
      </c>
      <c r="P703" s="5" t="str">
        <f>IFERROR(__xludf.DUMMYFUNCTION("""COMPUTED_VALUE"""),"Limited Availability")</f>
        <v>Limited Availability</v>
      </c>
      <c r="Q703" s="5" t="s">
        <v>134</v>
      </c>
      <c r="R703" s="5" t="s">
        <v>136</v>
      </c>
      <c r="S703" s="11">
        <v>5412.0</v>
      </c>
    </row>
    <row r="704">
      <c r="A704" s="5" t="str">
        <f>IFERROR(__xludf.DUMMYFUNCTION("""COMPUTED_VALUE"""),"Fentanyl Citrate Injection")</f>
        <v>Fentanyl Citrate Injection</v>
      </c>
      <c r="B704" s="5" t="str">
        <f>IFERROR(__xludf.DUMMYFUNCTION("""COMPUTED_VALUE"""),"Hospira, Inc., a Pfizer Company")</f>
        <v>Hospira, Inc., a Pfizer Company</v>
      </c>
      <c r="C704" s="5" t="str">
        <f>IFERROR(__xludf.DUMMYFUNCTION("""COMPUTED_VALUE"""),"Fentanyl Citrate, Injection, 500 mcg/10 mL (50 ug/1 mL) (NDC 0409-9094-28)")</f>
        <v>Fentanyl Citrate, Injection, 500 mcg/10 mL (50 ug/1 mL) (NDC 0409-9094-28)</v>
      </c>
      <c r="D704" s="5" t="str">
        <f>IFERROR(__xludf.DUMMYFUNCTION("""COMPUTED_VALUE"""),"Revised")</f>
        <v>Revised</v>
      </c>
      <c r="E704" s="13">
        <f>IFERROR(__xludf.DUMMYFUNCTION("""COMPUTED_VALUE"""),46316.0)</f>
        <v>46316</v>
      </c>
      <c r="F704" s="5" t="str">
        <f>IFERROR(__xludf.DUMMYFUNCTION("""COMPUTED_VALUE"""),"Limited Availability")</f>
        <v>Limited Availability</v>
      </c>
      <c r="G704" s="5" t="str">
        <f>IFERROR(__xludf.DUMMYFUNCTION("""COMPUTED_VALUE"""),"Limited Supply Available. Next Delivery: October 2026; Estimated Recovery: December 2026")</f>
        <v>Limited Supply Available. Next Delivery: October 2026; Estimated Recovery: December 2026</v>
      </c>
      <c r="H704" s="5"/>
      <c r="I704" s="5" t="str">
        <f>IFERROR(__xludf.DUMMYFUNCTION("""COMPUTED_VALUE"""),"Demand increase for the drug")</f>
        <v>Demand increase for the drug</v>
      </c>
      <c r="J704" s="5" t="str">
        <f>IFERROR(__xludf.DUMMYFUNCTION("""COMPUTED_VALUE"""),"Analgesia/Addiction; Pediatric")</f>
        <v>Analgesia/Addiction; Pediatric</v>
      </c>
      <c r="K704" s="5" t="str">
        <f>IFERROR(__xludf.DUMMYFUNCTION("""COMPUTED_VALUE"""),"Current")</f>
        <v>Current</v>
      </c>
      <c r="L704" s="5"/>
      <c r="M704" s="5"/>
      <c r="N704" s="10">
        <f>IFERROR(__xludf.DUMMYFUNCTION("""COMPUTED_VALUE"""),40909.0)</f>
        <v>40909</v>
      </c>
      <c r="O704" s="5">
        <v>2012.0</v>
      </c>
      <c r="P704" s="5" t="str">
        <f>IFERROR(__xludf.DUMMYFUNCTION("""COMPUTED_VALUE"""),"Limited Availability")</f>
        <v>Limited Availability</v>
      </c>
      <c r="Q704" s="5" t="s">
        <v>134</v>
      </c>
      <c r="R704" s="5" t="s">
        <v>136</v>
      </c>
      <c r="S704" s="11">
        <v>5412.0</v>
      </c>
    </row>
    <row r="705">
      <c r="A705" s="5" t="str">
        <f>IFERROR(__xludf.DUMMYFUNCTION("""COMPUTED_VALUE"""),"Fentanyl Citrate Injection")</f>
        <v>Fentanyl Citrate Injection</v>
      </c>
      <c r="B705" s="5" t="str">
        <f>IFERROR(__xludf.DUMMYFUNCTION("""COMPUTED_VALUE"""),"Hospira, Inc., a Pfizer Company")</f>
        <v>Hospira, Inc., a Pfizer Company</v>
      </c>
      <c r="C705" s="5" t="str">
        <f>IFERROR(__xludf.DUMMYFUNCTION("""COMPUTED_VALUE"""),"Fentanyl Citrate, Injection, 1000 mcg/20 mL (50 ug/1 mL) (NDC 0409-9094-31)")</f>
        <v>Fentanyl Citrate, Injection, 1000 mcg/20 mL (50 ug/1 mL) (NDC 0409-9094-31)</v>
      </c>
      <c r="D705" s="5" t="str">
        <f>IFERROR(__xludf.DUMMYFUNCTION("""COMPUTED_VALUE"""),"Revised")</f>
        <v>Revised</v>
      </c>
      <c r="E705" s="13">
        <f>IFERROR(__xludf.DUMMYFUNCTION("""COMPUTED_VALUE"""),46316.0)</f>
        <v>46316</v>
      </c>
      <c r="F705" s="5" t="str">
        <f>IFERROR(__xludf.DUMMYFUNCTION("""COMPUTED_VALUE"""),"Limited Availability")</f>
        <v>Limited Availability</v>
      </c>
      <c r="G705" s="5" t="str">
        <f>IFERROR(__xludf.DUMMYFUNCTION("""COMPUTED_VALUE"""),"Limited Supply Available. Next Delivery: November 2026; Estimated Recovery: December 2026")</f>
        <v>Limited Supply Available. Next Delivery: November 2026; Estimated Recovery: December 2026</v>
      </c>
      <c r="H705" s="5"/>
      <c r="I705" s="5" t="str">
        <f>IFERROR(__xludf.DUMMYFUNCTION("""COMPUTED_VALUE"""),"Demand increase for the drug")</f>
        <v>Demand increase for the drug</v>
      </c>
      <c r="J705" s="5" t="str">
        <f>IFERROR(__xludf.DUMMYFUNCTION("""COMPUTED_VALUE"""),"Analgesia/Addiction; Pediatric")</f>
        <v>Analgesia/Addiction; Pediatric</v>
      </c>
      <c r="K705" s="5" t="str">
        <f>IFERROR(__xludf.DUMMYFUNCTION("""COMPUTED_VALUE"""),"Current")</f>
        <v>Current</v>
      </c>
      <c r="L705" s="5"/>
      <c r="M705" s="5"/>
      <c r="N705" s="10">
        <f>IFERROR(__xludf.DUMMYFUNCTION("""COMPUTED_VALUE"""),40909.0)</f>
        <v>40909</v>
      </c>
      <c r="O705" s="5">
        <v>2012.0</v>
      </c>
      <c r="P705" s="5" t="str">
        <f>IFERROR(__xludf.DUMMYFUNCTION("""COMPUTED_VALUE"""),"Limited Availability")</f>
        <v>Limited Availability</v>
      </c>
      <c r="Q705" s="5" t="s">
        <v>134</v>
      </c>
      <c r="R705" s="5" t="s">
        <v>136</v>
      </c>
      <c r="S705" s="11">
        <v>5412.0</v>
      </c>
    </row>
    <row r="706">
      <c r="A706" s="5" t="str">
        <f>IFERROR(__xludf.DUMMYFUNCTION("""COMPUTED_VALUE"""),"Fentanyl Citrate Injection")</f>
        <v>Fentanyl Citrate Injection</v>
      </c>
      <c r="B706" s="5" t="str">
        <f>IFERROR(__xludf.DUMMYFUNCTION("""COMPUTED_VALUE"""),"Hospira, Inc., a Pfizer Company")</f>
        <v>Hospira, Inc., a Pfizer Company</v>
      </c>
      <c r="C706" s="5" t="str">
        <f>IFERROR(__xludf.DUMMYFUNCTION("""COMPUTED_VALUE"""),"Fentanyl Citrate, Injection, 2500 mcg/50 mL (50 ug/1 mL) (NDC 0409-9094-61)")</f>
        <v>Fentanyl Citrate, Injection, 2500 mcg/50 mL (50 ug/1 mL) (NDC 0409-9094-61)</v>
      </c>
      <c r="D706" s="5" t="str">
        <f>IFERROR(__xludf.DUMMYFUNCTION("""COMPUTED_VALUE"""),"Revised")</f>
        <v>Revised</v>
      </c>
      <c r="E706" s="13">
        <f>IFERROR(__xludf.DUMMYFUNCTION("""COMPUTED_VALUE"""),46316.0)</f>
        <v>46316</v>
      </c>
      <c r="F706" s="5" t="str">
        <f>IFERROR(__xludf.DUMMYFUNCTION("""COMPUTED_VALUE"""),"Available")</f>
        <v>Available</v>
      </c>
      <c r="G706" s="5"/>
      <c r="H706" s="5"/>
      <c r="I706" s="5"/>
      <c r="J706" s="5" t="str">
        <f>IFERROR(__xludf.DUMMYFUNCTION("""COMPUTED_VALUE"""),"Analgesia/Addiction; Pediatric")</f>
        <v>Analgesia/Addiction; Pediatric</v>
      </c>
      <c r="K706" s="5" t="str">
        <f>IFERROR(__xludf.DUMMYFUNCTION("""COMPUTED_VALUE"""),"Current")</f>
        <v>Current</v>
      </c>
      <c r="L706" s="5"/>
      <c r="M706" s="5"/>
      <c r="N706" s="10">
        <f>IFERROR(__xludf.DUMMYFUNCTION("""COMPUTED_VALUE"""),40909.0)</f>
        <v>40909</v>
      </c>
      <c r="O706" s="5">
        <v>2012.0</v>
      </c>
      <c r="P706" s="5" t="str">
        <f>IFERROR(__xludf.DUMMYFUNCTION("""COMPUTED_VALUE"""),"Available")</f>
        <v>Available</v>
      </c>
      <c r="Q706" s="5" t="s">
        <v>135</v>
      </c>
      <c r="R706" s="5" t="s">
        <v>136</v>
      </c>
      <c r="S706" s="11">
        <v>5412.0</v>
      </c>
    </row>
    <row r="707">
      <c r="A707" s="5" t="str">
        <f>IFERROR(__xludf.DUMMYFUNCTION("""COMPUTED_VALUE"""),"Fentanyl Citrate Injection")</f>
        <v>Fentanyl Citrate Injection</v>
      </c>
      <c r="B707" s="5" t="str">
        <f>IFERROR(__xludf.DUMMYFUNCTION("""COMPUTED_VALUE"""),"Hikma Pharmaceuticals USA, Inc.")</f>
        <v>Hikma Pharmaceuticals USA, Inc.</v>
      </c>
      <c r="C707" s="5" t="str">
        <f>IFERROR(__xludf.DUMMYFUNCTION("""COMPUTED_VALUE"""),"Fentanyl Citrate, Injection, 50 ug/1 mL (NDC 0641-6024-10)")</f>
        <v>Fentanyl Citrate, Injection, 50 ug/1 mL (NDC 0641-6024-10)</v>
      </c>
      <c r="D707" s="5" t="str">
        <f>IFERROR(__xludf.DUMMYFUNCTION("""COMPUTED_VALUE"""),"Reverified")</f>
        <v>Reverified</v>
      </c>
      <c r="E707" s="13">
        <f>IFERROR(__xludf.DUMMYFUNCTION("""COMPUTED_VALUE"""),46309.0)</f>
        <v>46309</v>
      </c>
      <c r="F707" s="5" t="str">
        <f>IFERROR(__xludf.DUMMYFUNCTION("""COMPUTED_VALUE"""),"Unavailable")</f>
        <v>Unavailable</v>
      </c>
      <c r="G707" s="5" t="str">
        <f>IFERROR(__xludf.DUMMYFUNCTION("""COMPUTED_VALUE"""),"Inventory available in vial presentations.")</f>
        <v>Inventory available in vial presentations.</v>
      </c>
      <c r="H707" s="5"/>
      <c r="I707" s="5" t="str">
        <f>IFERROR(__xludf.DUMMYFUNCTION("""COMPUTED_VALUE"""),"Other")</f>
        <v>Other</v>
      </c>
      <c r="J707" s="5" t="str">
        <f>IFERROR(__xludf.DUMMYFUNCTION("""COMPUTED_VALUE"""),"Analgesia/Addiction; Pediatric")</f>
        <v>Analgesia/Addiction; Pediatric</v>
      </c>
      <c r="K707" s="5" t="str">
        <f>IFERROR(__xludf.DUMMYFUNCTION("""COMPUTED_VALUE"""),"Current")</f>
        <v>Current</v>
      </c>
      <c r="L707" s="5"/>
      <c r="M707" s="5"/>
      <c r="N707" s="13">
        <f>IFERROR(__xludf.DUMMYFUNCTION("""COMPUTED_VALUE"""),45280.0)</f>
        <v>45280</v>
      </c>
      <c r="O707" s="5">
        <v>2023.0</v>
      </c>
      <c r="P707" s="5" t="str">
        <f>IFERROR(__xludf.DUMMYFUNCTION("""COMPUTED_VALUE"""),"Unavailable")</f>
        <v>Unavailable</v>
      </c>
      <c r="Q707" s="5" t="s">
        <v>47</v>
      </c>
      <c r="R707" s="5" t="s">
        <v>136</v>
      </c>
      <c r="S707" s="11">
        <v>1041.0</v>
      </c>
    </row>
    <row r="708">
      <c r="A708" s="5" t="str">
        <f>IFERROR(__xludf.DUMMYFUNCTION("""COMPUTED_VALUE"""),"Fentanyl Citrate Injection")</f>
        <v>Fentanyl Citrate Injection</v>
      </c>
      <c r="B708" s="5" t="str">
        <f>IFERROR(__xludf.DUMMYFUNCTION("""COMPUTED_VALUE"""),"Hikma Pharmaceuticals USA, Inc.")</f>
        <v>Hikma Pharmaceuticals USA, Inc.</v>
      </c>
      <c r="C708" s="5" t="str">
        <f>IFERROR(__xludf.DUMMYFUNCTION("""COMPUTED_VALUE"""),"Fentanyl Citrate, Injection, 50 ug/1 mL (NDC 0641-6025-10)")</f>
        <v>Fentanyl Citrate, Injection, 50 ug/1 mL (NDC 0641-6025-10)</v>
      </c>
      <c r="D708" s="5" t="str">
        <f>IFERROR(__xludf.DUMMYFUNCTION("""COMPUTED_VALUE"""),"Reverified")</f>
        <v>Reverified</v>
      </c>
      <c r="E708" s="13">
        <f>IFERROR(__xludf.DUMMYFUNCTION("""COMPUTED_VALUE"""),46309.0)</f>
        <v>46309</v>
      </c>
      <c r="F708" s="5" t="str">
        <f>IFERROR(__xludf.DUMMYFUNCTION("""COMPUTED_VALUE"""),"Unavailable")</f>
        <v>Unavailable</v>
      </c>
      <c r="G708" s="5" t="str">
        <f>IFERROR(__xludf.DUMMYFUNCTION("""COMPUTED_VALUE"""),"Inventory available in vial presentations.")</f>
        <v>Inventory available in vial presentations.</v>
      </c>
      <c r="H708" s="5"/>
      <c r="I708" s="5" t="str">
        <f>IFERROR(__xludf.DUMMYFUNCTION("""COMPUTED_VALUE"""),"Other")</f>
        <v>Other</v>
      </c>
      <c r="J708" s="5" t="str">
        <f>IFERROR(__xludf.DUMMYFUNCTION("""COMPUTED_VALUE"""),"Analgesia/Addiction; Pediatric")</f>
        <v>Analgesia/Addiction; Pediatric</v>
      </c>
      <c r="K708" s="5" t="str">
        <f>IFERROR(__xludf.DUMMYFUNCTION("""COMPUTED_VALUE"""),"Current")</f>
        <v>Current</v>
      </c>
      <c r="L708" s="5"/>
      <c r="M708" s="5"/>
      <c r="N708" s="13">
        <f>IFERROR(__xludf.DUMMYFUNCTION("""COMPUTED_VALUE"""),45280.0)</f>
        <v>45280</v>
      </c>
      <c r="O708" s="5">
        <v>2023.0</v>
      </c>
      <c r="P708" s="5" t="str">
        <f>IFERROR(__xludf.DUMMYFUNCTION("""COMPUTED_VALUE"""),"Unavailable")</f>
        <v>Unavailable</v>
      </c>
      <c r="Q708" s="5" t="s">
        <v>47</v>
      </c>
      <c r="R708" s="5" t="s">
        <v>136</v>
      </c>
      <c r="S708" s="11">
        <v>1041.0</v>
      </c>
    </row>
    <row r="709">
      <c r="A709" s="5" t="str">
        <f>IFERROR(__xludf.DUMMYFUNCTION("""COMPUTED_VALUE"""),"Fentanyl Citrate Injection")</f>
        <v>Fentanyl Citrate Injection</v>
      </c>
      <c r="B709" s="5" t="str">
        <f>IFERROR(__xludf.DUMMYFUNCTION("""COMPUTED_VALUE"""),"Hikma Pharmaceuticals USA, Inc.")</f>
        <v>Hikma Pharmaceuticals USA, Inc.</v>
      </c>
      <c r="C709" s="5" t="str">
        <f>IFERROR(__xludf.DUMMYFUNCTION("""COMPUTED_VALUE"""),"Fentanyl Citrate, Injection, 50 ug/1 mL (NDC 0641-6026-05)")</f>
        <v>Fentanyl Citrate, Injection, 50 ug/1 mL (NDC 0641-6026-05)</v>
      </c>
      <c r="D709" s="5" t="str">
        <f>IFERROR(__xludf.DUMMYFUNCTION("""COMPUTED_VALUE"""),"Reverified")</f>
        <v>Reverified</v>
      </c>
      <c r="E709" s="13">
        <f>IFERROR(__xludf.DUMMYFUNCTION("""COMPUTED_VALUE"""),46309.0)</f>
        <v>46309</v>
      </c>
      <c r="F709" s="5" t="str">
        <f>IFERROR(__xludf.DUMMYFUNCTION("""COMPUTED_VALUE"""),"Unavailable")</f>
        <v>Unavailable</v>
      </c>
      <c r="G709" s="5" t="str">
        <f>IFERROR(__xludf.DUMMYFUNCTION("""COMPUTED_VALUE"""),"Inventory available in vial presentations.")</f>
        <v>Inventory available in vial presentations.</v>
      </c>
      <c r="H709" s="5"/>
      <c r="I709" s="5" t="str">
        <f>IFERROR(__xludf.DUMMYFUNCTION("""COMPUTED_VALUE"""),"Other")</f>
        <v>Other</v>
      </c>
      <c r="J709" s="5" t="str">
        <f>IFERROR(__xludf.DUMMYFUNCTION("""COMPUTED_VALUE"""),"Analgesia/Addiction; Pediatric")</f>
        <v>Analgesia/Addiction; Pediatric</v>
      </c>
      <c r="K709" s="5" t="str">
        <f>IFERROR(__xludf.DUMMYFUNCTION("""COMPUTED_VALUE"""),"Current")</f>
        <v>Current</v>
      </c>
      <c r="L709" s="5"/>
      <c r="M709" s="5"/>
      <c r="N709" s="13">
        <f>IFERROR(__xludf.DUMMYFUNCTION("""COMPUTED_VALUE"""),45280.0)</f>
        <v>45280</v>
      </c>
      <c r="O709" s="5">
        <v>2023.0</v>
      </c>
      <c r="P709" s="5" t="str">
        <f>IFERROR(__xludf.DUMMYFUNCTION("""COMPUTED_VALUE"""),"Unavailable")</f>
        <v>Unavailable</v>
      </c>
      <c r="Q709" s="5" t="s">
        <v>47</v>
      </c>
      <c r="R709" s="5" t="s">
        <v>136</v>
      </c>
      <c r="S709" s="11">
        <v>1041.0</v>
      </c>
    </row>
    <row r="710">
      <c r="A710" s="5" t="str">
        <f>IFERROR(__xludf.DUMMYFUNCTION("""COMPUTED_VALUE"""),"Fentanyl Citrate Injection")</f>
        <v>Fentanyl Citrate Injection</v>
      </c>
      <c r="B710" s="5" t="str">
        <f>IFERROR(__xludf.DUMMYFUNCTION("""COMPUTED_VALUE"""),"Hikma Pharmaceuticals USA, Inc.")</f>
        <v>Hikma Pharmaceuticals USA, Inc.</v>
      </c>
      <c r="C710" s="5" t="str">
        <f>IFERROR(__xludf.DUMMYFUNCTION("""COMPUTED_VALUE"""),"Fentanyl Citrate, Injection, 50 mcg/1 mL (NDC 0641-6027-25)")</f>
        <v>Fentanyl Citrate, Injection, 50 mcg/1 mL (NDC 0641-6027-25)</v>
      </c>
      <c r="D710" s="5" t="str">
        <f>IFERROR(__xludf.DUMMYFUNCTION("""COMPUTED_VALUE"""),"Reverified")</f>
        <v>Reverified</v>
      </c>
      <c r="E710" s="13">
        <f>IFERROR(__xludf.DUMMYFUNCTION("""COMPUTED_VALUE"""),46309.0)</f>
        <v>46309</v>
      </c>
      <c r="F710" s="5" t="str">
        <f>IFERROR(__xludf.DUMMYFUNCTION("""COMPUTED_VALUE"""),"Available")</f>
        <v>Available</v>
      </c>
      <c r="G710" s="5" t="str">
        <f>IFERROR(__xludf.DUMMYFUNCTION("""COMPUTED_VALUE"""),"Additional lots will be scheduled for manufacturing to meet demand.  Product will be made available as it is released.")</f>
        <v>Additional lots will be scheduled for manufacturing to meet demand.  Product will be made available as it is released.</v>
      </c>
      <c r="H710" s="5"/>
      <c r="I710" s="5"/>
      <c r="J710" s="5" t="str">
        <f>IFERROR(__xludf.DUMMYFUNCTION("""COMPUTED_VALUE"""),"Analgesia/Addiction; Pediatric")</f>
        <v>Analgesia/Addiction; Pediatric</v>
      </c>
      <c r="K710" s="5" t="str">
        <f>IFERROR(__xludf.DUMMYFUNCTION("""COMPUTED_VALUE"""),"Current")</f>
        <v>Current</v>
      </c>
      <c r="L710" s="5"/>
      <c r="M710" s="5"/>
      <c r="N710" s="13">
        <f>IFERROR(__xludf.DUMMYFUNCTION("""COMPUTED_VALUE"""),45280.0)</f>
        <v>45280</v>
      </c>
      <c r="O710" s="5">
        <v>2023.0</v>
      </c>
      <c r="P710" s="5" t="str">
        <f>IFERROR(__xludf.DUMMYFUNCTION("""COMPUTED_VALUE"""),"Available")</f>
        <v>Available</v>
      </c>
      <c r="Q710" s="5" t="s">
        <v>135</v>
      </c>
      <c r="R710" s="5" t="s">
        <v>136</v>
      </c>
      <c r="S710" s="11">
        <v>1041.0</v>
      </c>
    </row>
    <row r="711">
      <c r="A711" s="5" t="str">
        <f>IFERROR(__xludf.DUMMYFUNCTION("""COMPUTED_VALUE"""),"Fentanyl Citrate Injection")</f>
        <v>Fentanyl Citrate Injection</v>
      </c>
      <c r="B711" s="5" t="str">
        <f>IFERROR(__xludf.DUMMYFUNCTION("""COMPUTED_VALUE"""),"Hikma Pharmaceuticals USA, Inc.")</f>
        <v>Hikma Pharmaceuticals USA, Inc.</v>
      </c>
      <c r="C711" s="5" t="str">
        <f>IFERROR(__xludf.DUMMYFUNCTION("""COMPUTED_VALUE"""),"Fentanyl Citrate, Injection, 50 mcg/1 mL (NDC 0641-6028-25)")</f>
        <v>Fentanyl Citrate, Injection, 50 mcg/1 mL (NDC 0641-6028-25)</v>
      </c>
      <c r="D711" s="5" t="str">
        <f>IFERROR(__xludf.DUMMYFUNCTION("""COMPUTED_VALUE"""),"Reverified")</f>
        <v>Reverified</v>
      </c>
      <c r="E711" s="13">
        <f>IFERROR(__xludf.DUMMYFUNCTION("""COMPUTED_VALUE"""),46309.0)</f>
        <v>46309</v>
      </c>
      <c r="F711" s="5" t="str">
        <f>IFERROR(__xludf.DUMMYFUNCTION("""COMPUTED_VALUE"""),"Available")</f>
        <v>Available</v>
      </c>
      <c r="G711" s="5" t="str">
        <f>IFERROR(__xludf.DUMMYFUNCTION("""COMPUTED_VALUE"""),"Additional lots will be scheduled for manufacturing to meet demand.  Product will be made available as it is released.")</f>
        <v>Additional lots will be scheduled for manufacturing to meet demand.  Product will be made available as it is released.</v>
      </c>
      <c r="H711" s="5"/>
      <c r="I711" s="5"/>
      <c r="J711" s="5" t="str">
        <f>IFERROR(__xludf.DUMMYFUNCTION("""COMPUTED_VALUE"""),"Analgesia/Addiction; Pediatric")</f>
        <v>Analgesia/Addiction; Pediatric</v>
      </c>
      <c r="K711" s="5" t="str">
        <f>IFERROR(__xludf.DUMMYFUNCTION("""COMPUTED_VALUE"""),"Current")</f>
        <v>Current</v>
      </c>
      <c r="L711" s="5"/>
      <c r="M711" s="5"/>
      <c r="N711" s="13">
        <f>IFERROR(__xludf.DUMMYFUNCTION("""COMPUTED_VALUE"""),45280.0)</f>
        <v>45280</v>
      </c>
      <c r="O711" s="5">
        <v>2023.0</v>
      </c>
      <c r="P711" s="5" t="str">
        <f>IFERROR(__xludf.DUMMYFUNCTION("""COMPUTED_VALUE"""),"Available")</f>
        <v>Available</v>
      </c>
      <c r="Q711" s="5" t="s">
        <v>135</v>
      </c>
      <c r="R711" s="5" t="s">
        <v>136</v>
      </c>
      <c r="S711" s="11">
        <v>1041.0</v>
      </c>
    </row>
    <row r="712">
      <c r="A712" s="5" t="str">
        <f>IFERROR(__xludf.DUMMYFUNCTION("""COMPUTED_VALUE"""),"Fentanyl Citrate Injection")</f>
        <v>Fentanyl Citrate Injection</v>
      </c>
      <c r="B712" s="5" t="str">
        <f>IFERROR(__xludf.DUMMYFUNCTION("""COMPUTED_VALUE"""),"Hikma Pharmaceuticals USA, Inc.")</f>
        <v>Hikma Pharmaceuticals USA, Inc.</v>
      </c>
      <c r="C712" s="5" t="str">
        <f>IFERROR(__xludf.DUMMYFUNCTION("""COMPUTED_VALUE"""),"Fentanyl Citrate, Injection, 50 mcg/1 mL (NDC 0641-6029-25)")</f>
        <v>Fentanyl Citrate, Injection, 50 mcg/1 mL (NDC 0641-6029-25)</v>
      </c>
      <c r="D712" s="5" t="str">
        <f>IFERROR(__xludf.DUMMYFUNCTION("""COMPUTED_VALUE"""),"Reverified")</f>
        <v>Reverified</v>
      </c>
      <c r="E712" s="13">
        <f>IFERROR(__xludf.DUMMYFUNCTION("""COMPUTED_VALUE"""),46309.0)</f>
        <v>46309</v>
      </c>
      <c r="F712" s="5" t="str">
        <f>IFERROR(__xludf.DUMMYFUNCTION("""COMPUTED_VALUE"""),"Available")</f>
        <v>Available</v>
      </c>
      <c r="G712" s="5" t="str">
        <f>IFERROR(__xludf.DUMMYFUNCTION("""COMPUTED_VALUE"""),"Additional lots will be scheduled for manufacturing to meet demand.  Product will be made available as it is released.")</f>
        <v>Additional lots will be scheduled for manufacturing to meet demand.  Product will be made available as it is released.</v>
      </c>
      <c r="H712" s="5"/>
      <c r="I712" s="5"/>
      <c r="J712" s="5" t="str">
        <f>IFERROR(__xludf.DUMMYFUNCTION("""COMPUTED_VALUE"""),"Analgesia/Addiction; Pediatric")</f>
        <v>Analgesia/Addiction; Pediatric</v>
      </c>
      <c r="K712" s="5" t="str">
        <f>IFERROR(__xludf.DUMMYFUNCTION("""COMPUTED_VALUE"""),"Current")</f>
        <v>Current</v>
      </c>
      <c r="L712" s="5"/>
      <c r="M712" s="5"/>
      <c r="N712" s="13">
        <f>IFERROR(__xludf.DUMMYFUNCTION("""COMPUTED_VALUE"""),45280.0)</f>
        <v>45280</v>
      </c>
      <c r="O712" s="5">
        <v>2023.0</v>
      </c>
      <c r="P712" s="5" t="str">
        <f>IFERROR(__xludf.DUMMYFUNCTION("""COMPUTED_VALUE"""),"Available")</f>
        <v>Available</v>
      </c>
      <c r="Q712" s="5" t="s">
        <v>135</v>
      </c>
      <c r="R712" s="5" t="s">
        <v>136</v>
      </c>
      <c r="S712" s="11">
        <v>1041.0</v>
      </c>
    </row>
    <row r="713">
      <c r="A713" s="5" t="str">
        <f>IFERROR(__xludf.DUMMYFUNCTION("""COMPUTED_VALUE"""),"Fentanyl Citrate Injection")</f>
        <v>Fentanyl Citrate Injection</v>
      </c>
      <c r="B713" s="5" t="str">
        <f>IFERROR(__xludf.DUMMYFUNCTION("""COMPUTED_VALUE"""),"Hikma Pharmaceuticals USA, Inc.")</f>
        <v>Hikma Pharmaceuticals USA, Inc.</v>
      </c>
      <c r="C713" s="5" t="str">
        <f>IFERROR(__xludf.DUMMYFUNCTION("""COMPUTED_VALUE"""),"Fentanyl Citrate, Injection, 50 mcg/1 mL (NDC 0641-6030-01)")</f>
        <v>Fentanyl Citrate, Injection, 50 mcg/1 mL (NDC 0641-6030-01)</v>
      </c>
      <c r="D713" s="5" t="str">
        <f>IFERROR(__xludf.DUMMYFUNCTION("""COMPUTED_VALUE"""),"Reverified")</f>
        <v>Reverified</v>
      </c>
      <c r="E713" s="13">
        <f>IFERROR(__xludf.DUMMYFUNCTION("""COMPUTED_VALUE"""),46309.0)</f>
        <v>46309</v>
      </c>
      <c r="F713" s="5" t="str">
        <f>IFERROR(__xludf.DUMMYFUNCTION("""COMPUTED_VALUE"""),"Available")</f>
        <v>Available</v>
      </c>
      <c r="G713" s="5" t="str">
        <f>IFERROR(__xludf.DUMMYFUNCTION("""COMPUTED_VALUE"""),"Additional lots will be scheduled for manufacturing to meet demand.  Product will be made available as it is released.")</f>
        <v>Additional lots will be scheduled for manufacturing to meet demand.  Product will be made available as it is released.</v>
      </c>
      <c r="H713" s="5"/>
      <c r="I713" s="5"/>
      <c r="J713" s="5" t="str">
        <f>IFERROR(__xludf.DUMMYFUNCTION("""COMPUTED_VALUE"""),"Analgesia/Addiction; Pediatric")</f>
        <v>Analgesia/Addiction; Pediatric</v>
      </c>
      <c r="K713" s="5" t="str">
        <f>IFERROR(__xludf.DUMMYFUNCTION("""COMPUTED_VALUE"""),"Current")</f>
        <v>Current</v>
      </c>
      <c r="L713" s="5"/>
      <c r="M713" s="5"/>
      <c r="N713" s="13">
        <f>IFERROR(__xludf.DUMMYFUNCTION("""COMPUTED_VALUE"""),45280.0)</f>
        <v>45280</v>
      </c>
      <c r="O713" s="5">
        <v>2023.0</v>
      </c>
      <c r="P713" s="5" t="str">
        <f>IFERROR(__xludf.DUMMYFUNCTION("""COMPUTED_VALUE"""),"Available")</f>
        <v>Available</v>
      </c>
      <c r="Q713" s="5" t="s">
        <v>135</v>
      </c>
      <c r="R713" s="5" t="s">
        <v>136</v>
      </c>
      <c r="S713" s="11">
        <v>1041.0</v>
      </c>
    </row>
    <row r="714">
      <c r="A714" s="5" t="str">
        <f>IFERROR(__xludf.DUMMYFUNCTION("""COMPUTED_VALUE"""),"Fentanyl Citrate Injection")</f>
        <v>Fentanyl Citrate Injection</v>
      </c>
      <c r="B714" s="5" t="str">
        <f>IFERROR(__xludf.DUMMYFUNCTION("""COMPUTED_VALUE"""),"Fresenius Kabi USA, LLC")</f>
        <v>Fresenius Kabi USA, LLC</v>
      </c>
      <c r="C714" s="5" t="str">
        <f>IFERROR(__xludf.DUMMYFUNCTION("""COMPUTED_VALUE"""),"Fentanyl Citrate Preservative Free, Injection, .05 mg/1 mL (NDC 63323-806-20)")</f>
        <v>Fentanyl Citrate Preservative Free, Injection, .05 mg/1 mL (NDC 63323-806-20)</v>
      </c>
      <c r="D714" s="5" t="str">
        <f>IFERROR(__xludf.DUMMYFUNCTION("""COMPUTED_VALUE"""),"Reverified")</f>
        <v>Reverified</v>
      </c>
      <c r="E714" s="13">
        <f>IFERROR(__xludf.DUMMYFUNCTION("""COMPUTED_VALUE"""),46310.0)</f>
        <v>46310</v>
      </c>
      <c r="F714" s="5" t="str">
        <f>IFERROR(__xludf.DUMMYFUNCTION("""COMPUTED_VALUE"""),"Available")</f>
        <v>Available</v>
      </c>
      <c r="G714" s="5" t="str">
        <f>IFERROR(__xludf.DUMMYFUNCTION("""COMPUTED_VALUE"""),"Check wholesalers for inventory")</f>
        <v>Check wholesalers for inventory</v>
      </c>
      <c r="H714" s="5"/>
      <c r="I714" s="5"/>
      <c r="J714" s="5" t="str">
        <f>IFERROR(__xludf.DUMMYFUNCTION("""COMPUTED_VALUE"""),"Analgesia/Addiction; Pediatric")</f>
        <v>Analgesia/Addiction; Pediatric</v>
      </c>
      <c r="K714" s="5" t="str">
        <f>IFERROR(__xludf.DUMMYFUNCTION("""COMPUTED_VALUE"""),"Current")</f>
        <v>Current</v>
      </c>
      <c r="L714" s="5"/>
      <c r="M714" s="5"/>
      <c r="N714" s="10">
        <f>IFERROR(__xludf.DUMMYFUNCTION("""COMPUTED_VALUE"""),40909.0)</f>
        <v>40909</v>
      </c>
      <c r="O714" s="5">
        <v>2012.0</v>
      </c>
      <c r="P714" s="5" t="str">
        <f>IFERROR(__xludf.DUMMYFUNCTION("""COMPUTED_VALUE"""),"Available")</f>
        <v>Available</v>
      </c>
      <c r="Q714" s="5" t="s">
        <v>135</v>
      </c>
      <c r="R714" s="5" t="s">
        <v>136</v>
      </c>
      <c r="S714" s="11">
        <v>5412.0</v>
      </c>
    </row>
    <row r="715">
      <c r="A715" s="5" t="str">
        <f>IFERROR(__xludf.DUMMYFUNCTION("""COMPUTED_VALUE"""),"Fentanyl Citrate Injection")</f>
        <v>Fentanyl Citrate Injection</v>
      </c>
      <c r="B715" s="5" t="str">
        <f>IFERROR(__xludf.DUMMYFUNCTION("""COMPUTED_VALUE"""),"Fresenius Kabi USA, LLC")</f>
        <v>Fresenius Kabi USA, LLC</v>
      </c>
      <c r="C715" s="5" t="str">
        <f>IFERROR(__xludf.DUMMYFUNCTION("""COMPUTED_VALUE"""),"Fentanyl Citrate Preservative Free, Injection, .05 mg/1 mL (NDC 63323-806-50)")</f>
        <v>Fentanyl Citrate Preservative Free, Injection, .05 mg/1 mL (NDC 63323-806-50)</v>
      </c>
      <c r="D715" s="5" t="str">
        <f>IFERROR(__xludf.DUMMYFUNCTION("""COMPUTED_VALUE"""),"Reverified")</f>
        <v>Reverified</v>
      </c>
      <c r="E715" s="13">
        <f>IFERROR(__xludf.DUMMYFUNCTION("""COMPUTED_VALUE"""),46310.0)</f>
        <v>46310</v>
      </c>
      <c r="F715" s="5" t="str">
        <f>IFERROR(__xludf.DUMMYFUNCTION("""COMPUTED_VALUE"""),"Available")</f>
        <v>Available</v>
      </c>
      <c r="G715" s="5" t="str">
        <f>IFERROR(__xludf.DUMMYFUNCTION("""COMPUTED_VALUE"""),"Check wholesalers for inventory")</f>
        <v>Check wholesalers for inventory</v>
      </c>
      <c r="H715" s="5"/>
      <c r="I715" s="5"/>
      <c r="J715" s="5" t="str">
        <f>IFERROR(__xludf.DUMMYFUNCTION("""COMPUTED_VALUE"""),"Analgesia/Addiction; Pediatric")</f>
        <v>Analgesia/Addiction; Pediatric</v>
      </c>
      <c r="K715" s="5" t="str">
        <f>IFERROR(__xludf.DUMMYFUNCTION("""COMPUTED_VALUE"""),"Current")</f>
        <v>Current</v>
      </c>
      <c r="L715" s="5"/>
      <c r="M715" s="5"/>
      <c r="N715" s="10">
        <f>IFERROR(__xludf.DUMMYFUNCTION("""COMPUTED_VALUE"""),40909.0)</f>
        <v>40909</v>
      </c>
      <c r="O715" s="5">
        <v>2012.0</v>
      </c>
      <c r="P715" s="5" t="str">
        <f>IFERROR(__xludf.DUMMYFUNCTION("""COMPUTED_VALUE"""),"Available")</f>
        <v>Available</v>
      </c>
      <c r="Q715" s="5" t="s">
        <v>135</v>
      </c>
      <c r="R715" s="5" t="s">
        <v>136</v>
      </c>
      <c r="S715" s="11">
        <v>5412.0</v>
      </c>
    </row>
    <row r="716">
      <c r="A716" s="5" t="str">
        <f>IFERROR(__xludf.DUMMYFUNCTION("""COMPUTED_VALUE"""),"Fentanyl Citrate Injection")</f>
        <v>Fentanyl Citrate Injection</v>
      </c>
      <c r="B716" s="5" t="str">
        <f>IFERROR(__xludf.DUMMYFUNCTION("""COMPUTED_VALUE"""),"Fresenius Kabi USA, LLC")</f>
        <v>Fresenius Kabi USA, LLC</v>
      </c>
      <c r="C716" s="5" t="str">
        <f>IFERROR(__xludf.DUMMYFUNCTION("""COMPUTED_VALUE"""),"Fentanyl Citrate Preservative Free, Injection, .05 mg/1 mL (NDC 63323-806-01)")</f>
        <v>Fentanyl Citrate Preservative Free, Injection, .05 mg/1 mL (NDC 63323-806-01)</v>
      </c>
      <c r="D716" s="5" t="str">
        <f>IFERROR(__xludf.DUMMYFUNCTION("""COMPUTED_VALUE"""),"Reverified")</f>
        <v>Reverified</v>
      </c>
      <c r="E716" s="13">
        <f>IFERROR(__xludf.DUMMYFUNCTION("""COMPUTED_VALUE"""),46310.0)</f>
        <v>46310</v>
      </c>
      <c r="F716" s="5" t="str">
        <f>IFERROR(__xludf.DUMMYFUNCTION("""COMPUTED_VALUE"""),"Available")</f>
        <v>Available</v>
      </c>
      <c r="G716" s="5" t="str">
        <f>IFERROR(__xludf.DUMMYFUNCTION("""COMPUTED_VALUE"""),"Check wholesalers for inventory")</f>
        <v>Check wholesalers for inventory</v>
      </c>
      <c r="H716" s="5"/>
      <c r="I716" s="5"/>
      <c r="J716" s="5" t="str">
        <f>IFERROR(__xludf.DUMMYFUNCTION("""COMPUTED_VALUE"""),"Analgesia/Addiction; Pediatric")</f>
        <v>Analgesia/Addiction; Pediatric</v>
      </c>
      <c r="K716" s="5" t="str">
        <f>IFERROR(__xludf.DUMMYFUNCTION("""COMPUTED_VALUE"""),"Current")</f>
        <v>Current</v>
      </c>
      <c r="L716" s="5"/>
      <c r="M716" s="5"/>
      <c r="N716" s="10">
        <f>IFERROR(__xludf.DUMMYFUNCTION("""COMPUTED_VALUE"""),40909.0)</f>
        <v>40909</v>
      </c>
      <c r="O716" s="5">
        <v>2012.0</v>
      </c>
      <c r="P716" s="5" t="str">
        <f>IFERROR(__xludf.DUMMYFUNCTION("""COMPUTED_VALUE"""),"Available")</f>
        <v>Available</v>
      </c>
      <c r="Q716" s="5" t="s">
        <v>135</v>
      </c>
      <c r="R716" s="5" t="s">
        <v>136</v>
      </c>
      <c r="S716" s="11">
        <v>5412.0</v>
      </c>
    </row>
    <row r="717">
      <c r="A717" s="5" t="str">
        <f>IFERROR(__xludf.DUMMYFUNCTION("""COMPUTED_VALUE"""),"Fentanyl Citrate Injection")</f>
        <v>Fentanyl Citrate Injection</v>
      </c>
      <c r="B717" s="5" t="str">
        <f>IFERROR(__xludf.DUMMYFUNCTION("""COMPUTED_VALUE"""),"Fresenius Kabi USA, LLC")</f>
        <v>Fresenius Kabi USA, LLC</v>
      </c>
      <c r="C717" s="5" t="str">
        <f>IFERROR(__xludf.DUMMYFUNCTION("""COMPUTED_VALUE"""),"Fentanyl Citrate Preservative Free, Injection, .05 mg/1 mL (NDC 63323-806-02)")</f>
        <v>Fentanyl Citrate Preservative Free, Injection, .05 mg/1 mL (NDC 63323-806-02)</v>
      </c>
      <c r="D717" s="5" t="str">
        <f>IFERROR(__xludf.DUMMYFUNCTION("""COMPUTED_VALUE"""),"Reverified")</f>
        <v>Reverified</v>
      </c>
      <c r="E717" s="13">
        <f>IFERROR(__xludf.DUMMYFUNCTION("""COMPUTED_VALUE"""),46310.0)</f>
        <v>46310</v>
      </c>
      <c r="F717" s="5" t="str">
        <f>IFERROR(__xludf.DUMMYFUNCTION("""COMPUTED_VALUE"""),"Available")</f>
        <v>Available</v>
      </c>
      <c r="G717" s="5" t="str">
        <f>IFERROR(__xludf.DUMMYFUNCTION("""COMPUTED_VALUE"""),"Check wholesalers for inventory")</f>
        <v>Check wholesalers for inventory</v>
      </c>
      <c r="H717" s="5"/>
      <c r="I717" s="5"/>
      <c r="J717" s="5" t="str">
        <f>IFERROR(__xludf.DUMMYFUNCTION("""COMPUTED_VALUE"""),"Analgesia/Addiction; Pediatric")</f>
        <v>Analgesia/Addiction; Pediatric</v>
      </c>
      <c r="K717" s="5" t="str">
        <f>IFERROR(__xludf.DUMMYFUNCTION("""COMPUTED_VALUE"""),"Current")</f>
        <v>Current</v>
      </c>
      <c r="L717" s="5"/>
      <c r="M717" s="5"/>
      <c r="N717" s="10">
        <f>IFERROR(__xludf.DUMMYFUNCTION("""COMPUTED_VALUE"""),40909.0)</f>
        <v>40909</v>
      </c>
      <c r="O717" s="5">
        <v>2012.0</v>
      </c>
      <c r="P717" s="5" t="str">
        <f>IFERROR(__xludf.DUMMYFUNCTION("""COMPUTED_VALUE"""),"Available")</f>
        <v>Available</v>
      </c>
      <c r="Q717" s="5" t="s">
        <v>135</v>
      </c>
      <c r="R717" s="5" t="s">
        <v>136</v>
      </c>
      <c r="S717" s="11">
        <v>5412.0</v>
      </c>
    </row>
    <row r="718">
      <c r="A718" s="5" t="str">
        <f>IFERROR(__xludf.DUMMYFUNCTION("""COMPUTED_VALUE"""),"Fentanyl Citrate Injection")</f>
        <v>Fentanyl Citrate Injection</v>
      </c>
      <c r="B718" s="5" t="str">
        <f>IFERROR(__xludf.DUMMYFUNCTION("""COMPUTED_VALUE"""),"Fresenius Kabi USA, LLC")</f>
        <v>Fresenius Kabi USA, LLC</v>
      </c>
      <c r="C718" s="5" t="str">
        <f>IFERROR(__xludf.DUMMYFUNCTION("""COMPUTED_VALUE"""),"Fentanyl Citrate Preservative Free, Injection, .05 mg/1 mL (NDC 63323-806-05)")</f>
        <v>Fentanyl Citrate Preservative Free, Injection, .05 mg/1 mL (NDC 63323-806-05)</v>
      </c>
      <c r="D718" s="5" t="str">
        <f>IFERROR(__xludf.DUMMYFUNCTION("""COMPUTED_VALUE"""),"Reverified")</f>
        <v>Reverified</v>
      </c>
      <c r="E718" s="13">
        <f>IFERROR(__xludf.DUMMYFUNCTION("""COMPUTED_VALUE"""),46310.0)</f>
        <v>46310</v>
      </c>
      <c r="F718" s="5" t="str">
        <f>IFERROR(__xludf.DUMMYFUNCTION("""COMPUTED_VALUE"""),"Available")</f>
        <v>Available</v>
      </c>
      <c r="G718" s="5" t="str">
        <f>IFERROR(__xludf.DUMMYFUNCTION("""COMPUTED_VALUE"""),"Check wholesalers for inventory")</f>
        <v>Check wholesalers for inventory</v>
      </c>
      <c r="H718" s="5"/>
      <c r="I718" s="5"/>
      <c r="J718" s="5" t="str">
        <f>IFERROR(__xludf.DUMMYFUNCTION("""COMPUTED_VALUE"""),"Analgesia/Addiction; Pediatric")</f>
        <v>Analgesia/Addiction; Pediatric</v>
      </c>
      <c r="K718" s="5" t="str">
        <f>IFERROR(__xludf.DUMMYFUNCTION("""COMPUTED_VALUE"""),"Current")</f>
        <v>Current</v>
      </c>
      <c r="L718" s="5"/>
      <c r="M718" s="5"/>
      <c r="N718" s="10">
        <f>IFERROR(__xludf.DUMMYFUNCTION("""COMPUTED_VALUE"""),40909.0)</f>
        <v>40909</v>
      </c>
      <c r="O718" s="5">
        <v>2012.0</v>
      </c>
      <c r="P718" s="5" t="str">
        <f>IFERROR(__xludf.DUMMYFUNCTION("""COMPUTED_VALUE"""),"Available")</f>
        <v>Available</v>
      </c>
      <c r="Q718" s="5" t="s">
        <v>135</v>
      </c>
      <c r="R718" s="5" t="s">
        <v>136</v>
      </c>
      <c r="S718" s="11">
        <v>5412.0</v>
      </c>
    </row>
    <row r="719">
      <c r="A719" s="5" t="str">
        <f>IFERROR(__xludf.DUMMYFUNCTION("""COMPUTED_VALUE"""),"Fluocinonide Ointment")</f>
        <v>Fluocinonide Ointment</v>
      </c>
      <c r="B719" s="5" t="str">
        <f>IFERROR(__xludf.DUMMYFUNCTION("""COMPUTED_VALUE"""),"Teva Pharmaceuticals USA, Inc.")</f>
        <v>Teva Pharmaceuticals USA, Inc.</v>
      </c>
      <c r="C719" s="5" t="str">
        <f>IFERROR(__xludf.DUMMYFUNCTION("""COMPUTED_VALUE"""),"Fluocinonide, Ointment, .5 mg/1 g (NDC 0093-0264-15)")</f>
        <v>Fluocinonide, Ointment, .5 mg/1 g (NDC 0093-0264-15)</v>
      </c>
      <c r="D719" s="5" t="str">
        <f>IFERROR(__xludf.DUMMYFUNCTION("""COMPUTED_VALUE"""),"New")</f>
        <v>New</v>
      </c>
      <c r="E719" s="10">
        <f>IFERROR(__xludf.DUMMYFUNCTION("""COMPUTED_VALUE"""),46297.0)</f>
        <v>46297</v>
      </c>
      <c r="F719" s="5"/>
      <c r="G719" s="5" t="str">
        <f>IFERROR(__xludf.DUMMYFUNCTION("""COMPUTED_VALUE"""),"Discontinuation of the manufacture of the drug")</f>
        <v>Discontinuation of the manufacture of the drug</v>
      </c>
      <c r="H719" s="5"/>
      <c r="I719" s="5"/>
      <c r="J719" s="5" t="str">
        <f>IFERROR(__xludf.DUMMYFUNCTION("""COMPUTED_VALUE"""),"Dermatology")</f>
        <v>Dermatology</v>
      </c>
      <c r="K719" s="5" t="str">
        <f>IFERROR(__xludf.DUMMYFUNCTION("""COMPUTED_VALUE"""),"To Be Discontinued")</f>
        <v>To Be Discontinued</v>
      </c>
      <c r="L719" s="5"/>
      <c r="M719" s="10">
        <f>IFERROR(__xludf.DUMMYFUNCTION("""COMPUTED_VALUE"""),46297.0)</f>
        <v>46297</v>
      </c>
      <c r="N719" s="10">
        <f>IFERROR(__xludf.DUMMYFUNCTION("""COMPUTED_VALUE"""),46297.0)</f>
        <v>46297</v>
      </c>
      <c r="O719" s="5">
        <v>2026.0</v>
      </c>
      <c r="P719" s="5" t="str">
        <f>IFERROR(__xludf.DUMMYFUNCTION("""COMPUTED_VALUE"""),"Not stated")</f>
        <v>Not stated</v>
      </c>
      <c r="Q719" s="5" t="s">
        <v>135</v>
      </c>
      <c r="R719" s="5" t="s">
        <v>136</v>
      </c>
      <c r="S719" s="11">
        <v>24.0</v>
      </c>
    </row>
    <row r="720">
      <c r="A720" s="5" t="str">
        <f>IFERROR(__xludf.DUMMYFUNCTION("""COMPUTED_VALUE"""),"Fluocinonide Ointment")</f>
        <v>Fluocinonide Ointment</v>
      </c>
      <c r="B720" s="5" t="str">
        <f>IFERROR(__xludf.DUMMYFUNCTION("""COMPUTED_VALUE"""),"Teva Pharmaceuticals USA, Inc.")</f>
        <v>Teva Pharmaceuticals USA, Inc.</v>
      </c>
      <c r="C720" s="5" t="str">
        <f>IFERROR(__xludf.DUMMYFUNCTION("""COMPUTED_VALUE"""),"Fluocinonide, Ointment, .5 mg/1 g (NDC 0093-0264-30)")</f>
        <v>Fluocinonide, Ointment, .5 mg/1 g (NDC 0093-0264-30)</v>
      </c>
      <c r="D720" s="5" t="str">
        <f>IFERROR(__xludf.DUMMYFUNCTION("""COMPUTED_VALUE"""),"New")</f>
        <v>New</v>
      </c>
      <c r="E720" s="10">
        <f>IFERROR(__xludf.DUMMYFUNCTION("""COMPUTED_VALUE"""),46297.0)</f>
        <v>46297</v>
      </c>
      <c r="F720" s="5"/>
      <c r="G720" s="5" t="str">
        <f>IFERROR(__xludf.DUMMYFUNCTION("""COMPUTED_VALUE"""),"Discontinuation of the manufacture of the drug")</f>
        <v>Discontinuation of the manufacture of the drug</v>
      </c>
      <c r="H720" s="5"/>
      <c r="I720" s="5"/>
      <c r="J720" s="5" t="str">
        <f>IFERROR(__xludf.DUMMYFUNCTION("""COMPUTED_VALUE"""),"Dermatology")</f>
        <v>Dermatology</v>
      </c>
      <c r="K720" s="5" t="str">
        <f>IFERROR(__xludf.DUMMYFUNCTION("""COMPUTED_VALUE"""),"To Be Discontinued")</f>
        <v>To Be Discontinued</v>
      </c>
      <c r="L720" s="5"/>
      <c r="M720" s="10">
        <f>IFERROR(__xludf.DUMMYFUNCTION("""COMPUTED_VALUE"""),46297.0)</f>
        <v>46297</v>
      </c>
      <c r="N720" s="10">
        <f>IFERROR(__xludf.DUMMYFUNCTION("""COMPUTED_VALUE"""),46297.0)</f>
        <v>46297</v>
      </c>
      <c r="O720" s="5">
        <v>2026.0</v>
      </c>
      <c r="P720" s="5" t="str">
        <f>IFERROR(__xludf.DUMMYFUNCTION("""COMPUTED_VALUE"""),"Not stated")</f>
        <v>Not stated</v>
      </c>
      <c r="Q720" s="5" t="s">
        <v>135</v>
      </c>
      <c r="R720" s="5" t="s">
        <v>136</v>
      </c>
      <c r="S720" s="11">
        <v>24.0</v>
      </c>
    </row>
    <row r="721">
      <c r="A721" s="5" t="str">
        <f>IFERROR(__xludf.DUMMYFUNCTION("""COMPUTED_VALUE"""),"Fluocinonide Ointment")</f>
        <v>Fluocinonide Ointment</v>
      </c>
      <c r="B721" s="5" t="str">
        <f>IFERROR(__xludf.DUMMYFUNCTION("""COMPUTED_VALUE"""),"Teva Pharmaceuticals USA, Inc.")</f>
        <v>Teva Pharmaceuticals USA, Inc.</v>
      </c>
      <c r="C721" s="5" t="str">
        <f>IFERROR(__xludf.DUMMYFUNCTION("""COMPUTED_VALUE"""),"Fluocinonide, Ointment, .5 mg/1 g (NDC 0093-0264-92)")</f>
        <v>Fluocinonide, Ointment, .5 mg/1 g (NDC 0093-0264-92)</v>
      </c>
      <c r="D721" s="5" t="str">
        <f>IFERROR(__xludf.DUMMYFUNCTION("""COMPUTED_VALUE"""),"New")</f>
        <v>New</v>
      </c>
      <c r="E721" s="10">
        <f>IFERROR(__xludf.DUMMYFUNCTION("""COMPUTED_VALUE"""),46297.0)</f>
        <v>46297</v>
      </c>
      <c r="F721" s="5"/>
      <c r="G721" s="5" t="str">
        <f>IFERROR(__xludf.DUMMYFUNCTION("""COMPUTED_VALUE"""),"Discontinuation of the manufacture of the drug")</f>
        <v>Discontinuation of the manufacture of the drug</v>
      </c>
      <c r="H721" s="5"/>
      <c r="I721" s="5"/>
      <c r="J721" s="5" t="str">
        <f>IFERROR(__xludf.DUMMYFUNCTION("""COMPUTED_VALUE"""),"Dermatology")</f>
        <v>Dermatology</v>
      </c>
      <c r="K721" s="5" t="str">
        <f>IFERROR(__xludf.DUMMYFUNCTION("""COMPUTED_VALUE"""),"To Be Discontinued")</f>
        <v>To Be Discontinued</v>
      </c>
      <c r="L721" s="5"/>
      <c r="M721" s="10">
        <f>IFERROR(__xludf.DUMMYFUNCTION("""COMPUTED_VALUE"""),46297.0)</f>
        <v>46297</v>
      </c>
      <c r="N721" s="10">
        <f>IFERROR(__xludf.DUMMYFUNCTION("""COMPUTED_VALUE"""),46297.0)</f>
        <v>46297</v>
      </c>
      <c r="O721" s="5">
        <v>2026.0</v>
      </c>
      <c r="P721" s="5" t="str">
        <f>IFERROR(__xludf.DUMMYFUNCTION("""COMPUTED_VALUE"""),"Not stated")</f>
        <v>Not stated</v>
      </c>
      <c r="Q721" s="5" t="s">
        <v>135</v>
      </c>
      <c r="R721" s="5" t="s">
        <v>136</v>
      </c>
      <c r="S721" s="11">
        <v>24.0</v>
      </c>
    </row>
    <row r="722">
      <c r="A722" s="5" t="str">
        <f>IFERROR(__xludf.DUMMYFUNCTION("""COMPUTED_VALUE"""),"Flurazepam Hydrochloride Capsule")</f>
        <v>Flurazepam Hydrochloride Capsule</v>
      </c>
      <c r="B722" s="5" t="str">
        <f>IFERROR(__xludf.DUMMYFUNCTION("""COMPUTED_VALUE"""),"Rising Pharma Holdings, Inc.")</f>
        <v>Rising Pharma Holdings, Inc.</v>
      </c>
      <c r="C722" s="5" t="str">
        <f>IFERROR(__xludf.DUMMYFUNCTION("""COMPUTED_VALUE"""),"Flurazepam Hydrochloride, Capsule, 15 mg (NDC 0378-4415-01)")</f>
        <v>Flurazepam Hydrochloride, Capsule, 15 mg (NDC 0378-4415-01)</v>
      </c>
      <c r="D722" s="5" t="str">
        <f>IFERROR(__xludf.DUMMYFUNCTION("""COMPUTED_VALUE"""),"Reverified")</f>
        <v>Reverified</v>
      </c>
      <c r="E722" s="10">
        <f>IFERROR(__xludf.DUMMYFUNCTION("""COMPUTED_VALUE"""),46266.0)</f>
        <v>46266</v>
      </c>
      <c r="F722" s="5" t="str">
        <f>IFERROR(__xludf.DUMMYFUNCTION("""COMPUTED_VALUE"""),"Unavailable")</f>
        <v>Unavailable</v>
      </c>
      <c r="G722" s="5" t="str">
        <f>IFERROR(__xludf.DUMMYFUNCTION("""COMPUTED_VALUE"""),"Anticipated availability: Q4 2026; Delay is due to manufacturing delays at the contract manufacturing facility.")</f>
        <v>Anticipated availability: Q4 2026; Delay is due to manufacturing delays at the contract manufacturing facility.</v>
      </c>
      <c r="H722" s="5"/>
      <c r="I722" s="5" t="str">
        <f>IFERROR(__xludf.DUMMYFUNCTION("""COMPUTED_VALUE"""),"Regulatory delay")</f>
        <v>Regulatory delay</v>
      </c>
      <c r="J722" s="5" t="str">
        <f>IFERROR(__xludf.DUMMYFUNCTION("""COMPUTED_VALUE"""),"Neurology; Other")</f>
        <v>Neurology; Other</v>
      </c>
      <c r="K722" s="5" t="str">
        <f>IFERROR(__xludf.DUMMYFUNCTION("""COMPUTED_VALUE"""),"Current")</f>
        <v>Current</v>
      </c>
      <c r="L722" s="5"/>
      <c r="M722" s="5"/>
      <c r="N722" s="10">
        <f>IFERROR(__xludf.DUMMYFUNCTION("""COMPUTED_VALUE"""),44776.0)</f>
        <v>44776</v>
      </c>
      <c r="O722" s="5">
        <v>2022.0</v>
      </c>
      <c r="P722" s="5" t="str">
        <f>IFERROR(__xludf.DUMMYFUNCTION("""COMPUTED_VALUE"""),"Unavailable")</f>
        <v>Unavailable</v>
      </c>
      <c r="Q722" s="5" t="s">
        <v>1317</v>
      </c>
      <c r="R722" s="5" t="s">
        <v>136</v>
      </c>
      <c r="S722" s="11">
        <v>1545.0</v>
      </c>
    </row>
    <row r="723">
      <c r="A723" s="5" t="str">
        <f>IFERROR(__xludf.DUMMYFUNCTION("""COMPUTED_VALUE"""),"Flurazepam Hydrochloride Capsule")</f>
        <v>Flurazepam Hydrochloride Capsule</v>
      </c>
      <c r="B723" s="5" t="str">
        <f>IFERROR(__xludf.DUMMYFUNCTION("""COMPUTED_VALUE"""),"Rising Pharma Holdings, Inc.")</f>
        <v>Rising Pharma Holdings, Inc.</v>
      </c>
      <c r="C723" s="5" t="str">
        <f>IFERROR(__xludf.DUMMYFUNCTION("""COMPUTED_VALUE"""),"Flurazepam Hydrochloride, Capsule, 30 mg (NDC 0378-4430-01)")</f>
        <v>Flurazepam Hydrochloride, Capsule, 30 mg (NDC 0378-4430-01)</v>
      </c>
      <c r="D723" s="5" t="str">
        <f>IFERROR(__xludf.DUMMYFUNCTION("""COMPUTED_VALUE"""),"Reverified")</f>
        <v>Reverified</v>
      </c>
      <c r="E723" s="10">
        <f>IFERROR(__xludf.DUMMYFUNCTION("""COMPUTED_VALUE"""),46266.0)</f>
        <v>46266</v>
      </c>
      <c r="F723" s="5" t="str">
        <f>IFERROR(__xludf.DUMMYFUNCTION("""COMPUTED_VALUE"""),"Unavailable")</f>
        <v>Unavailable</v>
      </c>
      <c r="G723" s="5" t="str">
        <f>IFERROR(__xludf.DUMMYFUNCTION("""COMPUTED_VALUE"""),"Anticipated availability: Q4 2026; Delay is due to manufacturing delays at the contract manufacturing facility.")</f>
        <v>Anticipated availability: Q4 2026; Delay is due to manufacturing delays at the contract manufacturing facility.</v>
      </c>
      <c r="H723" s="5"/>
      <c r="I723" s="5" t="str">
        <f>IFERROR(__xludf.DUMMYFUNCTION("""COMPUTED_VALUE"""),"Regulatory delay")</f>
        <v>Regulatory delay</v>
      </c>
      <c r="J723" s="5" t="str">
        <f>IFERROR(__xludf.DUMMYFUNCTION("""COMPUTED_VALUE"""),"Neurology; Other")</f>
        <v>Neurology; Other</v>
      </c>
      <c r="K723" s="5" t="str">
        <f>IFERROR(__xludf.DUMMYFUNCTION("""COMPUTED_VALUE"""),"Current")</f>
        <v>Current</v>
      </c>
      <c r="L723" s="5"/>
      <c r="M723" s="5"/>
      <c r="N723" s="10">
        <f>IFERROR(__xludf.DUMMYFUNCTION("""COMPUTED_VALUE"""),44776.0)</f>
        <v>44776</v>
      </c>
      <c r="O723" s="5">
        <v>2022.0</v>
      </c>
      <c r="P723" s="5" t="str">
        <f>IFERROR(__xludf.DUMMYFUNCTION("""COMPUTED_VALUE"""),"Unavailable")</f>
        <v>Unavailable</v>
      </c>
      <c r="Q723" s="5" t="s">
        <v>1317</v>
      </c>
      <c r="R723" s="5" t="s">
        <v>136</v>
      </c>
      <c r="S723" s="11">
        <v>1545.0</v>
      </c>
    </row>
    <row r="724">
      <c r="A724" s="5" t="str">
        <f>IFERROR(__xludf.DUMMYFUNCTION("""COMPUTED_VALUE"""),"Flurazepam Hydrochloride Capsule")</f>
        <v>Flurazepam Hydrochloride Capsule</v>
      </c>
      <c r="B724" s="5" t="str">
        <f>IFERROR(__xludf.DUMMYFUNCTION("""COMPUTED_VALUE"""),"Chartwell Molecular Holdings LLC")</f>
        <v>Chartwell Molecular Holdings LLC</v>
      </c>
      <c r="C724" s="5" t="str">
        <f>IFERROR(__xludf.DUMMYFUNCTION("""COMPUTED_VALUE"""),"Flurazepam Hydrochloride, Capsule, 15 mg (NDC 62135-736-30)")</f>
        <v>Flurazepam Hydrochloride, Capsule, 15 mg (NDC 62135-736-30)</v>
      </c>
      <c r="D724" s="5" t="str">
        <f>IFERROR(__xludf.DUMMYFUNCTION("""COMPUTED_VALUE"""),"Reverified")</f>
        <v>Reverified</v>
      </c>
      <c r="E724" s="10">
        <f>IFERROR(__xludf.DUMMYFUNCTION("""COMPUTED_VALUE"""),46280.0)</f>
        <v>46280</v>
      </c>
      <c r="F724" s="5" t="str">
        <f>IFERROR(__xludf.DUMMYFUNCTION("""COMPUTED_VALUE"""),"Available")</f>
        <v>Available</v>
      </c>
      <c r="G724" s="5"/>
      <c r="H724" s="5"/>
      <c r="I724" s="5"/>
      <c r="J724" s="5" t="str">
        <f>IFERROR(__xludf.DUMMYFUNCTION("""COMPUTED_VALUE"""),"Neurology; Other")</f>
        <v>Neurology; Other</v>
      </c>
      <c r="K724" s="5" t="str">
        <f>IFERROR(__xludf.DUMMYFUNCTION("""COMPUTED_VALUE"""),"Current")</f>
        <v>Current</v>
      </c>
      <c r="L724" s="5"/>
      <c r="M724" s="5"/>
      <c r="N724" s="10">
        <f>IFERROR(__xludf.DUMMYFUNCTION("""COMPUTED_VALUE"""),44776.0)</f>
        <v>44776</v>
      </c>
      <c r="O724" s="5">
        <v>2022.0</v>
      </c>
      <c r="P724" s="5" t="str">
        <f>IFERROR(__xludf.DUMMYFUNCTION("""COMPUTED_VALUE"""),"Available")</f>
        <v>Available</v>
      </c>
      <c r="Q724" s="5" t="s">
        <v>135</v>
      </c>
      <c r="R724" s="5" t="s">
        <v>136</v>
      </c>
      <c r="S724" s="11">
        <v>1545.0</v>
      </c>
    </row>
    <row r="725">
      <c r="A725" s="5" t="str">
        <f>IFERROR(__xludf.DUMMYFUNCTION("""COMPUTED_VALUE"""),"Flurazepam Hydrochloride Capsule")</f>
        <v>Flurazepam Hydrochloride Capsule</v>
      </c>
      <c r="B725" s="5" t="str">
        <f>IFERROR(__xludf.DUMMYFUNCTION("""COMPUTED_VALUE"""),"Chartwell Molecular Holdings LLC")</f>
        <v>Chartwell Molecular Holdings LLC</v>
      </c>
      <c r="C725" s="5" t="str">
        <f>IFERROR(__xludf.DUMMYFUNCTION("""COMPUTED_VALUE"""),"Flurazepam Hydrochloride, Capsule, 30 mg (NDC 62135-737-30)")</f>
        <v>Flurazepam Hydrochloride, Capsule, 30 mg (NDC 62135-737-30)</v>
      </c>
      <c r="D725" s="5" t="str">
        <f>IFERROR(__xludf.DUMMYFUNCTION("""COMPUTED_VALUE"""),"Reverified")</f>
        <v>Reverified</v>
      </c>
      <c r="E725" s="10">
        <f>IFERROR(__xludf.DUMMYFUNCTION("""COMPUTED_VALUE"""),46280.0)</f>
        <v>46280</v>
      </c>
      <c r="F725" s="5" t="str">
        <f>IFERROR(__xludf.DUMMYFUNCTION("""COMPUTED_VALUE"""),"Available")</f>
        <v>Available</v>
      </c>
      <c r="G725" s="5"/>
      <c r="H725" s="5"/>
      <c r="I725" s="5"/>
      <c r="J725" s="5" t="str">
        <f>IFERROR(__xludf.DUMMYFUNCTION("""COMPUTED_VALUE"""),"Neurology; Other")</f>
        <v>Neurology; Other</v>
      </c>
      <c r="K725" s="5" t="str">
        <f>IFERROR(__xludf.DUMMYFUNCTION("""COMPUTED_VALUE"""),"Current")</f>
        <v>Current</v>
      </c>
      <c r="L725" s="5"/>
      <c r="M725" s="5"/>
      <c r="N725" s="10">
        <f>IFERROR(__xludf.DUMMYFUNCTION("""COMPUTED_VALUE"""),44776.0)</f>
        <v>44776</v>
      </c>
      <c r="O725" s="5">
        <v>2022.0</v>
      </c>
      <c r="P725" s="5" t="str">
        <f>IFERROR(__xludf.DUMMYFUNCTION("""COMPUTED_VALUE"""),"Available")</f>
        <v>Available</v>
      </c>
      <c r="Q725" s="5" t="s">
        <v>135</v>
      </c>
      <c r="R725" s="5" t="s">
        <v>136</v>
      </c>
      <c r="S725" s="11">
        <v>1545.0</v>
      </c>
    </row>
    <row r="726">
      <c r="A726" s="5" t="str">
        <f>IFERROR(__xludf.DUMMYFUNCTION("""COMPUTED_VALUE"""),"Flurazepam Hydrochloride Capsule")</f>
        <v>Flurazepam Hydrochloride Capsule</v>
      </c>
      <c r="B726" s="5" t="str">
        <f>IFERROR(__xludf.DUMMYFUNCTION("""COMPUTED_VALUE"""),"Chartwell Molecular Holdings LLC")</f>
        <v>Chartwell Molecular Holdings LLC</v>
      </c>
      <c r="C726" s="5" t="str">
        <f>IFERROR(__xludf.DUMMYFUNCTION("""COMPUTED_VALUE"""),"Flurazepam Hydrochloride, Capsule, 15 mg (NDC 62135-736-90)")</f>
        <v>Flurazepam Hydrochloride, Capsule, 15 mg (NDC 62135-736-90)</v>
      </c>
      <c r="D726" s="5" t="str">
        <f>IFERROR(__xludf.DUMMYFUNCTION("""COMPUTED_VALUE"""),"Reverified")</f>
        <v>Reverified</v>
      </c>
      <c r="E726" s="10">
        <f>IFERROR(__xludf.DUMMYFUNCTION("""COMPUTED_VALUE"""),46280.0)</f>
        <v>46280</v>
      </c>
      <c r="F726" s="5" t="str">
        <f>IFERROR(__xludf.DUMMYFUNCTION("""COMPUTED_VALUE"""),"Available")</f>
        <v>Available</v>
      </c>
      <c r="G726" s="5"/>
      <c r="H726" s="5"/>
      <c r="I726" s="5"/>
      <c r="J726" s="5" t="str">
        <f>IFERROR(__xludf.DUMMYFUNCTION("""COMPUTED_VALUE"""),"Oncology; Other")</f>
        <v>Oncology; Other</v>
      </c>
      <c r="K726" s="5" t="str">
        <f>IFERROR(__xludf.DUMMYFUNCTION("""COMPUTED_VALUE"""),"Current")</f>
        <v>Current</v>
      </c>
      <c r="L726" s="5"/>
      <c r="M726" s="5"/>
      <c r="N726" s="10">
        <f>IFERROR(__xludf.DUMMYFUNCTION("""COMPUTED_VALUE"""),44776.0)</f>
        <v>44776</v>
      </c>
      <c r="O726" s="5">
        <v>2022.0</v>
      </c>
      <c r="P726" s="5" t="str">
        <f>IFERROR(__xludf.DUMMYFUNCTION("""COMPUTED_VALUE"""),"Available")</f>
        <v>Available</v>
      </c>
      <c r="Q726" s="5" t="s">
        <v>135</v>
      </c>
      <c r="R726" s="5" t="s">
        <v>136</v>
      </c>
      <c r="S726" s="11">
        <v>1545.0</v>
      </c>
    </row>
    <row r="727">
      <c r="A727" s="5" t="str">
        <f>IFERROR(__xludf.DUMMYFUNCTION("""COMPUTED_VALUE"""),"Flurazepam Hydrochloride Capsule")</f>
        <v>Flurazepam Hydrochloride Capsule</v>
      </c>
      <c r="B727" s="5" t="str">
        <f>IFERROR(__xludf.DUMMYFUNCTION("""COMPUTED_VALUE"""),"Chartwell Molecular Holdings LLC")</f>
        <v>Chartwell Molecular Holdings LLC</v>
      </c>
      <c r="C727" s="5" t="str">
        <f>IFERROR(__xludf.DUMMYFUNCTION("""COMPUTED_VALUE"""),"Flurazepam Hydrochloride, Capsule, 30 mg (NDC 62135-737-90)")</f>
        <v>Flurazepam Hydrochloride, Capsule, 30 mg (NDC 62135-737-90)</v>
      </c>
      <c r="D727" s="5" t="str">
        <f>IFERROR(__xludf.DUMMYFUNCTION("""COMPUTED_VALUE"""),"Reverified")</f>
        <v>Reverified</v>
      </c>
      <c r="E727" s="10">
        <f>IFERROR(__xludf.DUMMYFUNCTION("""COMPUTED_VALUE"""),46280.0)</f>
        <v>46280</v>
      </c>
      <c r="F727" s="5" t="str">
        <f>IFERROR(__xludf.DUMMYFUNCTION("""COMPUTED_VALUE"""),"Available")</f>
        <v>Available</v>
      </c>
      <c r="G727" s="5"/>
      <c r="H727" s="5"/>
      <c r="I727" s="5"/>
      <c r="J727" s="5" t="str">
        <f>IFERROR(__xludf.DUMMYFUNCTION("""COMPUTED_VALUE"""),"Neurology; Other")</f>
        <v>Neurology; Other</v>
      </c>
      <c r="K727" s="5" t="str">
        <f>IFERROR(__xludf.DUMMYFUNCTION("""COMPUTED_VALUE"""),"Current")</f>
        <v>Current</v>
      </c>
      <c r="L727" s="5"/>
      <c r="M727" s="5"/>
      <c r="N727" s="10">
        <f>IFERROR(__xludf.DUMMYFUNCTION("""COMPUTED_VALUE"""),44776.0)</f>
        <v>44776</v>
      </c>
      <c r="O727" s="5">
        <v>2022.0</v>
      </c>
      <c r="P727" s="5" t="str">
        <f>IFERROR(__xludf.DUMMYFUNCTION("""COMPUTED_VALUE"""),"Available")</f>
        <v>Available</v>
      </c>
      <c r="Q727" s="5" t="s">
        <v>135</v>
      </c>
      <c r="R727" s="5" t="s">
        <v>136</v>
      </c>
      <c r="S727" s="11">
        <v>1545.0</v>
      </c>
    </row>
    <row r="728">
      <c r="A728" s="5" t="str">
        <f>IFERROR(__xludf.DUMMYFUNCTION("""COMPUTED_VALUE"""),"Fluticasone Propionate and Salmeterol Xinafoate Aerosol, Metered")</f>
        <v>Fluticasone Propionate and Salmeterol Xinafoate Aerosol, Metered</v>
      </c>
      <c r="B728" s="5" t="str">
        <f>IFERROR(__xludf.DUMMYFUNCTION("""COMPUTED_VALUE"""),"GlaxoSmithKline")</f>
        <v>GlaxoSmithKline</v>
      </c>
      <c r="C728" s="5" t="str">
        <f>IFERROR(__xludf.DUMMYFUNCTION("""COMPUTED_VALUE"""),"Advair HFA, Aerosol, Metered, 45 ug; 21 ug (NDC 0173-0715-22)")</f>
        <v>Advair HFA, Aerosol, Metered, 45 ug; 21 ug (NDC 0173-0715-22)</v>
      </c>
      <c r="D728" s="5" t="str">
        <f>IFERROR(__xludf.DUMMYFUNCTION("""COMPUTED_VALUE"""),"New")</f>
        <v>New</v>
      </c>
      <c r="E728" s="10">
        <f>IFERROR(__xludf.DUMMYFUNCTION("""COMPUTED_VALUE"""),46230.0)</f>
        <v>46230</v>
      </c>
      <c r="F728" s="5"/>
      <c r="G728" s="5" t="str">
        <f>IFERROR(__xludf.DUMMYFUNCTION("""COMPUTED_VALUE"""),"The anticipated date that GSK will cease distribution of the presentation is approximately December 31, 2026.  The 120 dose presentation of this product will still be available.")</f>
        <v>The anticipated date that GSK will cease distribution of the presentation is approximately December 31, 2026.  The 120 dose presentation of this product will still be available.</v>
      </c>
      <c r="H728" s="5"/>
      <c r="I728" s="5"/>
      <c r="J728" s="5" t="str">
        <f>IFERROR(__xludf.DUMMYFUNCTION("""COMPUTED_VALUE"""),"Pulmonary/Allergy")</f>
        <v>Pulmonary/Allergy</v>
      </c>
      <c r="K728" s="5" t="str">
        <f>IFERROR(__xludf.DUMMYFUNCTION("""COMPUTED_VALUE"""),"To Be Discontinued")</f>
        <v>To Be Discontinued</v>
      </c>
      <c r="L728" s="5"/>
      <c r="M728" s="10">
        <f>IFERROR(__xludf.DUMMYFUNCTION("""COMPUTED_VALUE"""),46230.0)</f>
        <v>46230</v>
      </c>
      <c r="N728" s="10">
        <f>IFERROR(__xludf.DUMMYFUNCTION("""COMPUTED_VALUE"""),46230.0)</f>
        <v>46230</v>
      </c>
      <c r="O728" s="5">
        <v>2026.0</v>
      </c>
      <c r="P728" s="5" t="str">
        <f>IFERROR(__xludf.DUMMYFUNCTION("""COMPUTED_VALUE"""),"Not stated")</f>
        <v>Not stated</v>
      </c>
      <c r="Q728" s="5" t="s">
        <v>135</v>
      </c>
      <c r="R728" s="5" t="s">
        <v>136</v>
      </c>
      <c r="S728" s="11">
        <v>91.0</v>
      </c>
    </row>
    <row r="729">
      <c r="A729" s="5" t="str">
        <f>IFERROR(__xludf.DUMMYFUNCTION("""COMPUTED_VALUE"""),"Fluticasone Propionate and Salmeterol Xinafoate Aerosol, Metered")</f>
        <v>Fluticasone Propionate and Salmeterol Xinafoate Aerosol, Metered</v>
      </c>
      <c r="B729" s="5" t="str">
        <f>IFERROR(__xludf.DUMMYFUNCTION("""COMPUTED_VALUE"""),"GlaxoSmithKline")</f>
        <v>GlaxoSmithKline</v>
      </c>
      <c r="C729" s="5" t="str">
        <f>IFERROR(__xludf.DUMMYFUNCTION("""COMPUTED_VALUE"""),"Advair HFA, Aerosol, Metered, 115 ug; 21 ug (NDC 0173-0716-22)")</f>
        <v>Advair HFA, Aerosol, Metered, 115 ug; 21 ug (NDC 0173-0716-22)</v>
      </c>
      <c r="D729" s="5" t="str">
        <f>IFERROR(__xludf.DUMMYFUNCTION("""COMPUTED_VALUE"""),"New")</f>
        <v>New</v>
      </c>
      <c r="E729" s="10">
        <f>IFERROR(__xludf.DUMMYFUNCTION("""COMPUTED_VALUE"""),46230.0)</f>
        <v>46230</v>
      </c>
      <c r="F729" s="5"/>
      <c r="G729" s="5" t="str">
        <f>IFERROR(__xludf.DUMMYFUNCTION("""COMPUTED_VALUE"""),"The anticipated date that GSK will cease distribution of the presentation is approximately December 31, 2026.  The 120 dose presentation of this product will still be available.")</f>
        <v>The anticipated date that GSK will cease distribution of the presentation is approximately December 31, 2026.  The 120 dose presentation of this product will still be available.</v>
      </c>
      <c r="H729" s="5"/>
      <c r="I729" s="5"/>
      <c r="J729" s="5" t="str">
        <f>IFERROR(__xludf.DUMMYFUNCTION("""COMPUTED_VALUE"""),"Pulmonary/Allergy")</f>
        <v>Pulmonary/Allergy</v>
      </c>
      <c r="K729" s="5" t="str">
        <f>IFERROR(__xludf.DUMMYFUNCTION("""COMPUTED_VALUE"""),"To Be Discontinued")</f>
        <v>To Be Discontinued</v>
      </c>
      <c r="L729" s="5"/>
      <c r="M729" s="10">
        <f>IFERROR(__xludf.DUMMYFUNCTION("""COMPUTED_VALUE"""),46230.0)</f>
        <v>46230</v>
      </c>
      <c r="N729" s="10">
        <f>IFERROR(__xludf.DUMMYFUNCTION("""COMPUTED_VALUE"""),46230.0)</f>
        <v>46230</v>
      </c>
      <c r="O729" s="5">
        <v>2026.0</v>
      </c>
      <c r="P729" s="5" t="str">
        <f>IFERROR(__xludf.DUMMYFUNCTION("""COMPUTED_VALUE"""),"Not stated")</f>
        <v>Not stated</v>
      </c>
      <c r="Q729" s="5" t="s">
        <v>135</v>
      </c>
      <c r="R729" s="5" t="s">
        <v>136</v>
      </c>
      <c r="S729" s="11">
        <v>91.0</v>
      </c>
    </row>
    <row r="730">
      <c r="A730" s="5" t="str">
        <f>IFERROR(__xludf.DUMMYFUNCTION("""COMPUTED_VALUE"""),"Fluticasone Propionate and Salmeterol Xinafoate Aerosol, Metered")</f>
        <v>Fluticasone Propionate and Salmeterol Xinafoate Aerosol, Metered</v>
      </c>
      <c r="B730" s="5" t="str">
        <f>IFERROR(__xludf.DUMMYFUNCTION("""COMPUTED_VALUE"""),"GlaxoSmithKline")</f>
        <v>GlaxoSmithKline</v>
      </c>
      <c r="C730" s="5" t="str">
        <f>IFERROR(__xludf.DUMMYFUNCTION("""COMPUTED_VALUE"""),"Advair HFA, Aerosol, Metered, 230 ug; 21 ug (NDC 0173-0717-22)")</f>
        <v>Advair HFA, Aerosol, Metered, 230 ug; 21 ug (NDC 0173-0717-22)</v>
      </c>
      <c r="D730" s="5" t="str">
        <f>IFERROR(__xludf.DUMMYFUNCTION("""COMPUTED_VALUE"""),"New")</f>
        <v>New</v>
      </c>
      <c r="E730" s="10">
        <f>IFERROR(__xludf.DUMMYFUNCTION("""COMPUTED_VALUE"""),46230.0)</f>
        <v>46230</v>
      </c>
      <c r="F730" s="5"/>
      <c r="G730" s="5" t="str">
        <f>IFERROR(__xludf.DUMMYFUNCTION("""COMPUTED_VALUE"""),"The anticipated date that GSK will cease distribution of the presentation is approximately December 31, 2026.  The 120 dose presentation of this product will still be available.")</f>
        <v>The anticipated date that GSK will cease distribution of the presentation is approximately December 31, 2026.  The 120 dose presentation of this product will still be available.</v>
      </c>
      <c r="H730" s="5"/>
      <c r="I730" s="5"/>
      <c r="J730" s="5" t="str">
        <f>IFERROR(__xludf.DUMMYFUNCTION("""COMPUTED_VALUE"""),"Pulmonary/Allergy")</f>
        <v>Pulmonary/Allergy</v>
      </c>
      <c r="K730" s="5" t="str">
        <f>IFERROR(__xludf.DUMMYFUNCTION("""COMPUTED_VALUE"""),"To Be Discontinued")</f>
        <v>To Be Discontinued</v>
      </c>
      <c r="L730" s="5"/>
      <c r="M730" s="10">
        <f>IFERROR(__xludf.DUMMYFUNCTION("""COMPUTED_VALUE"""),46230.0)</f>
        <v>46230</v>
      </c>
      <c r="N730" s="10">
        <f>IFERROR(__xludf.DUMMYFUNCTION("""COMPUTED_VALUE"""),46230.0)</f>
        <v>46230</v>
      </c>
      <c r="O730" s="5">
        <v>2026.0</v>
      </c>
      <c r="P730" s="5" t="str">
        <f>IFERROR(__xludf.DUMMYFUNCTION("""COMPUTED_VALUE"""),"Not stated")</f>
        <v>Not stated</v>
      </c>
      <c r="Q730" s="5" t="s">
        <v>135</v>
      </c>
      <c r="R730" s="5" t="s">
        <v>136</v>
      </c>
      <c r="S730" s="11">
        <v>91.0</v>
      </c>
    </row>
    <row r="731">
      <c r="A731" s="5" t="str">
        <f>IFERROR(__xludf.DUMMYFUNCTION("""COMPUTED_VALUE"""),"Fluvastatin Sodium Tablet, Extended Release")</f>
        <v>Fluvastatin Sodium Tablet, Extended Release</v>
      </c>
      <c r="B731" s="5" t="str">
        <f>IFERROR(__xludf.DUMMYFUNCTION("""COMPUTED_VALUE"""),"Sandoz Inc.")</f>
        <v>Sandoz Inc.</v>
      </c>
      <c r="C731" s="5" t="str">
        <f>IFERROR(__xludf.DUMMYFUNCTION("""COMPUTED_VALUE"""),"Fluvastatin Sodium, Tablet, Extended Release, 80 mg (NDC 0781-8017-01)")</f>
        <v>Fluvastatin Sodium, Tablet, Extended Release, 80 mg (NDC 0781-8017-01)</v>
      </c>
      <c r="D731" s="5" t="str">
        <f>IFERROR(__xludf.DUMMYFUNCTION("""COMPUTED_VALUE"""),"New")</f>
        <v>New</v>
      </c>
      <c r="E731" s="10">
        <f>IFERROR(__xludf.DUMMYFUNCTION("""COMPUTED_VALUE"""),46049.0)</f>
        <v>46049</v>
      </c>
      <c r="F731" s="5"/>
      <c r="G731" s="5" t="str">
        <f>IFERROR(__xludf.DUMMYFUNCTION("""COMPUTED_VALUE"""),"Discontinuation of the manufacture of the drug")</f>
        <v>Discontinuation of the manufacture of the drug</v>
      </c>
      <c r="H731" s="5"/>
      <c r="I731" s="5"/>
      <c r="J731" s="5" t="str">
        <f>IFERROR(__xludf.DUMMYFUNCTION("""COMPUTED_VALUE"""),"Cardiovascular")</f>
        <v>Cardiovascular</v>
      </c>
      <c r="K731" s="5" t="str">
        <f>IFERROR(__xludf.DUMMYFUNCTION("""COMPUTED_VALUE"""),"To Be Discontinued")</f>
        <v>To Be Discontinued</v>
      </c>
      <c r="L731" s="5"/>
      <c r="M731" s="10">
        <f>IFERROR(__xludf.DUMMYFUNCTION("""COMPUTED_VALUE"""),46049.0)</f>
        <v>46049</v>
      </c>
      <c r="N731" s="10">
        <f>IFERROR(__xludf.DUMMYFUNCTION("""COMPUTED_VALUE"""),46049.0)</f>
        <v>46049</v>
      </c>
      <c r="O731" s="5">
        <v>2026.0</v>
      </c>
      <c r="P731" s="5" t="str">
        <f>IFERROR(__xludf.DUMMYFUNCTION("""COMPUTED_VALUE"""),"Not stated")</f>
        <v>Not stated</v>
      </c>
      <c r="Q731" s="5" t="s">
        <v>135</v>
      </c>
      <c r="R731" s="5" t="s">
        <v>136</v>
      </c>
      <c r="S731" s="11">
        <v>272.0</v>
      </c>
    </row>
    <row r="732">
      <c r="A732" s="5" t="str">
        <f>IFERROR(__xludf.DUMMYFUNCTION("""COMPUTED_VALUE"""),"Fluvastatin Sodium Tablet, Extended Release")</f>
        <v>Fluvastatin Sodium Tablet, Extended Release</v>
      </c>
      <c r="B732" s="5" t="str">
        <f>IFERROR(__xludf.DUMMYFUNCTION("""COMPUTED_VALUE"""),"Sandoz Inc.")</f>
        <v>Sandoz Inc.</v>
      </c>
      <c r="C732" s="5" t="str">
        <f>IFERROR(__xludf.DUMMYFUNCTION("""COMPUTED_VALUE"""),"Fluvastatin Sodium, Tablet, Extended Release, 80 mg (NDC 0781-8017-31)")</f>
        <v>Fluvastatin Sodium, Tablet, Extended Release, 80 mg (NDC 0781-8017-31)</v>
      </c>
      <c r="D732" s="5" t="str">
        <f>IFERROR(__xludf.DUMMYFUNCTION("""COMPUTED_VALUE"""),"New")</f>
        <v>New</v>
      </c>
      <c r="E732" s="10">
        <f>IFERROR(__xludf.DUMMYFUNCTION("""COMPUTED_VALUE"""),46049.0)</f>
        <v>46049</v>
      </c>
      <c r="F732" s="5"/>
      <c r="G732" s="5" t="str">
        <f>IFERROR(__xludf.DUMMYFUNCTION("""COMPUTED_VALUE"""),"Discontinuation of the manufacture of the drug")</f>
        <v>Discontinuation of the manufacture of the drug</v>
      </c>
      <c r="H732" s="5"/>
      <c r="I732" s="5"/>
      <c r="J732" s="5" t="str">
        <f>IFERROR(__xludf.DUMMYFUNCTION("""COMPUTED_VALUE"""),"Cardiovascular")</f>
        <v>Cardiovascular</v>
      </c>
      <c r="K732" s="5" t="str">
        <f>IFERROR(__xludf.DUMMYFUNCTION("""COMPUTED_VALUE"""),"To Be Discontinued")</f>
        <v>To Be Discontinued</v>
      </c>
      <c r="L732" s="5"/>
      <c r="M732" s="10">
        <f>IFERROR(__xludf.DUMMYFUNCTION("""COMPUTED_VALUE"""),46049.0)</f>
        <v>46049</v>
      </c>
      <c r="N732" s="10">
        <f>IFERROR(__xludf.DUMMYFUNCTION("""COMPUTED_VALUE"""),46049.0)</f>
        <v>46049</v>
      </c>
      <c r="O732" s="5">
        <v>2026.0</v>
      </c>
      <c r="P732" s="5" t="str">
        <f>IFERROR(__xludf.DUMMYFUNCTION("""COMPUTED_VALUE"""),"Not stated")</f>
        <v>Not stated</v>
      </c>
      <c r="Q732" s="5" t="s">
        <v>135</v>
      </c>
      <c r="R732" s="5" t="s">
        <v>136</v>
      </c>
      <c r="S732" s="11">
        <v>272.0</v>
      </c>
    </row>
    <row r="733">
      <c r="A733" s="5" t="str">
        <f>IFERROR(__xludf.DUMMYFUNCTION("""COMPUTED_VALUE"""),"Fluvastatin Sodium Tablet, Extended Release")</f>
        <v>Fluvastatin Sodium Tablet, Extended Release</v>
      </c>
      <c r="B733" s="5" t="str">
        <f>IFERROR(__xludf.DUMMYFUNCTION("""COMPUTED_VALUE"""),"Sandoz Inc.")</f>
        <v>Sandoz Inc.</v>
      </c>
      <c r="C733" s="5" t="str">
        <f>IFERROR(__xludf.DUMMYFUNCTION("""COMPUTED_VALUE"""),"Lescol XL, Tablet, Extended Release, 80 mg (NDC 66758-211-31)")</f>
        <v>Lescol XL, Tablet, Extended Release, 80 mg (NDC 66758-211-31)</v>
      </c>
      <c r="D733" s="5" t="str">
        <f>IFERROR(__xludf.DUMMYFUNCTION("""COMPUTED_VALUE"""),"New")</f>
        <v>New</v>
      </c>
      <c r="E733" s="10">
        <f>IFERROR(__xludf.DUMMYFUNCTION("""COMPUTED_VALUE"""),46049.0)</f>
        <v>46049</v>
      </c>
      <c r="F733" s="5"/>
      <c r="G733" s="5" t="str">
        <f>IFERROR(__xludf.DUMMYFUNCTION("""COMPUTED_VALUE"""),"Discontinuation of the manufacture of the drug")</f>
        <v>Discontinuation of the manufacture of the drug</v>
      </c>
      <c r="H733" s="5"/>
      <c r="I733" s="5"/>
      <c r="J733" s="5" t="str">
        <f>IFERROR(__xludf.DUMMYFUNCTION("""COMPUTED_VALUE"""),"Cardiovascular")</f>
        <v>Cardiovascular</v>
      </c>
      <c r="K733" s="5" t="str">
        <f>IFERROR(__xludf.DUMMYFUNCTION("""COMPUTED_VALUE"""),"To Be Discontinued")</f>
        <v>To Be Discontinued</v>
      </c>
      <c r="L733" s="5"/>
      <c r="M733" s="10">
        <f>IFERROR(__xludf.DUMMYFUNCTION("""COMPUTED_VALUE"""),46049.0)</f>
        <v>46049</v>
      </c>
      <c r="N733" s="10">
        <f>IFERROR(__xludf.DUMMYFUNCTION("""COMPUTED_VALUE"""),46049.0)</f>
        <v>46049</v>
      </c>
      <c r="O733" s="5">
        <v>2026.0</v>
      </c>
      <c r="P733" s="5" t="str">
        <f>IFERROR(__xludf.DUMMYFUNCTION("""COMPUTED_VALUE"""),"Not stated")</f>
        <v>Not stated</v>
      </c>
      <c r="Q733" s="5" t="s">
        <v>135</v>
      </c>
      <c r="R733" s="5" t="s">
        <v>136</v>
      </c>
      <c r="S733" s="11">
        <v>272.0</v>
      </c>
    </row>
    <row r="734">
      <c r="A734" s="5" t="str">
        <f>IFERROR(__xludf.DUMMYFUNCTION("""COMPUTED_VALUE"""),"Fosaprepitant Dimeglumine Injection")</f>
        <v>Fosaprepitant Dimeglumine Injection</v>
      </c>
      <c r="B734" s="5" t="str">
        <f>IFERROR(__xludf.DUMMYFUNCTION("""COMPUTED_VALUE"""),"Fresenius Kabi USA, LLC")</f>
        <v>Fresenius Kabi USA, LLC</v>
      </c>
      <c r="C734" s="5" t="str">
        <f>IFERROR(__xludf.DUMMYFUNCTION("""COMPUTED_VALUE"""),"Fosaprepitant Dimeglumine, Injection, 150 mg/5 mL (NDC 63323-972-10)")</f>
        <v>Fosaprepitant Dimeglumine, Injection, 150 mg/5 mL (NDC 63323-972-10)</v>
      </c>
      <c r="D734" s="5" t="str">
        <f>IFERROR(__xludf.DUMMYFUNCTION("""COMPUTED_VALUE"""),"New")</f>
        <v>New</v>
      </c>
      <c r="E734" s="10">
        <f>IFERROR(__xludf.DUMMYFUNCTION("""COMPUTED_VALUE"""),46120.0)</f>
        <v>46120</v>
      </c>
      <c r="F734" s="5"/>
      <c r="G734" s="5" t="str">
        <f>IFERROR(__xludf.DUMMYFUNCTION("""COMPUTED_VALUE"""),"Discontinuation of the manufacture of the drug")</f>
        <v>Discontinuation of the manufacture of the drug</v>
      </c>
      <c r="H734" s="5"/>
      <c r="I734" s="5"/>
      <c r="J734" s="5" t="str">
        <f>IFERROR(__xludf.DUMMYFUNCTION("""COMPUTED_VALUE"""),"Gastroenterology")</f>
        <v>Gastroenterology</v>
      </c>
      <c r="K734" s="5" t="str">
        <f>IFERROR(__xludf.DUMMYFUNCTION("""COMPUTED_VALUE"""),"To Be Discontinued")</f>
        <v>To Be Discontinued</v>
      </c>
      <c r="L734" s="5"/>
      <c r="M734" s="10">
        <f>IFERROR(__xludf.DUMMYFUNCTION("""COMPUTED_VALUE"""),46120.0)</f>
        <v>46120</v>
      </c>
      <c r="N734" s="10">
        <f>IFERROR(__xludf.DUMMYFUNCTION("""COMPUTED_VALUE"""),46120.0)</f>
        <v>46120</v>
      </c>
      <c r="O734" s="5">
        <v>2026.0</v>
      </c>
      <c r="P734" s="5" t="str">
        <f>IFERROR(__xludf.DUMMYFUNCTION("""COMPUTED_VALUE"""),"Not stated")</f>
        <v>Not stated</v>
      </c>
      <c r="Q734" s="5" t="s">
        <v>135</v>
      </c>
      <c r="R734" s="5" t="s">
        <v>136</v>
      </c>
      <c r="S734" s="11">
        <v>201.0</v>
      </c>
    </row>
    <row r="735">
      <c r="A735" s="5" t="str">
        <f>IFERROR(__xludf.DUMMYFUNCTION("""COMPUTED_VALUE"""),"Frovatriptan Succinate Tablet")</f>
        <v>Frovatriptan Succinate Tablet</v>
      </c>
      <c r="B735" s="5" t="str">
        <f>IFERROR(__xludf.DUMMYFUNCTION("""COMPUTED_VALUE"""),"Endo Pharmaceuticals, Inc.")</f>
        <v>Endo Pharmaceuticals, Inc.</v>
      </c>
      <c r="C735" s="5" t="str">
        <f>IFERROR(__xludf.DUMMYFUNCTION("""COMPUTED_VALUE"""),"Frova, Tablet, 2.5 mg (NDC 63481-025-09)")</f>
        <v>Frova, Tablet, 2.5 mg (NDC 63481-025-09)</v>
      </c>
      <c r="D735" s="5" t="str">
        <f>IFERROR(__xludf.DUMMYFUNCTION("""COMPUTED_VALUE"""),"New")</f>
        <v>New</v>
      </c>
      <c r="E735" s="10">
        <f>IFERROR(__xludf.DUMMYFUNCTION("""COMPUTED_VALUE"""),46077.0)</f>
        <v>46077</v>
      </c>
      <c r="F735" s="5"/>
      <c r="G735" s="5" t="str">
        <f>IFERROR(__xludf.DUMMYFUNCTION("""COMPUTED_VALUE"""),"A business decision was made to discontinue manufacture of the drug.")</f>
        <v>A business decision was made to discontinue manufacture of the drug.</v>
      </c>
      <c r="H735" s="5"/>
      <c r="I735" s="5"/>
      <c r="J735" s="5" t="str">
        <f>IFERROR(__xludf.DUMMYFUNCTION("""COMPUTED_VALUE"""),"Neurology")</f>
        <v>Neurology</v>
      </c>
      <c r="K735" s="5" t="str">
        <f>IFERROR(__xludf.DUMMYFUNCTION("""COMPUTED_VALUE"""),"To Be Discontinued")</f>
        <v>To Be Discontinued</v>
      </c>
      <c r="L735" s="5"/>
      <c r="M735" s="10">
        <f>IFERROR(__xludf.DUMMYFUNCTION("""COMPUTED_VALUE"""),46077.0)</f>
        <v>46077</v>
      </c>
      <c r="N735" s="10">
        <f>IFERROR(__xludf.DUMMYFUNCTION("""COMPUTED_VALUE"""),46077.0)</f>
        <v>46077</v>
      </c>
      <c r="O735" s="5">
        <v>2026.0</v>
      </c>
      <c r="P735" s="5" t="str">
        <f>IFERROR(__xludf.DUMMYFUNCTION("""COMPUTED_VALUE"""),"Not stated")</f>
        <v>Not stated</v>
      </c>
      <c r="Q735" s="5" t="s">
        <v>135</v>
      </c>
      <c r="R735" s="5" t="s">
        <v>136</v>
      </c>
      <c r="S735" s="11">
        <v>244.0</v>
      </c>
    </row>
    <row r="736">
      <c r="A736" s="5" t="str">
        <f>IFERROR(__xludf.DUMMYFUNCTION("""COMPUTED_VALUE"""),"Frovatriptan Succinate Tablet")</f>
        <v>Frovatriptan Succinate Tablet</v>
      </c>
      <c r="B736" s="5" t="str">
        <f>IFERROR(__xludf.DUMMYFUNCTION("""COMPUTED_VALUE"""),"Endo Pharmaceuticals, Inc.")</f>
        <v>Endo Pharmaceuticals, Inc.</v>
      </c>
      <c r="C736" s="5" t="str">
        <f>IFERROR(__xludf.DUMMYFUNCTION("""COMPUTED_VALUE"""),"Frova, Tablet, 2.5 mg (NDC 0603-3718-34)")</f>
        <v>Frova, Tablet, 2.5 mg (NDC 0603-3718-34)</v>
      </c>
      <c r="D736" s="5" t="str">
        <f>IFERROR(__xludf.DUMMYFUNCTION("""COMPUTED_VALUE"""),"New")</f>
        <v>New</v>
      </c>
      <c r="E736" s="13">
        <f>IFERROR(__xludf.DUMMYFUNCTION("""COMPUTED_VALUE"""),45973.0)</f>
        <v>45973</v>
      </c>
      <c r="F736" s="5"/>
      <c r="G736" s="5" t="str">
        <f>IFERROR(__xludf.DUMMYFUNCTION("""COMPUTED_VALUE"""),"A business decision was made to discontinue manufacture of the drug.")</f>
        <v>A business decision was made to discontinue manufacture of the drug.</v>
      </c>
      <c r="H736" s="5"/>
      <c r="I736" s="5"/>
      <c r="J736" s="5" t="str">
        <f>IFERROR(__xludf.DUMMYFUNCTION("""COMPUTED_VALUE"""),"Neurology")</f>
        <v>Neurology</v>
      </c>
      <c r="K736" s="5" t="str">
        <f>IFERROR(__xludf.DUMMYFUNCTION("""COMPUTED_VALUE"""),"To Be Discontinued")</f>
        <v>To Be Discontinued</v>
      </c>
      <c r="L736" s="5"/>
      <c r="M736" s="13">
        <f>IFERROR(__xludf.DUMMYFUNCTION("""COMPUTED_VALUE"""),45973.0)</f>
        <v>45973</v>
      </c>
      <c r="N736" s="13">
        <f>IFERROR(__xludf.DUMMYFUNCTION("""COMPUTED_VALUE"""),45973.0)</f>
        <v>45973</v>
      </c>
      <c r="O736" s="5">
        <v>2025.0</v>
      </c>
      <c r="P736" s="5" t="str">
        <f>IFERROR(__xludf.DUMMYFUNCTION("""COMPUTED_VALUE"""),"Not stated")</f>
        <v>Not stated</v>
      </c>
      <c r="Q736" s="5" t="s">
        <v>135</v>
      </c>
      <c r="R736" s="5" t="s">
        <v>136</v>
      </c>
      <c r="S736" s="11">
        <v>348.0</v>
      </c>
    </row>
    <row r="737">
      <c r="A737" s="5" t="str">
        <f>IFERROR(__xludf.DUMMYFUNCTION("""COMPUTED_VALUE"""),"Fulvestrant Injection")</f>
        <v>Fulvestrant Injection</v>
      </c>
      <c r="B737" s="5" t="str">
        <f>IFERROR(__xludf.DUMMYFUNCTION("""COMPUTED_VALUE"""),"Fresenius Kabi USA, LLC")</f>
        <v>Fresenius Kabi USA, LLC</v>
      </c>
      <c r="C737" s="5" t="str">
        <f>IFERROR(__xludf.DUMMYFUNCTION("""COMPUTED_VALUE"""),"Fulvestrant, Injection, 250 mg per 5mL (NDC 63323-715-05)")</f>
        <v>Fulvestrant, Injection, 250 mg per 5mL (NDC 63323-715-05)</v>
      </c>
      <c r="D737" s="5" t="str">
        <f>IFERROR(__xludf.DUMMYFUNCTION("""COMPUTED_VALUE"""),"New")</f>
        <v>New</v>
      </c>
      <c r="E737" s="10">
        <f>IFERROR(__xludf.DUMMYFUNCTION("""COMPUTED_VALUE"""),46248.0)</f>
        <v>46248</v>
      </c>
      <c r="F737" s="5"/>
      <c r="G737" s="5" t="str">
        <f>IFERROR(__xludf.DUMMYFUNCTION("""COMPUTED_VALUE"""),"Discontinuation of the manufacture of the drug")</f>
        <v>Discontinuation of the manufacture of the drug</v>
      </c>
      <c r="H737" s="5"/>
      <c r="I737" s="5"/>
      <c r="J737" s="5" t="str">
        <f>IFERROR(__xludf.DUMMYFUNCTION("""COMPUTED_VALUE"""),"Oncology")</f>
        <v>Oncology</v>
      </c>
      <c r="K737" s="5" t="str">
        <f>IFERROR(__xludf.DUMMYFUNCTION("""COMPUTED_VALUE"""),"To Be Discontinued")</f>
        <v>To Be Discontinued</v>
      </c>
      <c r="L737" s="5"/>
      <c r="M737" s="10">
        <f>IFERROR(__xludf.DUMMYFUNCTION("""COMPUTED_VALUE"""),46248.0)</f>
        <v>46248</v>
      </c>
      <c r="N737" s="10">
        <f>IFERROR(__xludf.DUMMYFUNCTION("""COMPUTED_VALUE"""),46248.0)</f>
        <v>46248</v>
      </c>
      <c r="O737" s="5">
        <v>2026.0</v>
      </c>
      <c r="P737" s="5" t="str">
        <f>IFERROR(__xludf.DUMMYFUNCTION("""COMPUTED_VALUE"""),"Not stated")</f>
        <v>Not stated</v>
      </c>
      <c r="Q737" s="5" t="s">
        <v>135</v>
      </c>
      <c r="R737" s="5" t="s">
        <v>136</v>
      </c>
      <c r="S737" s="11">
        <v>73.0</v>
      </c>
    </row>
    <row r="738">
      <c r="A738" s="5" t="str">
        <f>IFERROR(__xludf.DUMMYFUNCTION("""COMPUTED_VALUE"""),"Furosemide Injection")</f>
        <v>Furosemide Injection</v>
      </c>
      <c r="B738" s="5" t="str">
        <f>IFERROR(__xludf.DUMMYFUNCTION("""COMPUTED_VALUE"""),"Gland Pharma Limited")</f>
        <v>Gland Pharma Limited</v>
      </c>
      <c r="C738" s="5" t="str">
        <f>IFERROR(__xludf.DUMMYFUNCTION("""COMPUTED_VALUE"""),"Furosemide, Injection, 10 mg/1 mL (NDC 25021-311-02)")</f>
        <v>Furosemide, Injection, 10 mg/1 mL (NDC 25021-311-02)</v>
      </c>
      <c r="D738" s="5" t="str">
        <f>IFERROR(__xludf.DUMMYFUNCTION("""COMPUTED_VALUE"""),"New")</f>
        <v>New</v>
      </c>
      <c r="E738" s="10">
        <f>IFERROR(__xludf.DUMMYFUNCTION("""COMPUTED_VALUE"""),46140.0)</f>
        <v>46140</v>
      </c>
      <c r="F738" s="5"/>
      <c r="G738" s="5" t="str">
        <f>IFERROR(__xludf.DUMMYFUNCTION("""COMPUTED_VALUE"""),"Distributed by Sagent Pharmaceuticals; Discontinuation of the manufacture of the drug")</f>
        <v>Distributed by Sagent Pharmaceuticals; Discontinuation of the manufacture of the drug</v>
      </c>
      <c r="H738" s="5"/>
      <c r="I738" s="5"/>
      <c r="J738" s="5" t="str">
        <f>IFERROR(__xludf.DUMMYFUNCTION("""COMPUTED_VALUE"""),"Cardiovascular")</f>
        <v>Cardiovascular</v>
      </c>
      <c r="K738" s="5" t="str">
        <f>IFERROR(__xludf.DUMMYFUNCTION("""COMPUTED_VALUE"""),"To Be Discontinued")</f>
        <v>To Be Discontinued</v>
      </c>
      <c r="L738" s="5"/>
      <c r="M738" s="10">
        <f>IFERROR(__xludf.DUMMYFUNCTION("""COMPUTED_VALUE"""),46140.0)</f>
        <v>46140</v>
      </c>
      <c r="N738" s="10">
        <f>IFERROR(__xludf.DUMMYFUNCTION("""COMPUTED_VALUE"""),46140.0)</f>
        <v>46140</v>
      </c>
      <c r="O738" s="5">
        <v>2026.0</v>
      </c>
      <c r="P738" s="5" t="str">
        <f>IFERROR(__xludf.DUMMYFUNCTION("""COMPUTED_VALUE"""),"Not stated")</f>
        <v>Not stated</v>
      </c>
      <c r="Q738" s="5" t="s">
        <v>135</v>
      </c>
      <c r="R738" s="5" t="s">
        <v>434</v>
      </c>
      <c r="S738" s="11">
        <v>181.0</v>
      </c>
    </row>
    <row r="739">
      <c r="A739" s="5" t="str">
        <f>IFERROR(__xludf.DUMMYFUNCTION("""COMPUTED_VALUE"""),"Furosemide Injection")</f>
        <v>Furosemide Injection</v>
      </c>
      <c r="B739" s="5" t="str">
        <f>IFERROR(__xludf.DUMMYFUNCTION("""COMPUTED_VALUE"""),"Gland Pharma Limited")</f>
        <v>Gland Pharma Limited</v>
      </c>
      <c r="C739" s="5" t="str">
        <f>IFERROR(__xludf.DUMMYFUNCTION("""COMPUTED_VALUE"""),"Furosemide, Injection, 10 mg/1 mL (NDC 25021-311-04)")</f>
        <v>Furosemide, Injection, 10 mg/1 mL (NDC 25021-311-04)</v>
      </c>
      <c r="D739" s="5" t="str">
        <f>IFERROR(__xludf.DUMMYFUNCTION("""COMPUTED_VALUE"""),"New")</f>
        <v>New</v>
      </c>
      <c r="E739" s="10">
        <f>IFERROR(__xludf.DUMMYFUNCTION("""COMPUTED_VALUE"""),46140.0)</f>
        <v>46140</v>
      </c>
      <c r="F739" s="5"/>
      <c r="G739" s="5" t="str">
        <f>IFERROR(__xludf.DUMMYFUNCTION("""COMPUTED_VALUE"""),"Distributed by Sagent Pharmaceuticals; Discontinuation of the manufacture of the drug")</f>
        <v>Distributed by Sagent Pharmaceuticals; Discontinuation of the manufacture of the drug</v>
      </c>
      <c r="H739" s="5"/>
      <c r="I739" s="5"/>
      <c r="J739" s="5" t="str">
        <f>IFERROR(__xludf.DUMMYFUNCTION("""COMPUTED_VALUE"""),"Cardiovascular")</f>
        <v>Cardiovascular</v>
      </c>
      <c r="K739" s="5" t="str">
        <f>IFERROR(__xludf.DUMMYFUNCTION("""COMPUTED_VALUE"""),"To Be Discontinued")</f>
        <v>To Be Discontinued</v>
      </c>
      <c r="L739" s="5"/>
      <c r="M739" s="10">
        <f>IFERROR(__xludf.DUMMYFUNCTION("""COMPUTED_VALUE"""),46140.0)</f>
        <v>46140</v>
      </c>
      <c r="N739" s="10">
        <f>IFERROR(__xludf.DUMMYFUNCTION("""COMPUTED_VALUE"""),46140.0)</f>
        <v>46140</v>
      </c>
      <c r="O739" s="5">
        <v>2026.0</v>
      </c>
      <c r="P739" s="5" t="str">
        <f>IFERROR(__xludf.DUMMYFUNCTION("""COMPUTED_VALUE"""),"Not stated")</f>
        <v>Not stated</v>
      </c>
      <c r="Q739" s="5" t="s">
        <v>135</v>
      </c>
      <c r="R739" s="5" t="s">
        <v>434</v>
      </c>
      <c r="S739" s="11">
        <v>181.0</v>
      </c>
    </row>
    <row r="740">
      <c r="A740" s="5" t="str">
        <f>IFERROR(__xludf.DUMMYFUNCTION("""COMPUTED_VALUE"""),"Furosemide Injection")</f>
        <v>Furosemide Injection</v>
      </c>
      <c r="B740" s="5" t="str">
        <f>IFERROR(__xludf.DUMMYFUNCTION("""COMPUTED_VALUE"""),"Gland Pharma Limited")</f>
        <v>Gland Pharma Limited</v>
      </c>
      <c r="C740" s="5" t="str">
        <f>IFERROR(__xludf.DUMMYFUNCTION("""COMPUTED_VALUE"""),"Furosemide, Injection, 10 mg/1 mL (NDC 25021-311-10)")</f>
        <v>Furosemide, Injection, 10 mg/1 mL (NDC 25021-311-10)</v>
      </c>
      <c r="D740" s="5" t="str">
        <f>IFERROR(__xludf.DUMMYFUNCTION("""COMPUTED_VALUE"""),"New")</f>
        <v>New</v>
      </c>
      <c r="E740" s="10">
        <f>IFERROR(__xludf.DUMMYFUNCTION("""COMPUTED_VALUE"""),46140.0)</f>
        <v>46140</v>
      </c>
      <c r="F740" s="5"/>
      <c r="G740" s="5" t="str">
        <f>IFERROR(__xludf.DUMMYFUNCTION("""COMPUTED_VALUE"""),"Distributed by Sagent Pharmaceuticals; Discontinuation of the manufacture of the drug")</f>
        <v>Distributed by Sagent Pharmaceuticals; Discontinuation of the manufacture of the drug</v>
      </c>
      <c r="H740" s="5"/>
      <c r="I740" s="5"/>
      <c r="J740" s="5" t="str">
        <f>IFERROR(__xludf.DUMMYFUNCTION("""COMPUTED_VALUE"""),"Cardiovascular")</f>
        <v>Cardiovascular</v>
      </c>
      <c r="K740" s="5" t="str">
        <f>IFERROR(__xludf.DUMMYFUNCTION("""COMPUTED_VALUE"""),"To Be Discontinued")</f>
        <v>To Be Discontinued</v>
      </c>
      <c r="L740" s="5"/>
      <c r="M740" s="10">
        <f>IFERROR(__xludf.DUMMYFUNCTION("""COMPUTED_VALUE"""),46140.0)</f>
        <v>46140</v>
      </c>
      <c r="N740" s="10">
        <f>IFERROR(__xludf.DUMMYFUNCTION("""COMPUTED_VALUE"""),46140.0)</f>
        <v>46140</v>
      </c>
      <c r="O740" s="5">
        <v>2026.0</v>
      </c>
      <c r="P740" s="5" t="str">
        <f>IFERROR(__xludf.DUMMYFUNCTION("""COMPUTED_VALUE"""),"Not stated")</f>
        <v>Not stated</v>
      </c>
      <c r="Q740" s="5" t="s">
        <v>135</v>
      </c>
      <c r="R740" s="5" t="s">
        <v>434</v>
      </c>
      <c r="S740" s="11">
        <v>181.0</v>
      </c>
    </row>
    <row r="741">
      <c r="A741" s="5" t="str">
        <f>IFERROR(__xludf.DUMMYFUNCTION("""COMPUTED_VALUE"""),"Furosemide Injection")</f>
        <v>Furosemide Injection</v>
      </c>
      <c r="B741" s="5" t="str">
        <f>IFERROR(__xludf.DUMMYFUNCTION("""COMPUTED_VALUE"""),"Accord Healthcare Inc.")</f>
        <v>Accord Healthcare Inc.</v>
      </c>
      <c r="C741" s="5" t="str">
        <f>IFERROR(__xludf.DUMMYFUNCTION("""COMPUTED_VALUE"""),"Furosemide, Injection, 10 mg/1 mL (NDC 16729-500-08)")</f>
        <v>Furosemide, Injection, 10 mg/1 mL (NDC 16729-500-08)</v>
      </c>
      <c r="D741" s="5" t="str">
        <f>IFERROR(__xludf.DUMMYFUNCTION("""COMPUTED_VALUE"""),"Reverified")</f>
        <v>Reverified</v>
      </c>
      <c r="E741" s="13">
        <f>IFERROR(__xludf.DUMMYFUNCTION("""COMPUTED_VALUE"""),46312.0)</f>
        <v>46312</v>
      </c>
      <c r="F741" s="5" t="str">
        <f>IFERROR(__xludf.DUMMYFUNCTION("""COMPUTED_VALUE"""),"Unavailable")</f>
        <v>Unavailable</v>
      </c>
      <c r="G741" s="5" t="str">
        <f>IFERROR(__xludf.DUMMYFUNCTION("""COMPUTED_VALUE"""),"Estimated recovery: TBD/ NDC non-Exempt")</f>
        <v>Estimated recovery: TBD/ NDC non-Exempt</v>
      </c>
      <c r="H741" s="5"/>
      <c r="I741" s="5" t="str">
        <f>IFERROR(__xludf.DUMMYFUNCTION("""COMPUTED_VALUE"""),"Requirements related to complying with good manufacturing practices")</f>
        <v>Requirements related to complying with good manufacturing practices</v>
      </c>
      <c r="J741" s="5" t="str">
        <f>IFERROR(__xludf.DUMMYFUNCTION("""COMPUTED_VALUE"""),"Cardiovascular")</f>
        <v>Cardiovascular</v>
      </c>
      <c r="K741" s="5" t="str">
        <f>IFERROR(__xludf.DUMMYFUNCTION("""COMPUTED_VALUE"""),"Current")</f>
        <v>Current</v>
      </c>
      <c r="L741" s="5"/>
      <c r="M741" s="5"/>
      <c r="N741" s="10">
        <f>IFERROR(__xludf.DUMMYFUNCTION("""COMPUTED_VALUE"""),43928.0)</f>
        <v>43928</v>
      </c>
      <c r="O741" s="5">
        <v>2020.0</v>
      </c>
      <c r="P741" s="5" t="str">
        <f>IFERROR(__xludf.DUMMYFUNCTION("""COMPUTED_VALUE"""),"Unavailable")</f>
        <v>Unavailable</v>
      </c>
      <c r="Q741" s="5" t="s">
        <v>295</v>
      </c>
      <c r="R741" s="5" t="s">
        <v>136</v>
      </c>
      <c r="S741" s="11">
        <v>2393.0</v>
      </c>
    </row>
    <row r="742">
      <c r="A742" s="5" t="str">
        <f>IFERROR(__xludf.DUMMYFUNCTION("""COMPUTED_VALUE"""),"Furosemide Injection")</f>
        <v>Furosemide Injection</v>
      </c>
      <c r="B742" s="5" t="str">
        <f>IFERROR(__xludf.DUMMYFUNCTION("""COMPUTED_VALUE"""),"Accord Healthcare Inc.")</f>
        <v>Accord Healthcare Inc.</v>
      </c>
      <c r="C742" s="5" t="str">
        <f>IFERROR(__xludf.DUMMYFUNCTION("""COMPUTED_VALUE"""),"Furosemide, Injection, 10 mg/1 mL (NDC 16729-501-43)")</f>
        <v>Furosemide, Injection, 10 mg/1 mL (NDC 16729-501-43)</v>
      </c>
      <c r="D742" s="5" t="str">
        <f>IFERROR(__xludf.DUMMYFUNCTION("""COMPUTED_VALUE"""),"Reverified")</f>
        <v>Reverified</v>
      </c>
      <c r="E742" s="13">
        <f>IFERROR(__xludf.DUMMYFUNCTION("""COMPUTED_VALUE"""),46312.0)</f>
        <v>46312</v>
      </c>
      <c r="F742" s="5" t="str">
        <f>IFERROR(__xludf.DUMMYFUNCTION("""COMPUTED_VALUE"""),"Unavailable")</f>
        <v>Unavailable</v>
      </c>
      <c r="G742" s="5" t="str">
        <f>IFERROR(__xludf.DUMMYFUNCTION("""COMPUTED_VALUE"""),"Estimated recovery: TBD/ NDC non-Exempt")</f>
        <v>Estimated recovery: TBD/ NDC non-Exempt</v>
      </c>
      <c r="H742" s="5"/>
      <c r="I742" s="5" t="str">
        <f>IFERROR(__xludf.DUMMYFUNCTION("""COMPUTED_VALUE"""),"Requirements related to complying with good manufacturing practices")</f>
        <v>Requirements related to complying with good manufacturing practices</v>
      </c>
      <c r="J742" s="5" t="str">
        <f>IFERROR(__xludf.DUMMYFUNCTION("""COMPUTED_VALUE"""),"Cardiovascular")</f>
        <v>Cardiovascular</v>
      </c>
      <c r="K742" s="5" t="str">
        <f>IFERROR(__xludf.DUMMYFUNCTION("""COMPUTED_VALUE"""),"Current")</f>
        <v>Current</v>
      </c>
      <c r="L742" s="5"/>
      <c r="M742" s="5"/>
      <c r="N742" s="10">
        <f>IFERROR(__xludf.DUMMYFUNCTION("""COMPUTED_VALUE"""),43928.0)</f>
        <v>43928</v>
      </c>
      <c r="O742" s="5">
        <v>2020.0</v>
      </c>
      <c r="P742" s="5" t="str">
        <f>IFERROR(__xludf.DUMMYFUNCTION("""COMPUTED_VALUE"""),"Unavailable")</f>
        <v>Unavailable</v>
      </c>
      <c r="Q742" s="5" t="s">
        <v>295</v>
      </c>
      <c r="R742" s="5" t="s">
        <v>136</v>
      </c>
      <c r="S742" s="11">
        <v>2393.0</v>
      </c>
    </row>
    <row r="743">
      <c r="A743" s="5" t="str">
        <f>IFERROR(__xludf.DUMMYFUNCTION("""COMPUTED_VALUE"""),"Furosemide Injection")</f>
        <v>Furosemide Injection</v>
      </c>
      <c r="B743" s="5" t="str">
        <f>IFERROR(__xludf.DUMMYFUNCTION("""COMPUTED_VALUE"""),"Accord Healthcare Inc.")</f>
        <v>Accord Healthcare Inc.</v>
      </c>
      <c r="C743" s="5" t="str">
        <f>IFERROR(__xludf.DUMMYFUNCTION("""COMPUTED_VALUE"""),"Furosemide, Injection, 10 mg/1 mL (NDC 16729-502-43)")</f>
        <v>Furosemide, Injection, 10 mg/1 mL (NDC 16729-502-43)</v>
      </c>
      <c r="D743" s="5" t="str">
        <f>IFERROR(__xludf.DUMMYFUNCTION("""COMPUTED_VALUE"""),"Reverified")</f>
        <v>Reverified</v>
      </c>
      <c r="E743" s="13">
        <f>IFERROR(__xludf.DUMMYFUNCTION("""COMPUTED_VALUE"""),46312.0)</f>
        <v>46312</v>
      </c>
      <c r="F743" s="5" t="str">
        <f>IFERROR(__xludf.DUMMYFUNCTION("""COMPUTED_VALUE"""),"Unavailable")</f>
        <v>Unavailable</v>
      </c>
      <c r="G743" s="5" t="str">
        <f>IFERROR(__xludf.DUMMYFUNCTION("""COMPUTED_VALUE"""),"Estimated recovery: TBD/ NDC non-Exempt")</f>
        <v>Estimated recovery: TBD/ NDC non-Exempt</v>
      </c>
      <c r="H743" s="5"/>
      <c r="I743" s="5" t="str">
        <f>IFERROR(__xludf.DUMMYFUNCTION("""COMPUTED_VALUE"""),"Requirements related to complying with good manufacturing practices")</f>
        <v>Requirements related to complying with good manufacturing practices</v>
      </c>
      <c r="J743" s="5" t="str">
        <f>IFERROR(__xludf.DUMMYFUNCTION("""COMPUTED_VALUE"""),"Cardiovascular")</f>
        <v>Cardiovascular</v>
      </c>
      <c r="K743" s="5" t="str">
        <f>IFERROR(__xludf.DUMMYFUNCTION("""COMPUTED_VALUE"""),"Current")</f>
        <v>Current</v>
      </c>
      <c r="L743" s="5"/>
      <c r="M743" s="5"/>
      <c r="N743" s="10">
        <f>IFERROR(__xludf.DUMMYFUNCTION("""COMPUTED_VALUE"""),43928.0)</f>
        <v>43928</v>
      </c>
      <c r="O743" s="5">
        <v>2020.0</v>
      </c>
      <c r="P743" s="5" t="str">
        <f>IFERROR(__xludf.DUMMYFUNCTION("""COMPUTED_VALUE"""),"Unavailable")</f>
        <v>Unavailable</v>
      </c>
      <c r="Q743" s="5" t="s">
        <v>295</v>
      </c>
      <c r="R743" s="5" t="s">
        <v>136</v>
      </c>
      <c r="S743" s="11">
        <v>2393.0</v>
      </c>
    </row>
    <row r="744">
      <c r="A744" s="5" t="str">
        <f>IFERROR(__xludf.DUMMYFUNCTION("""COMPUTED_VALUE"""),"Furosemide Injection")</f>
        <v>Furosemide Injection</v>
      </c>
      <c r="B744" s="5" t="str">
        <f>IFERROR(__xludf.DUMMYFUNCTION("""COMPUTED_VALUE"""),"Hospira, Inc., a Pfizer Company")</f>
        <v>Hospira, Inc., a Pfizer Company</v>
      </c>
      <c r="C744" s="5" t="str">
        <f>IFERROR(__xludf.DUMMYFUNCTION("""COMPUTED_VALUE"""),"Furosemide, Injection, 100 mg/ 10mL (10 mg/1 mL) (NDC 0409-6102-27)")</f>
        <v>Furosemide, Injection, 100 mg/ 10mL (10 mg/1 mL) (NDC 0409-6102-27)</v>
      </c>
      <c r="D744" s="5" t="str">
        <f>IFERROR(__xludf.DUMMYFUNCTION("""COMPUTED_VALUE"""),"Revised")</f>
        <v>Revised</v>
      </c>
      <c r="E744" s="10">
        <f>IFERROR(__xludf.DUMMYFUNCTION("""COMPUTED_VALUE"""),46303.0)</f>
        <v>46303</v>
      </c>
      <c r="F744" s="5" t="str">
        <f>IFERROR(__xludf.DUMMYFUNCTION("""COMPUTED_VALUE"""),"Unavailable")</f>
        <v>Unavailable</v>
      </c>
      <c r="G744" s="5" t="str">
        <f>IFERROR(__xludf.DUMMYFUNCTION("""COMPUTED_VALUE"""),"Next Delivery and Estimated Recovery: December 2028; Shortage per Manufacturer: Manufacturing Delay")</f>
        <v>Next Delivery and Estimated Recovery: December 2028; Shortage per Manufacturer: Manufacturing Delay</v>
      </c>
      <c r="H744" s="5"/>
      <c r="I744" s="5" t="str">
        <f>IFERROR(__xludf.DUMMYFUNCTION("""COMPUTED_VALUE"""),"Other")</f>
        <v>Other</v>
      </c>
      <c r="J744" s="5" t="str">
        <f>IFERROR(__xludf.DUMMYFUNCTION("""COMPUTED_VALUE"""),"Cardiovascular")</f>
        <v>Cardiovascular</v>
      </c>
      <c r="K744" s="5" t="str">
        <f>IFERROR(__xludf.DUMMYFUNCTION("""COMPUTED_VALUE"""),"Current")</f>
        <v>Current</v>
      </c>
      <c r="L744" s="5"/>
      <c r="M744" s="5"/>
      <c r="N744" s="10">
        <f>IFERROR(__xludf.DUMMYFUNCTION("""COMPUTED_VALUE"""),43928.0)</f>
        <v>43928</v>
      </c>
      <c r="O744" s="5">
        <v>2020.0</v>
      </c>
      <c r="P744" s="5" t="str">
        <f>IFERROR(__xludf.DUMMYFUNCTION("""COMPUTED_VALUE"""),"Unavailable")</f>
        <v>Unavailable</v>
      </c>
      <c r="Q744" s="5" t="s">
        <v>47</v>
      </c>
      <c r="R744" s="5" t="s">
        <v>136</v>
      </c>
      <c r="S744" s="11">
        <v>2393.0</v>
      </c>
    </row>
    <row r="745">
      <c r="A745" s="5" t="str">
        <f>IFERROR(__xludf.DUMMYFUNCTION("""COMPUTED_VALUE"""),"Furosemide Injection")</f>
        <v>Furosemide Injection</v>
      </c>
      <c r="B745" s="5" t="str">
        <f>IFERROR(__xludf.DUMMYFUNCTION("""COMPUTED_VALUE"""),"Meitheal Pharmaceuticals, Inc.")</f>
        <v>Meitheal Pharmaceuticals, Inc.</v>
      </c>
      <c r="C745" s="5" t="str">
        <f>IFERROR(__xludf.DUMMYFUNCTION("""COMPUTED_VALUE"""),"Furosemide, Injection, 10 mg/mL, 2 mL (NDC 71288-205-03)")</f>
        <v>Furosemide, Injection, 10 mg/mL, 2 mL (NDC 71288-205-03)</v>
      </c>
      <c r="D745" s="5" t="str">
        <f>IFERROR(__xludf.DUMMYFUNCTION("""COMPUTED_VALUE"""),"Reverified")</f>
        <v>Reverified</v>
      </c>
      <c r="E745" s="10">
        <f>IFERROR(__xludf.DUMMYFUNCTION("""COMPUTED_VALUE"""),46261.0)</f>
        <v>46261</v>
      </c>
      <c r="F745" s="5" t="str">
        <f>IFERROR(__xludf.DUMMYFUNCTION("""COMPUTED_VALUE"""),"Available")</f>
        <v>Available</v>
      </c>
      <c r="G745" s="5" t="str">
        <f>IFERROR(__xludf.DUMMYFUNCTION("""COMPUTED_VALUE"""),"Check wholesalers for inventory")</f>
        <v>Check wholesalers for inventory</v>
      </c>
      <c r="H745" s="5"/>
      <c r="I745" s="5"/>
      <c r="J745" s="5" t="str">
        <f>IFERROR(__xludf.DUMMYFUNCTION("""COMPUTED_VALUE"""),"Cardiovascular")</f>
        <v>Cardiovascular</v>
      </c>
      <c r="K745" s="5" t="str">
        <f>IFERROR(__xludf.DUMMYFUNCTION("""COMPUTED_VALUE"""),"Current")</f>
        <v>Current</v>
      </c>
      <c r="L745" s="5"/>
      <c r="M745" s="5"/>
      <c r="N745" s="10">
        <f>IFERROR(__xludf.DUMMYFUNCTION("""COMPUTED_VALUE"""),43928.0)</f>
        <v>43928</v>
      </c>
      <c r="O745" s="5">
        <v>2020.0</v>
      </c>
      <c r="P745" s="5" t="str">
        <f>IFERROR(__xludf.DUMMYFUNCTION("""COMPUTED_VALUE"""),"Available")</f>
        <v>Available</v>
      </c>
      <c r="Q745" s="5" t="s">
        <v>135</v>
      </c>
      <c r="R745" s="5" t="s">
        <v>136</v>
      </c>
      <c r="S745" s="11">
        <v>2393.0</v>
      </c>
    </row>
    <row r="746">
      <c r="A746" s="5" t="str">
        <f>IFERROR(__xludf.DUMMYFUNCTION("""COMPUTED_VALUE"""),"Furosemide Injection")</f>
        <v>Furosemide Injection</v>
      </c>
      <c r="B746" s="5" t="str">
        <f>IFERROR(__xludf.DUMMYFUNCTION("""COMPUTED_VALUE"""),"Meitheal Pharmaceuticals, Inc.")</f>
        <v>Meitheal Pharmaceuticals, Inc.</v>
      </c>
      <c r="C746" s="5" t="str">
        <f>IFERROR(__xludf.DUMMYFUNCTION("""COMPUTED_VALUE"""),"Furosemide, Injection, 10 mg/1 mL (NDC 71288-203-05)")</f>
        <v>Furosemide, Injection, 10 mg/1 mL (NDC 71288-203-05)</v>
      </c>
      <c r="D746" s="5" t="str">
        <f>IFERROR(__xludf.DUMMYFUNCTION("""COMPUTED_VALUE"""),"Reverified")</f>
        <v>Reverified</v>
      </c>
      <c r="E746" s="10">
        <f>IFERROR(__xludf.DUMMYFUNCTION("""COMPUTED_VALUE"""),46261.0)</f>
        <v>46261</v>
      </c>
      <c r="F746" s="5" t="str">
        <f>IFERROR(__xludf.DUMMYFUNCTION("""COMPUTED_VALUE"""),"Available")</f>
        <v>Available</v>
      </c>
      <c r="G746" s="5" t="str">
        <f>IFERROR(__xludf.DUMMYFUNCTION("""COMPUTED_VALUE"""),"Check wholesalers for inventory")</f>
        <v>Check wholesalers for inventory</v>
      </c>
      <c r="H746" s="5"/>
      <c r="I746" s="5"/>
      <c r="J746" s="5" t="str">
        <f>IFERROR(__xludf.DUMMYFUNCTION("""COMPUTED_VALUE"""),"Cardiovascular")</f>
        <v>Cardiovascular</v>
      </c>
      <c r="K746" s="5" t="str">
        <f>IFERROR(__xludf.DUMMYFUNCTION("""COMPUTED_VALUE"""),"Current")</f>
        <v>Current</v>
      </c>
      <c r="L746" s="5"/>
      <c r="M746" s="5"/>
      <c r="N746" s="10">
        <f>IFERROR(__xludf.DUMMYFUNCTION("""COMPUTED_VALUE"""),43928.0)</f>
        <v>43928</v>
      </c>
      <c r="O746" s="5">
        <v>2020.0</v>
      </c>
      <c r="P746" s="5" t="str">
        <f>IFERROR(__xludf.DUMMYFUNCTION("""COMPUTED_VALUE"""),"Available")</f>
        <v>Available</v>
      </c>
      <c r="Q746" s="5" t="s">
        <v>135</v>
      </c>
      <c r="R746" s="5" t="s">
        <v>136</v>
      </c>
      <c r="S746" s="11">
        <v>2393.0</v>
      </c>
    </row>
    <row r="747">
      <c r="A747" s="5" t="str">
        <f>IFERROR(__xludf.DUMMYFUNCTION("""COMPUTED_VALUE"""),"Furosemide Injection")</f>
        <v>Furosemide Injection</v>
      </c>
      <c r="B747" s="5" t="str">
        <f>IFERROR(__xludf.DUMMYFUNCTION("""COMPUTED_VALUE"""),"Meitheal Pharmaceuticals, Inc.")</f>
        <v>Meitheal Pharmaceuticals, Inc.</v>
      </c>
      <c r="C747" s="5" t="str">
        <f>IFERROR(__xludf.DUMMYFUNCTION("""COMPUTED_VALUE"""),"Furosemide, Injection, 10 mg/1 mL (NDC 71288-203-11)")</f>
        <v>Furosemide, Injection, 10 mg/1 mL (NDC 71288-203-11)</v>
      </c>
      <c r="D747" s="5" t="str">
        <f>IFERROR(__xludf.DUMMYFUNCTION("""COMPUTED_VALUE"""),"Reverified")</f>
        <v>Reverified</v>
      </c>
      <c r="E747" s="10">
        <f>IFERROR(__xludf.DUMMYFUNCTION("""COMPUTED_VALUE"""),46261.0)</f>
        <v>46261</v>
      </c>
      <c r="F747" s="5" t="str">
        <f>IFERROR(__xludf.DUMMYFUNCTION("""COMPUTED_VALUE"""),"Available")</f>
        <v>Available</v>
      </c>
      <c r="G747" s="5" t="str">
        <f>IFERROR(__xludf.DUMMYFUNCTION("""COMPUTED_VALUE"""),"Check wholesalers for inventory")</f>
        <v>Check wholesalers for inventory</v>
      </c>
      <c r="H747" s="5"/>
      <c r="I747" s="5"/>
      <c r="J747" s="5" t="str">
        <f>IFERROR(__xludf.DUMMYFUNCTION("""COMPUTED_VALUE"""),"Cardiovascular")</f>
        <v>Cardiovascular</v>
      </c>
      <c r="K747" s="5" t="str">
        <f>IFERROR(__xludf.DUMMYFUNCTION("""COMPUTED_VALUE"""),"Current")</f>
        <v>Current</v>
      </c>
      <c r="L747" s="5"/>
      <c r="M747" s="5"/>
      <c r="N747" s="10">
        <f>IFERROR(__xludf.DUMMYFUNCTION("""COMPUTED_VALUE"""),43928.0)</f>
        <v>43928</v>
      </c>
      <c r="O747" s="5">
        <v>2020.0</v>
      </c>
      <c r="P747" s="5" t="str">
        <f>IFERROR(__xludf.DUMMYFUNCTION("""COMPUTED_VALUE"""),"Available")</f>
        <v>Available</v>
      </c>
      <c r="Q747" s="5" t="s">
        <v>135</v>
      </c>
      <c r="R747" s="5" t="s">
        <v>136</v>
      </c>
      <c r="S747" s="11">
        <v>2393.0</v>
      </c>
    </row>
    <row r="748">
      <c r="A748" s="5" t="str">
        <f>IFERROR(__xludf.DUMMYFUNCTION("""COMPUTED_VALUE"""),"Furosemide Injection")</f>
        <v>Furosemide Injection</v>
      </c>
      <c r="B748" s="5" t="str">
        <f>IFERROR(__xludf.DUMMYFUNCTION("""COMPUTED_VALUE"""),"Gland Pharma Limited")</f>
        <v>Gland Pharma Limited</v>
      </c>
      <c r="C748" s="5" t="str">
        <f>IFERROR(__xludf.DUMMYFUNCTION("""COMPUTED_VALUE"""),"Furosemide, Injection, 10 mg/1 mL (NDC 25021-311-02)")</f>
        <v>Furosemide, Injection, 10 mg/1 mL (NDC 25021-311-02)</v>
      </c>
      <c r="D748" s="5" t="str">
        <f>IFERROR(__xludf.DUMMYFUNCTION("""COMPUTED_VALUE"""),"Reverified")</f>
        <v>Reverified</v>
      </c>
      <c r="E748" s="13">
        <f>IFERROR(__xludf.DUMMYFUNCTION("""COMPUTED_VALUE"""),46316.0)</f>
        <v>46316</v>
      </c>
      <c r="F748" s="5" t="str">
        <f>IFERROR(__xludf.DUMMYFUNCTION("""COMPUTED_VALUE"""),"Unavailable")</f>
        <v>Unavailable</v>
      </c>
      <c r="G748" s="5" t="str">
        <f>IFERROR(__xludf.DUMMYFUNCTION("""COMPUTED_VALUE"""),"Distributed by Sagent Pharmaceuticals: 1-866-625-1618, Discontinued product")</f>
        <v>Distributed by Sagent Pharmaceuticals: 1-866-625-1618, Discontinued product</v>
      </c>
      <c r="H748" s="5"/>
      <c r="I748" s="5" t="str">
        <f>IFERROR(__xludf.DUMMYFUNCTION("""COMPUTED_VALUE"""),"Discontinuation of the manufacture of the drug")</f>
        <v>Discontinuation of the manufacture of the drug</v>
      </c>
      <c r="J748" s="5" t="str">
        <f>IFERROR(__xludf.DUMMYFUNCTION("""COMPUTED_VALUE"""),"Cardiovascular")</f>
        <v>Cardiovascular</v>
      </c>
      <c r="K748" s="5" t="str">
        <f>IFERROR(__xludf.DUMMYFUNCTION("""COMPUTED_VALUE"""),"Current")</f>
        <v>Current</v>
      </c>
      <c r="L748" s="5"/>
      <c r="M748" s="5"/>
      <c r="N748" s="10">
        <f>IFERROR(__xludf.DUMMYFUNCTION("""COMPUTED_VALUE"""),43928.0)</f>
        <v>43928</v>
      </c>
      <c r="O748" s="5">
        <v>2020.0</v>
      </c>
      <c r="P748" s="5" t="str">
        <f>IFERROR(__xludf.DUMMYFUNCTION("""COMPUTED_VALUE"""),"Unavailable")</f>
        <v>Unavailable</v>
      </c>
      <c r="Q748" s="5" t="s">
        <v>33</v>
      </c>
      <c r="R748" s="5" t="s">
        <v>434</v>
      </c>
      <c r="S748" s="11">
        <v>2393.0</v>
      </c>
    </row>
    <row r="749">
      <c r="A749" s="5" t="str">
        <f>IFERROR(__xludf.DUMMYFUNCTION("""COMPUTED_VALUE"""),"Furosemide Injection")</f>
        <v>Furosemide Injection</v>
      </c>
      <c r="B749" s="5" t="str">
        <f>IFERROR(__xludf.DUMMYFUNCTION("""COMPUTED_VALUE"""),"Gland Pharma Limited")</f>
        <v>Gland Pharma Limited</v>
      </c>
      <c r="C749" s="5" t="str">
        <f>IFERROR(__xludf.DUMMYFUNCTION("""COMPUTED_VALUE"""),"Furosemide, Injection, 10 mg/1 mL (NDC 25021-311-04)")</f>
        <v>Furosemide, Injection, 10 mg/1 mL (NDC 25021-311-04)</v>
      </c>
      <c r="D749" s="5" t="str">
        <f>IFERROR(__xludf.DUMMYFUNCTION("""COMPUTED_VALUE"""),"Reverified")</f>
        <v>Reverified</v>
      </c>
      <c r="E749" s="13">
        <f>IFERROR(__xludf.DUMMYFUNCTION("""COMPUTED_VALUE"""),46316.0)</f>
        <v>46316</v>
      </c>
      <c r="F749" s="5" t="str">
        <f>IFERROR(__xludf.DUMMYFUNCTION("""COMPUTED_VALUE"""),"Unavailable")</f>
        <v>Unavailable</v>
      </c>
      <c r="G749" s="5" t="str">
        <f>IFERROR(__xludf.DUMMYFUNCTION("""COMPUTED_VALUE"""),"Distributed by Sagent Pharmaceuticals: 1-866-625-1618, Discontinued product")</f>
        <v>Distributed by Sagent Pharmaceuticals: 1-866-625-1618, Discontinued product</v>
      </c>
      <c r="H749" s="5"/>
      <c r="I749" s="5" t="str">
        <f>IFERROR(__xludf.DUMMYFUNCTION("""COMPUTED_VALUE"""),"Discontinuation of the manufacture of the drug")</f>
        <v>Discontinuation of the manufacture of the drug</v>
      </c>
      <c r="J749" s="5" t="str">
        <f>IFERROR(__xludf.DUMMYFUNCTION("""COMPUTED_VALUE"""),"Cardiovascular")</f>
        <v>Cardiovascular</v>
      </c>
      <c r="K749" s="5" t="str">
        <f>IFERROR(__xludf.DUMMYFUNCTION("""COMPUTED_VALUE"""),"Current")</f>
        <v>Current</v>
      </c>
      <c r="L749" s="5"/>
      <c r="M749" s="5"/>
      <c r="N749" s="10">
        <f>IFERROR(__xludf.DUMMYFUNCTION("""COMPUTED_VALUE"""),43928.0)</f>
        <v>43928</v>
      </c>
      <c r="O749" s="5">
        <v>2020.0</v>
      </c>
      <c r="P749" s="5" t="str">
        <f>IFERROR(__xludf.DUMMYFUNCTION("""COMPUTED_VALUE"""),"Unavailable")</f>
        <v>Unavailable</v>
      </c>
      <c r="Q749" s="5" t="s">
        <v>33</v>
      </c>
      <c r="R749" s="5" t="s">
        <v>434</v>
      </c>
      <c r="S749" s="11">
        <v>2393.0</v>
      </c>
    </row>
    <row r="750">
      <c r="A750" s="5" t="str">
        <f>IFERROR(__xludf.DUMMYFUNCTION("""COMPUTED_VALUE"""),"Furosemide Injection")</f>
        <v>Furosemide Injection</v>
      </c>
      <c r="B750" s="5" t="str">
        <f>IFERROR(__xludf.DUMMYFUNCTION("""COMPUTED_VALUE"""),"Gland Pharma Limited")</f>
        <v>Gland Pharma Limited</v>
      </c>
      <c r="C750" s="5" t="str">
        <f>IFERROR(__xludf.DUMMYFUNCTION("""COMPUTED_VALUE"""),"Furosemide, Injection, 10 mg/1 mL (NDC 25021-311-10)")</f>
        <v>Furosemide, Injection, 10 mg/1 mL (NDC 25021-311-10)</v>
      </c>
      <c r="D750" s="5" t="str">
        <f>IFERROR(__xludf.DUMMYFUNCTION("""COMPUTED_VALUE"""),"Reverified")</f>
        <v>Reverified</v>
      </c>
      <c r="E750" s="13">
        <f>IFERROR(__xludf.DUMMYFUNCTION("""COMPUTED_VALUE"""),46316.0)</f>
        <v>46316</v>
      </c>
      <c r="F750" s="5" t="str">
        <f>IFERROR(__xludf.DUMMYFUNCTION("""COMPUTED_VALUE"""),"Unavailable")</f>
        <v>Unavailable</v>
      </c>
      <c r="G750" s="5" t="str">
        <f>IFERROR(__xludf.DUMMYFUNCTION("""COMPUTED_VALUE"""),"Distributed by Sagent Pharmaceuticals: 1-866-625-1618, Discontinued product")</f>
        <v>Distributed by Sagent Pharmaceuticals: 1-866-625-1618, Discontinued product</v>
      </c>
      <c r="H750" s="5"/>
      <c r="I750" s="5" t="str">
        <f>IFERROR(__xludf.DUMMYFUNCTION("""COMPUTED_VALUE"""),"Discontinuation of the manufacture of the drug")</f>
        <v>Discontinuation of the manufacture of the drug</v>
      </c>
      <c r="J750" s="5" t="str">
        <f>IFERROR(__xludf.DUMMYFUNCTION("""COMPUTED_VALUE"""),"Cardiovascular")</f>
        <v>Cardiovascular</v>
      </c>
      <c r="K750" s="5" t="str">
        <f>IFERROR(__xludf.DUMMYFUNCTION("""COMPUTED_VALUE"""),"Current")</f>
        <v>Current</v>
      </c>
      <c r="L750" s="5"/>
      <c r="M750" s="5"/>
      <c r="N750" s="10">
        <f>IFERROR(__xludf.DUMMYFUNCTION("""COMPUTED_VALUE"""),43928.0)</f>
        <v>43928</v>
      </c>
      <c r="O750" s="5">
        <v>2020.0</v>
      </c>
      <c r="P750" s="5" t="str">
        <f>IFERROR(__xludf.DUMMYFUNCTION("""COMPUTED_VALUE"""),"Unavailable")</f>
        <v>Unavailable</v>
      </c>
      <c r="Q750" s="5" t="s">
        <v>33</v>
      </c>
      <c r="R750" s="5" t="s">
        <v>434</v>
      </c>
      <c r="S750" s="11">
        <v>2393.0</v>
      </c>
    </row>
    <row r="751">
      <c r="A751" s="5" t="str">
        <f>IFERROR(__xludf.DUMMYFUNCTION("""COMPUTED_VALUE"""),"Furosemide Injection")</f>
        <v>Furosemide Injection</v>
      </c>
      <c r="B751" s="5" t="str">
        <f>IFERROR(__xludf.DUMMYFUNCTION("""COMPUTED_VALUE"""),"Fresenius Kabi USA, LLC")</f>
        <v>Fresenius Kabi USA, LLC</v>
      </c>
      <c r="C751" s="5" t="str">
        <f>IFERROR(__xludf.DUMMYFUNCTION("""COMPUTED_VALUE"""),"Furosemide, Injection, 10 mg/1 mL (NDC 63323-280-02)")</f>
        <v>Furosemide, Injection, 10 mg/1 mL (NDC 63323-280-02)</v>
      </c>
      <c r="D751" s="5" t="str">
        <f>IFERROR(__xludf.DUMMYFUNCTION("""COMPUTED_VALUE"""),"Reverified")</f>
        <v>Reverified</v>
      </c>
      <c r="E751" s="13">
        <f>IFERROR(__xludf.DUMMYFUNCTION("""COMPUTED_VALUE"""),46310.0)</f>
        <v>46310</v>
      </c>
      <c r="F751" s="5" t="str">
        <f>IFERROR(__xludf.DUMMYFUNCTION("""COMPUTED_VALUE"""),"Available")</f>
        <v>Available</v>
      </c>
      <c r="G751" s="5" t="str">
        <f>IFERROR(__xludf.DUMMYFUNCTION("""COMPUTED_VALUE"""),"Check wholesalers for inventory")</f>
        <v>Check wholesalers for inventory</v>
      </c>
      <c r="H751" s="5"/>
      <c r="I751" s="5"/>
      <c r="J751" s="5" t="str">
        <f>IFERROR(__xludf.DUMMYFUNCTION("""COMPUTED_VALUE"""),"Cardiovascular")</f>
        <v>Cardiovascular</v>
      </c>
      <c r="K751" s="5" t="str">
        <f>IFERROR(__xludf.DUMMYFUNCTION("""COMPUTED_VALUE"""),"Current")</f>
        <v>Current</v>
      </c>
      <c r="L751" s="5"/>
      <c r="M751" s="5"/>
      <c r="N751" s="10">
        <f>IFERROR(__xludf.DUMMYFUNCTION("""COMPUTED_VALUE"""),43928.0)</f>
        <v>43928</v>
      </c>
      <c r="O751" s="5">
        <v>2020.0</v>
      </c>
      <c r="P751" s="5" t="str">
        <f>IFERROR(__xludf.DUMMYFUNCTION("""COMPUTED_VALUE"""),"Available")</f>
        <v>Available</v>
      </c>
      <c r="Q751" s="5" t="s">
        <v>135</v>
      </c>
      <c r="R751" s="5" t="s">
        <v>136</v>
      </c>
      <c r="S751" s="11">
        <v>2393.0</v>
      </c>
    </row>
    <row r="752">
      <c r="A752" s="5" t="str">
        <f>IFERROR(__xludf.DUMMYFUNCTION("""COMPUTED_VALUE"""),"Furosemide Injection")</f>
        <v>Furosemide Injection</v>
      </c>
      <c r="B752" s="5" t="str">
        <f>IFERROR(__xludf.DUMMYFUNCTION("""COMPUTED_VALUE"""),"Fresenius Kabi USA, LLC")</f>
        <v>Fresenius Kabi USA, LLC</v>
      </c>
      <c r="C752" s="5" t="str">
        <f>IFERROR(__xludf.DUMMYFUNCTION("""COMPUTED_VALUE"""),"Furosemide, Injection, 10 mg/1 mL (NDC 63323-280-04)")</f>
        <v>Furosemide, Injection, 10 mg/1 mL (NDC 63323-280-04)</v>
      </c>
      <c r="D752" s="5" t="str">
        <f>IFERROR(__xludf.DUMMYFUNCTION("""COMPUTED_VALUE"""),"Reverified")</f>
        <v>Reverified</v>
      </c>
      <c r="E752" s="13">
        <f>IFERROR(__xludf.DUMMYFUNCTION("""COMPUTED_VALUE"""),46310.0)</f>
        <v>46310</v>
      </c>
      <c r="F752" s="5" t="str">
        <f>IFERROR(__xludf.DUMMYFUNCTION("""COMPUTED_VALUE"""),"Available")</f>
        <v>Available</v>
      </c>
      <c r="G752" s="5" t="str">
        <f>IFERROR(__xludf.DUMMYFUNCTION("""COMPUTED_VALUE"""),"Check wholesalers for inventory")</f>
        <v>Check wholesalers for inventory</v>
      </c>
      <c r="H752" s="5"/>
      <c r="I752" s="5"/>
      <c r="J752" s="5" t="str">
        <f>IFERROR(__xludf.DUMMYFUNCTION("""COMPUTED_VALUE"""),"Cardiovascular")</f>
        <v>Cardiovascular</v>
      </c>
      <c r="K752" s="5" t="str">
        <f>IFERROR(__xludf.DUMMYFUNCTION("""COMPUTED_VALUE"""),"Current")</f>
        <v>Current</v>
      </c>
      <c r="L752" s="5"/>
      <c r="M752" s="5"/>
      <c r="N752" s="10">
        <f>IFERROR(__xludf.DUMMYFUNCTION("""COMPUTED_VALUE"""),43928.0)</f>
        <v>43928</v>
      </c>
      <c r="O752" s="5">
        <v>2020.0</v>
      </c>
      <c r="P752" s="5" t="str">
        <f>IFERROR(__xludf.DUMMYFUNCTION("""COMPUTED_VALUE"""),"Available")</f>
        <v>Available</v>
      </c>
      <c r="Q752" s="5" t="s">
        <v>135</v>
      </c>
      <c r="R752" s="5" t="s">
        <v>136</v>
      </c>
      <c r="S752" s="11">
        <v>2393.0</v>
      </c>
    </row>
    <row r="753">
      <c r="A753" s="5" t="str">
        <f>IFERROR(__xludf.DUMMYFUNCTION("""COMPUTED_VALUE"""),"Furosemide Injection")</f>
        <v>Furosemide Injection</v>
      </c>
      <c r="B753" s="5" t="str">
        <f>IFERROR(__xludf.DUMMYFUNCTION("""COMPUTED_VALUE"""),"Fresenius Kabi USA, LLC")</f>
        <v>Fresenius Kabi USA, LLC</v>
      </c>
      <c r="C753" s="5" t="str">
        <f>IFERROR(__xludf.DUMMYFUNCTION("""COMPUTED_VALUE"""),"Furosemide, Injection, 10 mg/1 mL (NDC 63323-280-10)")</f>
        <v>Furosemide, Injection, 10 mg/1 mL (NDC 63323-280-10)</v>
      </c>
      <c r="D753" s="5" t="str">
        <f>IFERROR(__xludf.DUMMYFUNCTION("""COMPUTED_VALUE"""),"Reverified")</f>
        <v>Reverified</v>
      </c>
      <c r="E753" s="13">
        <f>IFERROR(__xludf.DUMMYFUNCTION("""COMPUTED_VALUE"""),46310.0)</f>
        <v>46310</v>
      </c>
      <c r="F753" s="5" t="str">
        <f>IFERROR(__xludf.DUMMYFUNCTION("""COMPUTED_VALUE"""),"Available")</f>
        <v>Available</v>
      </c>
      <c r="G753" s="5" t="str">
        <f>IFERROR(__xludf.DUMMYFUNCTION("""COMPUTED_VALUE"""),"Check wholesalers for inventory")</f>
        <v>Check wholesalers for inventory</v>
      </c>
      <c r="H753" s="5"/>
      <c r="I753" s="5"/>
      <c r="J753" s="5" t="str">
        <f>IFERROR(__xludf.DUMMYFUNCTION("""COMPUTED_VALUE"""),"Cardiovascular")</f>
        <v>Cardiovascular</v>
      </c>
      <c r="K753" s="5" t="str">
        <f>IFERROR(__xludf.DUMMYFUNCTION("""COMPUTED_VALUE"""),"Current")</f>
        <v>Current</v>
      </c>
      <c r="L753" s="5"/>
      <c r="M753" s="5"/>
      <c r="N753" s="10">
        <f>IFERROR(__xludf.DUMMYFUNCTION("""COMPUTED_VALUE"""),43928.0)</f>
        <v>43928</v>
      </c>
      <c r="O753" s="5">
        <v>2020.0</v>
      </c>
      <c r="P753" s="5" t="str">
        <f>IFERROR(__xludf.DUMMYFUNCTION("""COMPUTED_VALUE"""),"Available")</f>
        <v>Available</v>
      </c>
      <c r="Q753" s="5" t="s">
        <v>135</v>
      </c>
      <c r="R753" s="5" t="s">
        <v>136</v>
      </c>
      <c r="S753" s="11">
        <v>2393.0</v>
      </c>
    </row>
    <row r="754">
      <c r="A754" s="5" t="str">
        <f>IFERROR(__xludf.DUMMYFUNCTION("""COMPUTED_VALUE"""),"Furosemide Injection")</f>
        <v>Furosemide Injection</v>
      </c>
      <c r="B754" s="5" t="str">
        <f>IFERROR(__xludf.DUMMYFUNCTION("""COMPUTED_VALUE"""),"Eugia US LLC")</f>
        <v>Eugia US LLC</v>
      </c>
      <c r="C754" s="5" t="str">
        <f>IFERROR(__xludf.DUMMYFUNCTION("""COMPUTED_VALUE"""),"Furosemide, Injection, 20 mg/2 mL (NDC 55150-322-25)")</f>
        <v>Furosemide, Injection, 20 mg/2 mL (NDC 55150-322-25)</v>
      </c>
      <c r="D754" s="5" t="str">
        <f>IFERROR(__xludf.DUMMYFUNCTION("""COMPUTED_VALUE"""),"Reverified")</f>
        <v>Reverified</v>
      </c>
      <c r="E754" s="13">
        <f>IFERROR(__xludf.DUMMYFUNCTION("""COMPUTED_VALUE"""),46314.0)</f>
        <v>46314</v>
      </c>
      <c r="F754" s="5" t="str">
        <f>IFERROR(__xludf.DUMMYFUNCTION("""COMPUTED_VALUE"""),"Unavailable")</f>
        <v>Unavailable</v>
      </c>
      <c r="G754" s="5" t="str">
        <f>IFERROR(__xludf.DUMMYFUNCTION("""COMPUTED_VALUE"""),"On backorder. Recovery: TBD. Check wholesalers for inventory")</f>
        <v>On backorder. Recovery: TBD. Check wholesalers for inventory</v>
      </c>
      <c r="H754" s="5"/>
      <c r="I754" s="5" t="str">
        <f>IFERROR(__xludf.DUMMYFUNCTION("""COMPUTED_VALUE"""),"Demand increase for the drug")</f>
        <v>Demand increase for the drug</v>
      </c>
      <c r="J754" s="5" t="str">
        <f>IFERROR(__xludf.DUMMYFUNCTION("""COMPUTED_VALUE"""),"Cardiovascular")</f>
        <v>Cardiovascular</v>
      </c>
      <c r="K754" s="5" t="str">
        <f>IFERROR(__xludf.DUMMYFUNCTION("""COMPUTED_VALUE"""),"Current")</f>
        <v>Current</v>
      </c>
      <c r="L754" s="5"/>
      <c r="M754" s="5"/>
      <c r="N754" s="10">
        <f>IFERROR(__xludf.DUMMYFUNCTION("""COMPUTED_VALUE"""),43928.0)</f>
        <v>43928</v>
      </c>
      <c r="O754" s="5">
        <v>2020.0</v>
      </c>
      <c r="P754" s="5" t="str">
        <f>IFERROR(__xludf.DUMMYFUNCTION("""COMPUTED_VALUE"""),"Unavailable")</f>
        <v>Unavailable</v>
      </c>
      <c r="Q754" s="5" t="s">
        <v>134</v>
      </c>
      <c r="R754" s="5" t="s">
        <v>136</v>
      </c>
      <c r="S754" s="11">
        <v>2393.0</v>
      </c>
    </row>
    <row r="755">
      <c r="A755" s="5" t="str">
        <f>IFERROR(__xludf.DUMMYFUNCTION("""COMPUTED_VALUE"""),"Furosemide Injection")</f>
        <v>Furosemide Injection</v>
      </c>
      <c r="B755" s="5" t="str">
        <f>IFERROR(__xludf.DUMMYFUNCTION("""COMPUTED_VALUE"""),"Eugia US LLC")</f>
        <v>Eugia US LLC</v>
      </c>
      <c r="C755" s="5" t="str">
        <f>IFERROR(__xludf.DUMMYFUNCTION("""COMPUTED_VALUE"""),"Furosemide, Injection, 40 mg/4 mL (NDC 55150-323-25)")</f>
        <v>Furosemide, Injection, 40 mg/4 mL (NDC 55150-323-25)</v>
      </c>
      <c r="D755" s="5" t="str">
        <f>IFERROR(__xludf.DUMMYFUNCTION("""COMPUTED_VALUE"""),"Reverified")</f>
        <v>Reverified</v>
      </c>
      <c r="E755" s="13">
        <f>IFERROR(__xludf.DUMMYFUNCTION("""COMPUTED_VALUE"""),46314.0)</f>
        <v>46314</v>
      </c>
      <c r="F755" s="5" t="str">
        <f>IFERROR(__xludf.DUMMYFUNCTION("""COMPUTED_VALUE"""),"Available")</f>
        <v>Available</v>
      </c>
      <c r="G755" s="5" t="str">
        <f>IFERROR(__xludf.DUMMYFUNCTION("""COMPUTED_VALUE"""),"Check wholesalers for inventory")</f>
        <v>Check wholesalers for inventory</v>
      </c>
      <c r="H755" s="5"/>
      <c r="I755" s="5"/>
      <c r="J755" s="5" t="str">
        <f>IFERROR(__xludf.DUMMYFUNCTION("""COMPUTED_VALUE"""),"Cardiovascular")</f>
        <v>Cardiovascular</v>
      </c>
      <c r="K755" s="5" t="str">
        <f>IFERROR(__xludf.DUMMYFUNCTION("""COMPUTED_VALUE"""),"Current")</f>
        <v>Current</v>
      </c>
      <c r="L755" s="5"/>
      <c r="M755" s="5"/>
      <c r="N755" s="10">
        <f>IFERROR(__xludf.DUMMYFUNCTION("""COMPUTED_VALUE"""),43928.0)</f>
        <v>43928</v>
      </c>
      <c r="O755" s="5">
        <v>2020.0</v>
      </c>
      <c r="P755" s="5" t="str">
        <f>IFERROR(__xludf.DUMMYFUNCTION("""COMPUTED_VALUE"""),"Available")</f>
        <v>Available</v>
      </c>
      <c r="Q755" s="5" t="s">
        <v>135</v>
      </c>
      <c r="R755" s="5" t="s">
        <v>136</v>
      </c>
      <c r="S755" s="11">
        <v>2393.0</v>
      </c>
    </row>
    <row r="756">
      <c r="A756" s="5" t="str">
        <f>IFERROR(__xludf.DUMMYFUNCTION("""COMPUTED_VALUE"""),"Furosemide Injection")</f>
        <v>Furosemide Injection</v>
      </c>
      <c r="B756" s="5" t="str">
        <f>IFERROR(__xludf.DUMMYFUNCTION("""COMPUTED_VALUE"""),"Eugia US LLC")</f>
        <v>Eugia US LLC</v>
      </c>
      <c r="C756" s="5" t="str">
        <f>IFERROR(__xludf.DUMMYFUNCTION("""COMPUTED_VALUE"""),"Furosemide, Injection, 100 mg/10 mL (NDC 55150-324-25)")</f>
        <v>Furosemide, Injection, 100 mg/10 mL (NDC 55150-324-25)</v>
      </c>
      <c r="D756" s="5" t="str">
        <f>IFERROR(__xludf.DUMMYFUNCTION("""COMPUTED_VALUE"""),"Reverified")</f>
        <v>Reverified</v>
      </c>
      <c r="E756" s="13">
        <f>IFERROR(__xludf.DUMMYFUNCTION("""COMPUTED_VALUE"""),46314.0)</f>
        <v>46314</v>
      </c>
      <c r="F756" s="5" t="str">
        <f>IFERROR(__xludf.DUMMYFUNCTION("""COMPUTED_VALUE"""),"Available")</f>
        <v>Available</v>
      </c>
      <c r="G756" s="5" t="str">
        <f>IFERROR(__xludf.DUMMYFUNCTION("""COMPUTED_VALUE"""),"Check wholesalers for inventory")</f>
        <v>Check wholesalers for inventory</v>
      </c>
      <c r="H756" s="5"/>
      <c r="I756" s="5"/>
      <c r="J756" s="5" t="str">
        <f>IFERROR(__xludf.DUMMYFUNCTION("""COMPUTED_VALUE"""),"Cardiovascular")</f>
        <v>Cardiovascular</v>
      </c>
      <c r="K756" s="5" t="str">
        <f>IFERROR(__xludf.DUMMYFUNCTION("""COMPUTED_VALUE"""),"Current")</f>
        <v>Current</v>
      </c>
      <c r="L756" s="5"/>
      <c r="M756" s="5"/>
      <c r="N756" s="10">
        <f>IFERROR(__xludf.DUMMYFUNCTION("""COMPUTED_VALUE"""),43928.0)</f>
        <v>43928</v>
      </c>
      <c r="O756" s="5">
        <v>2020.0</v>
      </c>
      <c r="P756" s="5" t="str">
        <f>IFERROR(__xludf.DUMMYFUNCTION("""COMPUTED_VALUE"""),"Available")</f>
        <v>Available</v>
      </c>
      <c r="Q756" s="5" t="s">
        <v>135</v>
      </c>
      <c r="R756" s="5" t="s">
        <v>136</v>
      </c>
      <c r="S756" s="11">
        <v>2393.0</v>
      </c>
    </row>
    <row r="757">
      <c r="A757" s="5" t="str">
        <f>IFERROR(__xludf.DUMMYFUNCTION("""COMPUTED_VALUE"""),"Furosemide Injection")</f>
        <v>Furosemide Injection</v>
      </c>
      <c r="B757" s="5" t="str">
        <f>IFERROR(__xludf.DUMMYFUNCTION("""COMPUTED_VALUE"""),"Baxter Healthcare")</f>
        <v>Baxter Healthcare</v>
      </c>
      <c r="C757" s="5" t="str">
        <f>IFERROR(__xludf.DUMMYFUNCTION("""COMPUTED_VALUE"""),"Furosemide, Injection, 10 mg/1 mL (NDC 36000-284-25)")</f>
        <v>Furosemide, Injection, 10 mg/1 mL (NDC 36000-284-25)</v>
      </c>
      <c r="D757" s="5" t="str">
        <f>IFERROR(__xludf.DUMMYFUNCTION("""COMPUTED_VALUE"""),"Reverified")</f>
        <v>Reverified</v>
      </c>
      <c r="E757" s="13">
        <f>IFERROR(__xludf.DUMMYFUNCTION("""COMPUTED_VALUE"""),46311.0)</f>
        <v>46311</v>
      </c>
      <c r="F757" s="5" t="str">
        <f>IFERROR(__xludf.DUMMYFUNCTION("""COMPUTED_VALUE"""),"Available")</f>
        <v>Available</v>
      </c>
      <c r="G757" s="5"/>
      <c r="H757" s="5"/>
      <c r="I757" s="5"/>
      <c r="J757" s="5" t="str">
        <f>IFERROR(__xludf.DUMMYFUNCTION("""COMPUTED_VALUE"""),"Cardiovascular")</f>
        <v>Cardiovascular</v>
      </c>
      <c r="K757" s="5" t="str">
        <f>IFERROR(__xludf.DUMMYFUNCTION("""COMPUTED_VALUE"""),"Current")</f>
        <v>Current</v>
      </c>
      <c r="L757" s="5"/>
      <c r="M757" s="5"/>
      <c r="N757" s="10">
        <f>IFERROR(__xludf.DUMMYFUNCTION("""COMPUTED_VALUE"""),43928.0)</f>
        <v>43928</v>
      </c>
      <c r="O757" s="5">
        <v>2020.0</v>
      </c>
      <c r="P757" s="5" t="str">
        <f>IFERROR(__xludf.DUMMYFUNCTION("""COMPUTED_VALUE"""),"Available")</f>
        <v>Available</v>
      </c>
      <c r="Q757" s="5" t="s">
        <v>135</v>
      </c>
      <c r="R757" s="5" t="s">
        <v>136</v>
      </c>
      <c r="S757" s="11">
        <v>2393.0</v>
      </c>
    </row>
    <row r="758">
      <c r="A758" s="5" t="str">
        <f>IFERROR(__xludf.DUMMYFUNCTION("""COMPUTED_VALUE"""),"Furosemide Injection")</f>
        <v>Furosemide Injection</v>
      </c>
      <c r="B758" s="5" t="str">
        <f>IFERROR(__xludf.DUMMYFUNCTION("""COMPUTED_VALUE"""),"Baxter Healthcare")</f>
        <v>Baxter Healthcare</v>
      </c>
      <c r="C758" s="5" t="str">
        <f>IFERROR(__xludf.DUMMYFUNCTION("""COMPUTED_VALUE"""),"Furosemide, Injection, 10 mg/1 mL (NDC 36000-282-25)")</f>
        <v>Furosemide, Injection, 10 mg/1 mL (NDC 36000-282-25)</v>
      </c>
      <c r="D758" s="5" t="str">
        <f>IFERROR(__xludf.DUMMYFUNCTION("""COMPUTED_VALUE"""),"Reverified")</f>
        <v>Reverified</v>
      </c>
      <c r="E758" s="13">
        <f>IFERROR(__xludf.DUMMYFUNCTION("""COMPUTED_VALUE"""),46311.0)</f>
        <v>46311</v>
      </c>
      <c r="F758" s="5" t="str">
        <f>IFERROR(__xludf.DUMMYFUNCTION("""COMPUTED_VALUE"""),"Available")</f>
        <v>Available</v>
      </c>
      <c r="G758" s="5"/>
      <c r="H758" s="5"/>
      <c r="I758" s="5"/>
      <c r="J758" s="5" t="str">
        <f>IFERROR(__xludf.DUMMYFUNCTION("""COMPUTED_VALUE"""),"Cardiovascular")</f>
        <v>Cardiovascular</v>
      </c>
      <c r="K758" s="5" t="str">
        <f>IFERROR(__xludf.DUMMYFUNCTION("""COMPUTED_VALUE"""),"Current")</f>
        <v>Current</v>
      </c>
      <c r="L758" s="5"/>
      <c r="M758" s="5"/>
      <c r="N758" s="10">
        <f>IFERROR(__xludf.DUMMYFUNCTION("""COMPUTED_VALUE"""),43928.0)</f>
        <v>43928</v>
      </c>
      <c r="O758" s="5">
        <v>2020.0</v>
      </c>
      <c r="P758" s="5" t="str">
        <f>IFERROR(__xludf.DUMMYFUNCTION("""COMPUTED_VALUE"""),"Available")</f>
        <v>Available</v>
      </c>
      <c r="Q758" s="5" t="s">
        <v>135</v>
      </c>
      <c r="R758" s="5" t="s">
        <v>136</v>
      </c>
      <c r="S758" s="11">
        <v>2393.0</v>
      </c>
    </row>
    <row r="759">
      <c r="A759" s="5" t="str">
        <f>IFERROR(__xludf.DUMMYFUNCTION("""COMPUTED_VALUE"""),"Furosemide Injection")</f>
        <v>Furosemide Injection</v>
      </c>
      <c r="B759" s="5" t="str">
        <f>IFERROR(__xludf.DUMMYFUNCTION("""COMPUTED_VALUE"""),"Baxter Healthcare")</f>
        <v>Baxter Healthcare</v>
      </c>
      <c r="C759" s="5" t="str">
        <f>IFERROR(__xludf.DUMMYFUNCTION("""COMPUTED_VALUE"""),"Furosemide, Injection, 10 mg/1 mL (NDC 36000-283-25)")</f>
        <v>Furosemide, Injection, 10 mg/1 mL (NDC 36000-283-25)</v>
      </c>
      <c r="D759" s="5" t="str">
        <f>IFERROR(__xludf.DUMMYFUNCTION("""COMPUTED_VALUE"""),"Reverified")</f>
        <v>Reverified</v>
      </c>
      <c r="E759" s="13">
        <f>IFERROR(__xludf.DUMMYFUNCTION("""COMPUTED_VALUE"""),46311.0)</f>
        <v>46311</v>
      </c>
      <c r="F759" s="5" t="str">
        <f>IFERROR(__xludf.DUMMYFUNCTION("""COMPUTED_VALUE"""),"Available")</f>
        <v>Available</v>
      </c>
      <c r="G759" s="5"/>
      <c r="H759" s="5"/>
      <c r="I759" s="5"/>
      <c r="J759" s="5" t="str">
        <f>IFERROR(__xludf.DUMMYFUNCTION("""COMPUTED_VALUE"""),"Cardiovascular")</f>
        <v>Cardiovascular</v>
      </c>
      <c r="K759" s="5" t="str">
        <f>IFERROR(__xludf.DUMMYFUNCTION("""COMPUTED_VALUE"""),"Current")</f>
        <v>Current</v>
      </c>
      <c r="L759" s="5"/>
      <c r="M759" s="5"/>
      <c r="N759" s="10">
        <f>IFERROR(__xludf.DUMMYFUNCTION("""COMPUTED_VALUE"""),43928.0)</f>
        <v>43928</v>
      </c>
      <c r="O759" s="5">
        <v>2020.0</v>
      </c>
      <c r="P759" s="5" t="str">
        <f>IFERROR(__xludf.DUMMYFUNCTION("""COMPUTED_VALUE"""),"Available")</f>
        <v>Available</v>
      </c>
      <c r="Q759" s="5" t="s">
        <v>135</v>
      </c>
      <c r="R759" s="5" t="s">
        <v>136</v>
      </c>
      <c r="S759" s="11">
        <v>2393.0</v>
      </c>
    </row>
    <row r="760">
      <c r="A760" s="5" t="str">
        <f>IFERROR(__xludf.DUMMYFUNCTION("""COMPUTED_VALUE"""),"Furosemide Injection")</f>
        <v>Furosemide Injection</v>
      </c>
      <c r="B760" s="5" t="str">
        <f>IFERROR(__xludf.DUMMYFUNCTION("""COMPUTED_VALUE"""),"Avet Pharmaceuticals, Inc.")</f>
        <v>Avet Pharmaceuticals, Inc.</v>
      </c>
      <c r="C760" s="5" t="str">
        <f>IFERROR(__xludf.DUMMYFUNCTION("""COMPUTED_VALUE"""),"Furosemide, Injection, 10 mg/1 mL (NDC 23155-473-41)")</f>
        <v>Furosemide, Injection, 10 mg/1 mL (NDC 23155-473-41)</v>
      </c>
      <c r="D760" s="5" t="str">
        <f>IFERROR(__xludf.DUMMYFUNCTION("""COMPUTED_VALUE"""),"Reverified")</f>
        <v>Reverified</v>
      </c>
      <c r="E760" s="13">
        <f>IFERROR(__xludf.DUMMYFUNCTION("""COMPUTED_VALUE"""),46310.0)</f>
        <v>46310</v>
      </c>
      <c r="F760" s="5" t="str">
        <f>IFERROR(__xludf.DUMMYFUNCTION("""COMPUTED_VALUE"""),"Available")</f>
        <v>Available</v>
      </c>
      <c r="G760" s="5"/>
      <c r="H760" s="5"/>
      <c r="I760" s="5"/>
      <c r="J760" s="5" t="str">
        <f>IFERROR(__xludf.DUMMYFUNCTION("""COMPUTED_VALUE"""),"Cardiovascular")</f>
        <v>Cardiovascular</v>
      </c>
      <c r="K760" s="5" t="str">
        <f>IFERROR(__xludf.DUMMYFUNCTION("""COMPUTED_VALUE"""),"Current")</f>
        <v>Current</v>
      </c>
      <c r="L760" s="5"/>
      <c r="M760" s="5"/>
      <c r="N760" s="10">
        <f>IFERROR(__xludf.DUMMYFUNCTION("""COMPUTED_VALUE"""),43928.0)</f>
        <v>43928</v>
      </c>
      <c r="O760" s="5">
        <v>2020.0</v>
      </c>
      <c r="P760" s="5" t="str">
        <f>IFERROR(__xludf.DUMMYFUNCTION("""COMPUTED_VALUE"""),"Available")</f>
        <v>Available</v>
      </c>
      <c r="Q760" s="5" t="s">
        <v>135</v>
      </c>
      <c r="R760" s="5" t="s">
        <v>136</v>
      </c>
      <c r="S760" s="11">
        <v>2393.0</v>
      </c>
    </row>
    <row r="761">
      <c r="A761" s="5" t="str">
        <f>IFERROR(__xludf.DUMMYFUNCTION("""COMPUTED_VALUE"""),"Furosemide Injection")</f>
        <v>Furosemide Injection</v>
      </c>
      <c r="B761" s="5" t="str">
        <f>IFERROR(__xludf.DUMMYFUNCTION("""COMPUTED_VALUE"""),"Avet Pharmaceuticals, Inc.")</f>
        <v>Avet Pharmaceuticals, Inc.</v>
      </c>
      <c r="C761" s="5" t="str">
        <f>IFERROR(__xludf.DUMMYFUNCTION("""COMPUTED_VALUE"""),"Furosemide, Injection, 10 mg/1 mL (NDC 23155-473-42)")</f>
        <v>Furosemide, Injection, 10 mg/1 mL (NDC 23155-473-42)</v>
      </c>
      <c r="D761" s="5" t="str">
        <f>IFERROR(__xludf.DUMMYFUNCTION("""COMPUTED_VALUE"""),"Reverified")</f>
        <v>Reverified</v>
      </c>
      <c r="E761" s="13">
        <f>IFERROR(__xludf.DUMMYFUNCTION("""COMPUTED_VALUE"""),46310.0)</f>
        <v>46310</v>
      </c>
      <c r="F761" s="5" t="str">
        <f>IFERROR(__xludf.DUMMYFUNCTION("""COMPUTED_VALUE"""),"Available")</f>
        <v>Available</v>
      </c>
      <c r="G761" s="5"/>
      <c r="H761" s="5"/>
      <c r="I761" s="5"/>
      <c r="J761" s="5" t="str">
        <f>IFERROR(__xludf.DUMMYFUNCTION("""COMPUTED_VALUE"""),"Cardiovascular")</f>
        <v>Cardiovascular</v>
      </c>
      <c r="K761" s="5" t="str">
        <f>IFERROR(__xludf.DUMMYFUNCTION("""COMPUTED_VALUE"""),"Current")</f>
        <v>Current</v>
      </c>
      <c r="L761" s="5"/>
      <c r="M761" s="5"/>
      <c r="N761" s="10">
        <f>IFERROR(__xludf.DUMMYFUNCTION("""COMPUTED_VALUE"""),43928.0)</f>
        <v>43928</v>
      </c>
      <c r="O761" s="5">
        <v>2020.0</v>
      </c>
      <c r="P761" s="5" t="str">
        <f>IFERROR(__xludf.DUMMYFUNCTION("""COMPUTED_VALUE"""),"Available")</f>
        <v>Available</v>
      </c>
      <c r="Q761" s="5" t="s">
        <v>135</v>
      </c>
      <c r="R761" s="5" t="s">
        <v>136</v>
      </c>
      <c r="S761" s="11">
        <v>2393.0</v>
      </c>
    </row>
    <row r="762">
      <c r="A762" s="5" t="str">
        <f>IFERROR(__xludf.DUMMYFUNCTION("""COMPUTED_VALUE"""),"Furosemide Injection")</f>
        <v>Furosemide Injection</v>
      </c>
      <c r="B762" s="5" t="str">
        <f>IFERROR(__xludf.DUMMYFUNCTION("""COMPUTED_VALUE"""),"Avet Pharmaceuticals, Inc.")</f>
        <v>Avet Pharmaceuticals, Inc.</v>
      </c>
      <c r="C762" s="5" t="str">
        <f>IFERROR(__xludf.DUMMYFUNCTION("""COMPUTED_VALUE"""),"Furosemide, Injection, 10 mg/1 mL (NDC 23155-473-44)")</f>
        <v>Furosemide, Injection, 10 mg/1 mL (NDC 23155-473-44)</v>
      </c>
      <c r="D762" s="5" t="str">
        <f>IFERROR(__xludf.DUMMYFUNCTION("""COMPUTED_VALUE"""),"Reverified")</f>
        <v>Reverified</v>
      </c>
      <c r="E762" s="13">
        <f>IFERROR(__xludf.DUMMYFUNCTION("""COMPUTED_VALUE"""),46310.0)</f>
        <v>46310</v>
      </c>
      <c r="F762" s="5" t="str">
        <f>IFERROR(__xludf.DUMMYFUNCTION("""COMPUTED_VALUE"""),"Unavailable")</f>
        <v>Unavailable</v>
      </c>
      <c r="G762" s="5" t="str">
        <f>IFERROR(__xludf.DUMMYFUNCTION("""COMPUTED_VALUE"""),"Estimated recovery: end October 2026")</f>
        <v>Estimated recovery: end October 2026</v>
      </c>
      <c r="H762" s="5"/>
      <c r="I762" s="5" t="str">
        <f>IFERROR(__xludf.DUMMYFUNCTION("""COMPUTED_VALUE"""),"Other")</f>
        <v>Other</v>
      </c>
      <c r="J762" s="5" t="str">
        <f>IFERROR(__xludf.DUMMYFUNCTION("""COMPUTED_VALUE"""),"Cardiovascular")</f>
        <v>Cardiovascular</v>
      </c>
      <c r="K762" s="5" t="str">
        <f>IFERROR(__xludf.DUMMYFUNCTION("""COMPUTED_VALUE"""),"Current")</f>
        <v>Current</v>
      </c>
      <c r="L762" s="5"/>
      <c r="M762" s="5"/>
      <c r="N762" s="10">
        <f>IFERROR(__xludf.DUMMYFUNCTION("""COMPUTED_VALUE"""),43928.0)</f>
        <v>43928</v>
      </c>
      <c r="O762" s="5">
        <v>2020.0</v>
      </c>
      <c r="P762" s="5" t="str">
        <f>IFERROR(__xludf.DUMMYFUNCTION("""COMPUTED_VALUE"""),"Unavailable")</f>
        <v>Unavailable</v>
      </c>
      <c r="Q762" s="5" t="s">
        <v>47</v>
      </c>
      <c r="R762" s="5" t="s">
        <v>136</v>
      </c>
      <c r="S762" s="11">
        <v>2393.0</v>
      </c>
    </row>
    <row r="763">
      <c r="A763" s="5" t="str">
        <f>IFERROR(__xludf.DUMMYFUNCTION("""COMPUTED_VALUE"""),"Furosemide Injection")</f>
        <v>Furosemide Injection</v>
      </c>
      <c r="B763" s="5" t="str">
        <f>IFERROR(__xludf.DUMMYFUNCTION("""COMPUTED_VALUE"""),"Hospira, Inc., a Pfizer Company")</f>
        <v>Hospira, Inc., a Pfizer Company</v>
      </c>
      <c r="C763" s="5" t="str">
        <f>IFERROR(__xludf.DUMMYFUNCTION("""COMPUTED_VALUE"""),"Furosemide, Injection, 20 mg/2 mL (10 mg/1 mL) (NDC 0409-6102-02)")</f>
        <v>Furosemide, Injection, 20 mg/2 mL (10 mg/1 mL) (NDC 0409-6102-02)</v>
      </c>
      <c r="D763" s="5" t="str">
        <f>IFERROR(__xludf.DUMMYFUNCTION("""COMPUTED_VALUE"""),"Reverified")</f>
        <v>Reverified</v>
      </c>
      <c r="E763" s="13">
        <f>IFERROR(__xludf.DUMMYFUNCTION("""COMPUTED_VALUE"""),46316.0)</f>
        <v>46316</v>
      </c>
      <c r="F763" s="5" t="str">
        <f>IFERROR(__xludf.DUMMYFUNCTION("""COMPUTED_VALUE"""),"Available")</f>
        <v>Available</v>
      </c>
      <c r="G763" s="5"/>
      <c r="H763" s="5"/>
      <c r="I763" s="5"/>
      <c r="J763" s="5" t="str">
        <f>IFERROR(__xludf.DUMMYFUNCTION("""COMPUTED_VALUE"""),"Cardiovascular")</f>
        <v>Cardiovascular</v>
      </c>
      <c r="K763" s="5" t="str">
        <f>IFERROR(__xludf.DUMMYFUNCTION("""COMPUTED_VALUE"""),"Current")</f>
        <v>Current</v>
      </c>
      <c r="L763" s="5"/>
      <c r="M763" s="5"/>
      <c r="N763" s="10">
        <f>IFERROR(__xludf.DUMMYFUNCTION("""COMPUTED_VALUE"""),43928.0)</f>
        <v>43928</v>
      </c>
      <c r="O763" s="5">
        <v>2020.0</v>
      </c>
      <c r="P763" s="5" t="str">
        <f>IFERROR(__xludf.DUMMYFUNCTION("""COMPUTED_VALUE"""),"Available")</f>
        <v>Available</v>
      </c>
      <c r="Q763" s="5" t="s">
        <v>135</v>
      </c>
      <c r="R763" s="5" t="s">
        <v>136</v>
      </c>
      <c r="S763" s="11">
        <v>2393.0</v>
      </c>
    </row>
    <row r="764">
      <c r="A764" s="5" t="str">
        <f>IFERROR(__xludf.DUMMYFUNCTION("""COMPUTED_VALUE"""),"Furosemide Injection")</f>
        <v>Furosemide Injection</v>
      </c>
      <c r="B764" s="5" t="str">
        <f>IFERROR(__xludf.DUMMYFUNCTION("""COMPUTED_VALUE"""),"Hospira, Inc., a Pfizer Company")</f>
        <v>Hospira, Inc., a Pfizer Company</v>
      </c>
      <c r="C764" s="5" t="str">
        <f>IFERROR(__xludf.DUMMYFUNCTION("""COMPUTED_VALUE"""),"Furosemide, Injection, 40 mg/4 mL (10 mg/1 mL) (NDC 0409-6102-04)")</f>
        <v>Furosemide, Injection, 40 mg/4 mL (10 mg/1 mL) (NDC 0409-6102-04)</v>
      </c>
      <c r="D764" s="5" t="str">
        <f>IFERROR(__xludf.DUMMYFUNCTION("""COMPUTED_VALUE"""),"Reverified")</f>
        <v>Reverified</v>
      </c>
      <c r="E764" s="13">
        <f>IFERROR(__xludf.DUMMYFUNCTION("""COMPUTED_VALUE"""),46316.0)</f>
        <v>46316</v>
      </c>
      <c r="F764" s="5" t="str">
        <f>IFERROR(__xludf.DUMMYFUNCTION("""COMPUTED_VALUE"""),"Available")</f>
        <v>Available</v>
      </c>
      <c r="G764" s="5"/>
      <c r="H764" s="5"/>
      <c r="I764" s="5"/>
      <c r="J764" s="5" t="str">
        <f>IFERROR(__xludf.DUMMYFUNCTION("""COMPUTED_VALUE"""),"Cardiovascular")</f>
        <v>Cardiovascular</v>
      </c>
      <c r="K764" s="5" t="str">
        <f>IFERROR(__xludf.DUMMYFUNCTION("""COMPUTED_VALUE"""),"Current")</f>
        <v>Current</v>
      </c>
      <c r="L764" s="5"/>
      <c r="M764" s="5"/>
      <c r="N764" s="10">
        <f>IFERROR(__xludf.DUMMYFUNCTION("""COMPUTED_VALUE"""),43928.0)</f>
        <v>43928</v>
      </c>
      <c r="O764" s="5">
        <v>2020.0</v>
      </c>
      <c r="P764" s="5" t="str">
        <f>IFERROR(__xludf.DUMMYFUNCTION("""COMPUTED_VALUE"""),"Available")</f>
        <v>Available</v>
      </c>
      <c r="Q764" s="5" t="s">
        <v>135</v>
      </c>
      <c r="R764" s="5" t="s">
        <v>136</v>
      </c>
      <c r="S764" s="11">
        <v>2393.0</v>
      </c>
    </row>
    <row r="765">
      <c r="A765" s="5" t="str">
        <f>IFERROR(__xludf.DUMMYFUNCTION("""COMPUTED_VALUE"""),"Furosemide Injection")</f>
        <v>Furosemide Injection</v>
      </c>
      <c r="B765" s="5" t="str">
        <f>IFERROR(__xludf.DUMMYFUNCTION("""COMPUTED_VALUE"""),"Hospira, Inc., a Pfizer Company")</f>
        <v>Hospira, Inc., a Pfizer Company</v>
      </c>
      <c r="C765" s="5" t="str">
        <f>IFERROR(__xludf.DUMMYFUNCTION("""COMPUTED_VALUE"""),"Furosemide, Injection, 100 mg/ 10mL (10 mg/1 mL) (NDC 0409-6102-10)")</f>
        <v>Furosemide, Injection, 100 mg/ 10mL (10 mg/1 mL) (NDC 0409-6102-10)</v>
      </c>
      <c r="D765" s="5" t="str">
        <f>IFERROR(__xludf.DUMMYFUNCTION("""COMPUTED_VALUE"""),"Reverified")</f>
        <v>Reverified</v>
      </c>
      <c r="E765" s="13">
        <f>IFERROR(__xludf.DUMMYFUNCTION("""COMPUTED_VALUE"""),46316.0)</f>
        <v>46316</v>
      </c>
      <c r="F765" s="5" t="str">
        <f>IFERROR(__xludf.DUMMYFUNCTION("""COMPUTED_VALUE"""),"Available")</f>
        <v>Available</v>
      </c>
      <c r="G765" s="5"/>
      <c r="H765" s="5"/>
      <c r="I765" s="5"/>
      <c r="J765" s="5" t="str">
        <f>IFERROR(__xludf.DUMMYFUNCTION("""COMPUTED_VALUE"""),"Cardiovascular")</f>
        <v>Cardiovascular</v>
      </c>
      <c r="K765" s="5" t="str">
        <f>IFERROR(__xludf.DUMMYFUNCTION("""COMPUTED_VALUE"""),"Current")</f>
        <v>Current</v>
      </c>
      <c r="L765" s="5"/>
      <c r="M765" s="5"/>
      <c r="N765" s="10">
        <f>IFERROR(__xludf.DUMMYFUNCTION("""COMPUTED_VALUE"""),43928.0)</f>
        <v>43928</v>
      </c>
      <c r="O765" s="5">
        <v>2020.0</v>
      </c>
      <c r="P765" s="5" t="str">
        <f>IFERROR(__xludf.DUMMYFUNCTION("""COMPUTED_VALUE"""),"Available")</f>
        <v>Available</v>
      </c>
      <c r="Q765" s="5" t="s">
        <v>135</v>
      </c>
      <c r="R765" s="5" t="s">
        <v>136</v>
      </c>
      <c r="S765" s="11">
        <v>2393.0</v>
      </c>
    </row>
    <row r="766">
      <c r="A766" s="5" t="str">
        <f>IFERROR(__xludf.DUMMYFUNCTION("""COMPUTED_VALUE"""),"Furosemide Injection")</f>
        <v>Furosemide Injection</v>
      </c>
      <c r="B766" s="5" t="str">
        <f>IFERROR(__xludf.DUMMYFUNCTION("""COMPUTED_VALUE"""),"Hospira, Inc., a Pfizer Company")</f>
        <v>Hospira, Inc., a Pfizer Company</v>
      </c>
      <c r="C766" s="5" t="str">
        <f>IFERROR(__xludf.DUMMYFUNCTION("""COMPUTED_VALUE"""),"Furosemide, Injection, 20 mg/2 mL (10 mg/1 mL) (NDC 0409-6102-25)")</f>
        <v>Furosemide, Injection, 20 mg/2 mL (10 mg/1 mL) (NDC 0409-6102-25)</v>
      </c>
      <c r="D766" s="5" t="str">
        <f>IFERROR(__xludf.DUMMYFUNCTION("""COMPUTED_VALUE"""),"Revised")</f>
        <v>Revised</v>
      </c>
      <c r="E766" s="10">
        <f>IFERROR(__xludf.DUMMYFUNCTION("""COMPUTED_VALUE"""),46303.0)</f>
        <v>46303</v>
      </c>
      <c r="F766" s="5" t="str">
        <f>IFERROR(__xludf.DUMMYFUNCTION("""COMPUTED_VALUE"""),"Unavailable")</f>
        <v>Unavailable</v>
      </c>
      <c r="G766" s="5" t="str">
        <f>IFERROR(__xludf.DUMMYFUNCTION("""COMPUTED_VALUE"""),"Next Delivery and Estimated Recovery: December 2027; Shortage per Manufacturer: Manufacturing Delay")</f>
        <v>Next Delivery and Estimated Recovery: December 2027; Shortage per Manufacturer: Manufacturing Delay</v>
      </c>
      <c r="H766" s="5"/>
      <c r="I766" s="5" t="str">
        <f>IFERROR(__xludf.DUMMYFUNCTION("""COMPUTED_VALUE"""),"Other")</f>
        <v>Other</v>
      </c>
      <c r="J766" s="5" t="str">
        <f>IFERROR(__xludf.DUMMYFUNCTION("""COMPUTED_VALUE"""),"Cardiovascular")</f>
        <v>Cardiovascular</v>
      </c>
      <c r="K766" s="5" t="str">
        <f>IFERROR(__xludf.DUMMYFUNCTION("""COMPUTED_VALUE"""),"Current")</f>
        <v>Current</v>
      </c>
      <c r="L766" s="5"/>
      <c r="M766" s="5"/>
      <c r="N766" s="10">
        <f>IFERROR(__xludf.DUMMYFUNCTION("""COMPUTED_VALUE"""),43928.0)</f>
        <v>43928</v>
      </c>
      <c r="O766" s="5">
        <v>2020.0</v>
      </c>
      <c r="P766" s="5" t="str">
        <f>IFERROR(__xludf.DUMMYFUNCTION("""COMPUTED_VALUE"""),"Unavailable")</f>
        <v>Unavailable</v>
      </c>
      <c r="Q766" s="5" t="s">
        <v>47</v>
      </c>
      <c r="R766" s="5" t="s">
        <v>136</v>
      </c>
      <c r="S766" s="11">
        <v>2393.0</v>
      </c>
    </row>
    <row r="767">
      <c r="A767" s="5" t="str">
        <f>IFERROR(__xludf.DUMMYFUNCTION("""COMPUTED_VALUE"""),"Furosemide Injection")</f>
        <v>Furosemide Injection</v>
      </c>
      <c r="B767" s="5" t="str">
        <f>IFERROR(__xludf.DUMMYFUNCTION("""COMPUTED_VALUE"""),"Hospira, Inc., a Pfizer Company")</f>
        <v>Hospira, Inc., a Pfizer Company</v>
      </c>
      <c r="C767" s="5" t="str">
        <f>IFERROR(__xludf.DUMMYFUNCTION("""COMPUTED_VALUE"""),"Furosemide, Injection, 40 mg/4 mL (10 mg/1 mL) (NDC 0409-6102-26)")</f>
        <v>Furosemide, Injection, 40 mg/4 mL (10 mg/1 mL) (NDC 0409-6102-26)</v>
      </c>
      <c r="D767" s="5" t="str">
        <f>IFERROR(__xludf.DUMMYFUNCTION("""COMPUTED_VALUE"""),"Revised")</f>
        <v>Revised</v>
      </c>
      <c r="E767" s="10">
        <f>IFERROR(__xludf.DUMMYFUNCTION("""COMPUTED_VALUE"""),46303.0)</f>
        <v>46303</v>
      </c>
      <c r="F767" s="5" t="str">
        <f>IFERROR(__xludf.DUMMYFUNCTION("""COMPUTED_VALUE"""),"Unavailable")</f>
        <v>Unavailable</v>
      </c>
      <c r="G767" s="5" t="str">
        <f>IFERROR(__xludf.DUMMYFUNCTION("""COMPUTED_VALUE"""),"Next Delivery and Estimated Recovery: December 2027; Shortage per Manufacturer: Manufacturing Delay")</f>
        <v>Next Delivery and Estimated Recovery: December 2027; Shortage per Manufacturer: Manufacturing Delay</v>
      </c>
      <c r="H767" s="5"/>
      <c r="I767" s="5" t="str">
        <f>IFERROR(__xludf.DUMMYFUNCTION("""COMPUTED_VALUE"""),"Other")</f>
        <v>Other</v>
      </c>
      <c r="J767" s="5" t="str">
        <f>IFERROR(__xludf.DUMMYFUNCTION("""COMPUTED_VALUE"""),"Cardiovascular")</f>
        <v>Cardiovascular</v>
      </c>
      <c r="K767" s="5" t="str">
        <f>IFERROR(__xludf.DUMMYFUNCTION("""COMPUTED_VALUE"""),"Current")</f>
        <v>Current</v>
      </c>
      <c r="L767" s="5"/>
      <c r="M767" s="5"/>
      <c r="N767" s="10">
        <f>IFERROR(__xludf.DUMMYFUNCTION("""COMPUTED_VALUE"""),43928.0)</f>
        <v>43928</v>
      </c>
      <c r="O767" s="5">
        <v>2020.0</v>
      </c>
      <c r="P767" s="5" t="str">
        <f>IFERROR(__xludf.DUMMYFUNCTION("""COMPUTED_VALUE"""),"Unavailable")</f>
        <v>Unavailable</v>
      </c>
      <c r="Q767" s="5" t="s">
        <v>47</v>
      </c>
      <c r="R767" s="5" t="s">
        <v>136</v>
      </c>
      <c r="S767" s="11">
        <v>2393.0</v>
      </c>
    </row>
    <row r="768">
      <c r="A768" s="5" t="str">
        <f>IFERROR(__xludf.DUMMYFUNCTION("""COMPUTED_VALUE"""),"Furosemide Oral Solution")</f>
        <v>Furosemide Oral Solution</v>
      </c>
      <c r="B768" s="5" t="str">
        <f>IFERROR(__xludf.DUMMYFUNCTION("""COMPUTED_VALUE"""),"Hikma Pharmaceuticals USA, Inc.")</f>
        <v>Hikma Pharmaceuticals USA, Inc.</v>
      </c>
      <c r="C768" s="5" t="str">
        <f>IFERROR(__xludf.DUMMYFUNCTION("""COMPUTED_VALUE"""),"Furosemide, Oral Solution, 40 mg/5 mL (NDC 0054-3298-63)")</f>
        <v>Furosemide, Oral Solution, 40 mg/5 mL (NDC 0054-3298-63)</v>
      </c>
      <c r="D768" s="5" t="str">
        <f>IFERROR(__xludf.DUMMYFUNCTION("""COMPUTED_VALUE"""),"Reverified")</f>
        <v>Reverified</v>
      </c>
      <c r="E768" s="13">
        <f>IFERROR(__xludf.DUMMYFUNCTION("""COMPUTED_VALUE"""),46309.0)</f>
        <v>46309</v>
      </c>
      <c r="F768" s="5" t="str">
        <f>IFERROR(__xludf.DUMMYFUNCTION("""COMPUTED_VALUE"""),"Available")</f>
        <v>Available</v>
      </c>
      <c r="G768" s="5"/>
      <c r="H768" s="5"/>
      <c r="I768" s="5" t="str">
        <f>IFERROR(__xludf.DUMMYFUNCTION("""COMPUTED_VALUE"""),"Shortage of an inactive ingredient component")</f>
        <v>Shortage of an inactive ingredient component</v>
      </c>
      <c r="J768" s="5" t="str">
        <f>IFERROR(__xludf.DUMMYFUNCTION("""COMPUTED_VALUE"""),"Cardiovascular")</f>
        <v>Cardiovascular</v>
      </c>
      <c r="K768" s="5" t="str">
        <f>IFERROR(__xludf.DUMMYFUNCTION("""COMPUTED_VALUE"""),"Current")</f>
        <v>Current</v>
      </c>
      <c r="L768" s="5"/>
      <c r="M768" s="5"/>
      <c r="N768" s="10">
        <f>IFERROR(__xludf.DUMMYFUNCTION("""COMPUTED_VALUE"""),46112.0)</f>
        <v>46112</v>
      </c>
      <c r="O768" s="5">
        <v>2026.0</v>
      </c>
      <c r="P768" s="5" t="str">
        <f>IFERROR(__xludf.DUMMYFUNCTION("""COMPUTED_VALUE"""),"Available")</f>
        <v>Available</v>
      </c>
      <c r="Q768" s="5" t="s">
        <v>109</v>
      </c>
      <c r="R768" s="5" t="s">
        <v>136</v>
      </c>
      <c r="S768" s="11">
        <v>209.0</v>
      </c>
    </row>
    <row r="769">
      <c r="A769" s="5" t="str">
        <f>IFERROR(__xludf.DUMMYFUNCTION("""COMPUTED_VALUE"""),"Furosemide Oral Solution")</f>
        <v>Furosemide Oral Solution</v>
      </c>
      <c r="B769" s="5" t="str">
        <f>IFERROR(__xludf.DUMMYFUNCTION("""COMPUTED_VALUE"""),"Hikma Pharmaceuticals USA, Inc.")</f>
        <v>Hikma Pharmaceuticals USA, Inc.</v>
      </c>
      <c r="C769" s="5" t="str">
        <f>IFERROR(__xludf.DUMMYFUNCTION("""COMPUTED_VALUE"""),"Furosemide, Oral Solution, 10 mg/1 mL (NDC 0054-3294-50)")</f>
        <v>Furosemide, Oral Solution, 10 mg/1 mL (NDC 0054-3294-50)</v>
      </c>
      <c r="D769" s="5" t="str">
        <f>IFERROR(__xludf.DUMMYFUNCTION("""COMPUTED_VALUE"""),"Reverified")</f>
        <v>Reverified</v>
      </c>
      <c r="E769" s="13">
        <f>IFERROR(__xludf.DUMMYFUNCTION("""COMPUTED_VALUE"""),46309.0)</f>
        <v>46309</v>
      </c>
      <c r="F769" s="5" t="str">
        <f>IFERROR(__xludf.DUMMYFUNCTION("""COMPUTED_VALUE"""),"Limited Availability")</f>
        <v>Limited Availability</v>
      </c>
      <c r="G769" s="5" t="str">
        <f>IFERROR(__xludf.DUMMYFUNCTION("""COMPUTED_VALUE"""),"Available on allocation")</f>
        <v>Available on allocation</v>
      </c>
      <c r="H769" s="5"/>
      <c r="I769" s="5" t="str">
        <f>IFERROR(__xludf.DUMMYFUNCTION("""COMPUTED_VALUE"""),"Shortage of an inactive ingredient component")</f>
        <v>Shortage of an inactive ingredient component</v>
      </c>
      <c r="J769" s="5" t="str">
        <f>IFERROR(__xludf.DUMMYFUNCTION("""COMPUTED_VALUE"""),"Cardiovascular")</f>
        <v>Cardiovascular</v>
      </c>
      <c r="K769" s="5" t="str">
        <f>IFERROR(__xludf.DUMMYFUNCTION("""COMPUTED_VALUE"""),"Current")</f>
        <v>Current</v>
      </c>
      <c r="L769" s="5"/>
      <c r="M769" s="5"/>
      <c r="N769" s="10">
        <f>IFERROR(__xludf.DUMMYFUNCTION("""COMPUTED_VALUE"""),46112.0)</f>
        <v>46112</v>
      </c>
      <c r="O769" s="5">
        <v>2026.0</v>
      </c>
      <c r="P769" s="5" t="str">
        <f>IFERROR(__xludf.DUMMYFUNCTION("""COMPUTED_VALUE"""),"Limited Availability")</f>
        <v>Limited Availability</v>
      </c>
      <c r="Q769" s="5" t="s">
        <v>109</v>
      </c>
      <c r="R769" s="5" t="s">
        <v>136</v>
      </c>
      <c r="S769" s="11">
        <v>209.0</v>
      </c>
    </row>
    <row r="770">
      <c r="A770" s="5" t="str">
        <f>IFERROR(__xludf.DUMMYFUNCTION("""COMPUTED_VALUE"""),"Furosemide Oral Solution")</f>
        <v>Furosemide Oral Solution</v>
      </c>
      <c r="B770" s="5" t="str">
        <f>IFERROR(__xludf.DUMMYFUNCTION("""COMPUTED_VALUE"""),"Hikma Pharmaceuticals USA, Inc.")</f>
        <v>Hikma Pharmaceuticals USA, Inc.</v>
      </c>
      <c r="C770" s="5" t="str">
        <f>IFERROR(__xludf.DUMMYFUNCTION("""COMPUTED_VALUE"""),"Furosemide, Oral Solution, 10 mg/1 mL (NDC 0054-3294-46)")</f>
        <v>Furosemide, Oral Solution, 10 mg/1 mL (NDC 0054-3294-46)</v>
      </c>
      <c r="D770" s="5" t="str">
        <f>IFERROR(__xludf.DUMMYFUNCTION("""COMPUTED_VALUE"""),"Reverified")</f>
        <v>Reverified</v>
      </c>
      <c r="E770" s="13">
        <f>IFERROR(__xludf.DUMMYFUNCTION("""COMPUTED_VALUE"""),46309.0)</f>
        <v>46309</v>
      </c>
      <c r="F770" s="5" t="str">
        <f>IFERROR(__xludf.DUMMYFUNCTION("""COMPUTED_VALUE"""),"Available")</f>
        <v>Available</v>
      </c>
      <c r="G770" s="5"/>
      <c r="H770" s="5"/>
      <c r="I770" s="5"/>
      <c r="J770" s="5" t="str">
        <f>IFERROR(__xludf.DUMMYFUNCTION("""COMPUTED_VALUE"""),"Cardiovascular")</f>
        <v>Cardiovascular</v>
      </c>
      <c r="K770" s="5" t="str">
        <f>IFERROR(__xludf.DUMMYFUNCTION("""COMPUTED_VALUE"""),"Current")</f>
        <v>Current</v>
      </c>
      <c r="L770" s="5"/>
      <c r="M770" s="5"/>
      <c r="N770" s="10">
        <f>IFERROR(__xludf.DUMMYFUNCTION("""COMPUTED_VALUE"""),46112.0)</f>
        <v>46112</v>
      </c>
      <c r="O770" s="5">
        <v>2026.0</v>
      </c>
      <c r="P770" s="5" t="str">
        <f>IFERROR(__xludf.DUMMYFUNCTION("""COMPUTED_VALUE"""),"Available")</f>
        <v>Available</v>
      </c>
      <c r="Q770" s="5" t="s">
        <v>135</v>
      </c>
      <c r="R770" s="5" t="s">
        <v>136</v>
      </c>
      <c r="S770" s="11">
        <v>209.0</v>
      </c>
    </row>
    <row r="771">
      <c r="A771" s="5" t="str">
        <f>IFERROR(__xludf.DUMMYFUNCTION("""COMPUTED_VALUE"""),"Gadobutrol Injection")</f>
        <v>Gadobutrol Injection</v>
      </c>
      <c r="B771" s="5" t="str">
        <f>IFERROR(__xludf.DUMMYFUNCTION("""COMPUTED_VALUE"""),"Jiangsu Hengrui Pharmaceuticals Co., Ltd.")</f>
        <v>Jiangsu Hengrui Pharmaceuticals Co., Ltd.</v>
      </c>
      <c r="C771" s="5" t="str">
        <f>IFERROR(__xludf.DUMMYFUNCTION("""COMPUTED_VALUE"""),"Gadobutrol, Injection, 604.72 mg/mL (NDC 65219-281-02)")</f>
        <v>Gadobutrol, Injection, 604.72 mg/mL (NDC 65219-281-02)</v>
      </c>
      <c r="D771" s="5" t="str">
        <f>IFERROR(__xludf.DUMMYFUNCTION("""COMPUTED_VALUE"""),"New")</f>
        <v>New</v>
      </c>
      <c r="E771" s="10">
        <f>IFERROR(__xludf.DUMMYFUNCTION("""COMPUTED_VALUE"""),46203.0)</f>
        <v>46203</v>
      </c>
      <c r="F771" s="5"/>
      <c r="G771" s="5" t="str">
        <f>IFERROR(__xludf.DUMMYFUNCTION("""COMPUTED_VALUE"""),"Discontinuance of single dose vials, the other two Imaging Bulk Package(IBP) strengths are to remain in supply: the IBP strengths (18.1416 g/30 mL and 39.3068 g/65 mL); Marketed by Fresenius Kabi, USA")</f>
        <v>Discontinuance of single dose vials, the other two Imaging Bulk Package(IBP) strengths are to remain in supply: the IBP strengths (18.1416 g/30 mL and 39.3068 g/65 mL); Marketed by Fresenius Kabi, USA</v>
      </c>
      <c r="H771" s="5"/>
      <c r="I771" s="5"/>
      <c r="J771" s="5" t="str">
        <f>IFERROR(__xludf.DUMMYFUNCTION("""COMPUTED_VALUE"""),"Medical Imaging")</f>
        <v>Medical Imaging</v>
      </c>
      <c r="K771" s="5" t="str">
        <f>IFERROR(__xludf.DUMMYFUNCTION("""COMPUTED_VALUE"""),"To Be Discontinued")</f>
        <v>To Be Discontinued</v>
      </c>
      <c r="L771" s="5"/>
      <c r="M771" s="10">
        <f>IFERROR(__xludf.DUMMYFUNCTION("""COMPUTED_VALUE"""),46203.0)</f>
        <v>46203</v>
      </c>
      <c r="N771" s="10">
        <f>IFERROR(__xludf.DUMMYFUNCTION("""COMPUTED_VALUE"""),46203.0)</f>
        <v>46203</v>
      </c>
      <c r="O771" s="5">
        <v>2026.0</v>
      </c>
      <c r="P771" s="5" t="str">
        <f>IFERROR(__xludf.DUMMYFUNCTION("""COMPUTED_VALUE"""),"Not stated")</f>
        <v>Not stated</v>
      </c>
      <c r="Q771" s="5" t="s">
        <v>135</v>
      </c>
      <c r="R771" s="5" t="s">
        <v>136</v>
      </c>
      <c r="S771" s="11">
        <v>118.0</v>
      </c>
    </row>
    <row r="772">
      <c r="A772" s="5" t="str">
        <f>IFERROR(__xludf.DUMMYFUNCTION("""COMPUTED_VALUE"""),"Gadobutrol Injection")</f>
        <v>Gadobutrol Injection</v>
      </c>
      <c r="B772" s="5" t="str">
        <f>IFERROR(__xludf.DUMMYFUNCTION("""COMPUTED_VALUE"""),"Jiangsu Hengrui Pharmaceuticals Co., Ltd.")</f>
        <v>Jiangsu Hengrui Pharmaceuticals Co., Ltd.</v>
      </c>
      <c r="C772" s="5" t="str">
        <f>IFERROR(__xludf.DUMMYFUNCTION("""COMPUTED_VALUE"""),"Gadobutrol, Injection, 604.72 mg/mL (NDC 65219-281-07)")</f>
        <v>Gadobutrol, Injection, 604.72 mg/mL (NDC 65219-281-07)</v>
      </c>
      <c r="D772" s="5" t="str">
        <f>IFERROR(__xludf.DUMMYFUNCTION("""COMPUTED_VALUE"""),"New")</f>
        <v>New</v>
      </c>
      <c r="E772" s="10">
        <f>IFERROR(__xludf.DUMMYFUNCTION("""COMPUTED_VALUE"""),46203.0)</f>
        <v>46203</v>
      </c>
      <c r="F772" s="5"/>
      <c r="G772" s="5" t="str">
        <f>IFERROR(__xludf.DUMMYFUNCTION("""COMPUTED_VALUE"""),"Discontinuance of single dose vials, the other two Imaging Bulk Package(IBP) strengths are to remain in supply: the IBP strengths (18.1416 g/30 mL and 39.3068 g/65 mL); Marketed by Fresenius Kabi, USA")</f>
        <v>Discontinuance of single dose vials, the other two Imaging Bulk Package(IBP) strengths are to remain in supply: the IBP strengths (18.1416 g/30 mL and 39.3068 g/65 mL); Marketed by Fresenius Kabi, USA</v>
      </c>
      <c r="H772" s="5"/>
      <c r="I772" s="5"/>
      <c r="J772" s="5" t="str">
        <f>IFERROR(__xludf.DUMMYFUNCTION("""COMPUTED_VALUE"""),"Medical Imaging")</f>
        <v>Medical Imaging</v>
      </c>
      <c r="K772" s="5" t="str">
        <f>IFERROR(__xludf.DUMMYFUNCTION("""COMPUTED_VALUE"""),"To Be Discontinued")</f>
        <v>To Be Discontinued</v>
      </c>
      <c r="L772" s="5"/>
      <c r="M772" s="10">
        <f>IFERROR(__xludf.DUMMYFUNCTION("""COMPUTED_VALUE"""),46203.0)</f>
        <v>46203</v>
      </c>
      <c r="N772" s="10">
        <f>IFERROR(__xludf.DUMMYFUNCTION("""COMPUTED_VALUE"""),46203.0)</f>
        <v>46203</v>
      </c>
      <c r="O772" s="5">
        <v>2026.0</v>
      </c>
      <c r="P772" s="5" t="str">
        <f>IFERROR(__xludf.DUMMYFUNCTION("""COMPUTED_VALUE"""),"Not stated")</f>
        <v>Not stated</v>
      </c>
      <c r="Q772" s="5" t="s">
        <v>135</v>
      </c>
      <c r="R772" s="5" t="s">
        <v>136</v>
      </c>
      <c r="S772" s="11">
        <v>118.0</v>
      </c>
    </row>
    <row r="773">
      <c r="A773" s="5" t="str">
        <f>IFERROR(__xludf.DUMMYFUNCTION("""COMPUTED_VALUE"""),"Gadobutrol Injection")</f>
        <v>Gadobutrol Injection</v>
      </c>
      <c r="B773" s="5" t="str">
        <f>IFERROR(__xludf.DUMMYFUNCTION("""COMPUTED_VALUE"""),"Jiangsu Hengrui Pharmaceuticals Co., Ltd.")</f>
        <v>Jiangsu Hengrui Pharmaceuticals Co., Ltd.</v>
      </c>
      <c r="C773" s="5" t="str">
        <f>IFERROR(__xludf.DUMMYFUNCTION("""COMPUTED_VALUE"""),"Gadobutrol, Injection, 604.72 mg/mL (NDC 65219-281-10)")</f>
        <v>Gadobutrol, Injection, 604.72 mg/mL (NDC 65219-281-10)</v>
      </c>
      <c r="D773" s="5" t="str">
        <f>IFERROR(__xludf.DUMMYFUNCTION("""COMPUTED_VALUE"""),"New")</f>
        <v>New</v>
      </c>
      <c r="E773" s="10">
        <f>IFERROR(__xludf.DUMMYFUNCTION("""COMPUTED_VALUE"""),46203.0)</f>
        <v>46203</v>
      </c>
      <c r="F773" s="5"/>
      <c r="G773" s="5" t="str">
        <f>IFERROR(__xludf.DUMMYFUNCTION("""COMPUTED_VALUE"""),"Discontinuance of single dose vials, the other two Imaging Bulk Package(IBP) strengths are to remain in supply: the IBP strengths (18.1416 g/30 mL and 39.3068 g/65 mL); Marketed by Fresenius Kabi, USA")</f>
        <v>Discontinuance of single dose vials, the other two Imaging Bulk Package(IBP) strengths are to remain in supply: the IBP strengths (18.1416 g/30 mL and 39.3068 g/65 mL); Marketed by Fresenius Kabi, USA</v>
      </c>
      <c r="H773" s="5"/>
      <c r="I773" s="5"/>
      <c r="J773" s="5" t="str">
        <f>IFERROR(__xludf.DUMMYFUNCTION("""COMPUTED_VALUE"""),"Medical Imaging")</f>
        <v>Medical Imaging</v>
      </c>
      <c r="K773" s="5" t="str">
        <f>IFERROR(__xludf.DUMMYFUNCTION("""COMPUTED_VALUE"""),"To Be Discontinued")</f>
        <v>To Be Discontinued</v>
      </c>
      <c r="L773" s="5"/>
      <c r="M773" s="10">
        <f>IFERROR(__xludf.DUMMYFUNCTION("""COMPUTED_VALUE"""),46203.0)</f>
        <v>46203</v>
      </c>
      <c r="N773" s="10">
        <f>IFERROR(__xludf.DUMMYFUNCTION("""COMPUTED_VALUE"""),46203.0)</f>
        <v>46203</v>
      </c>
      <c r="O773" s="5">
        <v>2026.0</v>
      </c>
      <c r="P773" s="5" t="str">
        <f>IFERROR(__xludf.DUMMYFUNCTION("""COMPUTED_VALUE"""),"Not stated")</f>
        <v>Not stated</v>
      </c>
      <c r="Q773" s="5" t="s">
        <v>135</v>
      </c>
      <c r="R773" s="5" t="s">
        <v>136</v>
      </c>
      <c r="S773" s="11">
        <v>118.0</v>
      </c>
    </row>
    <row r="774">
      <c r="A774" s="5" t="str">
        <f>IFERROR(__xludf.DUMMYFUNCTION("""COMPUTED_VALUE"""),"Gadobutrol Injection")</f>
        <v>Gadobutrol Injection</v>
      </c>
      <c r="B774" s="5" t="str">
        <f>IFERROR(__xludf.DUMMYFUNCTION("""COMPUTED_VALUE"""),"Jiangsu Hengrui Pharmaceuticals Co., Ltd.")</f>
        <v>Jiangsu Hengrui Pharmaceuticals Co., Ltd.</v>
      </c>
      <c r="C774" s="5" t="str">
        <f>IFERROR(__xludf.DUMMYFUNCTION("""COMPUTED_VALUE"""),"Gadobutrol, Injection, 604.72 mg/mL (NDC 65219-281-15)")</f>
        <v>Gadobutrol, Injection, 604.72 mg/mL (NDC 65219-281-15)</v>
      </c>
      <c r="D774" s="5" t="str">
        <f>IFERROR(__xludf.DUMMYFUNCTION("""COMPUTED_VALUE"""),"New")</f>
        <v>New</v>
      </c>
      <c r="E774" s="10">
        <f>IFERROR(__xludf.DUMMYFUNCTION("""COMPUTED_VALUE"""),46203.0)</f>
        <v>46203</v>
      </c>
      <c r="F774" s="5"/>
      <c r="G774" s="5" t="str">
        <f>IFERROR(__xludf.DUMMYFUNCTION("""COMPUTED_VALUE"""),"Discontinuance of single dose vials, the other two Imaging Bulk Package(IBP) strengths are to remain in supply: the IBP strengths (18.1416 g/30 mL and 39.3068 g/65 mL); Marketed by Fresenius Kabi, USA")</f>
        <v>Discontinuance of single dose vials, the other two Imaging Bulk Package(IBP) strengths are to remain in supply: the IBP strengths (18.1416 g/30 mL and 39.3068 g/65 mL); Marketed by Fresenius Kabi, USA</v>
      </c>
      <c r="H774" s="5"/>
      <c r="I774" s="5"/>
      <c r="J774" s="5" t="str">
        <f>IFERROR(__xludf.DUMMYFUNCTION("""COMPUTED_VALUE"""),"Medical Imaging")</f>
        <v>Medical Imaging</v>
      </c>
      <c r="K774" s="5" t="str">
        <f>IFERROR(__xludf.DUMMYFUNCTION("""COMPUTED_VALUE"""),"To Be Discontinued")</f>
        <v>To Be Discontinued</v>
      </c>
      <c r="L774" s="5"/>
      <c r="M774" s="10">
        <f>IFERROR(__xludf.DUMMYFUNCTION("""COMPUTED_VALUE"""),46203.0)</f>
        <v>46203</v>
      </c>
      <c r="N774" s="10">
        <f>IFERROR(__xludf.DUMMYFUNCTION("""COMPUTED_VALUE"""),46203.0)</f>
        <v>46203</v>
      </c>
      <c r="O774" s="5">
        <v>2026.0</v>
      </c>
      <c r="P774" s="5" t="str">
        <f>IFERROR(__xludf.DUMMYFUNCTION("""COMPUTED_VALUE"""),"Not stated")</f>
        <v>Not stated</v>
      </c>
      <c r="Q774" s="5" t="s">
        <v>135</v>
      </c>
      <c r="R774" s="5" t="s">
        <v>136</v>
      </c>
      <c r="S774" s="11">
        <v>118.0</v>
      </c>
    </row>
    <row r="775">
      <c r="A775" s="5" t="str">
        <f>IFERROR(__xludf.DUMMYFUNCTION("""COMPUTED_VALUE"""),"Gadoterate Meglumine Injection")</f>
        <v>Gadoterate Meglumine Injection</v>
      </c>
      <c r="B775" s="5" t="str">
        <f>IFERROR(__xludf.DUMMYFUNCTION("""COMPUTED_VALUE"""),"Jiangsu Hengrui Pharmaceuticals Co., Ltd.")</f>
        <v>Jiangsu Hengrui Pharmaceuticals Co., Ltd.</v>
      </c>
      <c r="C775" s="5" t="str">
        <f>IFERROR(__xludf.DUMMYFUNCTION("""COMPUTED_VALUE"""),"Gadoterate Meglumine, Injection, 376.9 mg/1 mL (NDC 65219-080-05)")</f>
        <v>Gadoterate Meglumine, Injection, 376.9 mg/1 mL (NDC 65219-080-05)</v>
      </c>
      <c r="D775" s="5" t="str">
        <f>IFERROR(__xludf.DUMMYFUNCTION("""COMPUTED_VALUE"""),"New")</f>
        <v>New</v>
      </c>
      <c r="E775" s="10">
        <f>IFERROR(__xludf.DUMMYFUNCTION("""COMPUTED_VALUE"""),46203.0)</f>
        <v>46203</v>
      </c>
      <c r="F775" s="5"/>
      <c r="G775" s="5" t="str">
        <f>IFERROR(__xludf.DUMMYFUNCTION("""COMPUTED_VALUE"""),"Marketed by Fresenius Kabi, USA; Discontinuation of the manufacture of the drug")</f>
        <v>Marketed by Fresenius Kabi, USA; Discontinuation of the manufacture of the drug</v>
      </c>
      <c r="H775" s="5"/>
      <c r="I775" s="5"/>
      <c r="J775" s="5" t="str">
        <f>IFERROR(__xludf.DUMMYFUNCTION("""COMPUTED_VALUE"""),"Medical Imaging")</f>
        <v>Medical Imaging</v>
      </c>
      <c r="K775" s="5" t="str">
        <f>IFERROR(__xludf.DUMMYFUNCTION("""COMPUTED_VALUE"""),"To Be Discontinued")</f>
        <v>To Be Discontinued</v>
      </c>
      <c r="L775" s="5"/>
      <c r="M775" s="10">
        <f>IFERROR(__xludf.DUMMYFUNCTION("""COMPUTED_VALUE"""),46203.0)</f>
        <v>46203</v>
      </c>
      <c r="N775" s="10">
        <f>IFERROR(__xludf.DUMMYFUNCTION("""COMPUTED_VALUE"""),46203.0)</f>
        <v>46203</v>
      </c>
      <c r="O775" s="5">
        <v>2026.0</v>
      </c>
      <c r="P775" s="5" t="str">
        <f>IFERROR(__xludf.DUMMYFUNCTION("""COMPUTED_VALUE"""),"Not stated")</f>
        <v>Not stated</v>
      </c>
      <c r="Q775" s="5" t="s">
        <v>135</v>
      </c>
      <c r="R775" s="5" t="s">
        <v>434</v>
      </c>
      <c r="S775" s="11">
        <v>118.0</v>
      </c>
    </row>
    <row r="776">
      <c r="A776" s="5" t="str">
        <f>IFERROR(__xludf.DUMMYFUNCTION("""COMPUTED_VALUE"""),"Gadoterate Meglumine Injection")</f>
        <v>Gadoterate Meglumine Injection</v>
      </c>
      <c r="B776" s="5" t="str">
        <f>IFERROR(__xludf.DUMMYFUNCTION("""COMPUTED_VALUE"""),"Jiangsu Hengrui Pharmaceuticals Co., Ltd.")</f>
        <v>Jiangsu Hengrui Pharmaceuticals Co., Ltd.</v>
      </c>
      <c r="C776" s="5" t="str">
        <f>IFERROR(__xludf.DUMMYFUNCTION("""COMPUTED_VALUE"""),"Gadoterate Meglumine, Injection, 376.9 mg/1 mL (NDC 65219-082-10)")</f>
        <v>Gadoterate Meglumine, Injection, 376.9 mg/1 mL (NDC 65219-082-10)</v>
      </c>
      <c r="D776" s="5" t="str">
        <f>IFERROR(__xludf.DUMMYFUNCTION("""COMPUTED_VALUE"""),"New")</f>
        <v>New</v>
      </c>
      <c r="E776" s="10">
        <f>IFERROR(__xludf.DUMMYFUNCTION("""COMPUTED_VALUE"""),46203.0)</f>
        <v>46203</v>
      </c>
      <c r="F776" s="5"/>
      <c r="G776" s="5" t="str">
        <f>IFERROR(__xludf.DUMMYFUNCTION("""COMPUTED_VALUE"""),"Marketed by Fresenius Kabi, USA; Discontinuation of the manufacture of the drug")</f>
        <v>Marketed by Fresenius Kabi, USA; Discontinuation of the manufacture of the drug</v>
      </c>
      <c r="H776" s="5"/>
      <c r="I776" s="5"/>
      <c r="J776" s="5" t="str">
        <f>IFERROR(__xludf.DUMMYFUNCTION("""COMPUTED_VALUE"""),"Medical Imaging")</f>
        <v>Medical Imaging</v>
      </c>
      <c r="K776" s="5" t="str">
        <f>IFERROR(__xludf.DUMMYFUNCTION("""COMPUTED_VALUE"""),"To Be Discontinued")</f>
        <v>To Be Discontinued</v>
      </c>
      <c r="L776" s="5"/>
      <c r="M776" s="10">
        <f>IFERROR(__xludf.DUMMYFUNCTION("""COMPUTED_VALUE"""),46203.0)</f>
        <v>46203</v>
      </c>
      <c r="N776" s="10">
        <f>IFERROR(__xludf.DUMMYFUNCTION("""COMPUTED_VALUE"""),46203.0)</f>
        <v>46203</v>
      </c>
      <c r="O776" s="5">
        <v>2026.0</v>
      </c>
      <c r="P776" s="5" t="str">
        <f>IFERROR(__xludf.DUMMYFUNCTION("""COMPUTED_VALUE"""),"Not stated")</f>
        <v>Not stated</v>
      </c>
      <c r="Q776" s="5" t="s">
        <v>135</v>
      </c>
      <c r="R776" s="5" t="s">
        <v>434</v>
      </c>
      <c r="S776" s="11">
        <v>118.0</v>
      </c>
    </row>
    <row r="777">
      <c r="A777" s="5" t="str">
        <f>IFERROR(__xludf.DUMMYFUNCTION("""COMPUTED_VALUE"""),"Gadoterate Meglumine Injection")</f>
        <v>Gadoterate Meglumine Injection</v>
      </c>
      <c r="B777" s="5" t="str">
        <f>IFERROR(__xludf.DUMMYFUNCTION("""COMPUTED_VALUE"""),"Jiangsu Hengrui Pharmaceuticals Co., Ltd.")</f>
        <v>Jiangsu Hengrui Pharmaceuticals Co., Ltd.</v>
      </c>
      <c r="C777" s="5" t="str">
        <f>IFERROR(__xludf.DUMMYFUNCTION("""COMPUTED_VALUE"""),"Gadoterate Meglumine, Injection, 376.9 mg/1 mL (NDC 65219-084-15)")</f>
        <v>Gadoterate Meglumine, Injection, 376.9 mg/1 mL (NDC 65219-084-15)</v>
      </c>
      <c r="D777" s="5" t="str">
        <f>IFERROR(__xludf.DUMMYFUNCTION("""COMPUTED_VALUE"""),"New")</f>
        <v>New</v>
      </c>
      <c r="E777" s="10">
        <f>IFERROR(__xludf.DUMMYFUNCTION("""COMPUTED_VALUE"""),46203.0)</f>
        <v>46203</v>
      </c>
      <c r="F777" s="5"/>
      <c r="G777" s="5" t="str">
        <f>IFERROR(__xludf.DUMMYFUNCTION("""COMPUTED_VALUE"""),"Marketed by Fresenius Kabi, USA; Discontinuation of the manufacture of the drug")</f>
        <v>Marketed by Fresenius Kabi, USA; Discontinuation of the manufacture of the drug</v>
      </c>
      <c r="H777" s="5"/>
      <c r="I777" s="5"/>
      <c r="J777" s="5" t="str">
        <f>IFERROR(__xludf.DUMMYFUNCTION("""COMPUTED_VALUE"""),"Medical Imaging")</f>
        <v>Medical Imaging</v>
      </c>
      <c r="K777" s="5" t="str">
        <f>IFERROR(__xludf.DUMMYFUNCTION("""COMPUTED_VALUE"""),"To Be Discontinued")</f>
        <v>To Be Discontinued</v>
      </c>
      <c r="L777" s="5"/>
      <c r="M777" s="10">
        <f>IFERROR(__xludf.DUMMYFUNCTION("""COMPUTED_VALUE"""),46203.0)</f>
        <v>46203</v>
      </c>
      <c r="N777" s="10">
        <f>IFERROR(__xludf.DUMMYFUNCTION("""COMPUTED_VALUE"""),46203.0)</f>
        <v>46203</v>
      </c>
      <c r="O777" s="5">
        <v>2026.0</v>
      </c>
      <c r="P777" s="5" t="str">
        <f>IFERROR(__xludf.DUMMYFUNCTION("""COMPUTED_VALUE"""),"Not stated")</f>
        <v>Not stated</v>
      </c>
      <c r="Q777" s="5" t="s">
        <v>135</v>
      </c>
      <c r="R777" s="5" t="s">
        <v>434</v>
      </c>
      <c r="S777" s="11">
        <v>118.0</v>
      </c>
    </row>
    <row r="778">
      <c r="A778" s="5" t="str">
        <f>IFERROR(__xludf.DUMMYFUNCTION("""COMPUTED_VALUE"""),"Gadoterate Meglumine Injection")</f>
        <v>Gadoterate Meglumine Injection</v>
      </c>
      <c r="B778" s="5" t="str">
        <f>IFERROR(__xludf.DUMMYFUNCTION("""COMPUTED_VALUE"""),"Jiangsu Hengrui Pharmaceuticals Co., Ltd.")</f>
        <v>Jiangsu Hengrui Pharmaceuticals Co., Ltd.</v>
      </c>
      <c r="C778" s="5" t="str">
        <f>IFERROR(__xludf.DUMMYFUNCTION("""COMPUTED_VALUE"""),"Gadoterate Meglumine, Injection, 376.9 mg/1 mL (NDC 65219-086-20)")</f>
        <v>Gadoterate Meglumine, Injection, 376.9 mg/1 mL (NDC 65219-086-20)</v>
      </c>
      <c r="D778" s="5" t="str">
        <f>IFERROR(__xludf.DUMMYFUNCTION("""COMPUTED_VALUE"""),"New")</f>
        <v>New</v>
      </c>
      <c r="E778" s="10">
        <f>IFERROR(__xludf.DUMMYFUNCTION("""COMPUTED_VALUE"""),46203.0)</f>
        <v>46203</v>
      </c>
      <c r="F778" s="5"/>
      <c r="G778" s="5" t="str">
        <f>IFERROR(__xludf.DUMMYFUNCTION("""COMPUTED_VALUE"""),"Marketed by Fresenius Kabi, USA; Discontinuation of the manufacture of the drug")</f>
        <v>Marketed by Fresenius Kabi, USA; Discontinuation of the manufacture of the drug</v>
      </c>
      <c r="H778" s="5"/>
      <c r="I778" s="5"/>
      <c r="J778" s="5" t="str">
        <f>IFERROR(__xludf.DUMMYFUNCTION("""COMPUTED_VALUE"""),"Medical Imaging")</f>
        <v>Medical Imaging</v>
      </c>
      <c r="K778" s="5" t="str">
        <f>IFERROR(__xludf.DUMMYFUNCTION("""COMPUTED_VALUE"""),"To Be Discontinued")</f>
        <v>To Be Discontinued</v>
      </c>
      <c r="L778" s="5"/>
      <c r="M778" s="10">
        <f>IFERROR(__xludf.DUMMYFUNCTION("""COMPUTED_VALUE"""),46203.0)</f>
        <v>46203</v>
      </c>
      <c r="N778" s="10">
        <f>IFERROR(__xludf.DUMMYFUNCTION("""COMPUTED_VALUE"""),46203.0)</f>
        <v>46203</v>
      </c>
      <c r="O778" s="5">
        <v>2026.0</v>
      </c>
      <c r="P778" s="5" t="str">
        <f>IFERROR(__xludf.DUMMYFUNCTION("""COMPUTED_VALUE"""),"Not stated")</f>
        <v>Not stated</v>
      </c>
      <c r="Q778" s="5" t="s">
        <v>135</v>
      </c>
      <c r="R778" s="5" t="s">
        <v>434</v>
      </c>
      <c r="S778" s="11">
        <v>118.0</v>
      </c>
    </row>
    <row r="779">
      <c r="A779" s="5" t="str">
        <f>IFERROR(__xludf.DUMMYFUNCTION("""COMPUTED_VALUE"""),"Gadoterate Meglumine Injection")</f>
        <v>Gadoterate Meglumine Injection</v>
      </c>
      <c r="B779" s="5" t="str">
        <f>IFERROR(__xludf.DUMMYFUNCTION("""COMPUTED_VALUE"""),"Jiangsu Hengrui Pharmaceuticals Co., Ltd.")</f>
        <v>Jiangsu Hengrui Pharmaceuticals Co., Ltd.</v>
      </c>
      <c r="C779" s="5" t="str">
        <f>IFERROR(__xludf.DUMMYFUNCTION("""COMPUTED_VALUE"""),"Gadoterate Meglumine, Injection, 376.9 mg/1 mL (NDC 65219-080-05)")</f>
        <v>Gadoterate Meglumine, Injection, 376.9 mg/1 mL (NDC 65219-080-05)</v>
      </c>
      <c r="D779" s="5" t="str">
        <f>IFERROR(__xludf.DUMMYFUNCTION("""COMPUTED_VALUE"""),"New")</f>
        <v>New</v>
      </c>
      <c r="E779" s="10">
        <f>IFERROR(__xludf.DUMMYFUNCTION("""COMPUTED_VALUE"""),46163.0)</f>
        <v>46163</v>
      </c>
      <c r="F779" s="5"/>
      <c r="G779" s="5" t="str">
        <f>IFERROR(__xludf.DUMMYFUNCTION("""COMPUTED_VALUE"""),"Discontinuation of the manufacture of the drug")</f>
        <v>Discontinuation of the manufacture of the drug</v>
      </c>
      <c r="H779" s="5"/>
      <c r="I779" s="5"/>
      <c r="J779" s="5" t="str">
        <f>IFERROR(__xludf.DUMMYFUNCTION("""COMPUTED_VALUE"""),"Medical Imaging")</f>
        <v>Medical Imaging</v>
      </c>
      <c r="K779" s="5" t="str">
        <f>IFERROR(__xludf.DUMMYFUNCTION("""COMPUTED_VALUE"""),"To Be Discontinued")</f>
        <v>To Be Discontinued</v>
      </c>
      <c r="L779" s="5"/>
      <c r="M779" s="10">
        <f>IFERROR(__xludf.DUMMYFUNCTION("""COMPUTED_VALUE"""),46163.0)</f>
        <v>46163</v>
      </c>
      <c r="N779" s="10">
        <f>IFERROR(__xludf.DUMMYFUNCTION("""COMPUTED_VALUE"""),46163.0)</f>
        <v>46163</v>
      </c>
      <c r="O779" s="5">
        <v>2026.0</v>
      </c>
      <c r="P779" s="5" t="str">
        <f>IFERROR(__xludf.DUMMYFUNCTION("""COMPUTED_VALUE"""),"Not stated")</f>
        <v>Not stated</v>
      </c>
      <c r="Q779" s="5" t="s">
        <v>135</v>
      </c>
      <c r="R779" s="5" t="s">
        <v>434</v>
      </c>
      <c r="S779" s="11">
        <v>158.0</v>
      </c>
    </row>
    <row r="780">
      <c r="A780" s="5" t="str">
        <f>IFERROR(__xludf.DUMMYFUNCTION("""COMPUTED_VALUE"""),"Gadoterate Meglumine Injection")</f>
        <v>Gadoterate Meglumine Injection</v>
      </c>
      <c r="B780" s="5" t="str">
        <f>IFERROR(__xludf.DUMMYFUNCTION("""COMPUTED_VALUE"""),"Jiangsu Hengrui Pharmaceuticals Co., Ltd.")</f>
        <v>Jiangsu Hengrui Pharmaceuticals Co., Ltd.</v>
      </c>
      <c r="C780" s="5" t="str">
        <f>IFERROR(__xludf.DUMMYFUNCTION("""COMPUTED_VALUE"""),"Gadoterate Meglumine, Injection, 376.9 mg/1 mL (NDC 65219-082-10)")</f>
        <v>Gadoterate Meglumine, Injection, 376.9 mg/1 mL (NDC 65219-082-10)</v>
      </c>
      <c r="D780" s="5" t="str">
        <f>IFERROR(__xludf.DUMMYFUNCTION("""COMPUTED_VALUE"""),"New")</f>
        <v>New</v>
      </c>
      <c r="E780" s="10">
        <f>IFERROR(__xludf.DUMMYFUNCTION("""COMPUTED_VALUE"""),46163.0)</f>
        <v>46163</v>
      </c>
      <c r="F780" s="5"/>
      <c r="G780" s="5" t="str">
        <f>IFERROR(__xludf.DUMMYFUNCTION("""COMPUTED_VALUE"""),"Discontinuation of the manufacture of the drug")</f>
        <v>Discontinuation of the manufacture of the drug</v>
      </c>
      <c r="H780" s="5"/>
      <c r="I780" s="5"/>
      <c r="J780" s="5" t="str">
        <f>IFERROR(__xludf.DUMMYFUNCTION("""COMPUTED_VALUE"""),"Medical Imaging")</f>
        <v>Medical Imaging</v>
      </c>
      <c r="K780" s="5" t="str">
        <f>IFERROR(__xludf.DUMMYFUNCTION("""COMPUTED_VALUE"""),"To Be Discontinued")</f>
        <v>To Be Discontinued</v>
      </c>
      <c r="L780" s="5"/>
      <c r="M780" s="10">
        <f>IFERROR(__xludf.DUMMYFUNCTION("""COMPUTED_VALUE"""),46163.0)</f>
        <v>46163</v>
      </c>
      <c r="N780" s="10">
        <f>IFERROR(__xludf.DUMMYFUNCTION("""COMPUTED_VALUE"""),46163.0)</f>
        <v>46163</v>
      </c>
      <c r="O780" s="5">
        <v>2026.0</v>
      </c>
      <c r="P780" s="5" t="str">
        <f>IFERROR(__xludf.DUMMYFUNCTION("""COMPUTED_VALUE"""),"Not stated")</f>
        <v>Not stated</v>
      </c>
      <c r="Q780" s="5" t="s">
        <v>135</v>
      </c>
      <c r="R780" s="5" t="s">
        <v>434</v>
      </c>
      <c r="S780" s="11">
        <v>158.0</v>
      </c>
    </row>
    <row r="781">
      <c r="A781" s="5" t="str">
        <f>IFERROR(__xludf.DUMMYFUNCTION("""COMPUTED_VALUE"""),"Gadoterate Meglumine Injection")</f>
        <v>Gadoterate Meglumine Injection</v>
      </c>
      <c r="B781" s="5" t="str">
        <f>IFERROR(__xludf.DUMMYFUNCTION("""COMPUTED_VALUE"""),"Jiangsu Hengrui Pharmaceuticals Co., Ltd.")</f>
        <v>Jiangsu Hengrui Pharmaceuticals Co., Ltd.</v>
      </c>
      <c r="C781" s="5" t="str">
        <f>IFERROR(__xludf.DUMMYFUNCTION("""COMPUTED_VALUE"""),"Gadoterate Meglumine, Injection, 376.9 mg/1 mL (NDC 65219-084-15)")</f>
        <v>Gadoterate Meglumine, Injection, 376.9 mg/1 mL (NDC 65219-084-15)</v>
      </c>
      <c r="D781" s="5" t="str">
        <f>IFERROR(__xludf.DUMMYFUNCTION("""COMPUTED_VALUE"""),"New")</f>
        <v>New</v>
      </c>
      <c r="E781" s="10">
        <f>IFERROR(__xludf.DUMMYFUNCTION("""COMPUTED_VALUE"""),46163.0)</f>
        <v>46163</v>
      </c>
      <c r="F781" s="5"/>
      <c r="G781" s="5" t="str">
        <f>IFERROR(__xludf.DUMMYFUNCTION("""COMPUTED_VALUE"""),"Discontinuation of the manufacture of the drug")</f>
        <v>Discontinuation of the manufacture of the drug</v>
      </c>
      <c r="H781" s="5"/>
      <c r="I781" s="5"/>
      <c r="J781" s="5" t="str">
        <f>IFERROR(__xludf.DUMMYFUNCTION("""COMPUTED_VALUE"""),"Medical Imaging")</f>
        <v>Medical Imaging</v>
      </c>
      <c r="K781" s="5" t="str">
        <f>IFERROR(__xludf.DUMMYFUNCTION("""COMPUTED_VALUE"""),"To Be Discontinued")</f>
        <v>To Be Discontinued</v>
      </c>
      <c r="L781" s="5"/>
      <c r="M781" s="10">
        <f>IFERROR(__xludf.DUMMYFUNCTION("""COMPUTED_VALUE"""),46163.0)</f>
        <v>46163</v>
      </c>
      <c r="N781" s="10">
        <f>IFERROR(__xludf.DUMMYFUNCTION("""COMPUTED_VALUE"""),46163.0)</f>
        <v>46163</v>
      </c>
      <c r="O781" s="5">
        <v>2026.0</v>
      </c>
      <c r="P781" s="5" t="str">
        <f>IFERROR(__xludf.DUMMYFUNCTION("""COMPUTED_VALUE"""),"Not stated")</f>
        <v>Not stated</v>
      </c>
      <c r="Q781" s="5" t="s">
        <v>135</v>
      </c>
      <c r="R781" s="5" t="s">
        <v>434</v>
      </c>
      <c r="S781" s="11">
        <v>158.0</v>
      </c>
    </row>
    <row r="782">
      <c r="A782" s="5" t="str">
        <f>IFERROR(__xludf.DUMMYFUNCTION("""COMPUTED_VALUE"""),"Gadoterate Meglumine Injection")</f>
        <v>Gadoterate Meglumine Injection</v>
      </c>
      <c r="B782" s="5" t="str">
        <f>IFERROR(__xludf.DUMMYFUNCTION("""COMPUTED_VALUE"""),"Jiangsu Hengrui Pharmaceuticals Co., Ltd.")</f>
        <v>Jiangsu Hengrui Pharmaceuticals Co., Ltd.</v>
      </c>
      <c r="C782" s="5" t="str">
        <f>IFERROR(__xludf.DUMMYFUNCTION("""COMPUTED_VALUE"""),"Gadoterate Meglumine, Injection, 376.9 mg/1 mL (NDC 65219-086-20)")</f>
        <v>Gadoterate Meglumine, Injection, 376.9 mg/1 mL (NDC 65219-086-20)</v>
      </c>
      <c r="D782" s="5" t="str">
        <f>IFERROR(__xludf.DUMMYFUNCTION("""COMPUTED_VALUE"""),"New")</f>
        <v>New</v>
      </c>
      <c r="E782" s="10">
        <f>IFERROR(__xludf.DUMMYFUNCTION("""COMPUTED_VALUE"""),46163.0)</f>
        <v>46163</v>
      </c>
      <c r="F782" s="5"/>
      <c r="G782" s="5" t="str">
        <f>IFERROR(__xludf.DUMMYFUNCTION("""COMPUTED_VALUE"""),"Discontinuation of the manufacture of the drug")</f>
        <v>Discontinuation of the manufacture of the drug</v>
      </c>
      <c r="H782" s="5"/>
      <c r="I782" s="5"/>
      <c r="J782" s="5" t="str">
        <f>IFERROR(__xludf.DUMMYFUNCTION("""COMPUTED_VALUE"""),"Medical Imaging")</f>
        <v>Medical Imaging</v>
      </c>
      <c r="K782" s="5" t="str">
        <f>IFERROR(__xludf.DUMMYFUNCTION("""COMPUTED_VALUE"""),"To Be Discontinued")</f>
        <v>To Be Discontinued</v>
      </c>
      <c r="L782" s="5"/>
      <c r="M782" s="10">
        <f>IFERROR(__xludf.DUMMYFUNCTION("""COMPUTED_VALUE"""),46163.0)</f>
        <v>46163</v>
      </c>
      <c r="N782" s="10">
        <f>IFERROR(__xludf.DUMMYFUNCTION("""COMPUTED_VALUE"""),46163.0)</f>
        <v>46163</v>
      </c>
      <c r="O782" s="5">
        <v>2026.0</v>
      </c>
      <c r="P782" s="5" t="str">
        <f>IFERROR(__xludf.DUMMYFUNCTION("""COMPUTED_VALUE"""),"Not stated")</f>
        <v>Not stated</v>
      </c>
      <c r="Q782" s="5" t="s">
        <v>135</v>
      </c>
      <c r="R782" s="5" t="s">
        <v>434</v>
      </c>
      <c r="S782" s="11">
        <v>158.0</v>
      </c>
    </row>
    <row r="783">
      <c r="A783" s="5" t="str">
        <f>IFERROR(__xludf.DUMMYFUNCTION("""COMPUTED_VALUE"""),"Gemfibrozil Tablet")</f>
        <v>Gemfibrozil Tablet</v>
      </c>
      <c r="B783" s="5" t="str">
        <f>IFERROR(__xludf.DUMMYFUNCTION("""COMPUTED_VALUE"""),"Pfizer Inc.")</f>
        <v>Pfizer Inc.</v>
      </c>
      <c r="C783" s="5" t="str">
        <f>IFERROR(__xludf.DUMMYFUNCTION("""COMPUTED_VALUE"""),"Lopid, Tablet, 600 mg (NDC 0071-0737-20)")</f>
        <v>Lopid, Tablet, 600 mg (NDC 0071-0737-20)</v>
      </c>
      <c r="D783" s="5" t="str">
        <f>IFERROR(__xludf.DUMMYFUNCTION("""COMPUTED_VALUE"""),"New")</f>
        <v>New</v>
      </c>
      <c r="E783" s="10">
        <f>IFERROR(__xludf.DUMMYFUNCTION("""COMPUTED_VALUE"""),46063.0)</f>
        <v>46063</v>
      </c>
      <c r="F783" s="5"/>
      <c r="G783" s="5" t="str">
        <f>IFERROR(__xludf.DUMMYFUNCTION("""COMPUTED_VALUE"""),"Discontinuation of the manufacture of the drug.")</f>
        <v>Discontinuation of the manufacture of the drug.</v>
      </c>
      <c r="H783" s="5"/>
      <c r="I783" s="5"/>
      <c r="J783" s="5" t="str">
        <f>IFERROR(__xludf.DUMMYFUNCTION("""COMPUTED_VALUE"""),"Endocrinology/Metabolism")</f>
        <v>Endocrinology/Metabolism</v>
      </c>
      <c r="K783" s="5" t="str">
        <f>IFERROR(__xludf.DUMMYFUNCTION("""COMPUTED_VALUE"""),"To Be Discontinued")</f>
        <v>To Be Discontinued</v>
      </c>
      <c r="L783" s="5"/>
      <c r="M783" s="10">
        <f>IFERROR(__xludf.DUMMYFUNCTION("""COMPUTED_VALUE"""),46063.0)</f>
        <v>46063</v>
      </c>
      <c r="N783" s="10">
        <f>IFERROR(__xludf.DUMMYFUNCTION("""COMPUTED_VALUE"""),46063.0)</f>
        <v>46063</v>
      </c>
      <c r="O783" s="5">
        <v>2026.0</v>
      </c>
      <c r="P783" s="5" t="str">
        <f>IFERROR(__xludf.DUMMYFUNCTION("""COMPUTED_VALUE"""),"Not stated")</f>
        <v>Not stated</v>
      </c>
      <c r="Q783" s="5" t="s">
        <v>135</v>
      </c>
      <c r="R783" s="5" t="s">
        <v>136</v>
      </c>
      <c r="S783" s="11">
        <v>258.0</v>
      </c>
    </row>
    <row r="784">
      <c r="A784" s="5" t="str">
        <f>IFERROR(__xludf.DUMMYFUNCTION("""COMPUTED_VALUE"""),"Glyburide Tablet")</f>
        <v>Glyburide Tablet</v>
      </c>
      <c r="B784" s="5" t="str">
        <f>IFERROR(__xludf.DUMMYFUNCTION("""COMPUTED_VALUE"""),"Sanofi-Aventis U.S. LLC")</f>
        <v>Sanofi-Aventis U.S. LLC</v>
      </c>
      <c r="C784" s="5" t="str">
        <f>IFERROR(__xludf.DUMMYFUNCTION("""COMPUTED_VALUE"""),"Diabeta, Tablet, 5 mg (NDC 0093-9364-01)")</f>
        <v>Diabeta, Tablet, 5 mg (NDC 0093-9364-01)</v>
      </c>
      <c r="D784" s="5" t="str">
        <f>IFERROR(__xludf.DUMMYFUNCTION("""COMPUTED_VALUE"""),"New")</f>
        <v>New</v>
      </c>
      <c r="E784" s="10">
        <f>IFERROR(__xludf.DUMMYFUNCTION("""COMPUTED_VALUE"""),46244.0)</f>
        <v>46244</v>
      </c>
      <c r="F784" s="5"/>
      <c r="G784" s="5" t="str">
        <f>IFERROR(__xludf.DUMMYFUNCTION("""COMPUTED_VALUE"""),"A business decision was made to discontinue manufacture of the drug.")</f>
        <v>A business decision was made to discontinue manufacture of the drug.</v>
      </c>
      <c r="H784" s="5"/>
      <c r="I784" s="5"/>
      <c r="J784" s="5" t="str">
        <f>IFERROR(__xludf.DUMMYFUNCTION("""COMPUTED_VALUE"""),"Endocrinology/Metabolism")</f>
        <v>Endocrinology/Metabolism</v>
      </c>
      <c r="K784" s="5" t="str">
        <f>IFERROR(__xludf.DUMMYFUNCTION("""COMPUTED_VALUE"""),"To Be Discontinued")</f>
        <v>To Be Discontinued</v>
      </c>
      <c r="L784" s="5"/>
      <c r="M784" s="10">
        <f>IFERROR(__xludf.DUMMYFUNCTION("""COMPUTED_VALUE"""),46244.0)</f>
        <v>46244</v>
      </c>
      <c r="N784" s="10">
        <f>IFERROR(__xludf.DUMMYFUNCTION("""COMPUTED_VALUE"""),46244.0)</f>
        <v>46244</v>
      </c>
      <c r="O784" s="5">
        <v>2026.0</v>
      </c>
      <c r="P784" s="5" t="str">
        <f>IFERROR(__xludf.DUMMYFUNCTION("""COMPUTED_VALUE"""),"Not stated")</f>
        <v>Not stated</v>
      </c>
      <c r="Q784" s="5" t="s">
        <v>135</v>
      </c>
      <c r="R784" s="5" t="s">
        <v>136</v>
      </c>
      <c r="S784" s="11">
        <v>77.0</v>
      </c>
    </row>
    <row r="785">
      <c r="A785" s="5" t="str">
        <f>IFERROR(__xludf.DUMMYFUNCTION("""COMPUTED_VALUE"""),"Glyburide Tablet")</f>
        <v>Glyburide Tablet</v>
      </c>
      <c r="B785" s="5" t="str">
        <f>IFERROR(__xludf.DUMMYFUNCTION("""COMPUTED_VALUE"""),"Sanofi-Aventis U.S. LLC")</f>
        <v>Sanofi-Aventis U.S. LLC</v>
      </c>
      <c r="C785" s="5" t="str">
        <f>IFERROR(__xludf.DUMMYFUNCTION("""COMPUTED_VALUE"""),"Diabeta, Tablet, 5 mg (NDC 0093-9364-10)")</f>
        <v>Diabeta, Tablet, 5 mg (NDC 0093-9364-10)</v>
      </c>
      <c r="D785" s="5" t="str">
        <f>IFERROR(__xludf.DUMMYFUNCTION("""COMPUTED_VALUE"""),"New")</f>
        <v>New</v>
      </c>
      <c r="E785" s="10">
        <f>IFERROR(__xludf.DUMMYFUNCTION("""COMPUTED_VALUE"""),46244.0)</f>
        <v>46244</v>
      </c>
      <c r="F785" s="5"/>
      <c r="G785" s="5" t="str">
        <f>IFERROR(__xludf.DUMMYFUNCTION("""COMPUTED_VALUE"""),"A business decision was made to discontinue manufacture of the drug.")</f>
        <v>A business decision was made to discontinue manufacture of the drug.</v>
      </c>
      <c r="H785" s="5"/>
      <c r="I785" s="5"/>
      <c r="J785" s="5" t="str">
        <f>IFERROR(__xludf.DUMMYFUNCTION("""COMPUTED_VALUE"""),"Endocrinology/Metabolism")</f>
        <v>Endocrinology/Metabolism</v>
      </c>
      <c r="K785" s="5" t="str">
        <f>IFERROR(__xludf.DUMMYFUNCTION("""COMPUTED_VALUE"""),"To Be Discontinued")</f>
        <v>To Be Discontinued</v>
      </c>
      <c r="L785" s="5"/>
      <c r="M785" s="10">
        <f>IFERROR(__xludf.DUMMYFUNCTION("""COMPUTED_VALUE"""),46244.0)</f>
        <v>46244</v>
      </c>
      <c r="N785" s="10">
        <f>IFERROR(__xludf.DUMMYFUNCTION("""COMPUTED_VALUE"""),46244.0)</f>
        <v>46244</v>
      </c>
      <c r="O785" s="5">
        <v>2026.0</v>
      </c>
      <c r="P785" s="5" t="str">
        <f>IFERROR(__xludf.DUMMYFUNCTION("""COMPUTED_VALUE"""),"Not stated")</f>
        <v>Not stated</v>
      </c>
      <c r="Q785" s="5" t="s">
        <v>135</v>
      </c>
      <c r="R785" s="5" t="s">
        <v>136</v>
      </c>
      <c r="S785" s="11">
        <v>77.0</v>
      </c>
    </row>
    <row r="786">
      <c r="A786" s="5" t="str">
        <f>IFERROR(__xludf.DUMMYFUNCTION("""COMPUTED_VALUE"""),"Glyburide Tablet")</f>
        <v>Glyburide Tablet</v>
      </c>
      <c r="B786" s="5" t="str">
        <f>IFERROR(__xludf.DUMMYFUNCTION("""COMPUTED_VALUE"""),"Sanofi-Aventis U.S. LLC")</f>
        <v>Sanofi-Aventis U.S. LLC</v>
      </c>
      <c r="C786" s="5" t="str">
        <f>IFERROR(__xludf.DUMMYFUNCTION("""COMPUTED_VALUE"""),"Diabeta, Tablet, 2.5 mg (NDC 0093-9433-01)")</f>
        <v>Diabeta, Tablet, 2.5 mg (NDC 0093-9433-01)</v>
      </c>
      <c r="D786" s="5" t="str">
        <f>IFERROR(__xludf.DUMMYFUNCTION("""COMPUTED_VALUE"""),"New")</f>
        <v>New</v>
      </c>
      <c r="E786" s="10">
        <f>IFERROR(__xludf.DUMMYFUNCTION("""COMPUTED_VALUE"""),46244.0)</f>
        <v>46244</v>
      </c>
      <c r="F786" s="5"/>
      <c r="G786" s="5" t="str">
        <f>IFERROR(__xludf.DUMMYFUNCTION("""COMPUTED_VALUE"""),"A business decision was made to discontinue manufacture of the drug.")</f>
        <v>A business decision was made to discontinue manufacture of the drug.</v>
      </c>
      <c r="H786" s="5"/>
      <c r="I786" s="5"/>
      <c r="J786" s="5" t="str">
        <f>IFERROR(__xludf.DUMMYFUNCTION("""COMPUTED_VALUE"""),"Endocrinology/Metabolism")</f>
        <v>Endocrinology/Metabolism</v>
      </c>
      <c r="K786" s="5" t="str">
        <f>IFERROR(__xludf.DUMMYFUNCTION("""COMPUTED_VALUE"""),"To Be Discontinued")</f>
        <v>To Be Discontinued</v>
      </c>
      <c r="L786" s="5"/>
      <c r="M786" s="10">
        <f>IFERROR(__xludf.DUMMYFUNCTION("""COMPUTED_VALUE"""),46244.0)</f>
        <v>46244</v>
      </c>
      <c r="N786" s="10">
        <f>IFERROR(__xludf.DUMMYFUNCTION("""COMPUTED_VALUE"""),46244.0)</f>
        <v>46244</v>
      </c>
      <c r="O786" s="5">
        <v>2026.0</v>
      </c>
      <c r="P786" s="5" t="str">
        <f>IFERROR(__xludf.DUMMYFUNCTION("""COMPUTED_VALUE"""),"Not stated")</f>
        <v>Not stated</v>
      </c>
      <c r="Q786" s="5" t="s">
        <v>135</v>
      </c>
      <c r="R786" s="5" t="s">
        <v>136</v>
      </c>
      <c r="S786" s="11">
        <v>77.0</v>
      </c>
    </row>
    <row r="787">
      <c r="A787" s="5" t="str">
        <f>IFERROR(__xludf.DUMMYFUNCTION("""COMPUTED_VALUE"""),"Glyburide Tablet")</f>
        <v>Glyburide Tablet</v>
      </c>
      <c r="B787" s="5" t="str">
        <f>IFERROR(__xludf.DUMMYFUNCTION("""COMPUTED_VALUE"""),"Sanofi-Aventis U.S. LLC")</f>
        <v>Sanofi-Aventis U.S. LLC</v>
      </c>
      <c r="C787" s="5" t="str">
        <f>IFERROR(__xludf.DUMMYFUNCTION("""COMPUTED_VALUE"""),"Diabeta, Tablet, 1.25 mg (NDC 0093-9477-53)")</f>
        <v>Diabeta, Tablet, 1.25 mg (NDC 0093-9477-53)</v>
      </c>
      <c r="D787" s="5" t="str">
        <f>IFERROR(__xludf.DUMMYFUNCTION("""COMPUTED_VALUE"""),"New")</f>
        <v>New</v>
      </c>
      <c r="E787" s="10">
        <f>IFERROR(__xludf.DUMMYFUNCTION("""COMPUTED_VALUE"""),46244.0)</f>
        <v>46244</v>
      </c>
      <c r="F787" s="5"/>
      <c r="G787" s="5" t="str">
        <f>IFERROR(__xludf.DUMMYFUNCTION("""COMPUTED_VALUE"""),"A business decision was made to discontinue manufacture of the drug.")</f>
        <v>A business decision was made to discontinue manufacture of the drug.</v>
      </c>
      <c r="H787" s="5"/>
      <c r="I787" s="5"/>
      <c r="J787" s="5" t="str">
        <f>IFERROR(__xludf.DUMMYFUNCTION("""COMPUTED_VALUE"""),"Endocrinology/Metabolism")</f>
        <v>Endocrinology/Metabolism</v>
      </c>
      <c r="K787" s="5" t="str">
        <f>IFERROR(__xludf.DUMMYFUNCTION("""COMPUTED_VALUE"""),"To Be Discontinued")</f>
        <v>To Be Discontinued</v>
      </c>
      <c r="L787" s="5"/>
      <c r="M787" s="10">
        <f>IFERROR(__xludf.DUMMYFUNCTION("""COMPUTED_VALUE"""),46244.0)</f>
        <v>46244</v>
      </c>
      <c r="N787" s="10">
        <f>IFERROR(__xludf.DUMMYFUNCTION("""COMPUTED_VALUE"""),46244.0)</f>
        <v>46244</v>
      </c>
      <c r="O787" s="5">
        <v>2026.0</v>
      </c>
      <c r="P787" s="5" t="str">
        <f>IFERROR(__xludf.DUMMYFUNCTION("""COMPUTED_VALUE"""),"Not stated")</f>
        <v>Not stated</v>
      </c>
      <c r="Q787" s="5" t="s">
        <v>135</v>
      </c>
      <c r="R787" s="5" t="s">
        <v>136</v>
      </c>
      <c r="S787" s="11">
        <v>77.0</v>
      </c>
    </row>
    <row r="788">
      <c r="A788" s="5" t="str">
        <f>IFERROR(__xludf.DUMMYFUNCTION("""COMPUTED_VALUE"""),"Glycerol Phenylbutyrate Oral Liquid")</f>
        <v>Glycerol Phenylbutyrate Oral Liquid</v>
      </c>
      <c r="B788" s="5" t="str">
        <f>IFERROR(__xludf.DUMMYFUNCTION("""COMPUTED_VALUE"""),"Amgen Inc.")</f>
        <v>Amgen Inc.</v>
      </c>
      <c r="C788" s="5" t="str">
        <f>IFERROR(__xludf.DUMMYFUNCTION("""COMPUTED_VALUE"""),"RAVICTI, Oral Liquid, 1.1 g/1 mL (NDC 75987-050-06)")</f>
        <v>RAVICTI, Oral Liquid, 1.1 g/1 mL (NDC 75987-050-06)</v>
      </c>
      <c r="D788" s="5" t="str">
        <f>IFERROR(__xludf.DUMMYFUNCTION("""COMPUTED_VALUE"""),"New")</f>
        <v>New</v>
      </c>
      <c r="E788" s="10">
        <f>IFERROR(__xludf.DUMMYFUNCTION("""COMPUTED_VALUE"""),46266.0)</f>
        <v>46266</v>
      </c>
      <c r="F788" s="5"/>
      <c r="G788" s="5" t="str">
        <f>IFERROR(__xludf.DUMMYFUNCTION("""COMPUTED_VALUE"""),"Discontinuation in the manufacturing of the drug product")</f>
        <v>Discontinuation in the manufacturing of the drug product</v>
      </c>
      <c r="H788" s="5"/>
      <c r="I788" s="5"/>
      <c r="J788" s="5" t="str">
        <f>IFERROR(__xludf.DUMMYFUNCTION("""COMPUTED_VALUE"""),"Inborn Errors")</f>
        <v>Inborn Errors</v>
      </c>
      <c r="K788" s="5" t="str">
        <f>IFERROR(__xludf.DUMMYFUNCTION("""COMPUTED_VALUE"""),"To Be Discontinued")</f>
        <v>To Be Discontinued</v>
      </c>
      <c r="L788" s="5"/>
      <c r="M788" s="10">
        <f>IFERROR(__xludf.DUMMYFUNCTION("""COMPUTED_VALUE"""),46266.0)</f>
        <v>46266</v>
      </c>
      <c r="N788" s="10">
        <f>IFERROR(__xludf.DUMMYFUNCTION("""COMPUTED_VALUE"""),46266.0)</f>
        <v>46266</v>
      </c>
      <c r="O788" s="5">
        <v>2026.0</v>
      </c>
      <c r="P788" s="5" t="str">
        <f>IFERROR(__xludf.DUMMYFUNCTION("""COMPUTED_VALUE"""),"Not stated")</f>
        <v>Not stated</v>
      </c>
      <c r="Q788" s="5" t="s">
        <v>135</v>
      </c>
      <c r="R788" s="5" t="s">
        <v>136</v>
      </c>
      <c r="S788" s="11">
        <v>55.0</v>
      </c>
    </row>
    <row r="789">
      <c r="A789" s="5" t="str">
        <f>IFERROR(__xludf.DUMMYFUNCTION("""COMPUTED_VALUE"""),"Glycerol Phenylbutyrate Oral Liquid")</f>
        <v>Glycerol Phenylbutyrate Oral Liquid</v>
      </c>
      <c r="B789" s="5" t="str">
        <f>IFERROR(__xludf.DUMMYFUNCTION("""COMPUTED_VALUE"""),"Amgen Inc.")</f>
        <v>Amgen Inc.</v>
      </c>
      <c r="C789" s="5" t="str">
        <f>IFERROR(__xludf.DUMMYFUNCTION("""COMPUTED_VALUE"""),"RAVICTI, Oral Liquid, 1.1 g/1 mL (NDC 75987-050-07)")</f>
        <v>RAVICTI, Oral Liquid, 1.1 g/1 mL (NDC 75987-050-07)</v>
      </c>
      <c r="D789" s="5" t="str">
        <f>IFERROR(__xludf.DUMMYFUNCTION("""COMPUTED_VALUE"""),"New")</f>
        <v>New</v>
      </c>
      <c r="E789" s="10">
        <f>IFERROR(__xludf.DUMMYFUNCTION("""COMPUTED_VALUE"""),46266.0)</f>
        <v>46266</v>
      </c>
      <c r="F789" s="5"/>
      <c r="G789" s="5" t="str">
        <f>IFERROR(__xludf.DUMMYFUNCTION("""COMPUTED_VALUE"""),"Discontinuation in the manufacturing of the drug product")</f>
        <v>Discontinuation in the manufacturing of the drug product</v>
      </c>
      <c r="H789" s="5"/>
      <c r="I789" s="5"/>
      <c r="J789" s="5" t="str">
        <f>IFERROR(__xludf.DUMMYFUNCTION("""COMPUTED_VALUE"""),"Inborn Errors")</f>
        <v>Inborn Errors</v>
      </c>
      <c r="K789" s="5" t="str">
        <f>IFERROR(__xludf.DUMMYFUNCTION("""COMPUTED_VALUE"""),"To Be Discontinued")</f>
        <v>To Be Discontinued</v>
      </c>
      <c r="L789" s="5"/>
      <c r="M789" s="10">
        <f>IFERROR(__xludf.DUMMYFUNCTION("""COMPUTED_VALUE"""),46266.0)</f>
        <v>46266</v>
      </c>
      <c r="N789" s="10">
        <f>IFERROR(__xludf.DUMMYFUNCTION("""COMPUTED_VALUE"""),46266.0)</f>
        <v>46266</v>
      </c>
      <c r="O789" s="5">
        <v>2026.0</v>
      </c>
      <c r="P789" s="5" t="str">
        <f>IFERROR(__xludf.DUMMYFUNCTION("""COMPUTED_VALUE"""),"Not stated")</f>
        <v>Not stated</v>
      </c>
      <c r="Q789" s="5" t="s">
        <v>135</v>
      </c>
      <c r="R789" s="5" t="s">
        <v>136</v>
      </c>
      <c r="S789" s="11">
        <v>55.0</v>
      </c>
    </row>
    <row r="790">
      <c r="A790" s="5" t="str">
        <f>IFERROR(__xludf.DUMMYFUNCTION("""COMPUTED_VALUE"""),"Glycopyrrolate Injection")</f>
        <v>Glycopyrrolate Injection</v>
      </c>
      <c r="B790" s="5" t="str">
        <f>IFERROR(__xludf.DUMMYFUNCTION("""COMPUTED_VALUE"""),"Fresenius Kabi USA, LLC")</f>
        <v>Fresenius Kabi USA, LLC</v>
      </c>
      <c r="C790" s="5" t="str">
        <f>IFERROR(__xludf.DUMMYFUNCTION("""COMPUTED_VALUE"""),"Glycopyrrolate, Injection, .2 mg/1 mL (NDC 63323-578-01)")</f>
        <v>Glycopyrrolate, Injection, .2 mg/1 mL (NDC 63323-578-01)</v>
      </c>
      <c r="D790" s="5" t="str">
        <f>IFERROR(__xludf.DUMMYFUNCTION("""COMPUTED_VALUE"""),"New")</f>
        <v>New</v>
      </c>
      <c r="E790" s="10">
        <f>IFERROR(__xludf.DUMMYFUNCTION("""COMPUTED_VALUE"""),46233.0)</f>
        <v>46233</v>
      </c>
      <c r="F790" s="5"/>
      <c r="G790" s="5" t="str">
        <f>IFERROR(__xludf.DUMMYFUNCTION("""COMPUTED_VALUE"""),"Discontinuation of the manufacture of the drug")</f>
        <v>Discontinuation of the manufacture of the drug</v>
      </c>
      <c r="H790" s="5"/>
      <c r="I790" s="5"/>
      <c r="J790" s="5" t="str">
        <f>IFERROR(__xludf.DUMMYFUNCTION("""COMPUTED_VALUE"""),"Anesthesia")</f>
        <v>Anesthesia</v>
      </c>
      <c r="K790" s="5" t="str">
        <f>IFERROR(__xludf.DUMMYFUNCTION("""COMPUTED_VALUE"""),"To Be Discontinued")</f>
        <v>To Be Discontinued</v>
      </c>
      <c r="L790" s="5"/>
      <c r="M790" s="10">
        <f>IFERROR(__xludf.DUMMYFUNCTION("""COMPUTED_VALUE"""),46233.0)</f>
        <v>46233</v>
      </c>
      <c r="N790" s="10">
        <f>IFERROR(__xludf.DUMMYFUNCTION("""COMPUTED_VALUE"""),46233.0)</f>
        <v>46233</v>
      </c>
      <c r="O790" s="5">
        <v>2026.0</v>
      </c>
      <c r="P790" s="5" t="str">
        <f>IFERROR(__xludf.DUMMYFUNCTION("""COMPUTED_VALUE"""),"Not stated")</f>
        <v>Not stated</v>
      </c>
      <c r="Q790" s="5" t="s">
        <v>135</v>
      </c>
      <c r="R790" s="5" t="s">
        <v>136</v>
      </c>
      <c r="S790" s="11">
        <v>88.0</v>
      </c>
    </row>
    <row r="791">
      <c r="A791" s="5" t="str">
        <f>IFERROR(__xludf.DUMMYFUNCTION("""COMPUTED_VALUE"""),"Glycopyrrolate Injection")</f>
        <v>Glycopyrrolate Injection</v>
      </c>
      <c r="B791" s="5" t="str">
        <f>IFERROR(__xludf.DUMMYFUNCTION("""COMPUTED_VALUE"""),"Fresenius Kabi USA, LLC")</f>
        <v>Fresenius Kabi USA, LLC</v>
      </c>
      <c r="C791" s="5" t="str">
        <f>IFERROR(__xludf.DUMMYFUNCTION("""COMPUTED_VALUE"""),"Glycopyrrolate, Injection, 0.4 mg per 2 mL (NDC 63323-578-02)")</f>
        <v>Glycopyrrolate, Injection, 0.4 mg per 2 mL (NDC 63323-578-02)</v>
      </c>
      <c r="D791" s="5" t="str">
        <f>IFERROR(__xludf.DUMMYFUNCTION("""COMPUTED_VALUE"""),"New")</f>
        <v>New</v>
      </c>
      <c r="E791" s="10">
        <f>IFERROR(__xludf.DUMMYFUNCTION("""COMPUTED_VALUE"""),46233.0)</f>
        <v>46233</v>
      </c>
      <c r="F791" s="5"/>
      <c r="G791" s="5" t="str">
        <f>IFERROR(__xludf.DUMMYFUNCTION("""COMPUTED_VALUE"""),"Discontinuation of the manufacture of the drug")</f>
        <v>Discontinuation of the manufacture of the drug</v>
      </c>
      <c r="H791" s="5"/>
      <c r="I791" s="5"/>
      <c r="J791" s="5" t="str">
        <f>IFERROR(__xludf.DUMMYFUNCTION("""COMPUTED_VALUE"""),"Anesthesia")</f>
        <v>Anesthesia</v>
      </c>
      <c r="K791" s="5" t="str">
        <f>IFERROR(__xludf.DUMMYFUNCTION("""COMPUTED_VALUE"""),"To Be Discontinued")</f>
        <v>To Be Discontinued</v>
      </c>
      <c r="L791" s="5"/>
      <c r="M791" s="10">
        <f>IFERROR(__xludf.DUMMYFUNCTION("""COMPUTED_VALUE"""),46233.0)</f>
        <v>46233</v>
      </c>
      <c r="N791" s="10">
        <f>IFERROR(__xludf.DUMMYFUNCTION("""COMPUTED_VALUE"""),46233.0)</f>
        <v>46233</v>
      </c>
      <c r="O791" s="5">
        <v>2026.0</v>
      </c>
      <c r="P791" s="5" t="str">
        <f>IFERROR(__xludf.DUMMYFUNCTION("""COMPUTED_VALUE"""),"Not stated")</f>
        <v>Not stated</v>
      </c>
      <c r="Q791" s="5" t="s">
        <v>135</v>
      </c>
      <c r="R791" s="5" t="s">
        <v>136</v>
      </c>
      <c r="S791" s="11">
        <v>88.0</v>
      </c>
    </row>
    <row r="792">
      <c r="A792" s="5" t="str">
        <f>IFERROR(__xludf.DUMMYFUNCTION("""COMPUTED_VALUE"""),"Glycopyrrolate Injection")</f>
        <v>Glycopyrrolate Injection</v>
      </c>
      <c r="B792" s="5" t="str">
        <f>IFERROR(__xludf.DUMMYFUNCTION("""COMPUTED_VALUE"""),"Fresenius Kabi USA, LLC")</f>
        <v>Fresenius Kabi USA, LLC</v>
      </c>
      <c r="C792" s="5" t="str">
        <f>IFERROR(__xludf.DUMMYFUNCTION("""COMPUTED_VALUE"""),"Glycopyrrolate, Injection, 1 mg per 5 mL (NDC 63323-578-05)")</f>
        <v>Glycopyrrolate, Injection, 1 mg per 5 mL (NDC 63323-578-05)</v>
      </c>
      <c r="D792" s="5" t="str">
        <f>IFERROR(__xludf.DUMMYFUNCTION("""COMPUTED_VALUE"""),"New")</f>
        <v>New</v>
      </c>
      <c r="E792" s="10">
        <f>IFERROR(__xludf.DUMMYFUNCTION("""COMPUTED_VALUE"""),46233.0)</f>
        <v>46233</v>
      </c>
      <c r="F792" s="5"/>
      <c r="G792" s="5" t="str">
        <f>IFERROR(__xludf.DUMMYFUNCTION("""COMPUTED_VALUE"""),"Discontinuation of the manufacture of the drug")</f>
        <v>Discontinuation of the manufacture of the drug</v>
      </c>
      <c r="H792" s="5"/>
      <c r="I792" s="5"/>
      <c r="J792" s="5" t="str">
        <f>IFERROR(__xludf.DUMMYFUNCTION("""COMPUTED_VALUE"""),"Anesthesia")</f>
        <v>Anesthesia</v>
      </c>
      <c r="K792" s="5" t="str">
        <f>IFERROR(__xludf.DUMMYFUNCTION("""COMPUTED_VALUE"""),"To Be Discontinued")</f>
        <v>To Be Discontinued</v>
      </c>
      <c r="L792" s="5"/>
      <c r="M792" s="10">
        <f>IFERROR(__xludf.DUMMYFUNCTION("""COMPUTED_VALUE"""),46233.0)</f>
        <v>46233</v>
      </c>
      <c r="N792" s="10">
        <f>IFERROR(__xludf.DUMMYFUNCTION("""COMPUTED_VALUE"""),46233.0)</f>
        <v>46233</v>
      </c>
      <c r="O792" s="5">
        <v>2026.0</v>
      </c>
      <c r="P792" s="5" t="str">
        <f>IFERROR(__xludf.DUMMYFUNCTION("""COMPUTED_VALUE"""),"Not stated")</f>
        <v>Not stated</v>
      </c>
      <c r="Q792" s="5" t="s">
        <v>135</v>
      </c>
      <c r="R792" s="5" t="s">
        <v>136</v>
      </c>
      <c r="S792" s="11">
        <v>88.0</v>
      </c>
    </row>
    <row r="793">
      <c r="A793" s="5" t="str">
        <f>IFERROR(__xludf.DUMMYFUNCTION("""COMPUTED_VALUE"""),"Glycopyrrolate Injection")</f>
        <v>Glycopyrrolate Injection</v>
      </c>
      <c r="B793" s="5" t="str">
        <f>IFERROR(__xludf.DUMMYFUNCTION("""COMPUTED_VALUE"""),"Fresenius Kabi USA, LLC")</f>
        <v>Fresenius Kabi USA, LLC</v>
      </c>
      <c r="C793" s="5" t="str">
        <f>IFERROR(__xludf.DUMMYFUNCTION("""COMPUTED_VALUE"""),"Glycopyrrolate, Injection, 0.2 mg per 1 mL (NDC 65219-801-01)")</f>
        <v>Glycopyrrolate, Injection, 0.2 mg per 1 mL (NDC 65219-801-01)</v>
      </c>
      <c r="D793" s="5" t="str">
        <f>IFERROR(__xludf.DUMMYFUNCTION("""COMPUTED_VALUE"""),"New")</f>
        <v>New</v>
      </c>
      <c r="E793" s="10">
        <f>IFERROR(__xludf.DUMMYFUNCTION("""COMPUTED_VALUE"""),46233.0)</f>
        <v>46233</v>
      </c>
      <c r="F793" s="5"/>
      <c r="G793" s="5" t="str">
        <f>IFERROR(__xludf.DUMMYFUNCTION("""COMPUTED_VALUE"""),"Discontinuation of the manufacture of the drug")</f>
        <v>Discontinuation of the manufacture of the drug</v>
      </c>
      <c r="H793" s="5"/>
      <c r="I793" s="5"/>
      <c r="J793" s="5" t="str">
        <f>IFERROR(__xludf.DUMMYFUNCTION("""COMPUTED_VALUE"""),"Anesthesia")</f>
        <v>Anesthesia</v>
      </c>
      <c r="K793" s="5" t="str">
        <f>IFERROR(__xludf.DUMMYFUNCTION("""COMPUTED_VALUE"""),"To Be Discontinued")</f>
        <v>To Be Discontinued</v>
      </c>
      <c r="L793" s="5"/>
      <c r="M793" s="10">
        <f>IFERROR(__xludf.DUMMYFUNCTION("""COMPUTED_VALUE"""),46233.0)</f>
        <v>46233</v>
      </c>
      <c r="N793" s="10">
        <f>IFERROR(__xludf.DUMMYFUNCTION("""COMPUTED_VALUE"""),46233.0)</f>
        <v>46233</v>
      </c>
      <c r="O793" s="5">
        <v>2026.0</v>
      </c>
      <c r="P793" s="5" t="str">
        <f>IFERROR(__xludf.DUMMYFUNCTION("""COMPUTED_VALUE"""),"Not stated")</f>
        <v>Not stated</v>
      </c>
      <c r="Q793" s="5" t="s">
        <v>135</v>
      </c>
      <c r="R793" s="5" t="s">
        <v>136</v>
      </c>
      <c r="S793" s="11">
        <v>88.0</v>
      </c>
    </row>
    <row r="794">
      <c r="A794" s="5" t="str">
        <f>IFERROR(__xludf.DUMMYFUNCTION("""COMPUTED_VALUE"""),"Guanfacine Hydrochloride Tablet, Extended Release")</f>
        <v>Guanfacine Hydrochloride Tablet, Extended Release</v>
      </c>
      <c r="B794" s="5" t="str">
        <f>IFERROR(__xludf.DUMMYFUNCTION("""COMPUTED_VALUE"""),"Actavis Pharma, Inc.")</f>
        <v>Actavis Pharma, Inc.</v>
      </c>
      <c r="C794" s="5" t="str">
        <f>IFERROR(__xludf.DUMMYFUNCTION("""COMPUTED_VALUE"""),"Guanfacine Hydrochloride, Tablet, Extended Release, 1 mg (NDC 0228-2850-11)")</f>
        <v>Guanfacine Hydrochloride, Tablet, Extended Release, 1 mg (NDC 0228-2850-11)</v>
      </c>
      <c r="D794" s="5" t="str">
        <f>IFERROR(__xludf.DUMMYFUNCTION("""COMPUTED_VALUE"""),"New")</f>
        <v>New</v>
      </c>
      <c r="E794" s="13">
        <f>IFERROR(__xludf.DUMMYFUNCTION("""COMPUTED_VALUE"""),45974.0)</f>
        <v>45974</v>
      </c>
      <c r="F794" s="5"/>
      <c r="G794" s="5" t="str">
        <f>IFERROR(__xludf.DUMMYFUNCTION("""COMPUTED_VALUE"""),"A business decision was made to discontinue manufacture of the drug.")</f>
        <v>A business decision was made to discontinue manufacture of the drug.</v>
      </c>
      <c r="H794" s="5"/>
      <c r="I794" s="5"/>
      <c r="J794" s="5" t="str">
        <f>IFERROR(__xludf.DUMMYFUNCTION("""COMPUTED_VALUE"""),"Psychiatry")</f>
        <v>Psychiatry</v>
      </c>
      <c r="K794" s="5" t="str">
        <f>IFERROR(__xludf.DUMMYFUNCTION("""COMPUTED_VALUE"""),"To Be Discontinued")</f>
        <v>To Be Discontinued</v>
      </c>
      <c r="L794" s="5"/>
      <c r="M794" s="13">
        <f>IFERROR(__xludf.DUMMYFUNCTION("""COMPUTED_VALUE"""),45974.0)</f>
        <v>45974</v>
      </c>
      <c r="N794" s="13">
        <f>IFERROR(__xludf.DUMMYFUNCTION("""COMPUTED_VALUE"""),45974.0)</f>
        <v>45974</v>
      </c>
      <c r="O794" s="5">
        <v>2025.0</v>
      </c>
      <c r="P794" s="5" t="str">
        <f>IFERROR(__xludf.DUMMYFUNCTION("""COMPUTED_VALUE"""),"Not stated")</f>
        <v>Not stated</v>
      </c>
      <c r="Q794" s="5" t="s">
        <v>135</v>
      </c>
      <c r="R794" s="5" t="s">
        <v>136</v>
      </c>
      <c r="S794" s="11">
        <v>347.0</v>
      </c>
    </row>
    <row r="795">
      <c r="A795" s="5" t="str">
        <f>IFERROR(__xludf.DUMMYFUNCTION("""COMPUTED_VALUE"""),"Guanfacine Hydrochloride Tablet, Extended Release")</f>
        <v>Guanfacine Hydrochloride Tablet, Extended Release</v>
      </c>
      <c r="B795" s="5" t="str">
        <f>IFERROR(__xludf.DUMMYFUNCTION("""COMPUTED_VALUE"""),"Actavis Pharma, Inc.")</f>
        <v>Actavis Pharma, Inc.</v>
      </c>
      <c r="C795" s="5" t="str">
        <f>IFERROR(__xludf.DUMMYFUNCTION("""COMPUTED_VALUE"""),"Guanfacine Hydrochloride, Tablet, Extended Release, 2 mg (NDC 0228-2851-11)")</f>
        <v>Guanfacine Hydrochloride, Tablet, Extended Release, 2 mg (NDC 0228-2851-11)</v>
      </c>
      <c r="D795" s="5" t="str">
        <f>IFERROR(__xludf.DUMMYFUNCTION("""COMPUTED_VALUE"""),"New")</f>
        <v>New</v>
      </c>
      <c r="E795" s="13">
        <f>IFERROR(__xludf.DUMMYFUNCTION("""COMPUTED_VALUE"""),45974.0)</f>
        <v>45974</v>
      </c>
      <c r="F795" s="5"/>
      <c r="G795" s="5" t="str">
        <f>IFERROR(__xludf.DUMMYFUNCTION("""COMPUTED_VALUE"""),"A business decision was made to discontinue manufacture of the drug.")</f>
        <v>A business decision was made to discontinue manufacture of the drug.</v>
      </c>
      <c r="H795" s="5"/>
      <c r="I795" s="5"/>
      <c r="J795" s="5" t="str">
        <f>IFERROR(__xludf.DUMMYFUNCTION("""COMPUTED_VALUE"""),"Psychiatry")</f>
        <v>Psychiatry</v>
      </c>
      <c r="K795" s="5" t="str">
        <f>IFERROR(__xludf.DUMMYFUNCTION("""COMPUTED_VALUE"""),"To Be Discontinued")</f>
        <v>To Be Discontinued</v>
      </c>
      <c r="L795" s="5"/>
      <c r="M795" s="13">
        <f>IFERROR(__xludf.DUMMYFUNCTION("""COMPUTED_VALUE"""),45974.0)</f>
        <v>45974</v>
      </c>
      <c r="N795" s="13">
        <f>IFERROR(__xludf.DUMMYFUNCTION("""COMPUTED_VALUE"""),45974.0)</f>
        <v>45974</v>
      </c>
      <c r="O795" s="5">
        <v>2025.0</v>
      </c>
      <c r="P795" s="5" t="str">
        <f>IFERROR(__xludf.DUMMYFUNCTION("""COMPUTED_VALUE"""),"Not stated")</f>
        <v>Not stated</v>
      </c>
      <c r="Q795" s="5" t="s">
        <v>135</v>
      </c>
      <c r="R795" s="5" t="s">
        <v>136</v>
      </c>
      <c r="S795" s="11">
        <v>347.0</v>
      </c>
    </row>
    <row r="796">
      <c r="A796" s="5" t="str">
        <f>IFERROR(__xludf.DUMMYFUNCTION("""COMPUTED_VALUE"""),"Guanfacine Hydrochloride Tablet, Extended Release")</f>
        <v>Guanfacine Hydrochloride Tablet, Extended Release</v>
      </c>
      <c r="B796" s="5" t="str">
        <f>IFERROR(__xludf.DUMMYFUNCTION("""COMPUTED_VALUE"""),"Actavis Pharma, Inc.")</f>
        <v>Actavis Pharma, Inc.</v>
      </c>
      <c r="C796" s="5" t="str">
        <f>IFERROR(__xludf.DUMMYFUNCTION("""COMPUTED_VALUE"""),"Guanfacine Hydrochloride, Tablet, Extended Release, 3 mg (NDC 0228-2853-11)")</f>
        <v>Guanfacine Hydrochloride, Tablet, Extended Release, 3 mg (NDC 0228-2853-11)</v>
      </c>
      <c r="D796" s="5" t="str">
        <f>IFERROR(__xludf.DUMMYFUNCTION("""COMPUTED_VALUE"""),"New")</f>
        <v>New</v>
      </c>
      <c r="E796" s="13">
        <f>IFERROR(__xludf.DUMMYFUNCTION("""COMPUTED_VALUE"""),45974.0)</f>
        <v>45974</v>
      </c>
      <c r="F796" s="5"/>
      <c r="G796" s="5" t="str">
        <f>IFERROR(__xludf.DUMMYFUNCTION("""COMPUTED_VALUE"""),"A business decision was made to discontinue manufacture of the drug.")</f>
        <v>A business decision was made to discontinue manufacture of the drug.</v>
      </c>
      <c r="H796" s="5"/>
      <c r="I796" s="5"/>
      <c r="J796" s="5" t="str">
        <f>IFERROR(__xludf.DUMMYFUNCTION("""COMPUTED_VALUE"""),"Psychiatry")</f>
        <v>Psychiatry</v>
      </c>
      <c r="K796" s="5" t="str">
        <f>IFERROR(__xludf.DUMMYFUNCTION("""COMPUTED_VALUE"""),"To Be Discontinued")</f>
        <v>To Be Discontinued</v>
      </c>
      <c r="L796" s="5"/>
      <c r="M796" s="13">
        <f>IFERROR(__xludf.DUMMYFUNCTION("""COMPUTED_VALUE"""),45974.0)</f>
        <v>45974</v>
      </c>
      <c r="N796" s="13">
        <f>IFERROR(__xludf.DUMMYFUNCTION("""COMPUTED_VALUE"""),45974.0)</f>
        <v>45974</v>
      </c>
      <c r="O796" s="5">
        <v>2025.0</v>
      </c>
      <c r="P796" s="5" t="str">
        <f>IFERROR(__xludf.DUMMYFUNCTION("""COMPUTED_VALUE"""),"Not stated")</f>
        <v>Not stated</v>
      </c>
      <c r="Q796" s="5" t="s">
        <v>135</v>
      </c>
      <c r="R796" s="5" t="s">
        <v>136</v>
      </c>
      <c r="S796" s="11">
        <v>347.0</v>
      </c>
    </row>
    <row r="797">
      <c r="A797" s="5" t="str">
        <f>IFERROR(__xludf.DUMMYFUNCTION("""COMPUTED_VALUE"""),"Guanfacine Hydrochloride Tablet, Extended Release")</f>
        <v>Guanfacine Hydrochloride Tablet, Extended Release</v>
      </c>
      <c r="B797" s="5" t="str">
        <f>IFERROR(__xludf.DUMMYFUNCTION("""COMPUTED_VALUE"""),"Actavis Pharma, Inc.")</f>
        <v>Actavis Pharma, Inc.</v>
      </c>
      <c r="C797" s="5" t="str">
        <f>IFERROR(__xludf.DUMMYFUNCTION("""COMPUTED_VALUE"""),"Guanfacine Hydrochloride, Tablet, Extended Release, 4 mg (NDC 0228-2855-11)")</f>
        <v>Guanfacine Hydrochloride, Tablet, Extended Release, 4 mg (NDC 0228-2855-11)</v>
      </c>
      <c r="D797" s="5" t="str">
        <f>IFERROR(__xludf.DUMMYFUNCTION("""COMPUTED_VALUE"""),"New")</f>
        <v>New</v>
      </c>
      <c r="E797" s="13">
        <f>IFERROR(__xludf.DUMMYFUNCTION("""COMPUTED_VALUE"""),45974.0)</f>
        <v>45974</v>
      </c>
      <c r="F797" s="5"/>
      <c r="G797" s="5" t="str">
        <f>IFERROR(__xludf.DUMMYFUNCTION("""COMPUTED_VALUE"""),"A business decision was made to discontinue manufacture of the drug.")</f>
        <v>A business decision was made to discontinue manufacture of the drug.</v>
      </c>
      <c r="H797" s="5"/>
      <c r="I797" s="5"/>
      <c r="J797" s="5" t="str">
        <f>IFERROR(__xludf.DUMMYFUNCTION("""COMPUTED_VALUE"""),"Psychiatry")</f>
        <v>Psychiatry</v>
      </c>
      <c r="K797" s="5" t="str">
        <f>IFERROR(__xludf.DUMMYFUNCTION("""COMPUTED_VALUE"""),"To Be Discontinued")</f>
        <v>To Be Discontinued</v>
      </c>
      <c r="L797" s="5"/>
      <c r="M797" s="13">
        <f>IFERROR(__xludf.DUMMYFUNCTION("""COMPUTED_VALUE"""),45974.0)</f>
        <v>45974</v>
      </c>
      <c r="N797" s="13">
        <f>IFERROR(__xludf.DUMMYFUNCTION("""COMPUTED_VALUE"""),45974.0)</f>
        <v>45974</v>
      </c>
      <c r="O797" s="5">
        <v>2025.0</v>
      </c>
      <c r="P797" s="5" t="str">
        <f>IFERROR(__xludf.DUMMYFUNCTION("""COMPUTED_VALUE"""),"Not stated")</f>
        <v>Not stated</v>
      </c>
      <c r="Q797" s="5" t="s">
        <v>135</v>
      </c>
      <c r="R797" s="5" t="s">
        <v>136</v>
      </c>
      <c r="S797" s="11">
        <v>347.0</v>
      </c>
    </row>
    <row r="798">
      <c r="A798" s="5" t="str">
        <f>IFERROR(__xludf.DUMMYFUNCTION("""COMPUTED_VALUE"""),"Haloperidol Decanoate Injection")</f>
        <v>Haloperidol Decanoate Injection</v>
      </c>
      <c r="B798" s="5" t="str">
        <f>IFERROR(__xludf.DUMMYFUNCTION("""COMPUTED_VALUE"""),"Fresenius Kabi USA, LLC")</f>
        <v>Fresenius Kabi USA, LLC</v>
      </c>
      <c r="C798" s="5" t="str">
        <f>IFERROR(__xludf.DUMMYFUNCTION("""COMPUTED_VALUE"""),"Haloperidol Decanoate, Injection, 50 mg/1 mL (NDC 63323-469-01)")</f>
        <v>Haloperidol Decanoate, Injection, 50 mg/1 mL (NDC 63323-469-01)</v>
      </c>
      <c r="D798" s="5" t="str">
        <f>IFERROR(__xludf.DUMMYFUNCTION("""COMPUTED_VALUE"""),"New")</f>
        <v>New</v>
      </c>
      <c r="E798" s="10">
        <f>IFERROR(__xludf.DUMMYFUNCTION("""COMPUTED_VALUE"""),46031.0)</f>
        <v>46031</v>
      </c>
      <c r="F798" s="5"/>
      <c r="G798" s="5" t="str">
        <f>IFERROR(__xludf.DUMMYFUNCTION("""COMPUTED_VALUE"""),"Discontinuation of the manufacture of the drug")</f>
        <v>Discontinuation of the manufacture of the drug</v>
      </c>
      <c r="H798" s="5"/>
      <c r="I798" s="5"/>
      <c r="J798" s="5" t="str">
        <f>IFERROR(__xludf.DUMMYFUNCTION("""COMPUTED_VALUE"""),"Psychiatry")</f>
        <v>Psychiatry</v>
      </c>
      <c r="K798" s="5" t="str">
        <f>IFERROR(__xludf.DUMMYFUNCTION("""COMPUTED_VALUE"""),"To Be Discontinued")</f>
        <v>To Be Discontinued</v>
      </c>
      <c r="L798" s="5"/>
      <c r="M798" s="10">
        <f>IFERROR(__xludf.DUMMYFUNCTION("""COMPUTED_VALUE"""),46031.0)</f>
        <v>46031</v>
      </c>
      <c r="N798" s="10">
        <f>IFERROR(__xludf.DUMMYFUNCTION("""COMPUTED_VALUE"""),46031.0)</f>
        <v>46031</v>
      </c>
      <c r="O798" s="5">
        <v>2026.0</v>
      </c>
      <c r="P798" s="5" t="str">
        <f>IFERROR(__xludf.DUMMYFUNCTION("""COMPUTED_VALUE"""),"Not stated")</f>
        <v>Not stated</v>
      </c>
      <c r="Q798" s="5" t="s">
        <v>135</v>
      </c>
      <c r="R798" s="5" t="s">
        <v>136</v>
      </c>
      <c r="S798" s="11">
        <v>290.0</v>
      </c>
    </row>
    <row r="799">
      <c r="A799" s="5" t="str">
        <f>IFERROR(__xludf.DUMMYFUNCTION("""COMPUTED_VALUE"""),"Haloperidol Decanoate Injection")</f>
        <v>Haloperidol Decanoate Injection</v>
      </c>
      <c r="B799" s="5" t="str">
        <f>IFERROR(__xludf.DUMMYFUNCTION("""COMPUTED_VALUE"""),"Fresenius Kabi USA, LLC")</f>
        <v>Fresenius Kabi USA, LLC</v>
      </c>
      <c r="C799" s="5" t="str">
        <f>IFERROR(__xludf.DUMMYFUNCTION("""COMPUTED_VALUE"""),"Haloperidol Decanoate, Injection, 50 mg/1 mL (NDC 63323-469-05)")</f>
        <v>Haloperidol Decanoate, Injection, 50 mg/1 mL (NDC 63323-469-05)</v>
      </c>
      <c r="D799" s="5" t="str">
        <f>IFERROR(__xludf.DUMMYFUNCTION("""COMPUTED_VALUE"""),"New")</f>
        <v>New</v>
      </c>
      <c r="E799" s="10">
        <f>IFERROR(__xludf.DUMMYFUNCTION("""COMPUTED_VALUE"""),46031.0)</f>
        <v>46031</v>
      </c>
      <c r="F799" s="5"/>
      <c r="G799" s="5" t="str">
        <f>IFERROR(__xludf.DUMMYFUNCTION("""COMPUTED_VALUE"""),"Discontinuation of the manufacture of the drug")</f>
        <v>Discontinuation of the manufacture of the drug</v>
      </c>
      <c r="H799" s="5"/>
      <c r="I799" s="5"/>
      <c r="J799" s="5" t="str">
        <f>IFERROR(__xludf.DUMMYFUNCTION("""COMPUTED_VALUE"""),"Psychiatry")</f>
        <v>Psychiatry</v>
      </c>
      <c r="K799" s="5" t="str">
        <f>IFERROR(__xludf.DUMMYFUNCTION("""COMPUTED_VALUE"""),"To Be Discontinued")</f>
        <v>To Be Discontinued</v>
      </c>
      <c r="L799" s="5"/>
      <c r="M799" s="10">
        <f>IFERROR(__xludf.DUMMYFUNCTION("""COMPUTED_VALUE"""),46031.0)</f>
        <v>46031</v>
      </c>
      <c r="N799" s="10">
        <f>IFERROR(__xludf.DUMMYFUNCTION("""COMPUTED_VALUE"""),46031.0)</f>
        <v>46031</v>
      </c>
      <c r="O799" s="5">
        <v>2026.0</v>
      </c>
      <c r="P799" s="5" t="str">
        <f>IFERROR(__xludf.DUMMYFUNCTION("""COMPUTED_VALUE"""),"Not stated")</f>
        <v>Not stated</v>
      </c>
      <c r="Q799" s="5" t="s">
        <v>135</v>
      </c>
      <c r="R799" s="5" t="s">
        <v>136</v>
      </c>
      <c r="S799" s="11">
        <v>290.0</v>
      </c>
    </row>
    <row r="800">
      <c r="A800" s="5" t="str">
        <f>IFERROR(__xludf.DUMMYFUNCTION("""COMPUTED_VALUE"""),"Heparin Sodium Injection")</f>
        <v>Heparin Sodium Injection</v>
      </c>
      <c r="B800" s="5" t="str">
        <f>IFERROR(__xludf.DUMMYFUNCTION("""COMPUTED_VALUE"""),"B. Braun Medical Inc.")</f>
        <v>B. Braun Medical Inc.</v>
      </c>
      <c r="C800" s="5" t="str">
        <f>IFERROR(__xludf.DUMMYFUNCTION("""COMPUTED_VALUE"""),"Heparin Sodium 2,000 Units in Sodium Chloride 0.9% in Plastic Container, Injection, 200 [USP'U]/100 mL (NDC 0264-9872-00)")</f>
        <v>Heparin Sodium 2,000 Units in Sodium Chloride 0.9% in Plastic Container, Injection, 200 [USP'U]/100 mL (NDC 0264-9872-00)</v>
      </c>
      <c r="D800" s="5" t="str">
        <f>IFERROR(__xludf.DUMMYFUNCTION("""COMPUTED_VALUE"""),"Reverified")</f>
        <v>Reverified</v>
      </c>
      <c r="E800" s="13">
        <f>IFERROR(__xludf.DUMMYFUNCTION("""COMPUTED_VALUE"""),46314.0)</f>
        <v>46314</v>
      </c>
      <c r="F800" s="5" t="str">
        <f>IFERROR(__xludf.DUMMYFUNCTION("""COMPUTED_VALUE"""),"Limited Availability")</f>
        <v>Limited Availability</v>
      </c>
      <c r="G800" s="5" t="str">
        <f>IFERROR(__xludf.DUMMYFUNCTION("""COMPUTED_VALUE"""),"Estimated recovery: late Q4 2026; Manufacturing delays")</f>
        <v>Estimated recovery: late Q4 2026; Manufacturing delays</v>
      </c>
      <c r="H800" s="5"/>
      <c r="I800" s="5" t="str">
        <f>IFERROR(__xludf.DUMMYFUNCTION("""COMPUTED_VALUE"""),"Other")</f>
        <v>Other</v>
      </c>
      <c r="J800" s="5" t="str">
        <f>IFERROR(__xludf.DUMMYFUNCTION("""COMPUTED_VALUE"""),"Hematology")</f>
        <v>Hematology</v>
      </c>
      <c r="K800" s="5" t="str">
        <f>IFERROR(__xludf.DUMMYFUNCTION("""COMPUTED_VALUE"""),"Current")</f>
        <v>Current</v>
      </c>
      <c r="L800" s="5"/>
      <c r="M800" s="5"/>
      <c r="N800" s="13">
        <f>IFERROR(__xludf.DUMMYFUNCTION("""COMPUTED_VALUE"""),43053.0)</f>
        <v>43053</v>
      </c>
      <c r="O800" s="5">
        <v>2017.0</v>
      </c>
      <c r="P800" s="5" t="str">
        <f>IFERROR(__xludf.DUMMYFUNCTION("""COMPUTED_VALUE"""),"Limited Availability")</f>
        <v>Limited Availability</v>
      </c>
      <c r="Q800" s="5" t="s">
        <v>47</v>
      </c>
      <c r="R800" s="5" t="s">
        <v>136</v>
      </c>
      <c r="S800" s="11">
        <v>3268.0</v>
      </c>
    </row>
    <row r="801">
      <c r="A801" s="5" t="str">
        <f>IFERROR(__xludf.DUMMYFUNCTION("""COMPUTED_VALUE"""),"Heparin Sodium Injection")</f>
        <v>Heparin Sodium Injection</v>
      </c>
      <c r="B801" s="5" t="str">
        <f>IFERROR(__xludf.DUMMYFUNCTION("""COMPUTED_VALUE"""),"Baxter Healthcare")</f>
        <v>Baxter Healthcare</v>
      </c>
      <c r="C801" s="5" t="str">
        <f>IFERROR(__xludf.DUMMYFUNCTION("""COMPUTED_VALUE"""),"Heparin Sodium In Sodium Chloride, Injection, 200 [USP'U]/100 mL (NDC 0338-0433-04)")</f>
        <v>Heparin Sodium In Sodium Chloride, Injection, 200 [USP'U]/100 mL (NDC 0338-0433-04)</v>
      </c>
      <c r="D801" s="5" t="str">
        <f>IFERROR(__xludf.DUMMYFUNCTION("""COMPUTED_VALUE"""),"Reverified")</f>
        <v>Reverified</v>
      </c>
      <c r="E801" s="13">
        <f>IFERROR(__xludf.DUMMYFUNCTION("""COMPUTED_VALUE"""),46311.0)</f>
        <v>46311</v>
      </c>
      <c r="F801" s="5" t="str">
        <f>IFERROR(__xludf.DUMMYFUNCTION("""COMPUTED_VALUE"""),"Available")</f>
        <v>Available</v>
      </c>
      <c r="G801" s="5"/>
      <c r="H801" s="5"/>
      <c r="I801" s="5"/>
      <c r="J801" s="5" t="str">
        <f>IFERROR(__xludf.DUMMYFUNCTION("""COMPUTED_VALUE"""),"Hematology")</f>
        <v>Hematology</v>
      </c>
      <c r="K801" s="5" t="str">
        <f>IFERROR(__xludf.DUMMYFUNCTION("""COMPUTED_VALUE"""),"Current")</f>
        <v>Current</v>
      </c>
      <c r="L801" s="5"/>
      <c r="M801" s="5"/>
      <c r="N801" s="13">
        <f>IFERROR(__xludf.DUMMYFUNCTION("""COMPUTED_VALUE"""),43053.0)</f>
        <v>43053</v>
      </c>
      <c r="O801" s="5">
        <v>2017.0</v>
      </c>
      <c r="P801" s="5" t="str">
        <f>IFERROR(__xludf.DUMMYFUNCTION("""COMPUTED_VALUE"""),"Available")</f>
        <v>Available</v>
      </c>
      <c r="Q801" s="5" t="s">
        <v>135</v>
      </c>
      <c r="R801" s="5" t="s">
        <v>136</v>
      </c>
      <c r="S801" s="11">
        <v>3268.0</v>
      </c>
    </row>
    <row r="802">
      <c r="A802" s="5" t="str">
        <f>IFERROR(__xludf.DUMMYFUNCTION("""COMPUTED_VALUE"""),"Heparin Sodium Injection")</f>
        <v>Heparin Sodium Injection</v>
      </c>
      <c r="B802" s="5" t="str">
        <f>IFERROR(__xludf.DUMMYFUNCTION("""COMPUTED_VALUE"""),"Baxter Healthcare")</f>
        <v>Baxter Healthcare</v>
      </c>
      <c r="C802" s="5" t="str">
        <f>IFERROR(__xludf.DUMMYFUNCTION("""COMPUTED_VALUE"""),"Heparin Sodium In Sodium Chloride, Injection, 200 [USP'U]/100 mL (NDC 0338-0431-03)")</f>
        <v>Heparin Sodium In Sodium Chloride, Injection, 200 [USP'U]/100 mL (NDC 0338-0431-03)</v>
      </c>
      <c r="D802" s="5" t="str">
        <f>IFERROR(__xludf.DUMMYFUNCTION("""COMPUTED_VALUE"""),"Revised")</f>
        <v>Revised</v>
      </c>
      <c r="E802" s="13">
        <f>IFERROR(__xludf.DUMMYFUNCTION("""COMPUTED_VALUE"""),46311.0)</f>
        <v>46311</v>
      </c>
      <c r="F802" s="5" t="str">
        <f>IFERROR(__xludf.DUMMYFUNCTION("""COMPUTED_VALUE"""),"Limited Availability")</f>
        <v>Limited Availability</v>
      </c>
      <c r="G802" s="5" t="str">
        <f>IFERROR(__xludf.DUMMYFUNCTION("""COMPUTED_VALUE"""),"Estimated recovery: December 2026")</f>
        <v>Estimated recovery: December 2026</v>
      </c>
      <c r="H802" s="5"/>
      <c r="I802" s="5" t="str">
        <f>IFERROR(__xludf.DUMMYFUNCTION("""COMPUTED_VALUE"""),"Demand increase for the drug")</f>
        <v>Demand increase for the drug</v>
      </c>
      <c r="J802" s="5" t="str">
        <f>IFERROR(__xludf.DUMMYFUNCTION("""COMPUTED_VALUE"""),"Hematology")</f>
        <v>Hematology</v>
      </c>
      <c r="K802" s="5" t="str">
        <f>IFERROR(__xludf.DUMMYFUNCTION("""COMPUTED_VALUE"""),"Current")</f>
        <v>Current</v>
      </c>
      <c r="L802" s="5"/>
      <c r="M802" s="5"/>
      <c r="N802" s="13">
        <f>IFERROR(__xludf.DUMMYFUNCTION("""COMPUTED_VALUE"""),43053.0)</f>
        <v>43053</v>
      </c>
      <c r="O802" s="5">
        <v>2017.0</v>
      </c>
      <c r="P802" s="5" t="str">
        <f>IFERROR(__xludf.DUMMYFUNCTION("""COMPUTED_VALUE"""),"Limited Availability")</f>
        <v>Limited Availability</v>
      </c>
      <c r="Q802" s="5" t="s">
        <v>134</v>
      </c>
      <c r="R802" s="5" t="s">
        <v>136</v>
      </c>
      <c r="S802" s="11">
        <v>3268.0</v>
      </c>
    </row>
    <row r="803">
      <c r="A803" s="5" t="str">
        <f>IFERROR(__xludf.DUMMYFUNCTION("""COMPUTED_VALUE"""),"Heparin Sodium Injection")</f>
        <v>Heparin Sodium Injection</v>
      </c>
      <c r="B803" s="5" t="str">
        <f>IFERROR(__xludf.DUMMYFUNCTION("""COMPUTED_VALUE"""),"Fresenius Kabi USA, LLC")</f>
        <v>Fresenius Kabi USA, LLC</v>
      </c>
      <c r="C803" s="5" t="str">
        <f>IFERROR(__xludf.DUMMYFUNCTION("""COMPUTED_VALUE"""),"Heparin Sodium, Injection, 200 [USP'U]/100 mL (NDC 63323-519-77)")</f>
        <v>Heparin Sodium, Injection, 200 [USP'U]/100 mL (NDC 63323-519-77)</v>
      </c>
      <c r="D803" s="5" t="str">
        <f>IFERROR(__xludf.DUMMYFUNCTION("""COMPUTED_VALUE"""),"Revised")</f>
        <v>Revised</v>
      </c>
      <c r="E803" s="13">
        <f>IFERROR(__xludf.DUMMYFUNCTION("""COMPUTED_VALUE"""),46310.0)</f>
        <v>46310</v>
      </c>
      <c r="F803" s="5" t="str">
        <f>IFERROR(__xludf.DUMMYFUNCTION("""COMPUTED_VALUE"""),"Unavailable")</f>
        <v>Unavailable</v>
      </c>
      <c r="G803" s="5" t="str">
        <f>IFERROR(__xludf.DUMMYFUNCTION("""COMPUTED_VALUE"""),"Next release November 2026. Check wholesalers for inventory.")</f>
        <v>Next release November 2026. Check wholesalers for inventory.</v>
      </c>
      <c r="H803" s="5"/>
      <c r="I803" s="5" t="str">
        <f>IFERROR(__xludf.DUMMYFUNCTION("""COMPUTED_VALUE"""),"Other")</f>
        <v>Other</v>
      </c>
      <c r="J803" s="5" t="str">
        <f>IFERROR(__xludf.DUMMYFUNCTION("""COMPUTED_VALUE"""),"Hematology")</f>
        <v>Hematology</v>
      </c>
      <c r="K803" s="5" t="str">
        <f>IFERROR(__xludf.DUMMYFUNCTION("""COMPUTED_VALUE"""),"Current")</f>
        <v>Current</v>
      </c>
      <c r="L803" s="5"/>
      <c r="M803" s="5"/>
      <c r="N803" s="13">
        <f>IFERROR(__xludf.DUMMYFUNCTION("""COMPUTED_VALUE"""),43053.0)</f>
        <v>43053</v>
      </c>
      <c r="O803" s="5">
        <v>2017.0</v>
      </c>
      <c r="P803" s="5" t="str">
        <f>IFERROR(__xludf.DUMMYFUNCTION("""COMPUTED_VALUE"""),"Unavailable")</f>
        <v>Unavailable</v>
      </c>
      <c r="Q803" s="5" t="s">
        <v>47</v>
      </c>
      <c r="R803" s="5" t="s">
        <v>136</v>
      </c>
      <c r="S803" s="11">
        <v>3268.0</v>
      </c>
    </row>
    <row r="804">
      <c r="A804" s="5" t="str">
        <f>IFERROR(__xludf.DUMMYFUNCTION("""COMPUTED_VALUE"""),"Heparin Sodium Injection")</f>
        <v>Heparin Sodium Injection</v>
      </c>
      <c r="B804" s="5" t="str">
        <f>IFERROR(__xludf.DUMMYFUNCTION("""COMPUTED_VALUE"""),"Fresenius Kabi USA, LLC")</f>
        <v>Fresenius Kabi USA, LLC</v>
      </c>
      <c r="C804" s="5" t="str">
        <f>IFERROR(__xludf.DUMMYFUNCTION("""COMPUTED_VALUE"""),"Heparin Sodium, Injection, 200 [USP'U]/100 mL (NDC 63323-519-10)")</f>
        <v>Heparin Sodium, Injection, 200 [USP'U]/100 mL (NDC 63323-519-10)</v>
      </c>
      <c r="D804" s="5" t="str">
        <f>IFERROR(__xludf.DUMMYFUNCTION("""COMPUTED_VALUE"""),"Reverified")</f>
        <v>Reverified</v>
      </c>
      <c r="E804" s="13">
        <f>IFERROR(__xludf.DUMMYFUNCTION("""COMPUTED_VALUE"""),46310.0)</f>
        <v>46310</v>
      </c>
      <c r="F804" s="5" t="str">
        <f>IFERROR(__xludf.DUMMYFUNCTION("""COMPUTED_VALUE"""),"Available")</f>
        <v>Available</v>
      </c>
      <c r="G804" s="5" t="str">
        <f>IFERROR(__xludf.DUMMYFUNCTION("""COMPUTED_VALUE"""),"Check wholesalers for inventory")</f>
        <v>Check wholesalers for inventory</v>
      </c>
      <c r="H804" s="5"/>
      <c r="I804" s="5"/>
      <c r="J804" s="5" t="str">
        <f>IFERROR(__xludf.DUMMYFUNCTION("""COMPUTED_VALUE"""),"Hematology")</f>
        <v>Hematology</v>
      </c>
      <c r="K804" s="5" t="str">
        <f>IFERROR(__xludf.DUMMYFUNCTION("""COMPUTED_VALUE"""),"Current")</f>
        <v>Current</v>
      </c>
      <c r="L804" s="5"/>
      <c r="M804" s="5"/>
      <c r="N804" s="13">
        <f>IFERROR(__xludf.DUMMYFUNCTION("""COMPUTED_VALUE"""),43053.0)</f>
        <v>43053</v>
      </c>
      <c r="O804" s="5">
        <v>2017.0</v>
      </c>
      <c r="P804" s="5" t="str">
        <f>IFERROR(__xludf.DUMMYFUNCTION("""COMPUTED_VALUE"""),"Available")</f>
        <v>Available</v>
      </c>
      <c r="Q804" s="5" t="s">
        <v>135</v>
      </c>
      <c r="R804" s="5" t="s">
        <v>136</v>
      </c>
      <c r="S804" s="11">
        <v>3268.0</v>
      </c>
    </row>
    <row r="805">
      <c r="A805" s="5" t="str">
        <f>IFERROR(__xludf.DUMMYFUNCTION("""COMPUTED_VALUE"""),"Heparin Sodium Injection")</f>
        <v>Heparin Sodium Injection</v>
      </c>
      <c r="B805" s="5" t="str">
        <f>IFERROR(__xludf.DUMMYFUNCTION("""COMPUTED_VALUE"""),"B. Braun Medical Inc.")</f>
        <v>B. Braun Medical Inc.</v>
      </c>
      <c r="C805" s="5" t="str">
        <f>IFERROR(__xludf.DUMMYFUNCTION("""COMPUTED_VALUE"""),"Heparin Sodium 1,000 Units In Sodium Chloride 0.9% In Plastic Container, Injection, 200 [USP'U]/100 mL (NDC 0264-9872-10)")</f>
        <v>Heparin Sodium 1,000 Units In Sodium Chloride 0.9% In Plastic Container, Injection, 200 [USP'U]/100 mL (NDC 0264-9872-10)</v>
      </c>
      <c r="D805" s="5" t="str">
        <f>IFERROR(__xludf.DUMMYFUNCTION("""COMPUTED_VALUE"""),"Reverified")</f>
        <v>Reverified</v>
      </c>
      <c r="E805" s="13">
        <f>IFERROR(__xludf.DUMMYFUNCTION("""COMPUTED_VALUE"""),46314.0)</f>
        <v>46314</v>
      </c>
      <c r="F805" s="5" t="str">
        <f>IFERROR(__xludf.DUMMYFUNCTION("""COMPUTED_VALUE"""),"Limited Availability")</f>
        <v>Limited Availability</v>
      </c>
      <c r="G805" s="5" t="str">
        <f>IFERROR(__xludf.DUMMYFUNCTION("""COMPUTED_VALUE"""),"Estimated recovery: late Q4 2026; Manufacturing delays")</f>
        <v>Estimated recovery: late Q4 2026; Manufacturing delays</v>
      </c>
      <c r="H805" s="5"/>
      <c r="I805" s="5" t="str">
        <f>IFERROR(__xludf.DUMMYFUNCTION("""COMPUTED_VALUE"""),"Other")</f>
        <v>Other</v>
      </c>
      <c r="J805" s="5" t="str">
        <f>IFERROR(__xludf.DUMMYFUNCTION("""COMPUTED_VALUE"""),"Hematology")</f>
        <v>Hematology</v>
      </c>
      <c r="K805" s="5" t="str">
        <f>IFERROR(__xludf.DUMMYFUNCTION("""COMPUTED_VALUE"""),"Current")</f>
        <v>Current</v>
      </c>
      <c r="L805" s="5"/>
      <c r="M805" s="5"/>
      <c r="N805" s="13">
        <f>IFERROR(__xludf.DUMMYFUNCTION("""COMPUTED_VALUE"""),43053.0)</f>
        <v>43053</v>
      </c>
      <c r="O805" s="5">
        <v>2017.0</v>
      </c>
      <c r="P805" s="5" t="str">
        <f>IFERROR(__xludf.DUMMYFUNCTION("""COMPUTED_VALUE"""),"Limited Availability")</f>
        <v>Limited Availability</v>
      </c>
      <c r="Q805" s="5" t="s">
        <v>47</v>
      </c>
      <c r="R805" s="5" t="s">
        <v>136</v>
      </c>
      <c r="S805" s="11">
        <v>3268.0</v>
      </c>
    </row>
    <row r="806">
      <c r="A806" s="5" t="str">
        <f>IFERROR(__xludf.DUMMYFUNCTION("""COMPUTED_VALUE"""),"Heparin Sodium Injection")</f>
        <v>Heparin Sodium Injection</v>
      </c>
      <c r="B806" s="5" t="str">
        <f>IFERROR(__xludf.DUMMYFUNCTION("""COMPUTED_VALUE"""),"Hospira, Inc., a Pfizer Company")</f>
        <v>Hospira, Inc., a Pfizer Company</v>
      </c>
      <c r="C806" s="5" t="str">
        <f>IFERROR(__xludf.DUMMYFUNCTION("""COMPUTED_VALUE"""),"Heparin Sodium, Injection, 1,000 Units/500 mL (2 Units/mL) (NDC 0409-1005-20)")</f>
        <v>Heparin Sodium, Injection, 1,000 Units/500 mL (2 Units/mL) (NDC 0409-1005-20)</v>
      </c>
      <c r="D806" s="5" t="str">
        <f>IFERROR(__xludf.DUMMYFUNCTION("""COMPUTED_VALUE"""),"Reverified")</f>
        <v>Reverified</v>
      </c>
      <c r="E806" s="13">
        <f>IFERROR(__xludf.DUMMYFUNCTION("""COMPUTED_VALUE"""),46316.0)</f>
        <v>46316</v>
      </c>
      <c r="F806" s="5" t="str">
        <f>IFERROR(__xludf.DUMMYFUNCTION("""COMPUTED_VALUE"""),"Available")</f>
        <v>Available</v>
      </c>
      <c r="G806" s="5"/>
      <c r="H806" s="5"/>
      <c r="I806" s="5"/>
      <c r="J806" s="5" t="str">
        <f>IFERROR(__xludf.DUMMYFUNCTION("""COMPUTED_VALUE"""),"Hematology")</f>
        <v>Hematology</v>
      </c>
      <c r="K806" s="5" t="str">
        <f>IFERROR(__xludf.DUMMYFUNCTION("""COMPUTED_VALUE"""),"Current")</f>
        <v>Current</v>
      </c>
      <c r="L806" s="5"/>
      <c r="M806" s="5"/>
      <c r="N806" s="13">
        <f>IFERROR(__xludf.DUMMYFUNCTION("""COMPUTED_VALUE"""),43053.0)</f>
        <v>43053</v>
      </c>
      <c r="O806" s="5">
        <v>2017.0</v>
      </c>
      <c r="P806" s="5" t="str">
        <f>IFERROR(__xludf.DUMMYFUNCTION("""COMPUTED_VALUE"""),"Available")</f>
        <v>Available</v>
      </c>
      <c r="Q806" s="5" t="s">
        <v>135</v>
      </c>
      <c r="R806" s="5" t="s">
        <v>136</v>
      </c>
      <c r="S806" s="11">
        <v>3268.0</v>
      </c>
    </row>
    <row r="807">
      <c r="A807" s="5" t="str">
        <f>IFERROR(__xludf.DUMMYFUNCTION("""COMPUTED_VALUE"""),"Heparin Sodium Injection")</f>
        <v>Heparin Sodium Injection</v>
      </c>
      <c r="B807" s="5" t="str">
        <f>IFERROR(__xludf.DUMMYFUNCTION("""COMPUTED_VALUE"""),"Hospira, Inc., a Pfizer Company")</f>
        <v>Hospira, Inc., a Pfizer Company</v>
      </c>
      <c r="C807" s="5" t="str">
        <f>IFERROR(__xludf.DUMMYFUNCTION("""COMPUTED_VALUE"""),"Heparin Sodium, Injection, 2,000 Units/1,000 mL (2 Units/mL) (NDC 0409-2222-12)")</f>
        <v>Heparin Sodium, Injection, 2,000 Units/1,000 mL (2 Units/mL) (NDC 0409-2222-12)</v>
      </c>
      <c r="D807" s="5" t="str">
        <f>IFERROR(__xludf.DUMMYFUNCTION("""COMPUTED_VALUE"""),"Reverified")</f>
        <v>Reverified</v>
      </c>
      <c r="E807" s="13">
        <f>IFERROR(__xludf.DUMMYFUNCTION("""COMPUTED_VALUE"""),46316.0)</f>
        <v>46316</v>
      </c>
      <c r="F807" s="5" t="str">
        <f>IFERROR(__xludf.DUMMYFUNCTION("""COMPUTED_VALUE"""),"Available")</f>
        <v>Available</v>
      </c>
      <c r="G807" s="5"/>
      <c r="H807" s="5"/>
      <c r="I807" s="5"/>
      <c r="J807" s="5" t="str">
        <f>IFERROR(__xludf.DUMMYFUNCTION("""COMPUTED_VALUE"""),"Hematology")</f>
        <v>Hematology</v>
      </c>
      <c r="K807" s="5" t="str">
        <f>IFERROR(__xludf.DUMMYFUNCTION("""COMPUTED_VALUE"""),"Current")</f>
        <v>Current</v>
      </c>
      <c r="L807" s="5"/>
      <c r="M807" s="5"/>
      <c r="N807" s="13">
        <f>IFERROR(__xludf.DUMMYFUNCTION("""COMPUTED_VALUE"""),43053.0)</f>
        <v>43053</v>
      </c>
      <c r="O807" s="5">
        <v>2017.0</v>
      </c>
      <c r="P807" s="5" t="str">
        <f>IFERROR(__xludf.DUMMYFUNCTION("""COMPUTED_VALUE"""),"Available")</f>
        <v>Available</v>
      </c>
      <c r="Q807" s="5" t="s">
        <v>135</v>
      </c>
      <c r="R807" s="5" t="s">
        <v>136</v>
      </c>
      <c r="S807" s="11">
        <v>3268.0</v>
      </c>
    </row>
    <row r="808">
      <c r="A808" s="5" t="str">
        <f>IFERROR(__xludf.DUMMYFUNCTION("""COMPUTED_VALUE"""),"Hydrochlorothiazide Capsule")</f>
        <v>Hydrochlorothiazide Capsule</v>
      </c>
      <c r="B808" s="5" t="str">
        <f>IFERROR(__xludf.DUMMYFUNCTION("""COMPUTED_VALUE"""),"Teva Pharmaceuticals USA, Inc.")</f>
        <v>Teva Pharmaceuticals USA, Inc.</v>
      </c>
      <c r="C808" s="5" t="str">
        <f>IFERROR(__xludf.DUMMYFUNCTION("""COMPUTED_VALUE"""),"Microzide, Capsule, 12.5 mg (NDC 0591-0347-01)")</f>
        <v>Microzide, Capsule, 12.5 mg (NDC 0591-0347-01)</v>
      </c>
      <c r="D808" s="5" t="str">
        <f>IFERROR(__xludf.DUMMYFUNCTION("""COMPUTED_VALUE"""),"New")</f>
        <v>New</v>
      </c>
      <c r="E808" s="13">
        <f>IFERROR(__xludf.DUMMYFUNCTION("""COMPUTED_VALUE"""),45980.0)</f>
        <v>45980</v>
      </c>
      <c r="F808" s="5"/>
      <c r="G808" s="5" t="str">
        <f>IFERROR(__xludf.DUMMYFUNCTION("""COMPUTED_VALUE"""),"A business decision was made to discontinue manufacture of the drug.")</f>
        <v>A business decision was made to discontinue manufacture of the drug.</v>
      </c>
      <c r="H808" s="5"/>
      <c r="I808" s="5"/>
      <c r="J808" s="5" t="str">
        <f>IFERROR(__xludf.DUMMYFUNCTION("""COMPUTED_VALUE"""),"Cardiovascular")</f>
        <v>Cardiovascular</v>
      </c>
      <c r="K808" s="5" t="str">
        <f>IFERROR(__xludf.DUMMYFUNCTION("""COMPUTED_VALUE"""),"To Be Discontinued")</f>
        <v>To Be Discontinued</v>
      </c>
      <c r="L808" s="5"/>
      <c r="M808" s="13">
        <f>IFERROR(__xludf.DUMMYFUNCTION("""COMPUTED_VALUE"""),45980.0)</f>
        <v>45980</v>
      </c>
      <c r="N808" s="13">
        <f>IFERROR(__xludf.DUMMYFUNCTION("""COMPUTED_VALUE"""),45980.0)</f>
        <v>45980</v>
      </c>
      <c r="O808" s="5">
        <v>2025.0</v>
      </c>
      <c r="P808" s="5" t="str">
        <f>IFERROR(__xludf.DUMMYFUNCTION("""COMPUTED_VALUE"""),"Not stated")</f>
        <v>Not stated</v>
      </c>
      <c r="Q808" s="5" t="s">
        <v>135</v>
      </c>
      <c r="R808" s="5" t="s">
        <v>136</v>
      </c>
      <c r="S808" s="11">
        <v>341.0</v>
      </c>
    </row>
    <row r="809">
      <c r="A809" s="5" t="str">
        <f>IFERROR(__xludf.DUMMYFUNCTION("""COMPUTED_VALUE"""),"Hydrochlorothiazide Capsule")</f>
        <v>Hydrochlorothiazide Capsule</v>
      </c>
      <c r="B809" s="5" t="str">
        <f>IFERROR(__xludf.DUMMYFUNCTION("""COMPUTED_VALUE"""),"Teva Pharmaceuticals USA, Inc.")</f>
        <v>Teva Pharmaceuticals USA, Inc.</v>
      </c>
      <c r="C809" s="5" t="str">
        <f>IFERROR(__xludf.DUMMYFUNCTION("""COMPUTED_VALUE"""),"Microzide, Capsule, 12.5 mg (NDC 0591-0347-05)")</f>
        <v>Microzide, Capsule, 12.5 mg (NDC 0591-0347-05)</v>
      </c>
      <c r="D809" s="5" t="str">
        <f>IFERROR(__xludf.DUMMYFUNCTION("""COMPUTED_VALUE"""),"New")</f>
        <v>New</v>
      </c>
      <c r="E809" s="13">
        <f>IFERROR(__xludf.DUMMYFUNCTION("""COMPUTED_VALUE"""),45980.0)</f>
        <v>45980</v>
      </c>
      <c r="F809" s="5"/>
      <c r="G809" s="5" t="str">
        <f>IFERROR(__xludf.DUMMYFUNCTION("""COMPUTED_VALUE"""),"A business decision was made to discontinue manufacture of the drug.")</f>
        <v>A business decision was made to discontinue manufacture of the drug.</v>
      </c>
      <c r="H809" s="5"/>
      <c r="I809" s="5"/>
      <c r="J809" s="5" t="str">
        <f>IFERROR(__xludf.DUMMYFUNCTION("""COMPUTED_VALUE"""),"Cardiovascular")</f>
        <v>Cardiovascular</v>
      </c>
      <c r="K809" s="5" t="str">
        <f>IFERROR(__xludf.DUMMYFUNCTION("""COMPUTED_VALUE"""),"To Be Discontinued")</f>
        <v>To Be Discontinued</v>
      </c>
      <c r="L809" s="5"/>
      <c r="M809" s="13">
        <f>IFERROR(__xludf.DUMMYFUNCTION("""COMPUTED_VALUE"""),45980.0)</f>
        <v>45980</v>
      </c>
      <c r="N809" s="13">
        <f>IFERROR(__xludf.DUMMYFUNCTION("""COMPUTED_VALUE"""),45980.0)</f>
        <v>45980</v>
      </c>
      <c r="O809" s="5">
        <v>2025.0</v>
      </c>
      <c r="P809" s="5" t="str">
        <f>IFERROR(__xludf.DUMMYFUNCTION("""COMPUTED_VALUE"""),"Not stated")</f>
        <v>Not stated</v>
      </c>
      <c r="Q809" s="5" t="s">
        <v>135</v>
      </c>
      <c r="R809" s="5" t="s">
        <v>136</v>
      </c>
      <c r="S809" s="11">
        <v>341.0</v>
      </c>
    </row>
    <row r="810">
      <c r="A810" s="5" t="str">
        <f>IFERROR(__xludf.DUMMYFUNCTION("""COMPUTED_VALUE"""),"Hydrocortisone Acetate Suppository")</f>
        <v>Hydrocortisone Acetate Suppository</v>
      </c>
      <c r="B810" s="5" t="str">
        <f>IFERROR(__xludf.DUMMYFUNCTION("""COMPUTED_VALUE"""),"Padagis US LLC")</f>
        <v>Padagis US LLC</v>
      </c>
      <c r="C810" s="5" t="str">
        <f>IFERROR(__xludf.DUMMYFUNCTION("""COMPUTED_VALUE"""),"Hydrocortisone Acetate, Suppository, 25 mg (NDC 0574-7090-12)")</f>
        <v>Hydrocortisone Acetate, Suppository, 25 mg (NDC 0574-7090-12)</v>
      </c>
      <c r="D810" s="5" t="str">
        <f>IFERROR(__xludf.DUMMYFUNCTION("""COMPUTED_VALUE"""),"New")</f>
        <v>New</v>
      </c>
      <c r="E810" s="10">
        <f>IFERROR(__xludf.DUMMYFUNCTION("""COMPUTED_VALUE"""),46226.0)</f>
        <v>46226</v>
      </c>
      <c r="F810" s="5"/>
      <c r="G810" s="5" t="str">
        <f>IFERROR(__xludf.DUMMYFUNCTION("""COMPUTED_VALUE"""),"Discontinuation of the manufacture of the drug")</f>
        <v>Discontinuation of the manufacture of the drug</v>
      </c>
      <c r="H810" s="5"/>
      <c r="I810" s="5"/>
      <c r="J810" s="5" t="str">
        <f>IFERROR(__xludf.DUMMYFUNCTION("""COMPUTED_VALUE"""),"Analgesia/Addiction; Other")</f>
        <v>Analgesia/Addiction; Other</v>
      </c>
      <c r="K810" s="5" t="str">
        <f>IFERROR(__xludf.DUMMYFUNCTION("""COMPUTED_VALUE"""),"To Be Discontinued")</f>
        <v>To Be Discontinued</v>
      </c>
      <c r="L810" s="5"/>
      <c r="M810" s="10">
        <f>IFERROR(__xludf.DUMMYFUNCTION("""COMPUTED_VALUE"""),46226.0)</f>
        <v>46226</v>
      </c>
      <c r="N810" s="10">
        <f>IFERROR(__xludf.DUMMYFUNCTION("""COMPUTED_VALUE"""),46226.0)</f>
        <v>46226</v>
      </c>
      <c r="O810" s="5">
        <v>2026.0</v>
      </c>
      <c r="P810" s="5" t="str">
        <f>IFERROR(__xludf.DUMMYFUNCTION("""COMPUTED_VALUE"""),"Not stated")</f>
        <v>Not stated</v>
      </c>
      <c r="Q810" s="5" t="s">
        <v>135</v>
      </c>
      <c r="R810" s="5" t="s">
        <v>136</v>
      </c>
      <c r="S810" s="11">
        <v>95.0</v>
      </c>
    </row>
    <row r="811">
      <c r="A811" s="5" t="str">
        <f>IFERROR(__xludf.DUMMYFUNCTION("""COMPUTED_VALUE"""),"Hydrocortisone Acetate Suppository")</f>
        <v>Hydrocortisone Acetate Suppository</v>
      </c>
      <c r="B811" s="5" t="str">
        <f>IFERROR(__xludf.DUMMYFUNCTION("""COMPUTED_VALUE"""),"Padagis US LLC")</f>
        <v>Padagis US LLC</v>
      </c>
      <c r="C811" s="5" t="str">
        <f>IFERROR(__xludf.DUMMYFUNCTION("""COMPUTED_VALUE"""),"Hydrocortisone Acetate, Suppository, 30 mg (NDC 0574-7093-12)")</f>
        <v>Hydrocortisone Acetate, Suppository, 30 mg (NDC 0574-7093-12)</v>
      </c>
      <c r="D811" s="5" t="str">
        <f>IFERROR(__xludf.DUMMYFUNCTION("""COMPUTED_VALUE"""),"New")</f>
        <v>New</v>
      </c>
      <c r="E811" s="10">
        <f>IFERROR(__xludf.DUMMYFUNCTION("""COMPUTED_VALUE"""),46226.0)</f>
        <v>46226</v>
      </c>
      <c r="F811" s="5"/>
      <c r="G811" s="5" t="str">
        <f>IFERROR(__xludf.DUMMYFUNCTION("""COMPUTED_VALUE"""),"Discontinuation of the manufacture of the drug")</f>
        <v>Discontinuation of the manufacture of the drug</v>
      </c>
      <c r="H811" s="5"/>
      <c r="I811" s="5"/>
      <c r="J811" s="5" t="str">
        <f>IFERROR(__xludf.DUMMYFUNCTION("""COMPUTED_VALUE"""),"Analgesia/Addiction; Other")</f>
        <v>Analgesia/Addiction; Other</v>
      </c>
      <c r="K811" s="5" t="str">
        <f>IFERROR(__xludf.DUMMYFUNCTION("""COMPUTED_VALUE"""),"To Be Discontinued")</f>
        <v>To Be Discontinued</v>
      </c>
      <c r="L811" s="5"/>
      <c r="M811" s="10">
        <f>IFERROR(__xludf.DUMMYFUNCTION("""COMPUTED_VALUE"""),46226.0)</f>
        <v>46226</v>
      </c>
      <c r="N811" s="10">
        <f>IFERROR(__xludf.DUMMYFUNCTION("""COMPUTED_VALUE"""),46226.0)</f>
        <v>46226</v>
      </c>
      <c r="O811" s="5">
        <v>2026.0</v>
      </c>
      <c r="P811" s="5" t="str">
        <f>IFERROR(__xludf.DUMMYFUNCTION("""COMPUTED_VALUE"""),"Not stated")</f>
        <v>Not stated</v>
      </c>
      <c r="Q811" s="5" t="s">
        <v>135</v>
      </c>
      <c r="R811" s="5" t="s">
        <v>136</v>
      </c>
      <c r="S811" s="11">
        <v>95.0</v>
      </c>
    </row>
    <row r="812">
      <c r="A812" s="5" t="str">
        <f>IFERROR(__xludf.DUMMYFUNCTION("""COMPUTED_VALUE"""),"Hydromorphone Hydrochloride Injection")</f>
        <v>Hydromorphone Hydrochloride Injection</v>
      </c>
      <c r="B812" s="5" t="str">
        <f>IFERROR(__xludf.DUMMYFUNCTION("""COMPUTED_VALUE"""),"Hospira, Inc., a Pfizer Company")</f>
        <v>Hospira, Inc., a Pfizer Company</v>
      </c>
      <c r="C812" s="5" t="str">
        <f>IFERROR(__xludf.DUMMYFUNCTION("""COMPUTED_VALUE"""),"Hydromorphone Hydrochloride, Injection, 0.5 mg/0.5 mL NexJect™ Single-dose Syringe Luer Lock (no needle) (NDC 0409-4264-01)")</f>
        <v>Hydromorphone Hydrochloride, Injection, 0.5 mg/0.5 mL NexJect™ Single-dose Syringe Luer Lock (no needle) (NDC 0409-4264-01)</v>
      </c>
      <c r="D812" s="5" t="str">
        <f>IFERROR(__xludf.DUMMYFUNCTION("""COMPUTED_VALUE"""),"Revised")</f>
        <v>Revised</v>
      </c>
      <c r="E812" s="13">
        <f>IFERROR(__xludf.DUMMYFUNCTION("""COMPUTED_VALUE"""),46316.0)</f>
        <v>46316</v>
      </c>
      <c r="F812" s="5" t="str">
        <f>IFERROR(__xludf.DUMMYFUNCTION("""COMPUTED_VALUE"""),"Limited Availability")</f>
        <v>Limited Availability</v>
      </c>
      <c r="G812" s="5" t="str">
        <f>IFERROR(__xludf.DUMMYFUNCTION("""COMPUTED_VALUE"""),"Next Delivery and Estimated Recovery: December 2026; Shortage per Manufacturer: Manufacturing Delay")</f>
        <v>Next Delivery and Estimated Recovery: December 2026; Shortage per Manufacturer: Manufacturing Delay</v>
      </c>
      <c r="H812" s="5"/>
      <c r="I812" s="5" t="str">
        <f>IFERROR(__xludf.DUMMYFUNCTION("""COMPUTED_VALUE"""),"Other")</f>
        <v>Other</v>
      </c>
      <c r="J812" s="5" t="str">
        <f>IFERROR(__xludf.DUMMYFUNCTION("""COMPUTED_VALUE"""),"Analgesia/Addiction")</f>
        <v>Analgesia/Addiction</v>
      </c>
      <c r="K812" s="5" t="str">
        <f>IFERROR(__xludf.DUMMYFUNCTION("""COMPUTED_VALUE"""),"Current")</f>
        <v>Current</v>
      </c>
      <c r="L812" s="5"/>
      <c r="M812" s="5"/>
      <c r="N812" s="10">
        <f>IFERROR(__xludf.DUMMYFUNCTION("""COMPUTED_VALUE"""),43040.0)</f>
        <v>43040</v>
      </c>
      <c r="O812" s="5">
        <v>2017.0</v>
      </c>
      <c r="P812" s="5" t="str">
        <f>IFERROR(__xludf.DUMMYFUNCTION("""COMPUTED_VALUE"""),"Limited Availability")</f>
        <v>Limited Availability</v>
      </c>
      <c r="Q812" s="5" t="s">
        <v>47</v>
      </c>
      <c r="R812" s="5" t="s">
        <v>136</v>
      </c>
      <c r="S812" s="11">
        <v>3281.0</v>
      </c>
    </row>
    <row r="813">
      <c r="A813" s="5" t="str">
        <f>IFERROR(__xludf.DUMMYFUNCTION("""COMPUTED_VALUE"""),"Hydromorphone Hydrochloride Injection")</f>
        <v>Hydromorphone Hydrochloride Injection</v>
      </c>
      <c r="B813" s="5" t="str">
        <f>IFERROR(__xludf.DUMMYFUNCTION("""COMPUTED_VALUE"""),"Hospira, Inc., a Pfizer Company")</f>
        <v>Hospira, Inc., a Pfizer Company</v>
      </c>
      <c r="C813" s="5" t="str">
        <f>IFERROR(__xludf.DUMMYFUNCTION("""COMPUTED_VALUE"""),"Hydromorphone Hydrochloride, Injection, 0.25 mg/ 0.5 mL NexJect™ Single-dose Syringe Luer Lock (no needle) (NDC 0409-1805-01)")</f>
        <v>Hydromorphone Hydrochloride, Injection, 0.25 mg/ 0.5 mL NexJect™ Single-dose Syringe Luer Lock (no needle) (NDC 0409-1805-01)</v>
      </c>
      <c r="D813" s="5" t="str">
        <f>IFERROR(__xludf.DUMMYFUNCTION("""COMPUTED_VALUE"""),"Revised")</f>
        <v>Revised</v>
      </c>
      <c r="E813" s="13">
        <f>IFERROR(__xludf.DUMMYFUNCTION("""COMPUTED_VALUE"""),46316.0)</f>
        <v>46316</v>
      </c>
      <c r="F813" s="5" t="str">
        <f>IFERROR(__xludf.DUMMYFUNCTION("""COMPUTED_VALUE"""),"Unavailable")</f>
        <v>Unavailable</v>
      </c>
      <c r="G813" s="5" t="str">
        <f>IFERROR(__xludf.DUMMYFUNCTION("""COMPUTED_VALUE"""),"Next Delivery and Estimated Recovery: December 2026; Shortage per Manufacturer: Manufacturing Delay")</f>
        <v>Next Delivery and Estimated Recovery: December 2026; Shortage per Manufacturer: Manufacturing Delay</v>
      </c>
      <c r="H813" s="5"/>
      <c r="I813" s="5" t="str">
        <f>IFERROR(__xludf.DUMMYFUNCTION("""COMPUTED_VALUE"""),"Other")</f>
        <v>Other</v>
      </c>
      <c r="J813" s="5" t="str">
        <f>IFERROR(__xludf.DUMMYFUNCTION("""COMPUTED_VALUE"""),"Analgesia/Addiction")</f>
        <v>Analgesia/Addiction</v>
      </c>
      <c r="K813" s="5" t="str">
        <f>IFERROR(__xludf.DUMMYFUNCTION("""COMPUTED_VALUE"""),"Current")</f>
        <v>Current</v>
      </c>
      <c r="L813" s="5"/>
      <c r="M813" s="5"/>
      <c r="N813" s="10">
        <f>IFERROR(__xludf.DUMMYFUNCTION("""COMPUTED_VALUE"""),43040.0)</f>
        <v>43040</v>
      </c>
      <c r="O813" s="5">
        <v>2017.0</v>
      </c>
      <c r="P813" s="5" t="str">
        <f>IFERROR(__xludf.DUMMYFUNCTION("""COMPUTED_VALUE"""),"Unavailable")</f>
        <v>Unavailable</v>
      </c>
      <c r="Q813" s="5" t="s">
        <v>47</v>
      </c>
      <c r="R813" s="5" t="s">
        <v>136</v>
      </c>
      <c r="S813" s="11">
        <v>3281.0</v>
      </c>
    </row>
    <row r="814">
      <c r="A814" s="5" t="str">
        <f>IFERROR(__xludf.DUMMYFUNCTION("""COMPUTED_VALUE"""),"Hydromorphone Hydrochloride Injection")</f>
        <v>Hydromorphone Hydrochloride Injection</v>
      </c>
      <c r="B814" s="5" t="str">
        <f>IFERROR(__xludf.DUMMYFUNCTION("""COMPUTED_VALUE"""),"Fresenius Kabi USA, LLC")</f>
        <v>Fresenius Kabi USA, LLC</v>
      </c>
      <c r="C814" s="5" t="str">
        <f>IFERROR(__xludf.DUMMYFUNCTION("""COMPUTED_VALUE"""),"Dilaudid, Injection, 1 mg/1 mL (NDC 76045-009-06)")</f>
        <v>Dilaudid, Injection, 1 mg/1 mL (NDC 76045-009-06)</v>
      </c>
      <c r="D814" s="5" t="str">
        <f>IFERROR(__xludf.DUMMYFUNCTION("""COMPUTED_VALUE"""),"Reverified")</f>
        <v>Reverified</v>
      </c>
      <c r="E814" s="13">
        <f>IFERROR(__xludf.DUMMYFUNCTION("""COMPUTED_VALUE"""),46310.0)</f>
        <v>46310</v>
      </c>
      <c r="F814" s="5" t="str">
        <f>IFERROR(__xludf.DUMMYFUNCTION("""COMPUTED_VALUE"""),"Unavailable")</f>
        <v>Unavailable</v>
      </c>
      <c r="G814" s="5" t="str">
        <f>IFERROR(__xludf.DUMMYFUNCTION("""COMPUTED_VALUE"""),"Next release October 2026. Check wholesalers for inventory.")</f>
        <v>Next release October 2026. Check wholesalers for inventory.</v>
      </c>
      <c r="H814" s="5"/>
      <c r="I814" s="5" t="str">
        <f>IFERROR(__xludf.DUMMYFUNCTION("""COMPUTED_VALUE"""),"Other")</f>
        <v>Other</v>
      </c>
      <c r="J814" s="5" t="str">
        <f>IFERROR(__xludf.DUMMYFUNCTION("""COMPUTED_VALUE"""),"Analgesia/Addiction")</f>
        <v>Analgesia/Addiction</v>
      </c>
      <c r="K814" s="5" t="str">
        <f>IFERROR(__xludf.DUMMYFUNCTION("""COMPUTED_VALUE"""),"Current")</f>
        <v>Current</v>
      </c>
      <c r="L814" s="5"/>
      <c r="M814" s="5"/>
      <c r="N814" s="13">
        <f>IFERROR(__xludf.DUMMYFUNCTION("""COMPUTED_VALUE"""),43039.0)</f>
        <v>43039</v>
      </c>
      <c r="O814" s="5">
        <v>2017.0</v>
      </c>
      <c r="P814" s="5" t="str">
        <f>IFERROR(__xludf.DUMMYFUNCTION("""COMPUTED_VALUE"""),"Unavailable")</f>
        <v>Unavailable</v>
      </c>
      <c r="Q814" s="5" t="s">
        <v>47</v>
      </c>
      <c r="R814" s="5" t="s">
        <v>136</v>
      </c>
      <c r="S814" s="11">
        <v>3282.0</v>
      </c>
    </row>
    <row r="815">
      <c r="A815" s="5" t="str">
        <f>IFERROR(__xludf.DUMMYFUNCTION("""COMPUTED_VALUE"""),"Hydromorphone Hydrochloride Injection")</f>
        <v>Hydromorphone Hydrochloride Injection</v>
      </c>
      <c r="B815" s="5" t="str">
        <f>IFERROR(__xludf.DUMMYFUNCTION("""COMPUTED_VALUE"""),"Hospira, Inc., a Pfizer Company")</f>
        <v>Hospira, Inc., a Pfizer Company</v>
      </c>
      <c r="C815" s="5" t="str">
        <f>IFERROR(__xludf.DUMMYFUNCTION("""COMPUTED_VALUE"""),"Hydromorphone Hydrochloride, Injection, 2 mg/1 mL (NDC 0409-3365-10)")</f>
        <v>Hydromorphone Hydrochloride, Injection, 2 mg/1 mL (NDC 0409-3365-10)</v>
      </c>
      <c r="D815" s="5" t="str">
        <f>IFERROR(__xludf.DUMMYFUNCTION("""COMPUTED_VALUE"""),"Reverified")</f>
        <v>Reverified</v>
      </c>
      <c r="E815" s="13">
        <f>IFERROR(__xludf.DUMMYFUNCTION("""COMPUTED_VALUE"""),46316.0)</f>
        <v>46316</v>
      </c>
      <c r="F815" s="5" t="str">
        <f>IFERROR(__xludf.DUMMYFUNCTION("""COMPUTED_VALUE"""),"Available")</f>
        <v>Available</v>
      </c>
      <c r="G815" s="5"/>
      <c r="H815" s="5"/>
      <c r="I815" s="5"/>
      <c r="J815" s="5" t="str">
        <f>IFERROR(__xludf.DUMMYFUNCTION("""COMPUTED_VALUE"""),"Analgesia/Addiction")</f>
        <v>Analgesia/Addiction</v>
      </c>
      <c r="K815" s="5" t="str">
        <f>IFERROR(__xludf.DUMMYFUNCTION("""COMPUTED_VALUE"""),"Current")</f>
        <v>Current</v>
      </c>
      <c r="L815" s="5"/>
      <c r="M815" s="5"/>
      <c r="N815" s="13">
        <f>IFERROR(__xludf.DUMMYFUNCTION("""COMPUTED_VALUE"""),43039.0)</f>
        <v>43039</v>
      </c>
      <c r="O815" s="5">
        <v>2017.0</v>
      </c>
      <c r="P815" s="5" t="str">
        <f>IFERROR(__xludf.DUMMYFUNCTION("""COMPUTED_VALUE"""),"Available")</f>
        <v>Available</v>
      </c>
      <c r="Q815" s="5" t="s">
        <v>135</v>
      </c>
      <c r="R815" s="5" t="s">
        <v>136</v>
      </c>
      <c r="S815" s="11">
        <v>3282.0</v>
      </c>
    </row>
    <row r="816">
      <c r="A816" s="5" t="str">
        <f>IFERROR(__xludf.DUMMYFUNCTION("""COMPUTED_VALUE"""),"Hydromorphone Hydrochloride Injection")</f>
        <v>Hydromorphone Hydrochloride Injection</v>
      </c>
      <c r="B816" s="5" t="str">
        <f>IFERROR(__xludf.DUMMYFUNCTION("""COMPUTED_VALUE"""),"Hospira, Inc., a Pfizer Company")</f>
        <v>Hospira, Inc., a Pfizer Company</v>
      </c>
      <c r="C816" s="5" t="str">
        <f>IFERROR(__xludf.DUMMYFUNCTION("""COMPUTED_VALUE"""),"Hydromorphone Hydrochloride, Injection, 1 mg/1 mL (NDC 0409-1283-37)")</f>
        <v>Hydromorphone Hydrochloride, Injection, 1 mg/1 mL (NDC 0409-1283-37)</v>
      </c>
      <c r="D816" s="5" t="str">
        <f>IFERROR(__xludf.DUMMYFUNCTION("""COMPUTED_VALUE"""),"Revised")</f>
        <v>Revised</v>
      </c>
      <c r="E816" s="13">
        <f>IFERROR(__xludf.DUMMYFUNCTION("""COMPUTED_VALUE"""),46316.0)</f>
        <v>46316</v>
      </c>
      <c r="F816" s="5" t="str">
        <f>IFERROR(__xludf.DUMMYFUNCTION("""COMPUTED_VALUE"""),"Unavailable")</f>
        <v>Unavailable</v>
      </c>
      <c r="G816" s="5" t="str">
        <f>IFERROR(__xludf.DUMMYFUNCTION("""COMPUTED_VALUE"""),"Next Delivery: January 2027; Estimated Recovery: March 2027; Shortage per Manufacturer: Manufacturing Delay")</f>
        <v>Next Delivery: January 2027; Estimated Recovery: March 2027; Shortage per Manufacturer: Manufacturing Delay</v>
      </c>
      <c r="H816" s="5"/>
      <c r="I816" s="5" t="str">
        <f>IFERROR(__xludf.DUMMYFUNCTION("""COMPUTED_VALUE"""),"Other")</f>
        <v>Other</v>
      </c>
      <c r="J816" s="5" t="str">
        <f>IFERROR(__xludf.DUMMYFUNCTION("""COMPUTED_VALUE"""),"Analgesia/Addiction")</f>
        <v>Analgesia/Addiction</v>
      </c>
      <c r="K816" s="5" t="str">
        <f>IFERROR(__xludf.DUMMYFUNCTION("""COMPUTED_VALUE"""),"Current")</f>
        <v>Current</v>
      </c>
      <c r="L816" s="5"/>
      <c r="M816" s="5"/>
      <c r="N816" s="13">
        <f>IFERROR(__xludf.DUMMYFUNCTION("""COMPUTED_VALUE"""),43039.0)</f>
        <v>43039</v>
      </c>
      <c r="O816" s="5">
        <v>2017.0</v>
      </c>
      <c r="P816" s="5" t="str">
        <f>IFERROR(__xludf.DUMMYFUNCTION("""COMPUTED_VALUE"""),"Unavailable")</f>
        <v>Unavailable</v>
      </c>
      <c r="Q816" s="5" t="s">
        <v>47</v>
      </c>
      <c r="R816" s="5" t="s">
        <v>136</v>
      </c>
      <c r="S816" s="11">
        <v>3282.0</v>
      </c>
    </row>
    <row r="817">
      <c r="A817" s="5" t="str">
        <f>IFERROR(__xludf.DUMMYFUNCTION("""COMPUTED_VALUE"""),"Hydromorphone Hydrochloride Injection")</f>
        <v>Hydromorphone Hydrochloride Injection</v>
      </c>
      <c r="B817" s="5" t="str">
        <f>IFERROR(__xludf.DUMMYFUNCTION("""COMPUTED_VALUE"""),"Hospira, Inc., a Pfizer Company")</f>
        <v>Hospira, Inc., a Pfizer Company</v>
      </c>
      <c r="C817" s="5" t="str">
        <f>IFERROR(__xludf.DUMMYFUNCTION("""COMPUTED_VALUE"""),"Hydromorphone Hydrochloride, Injection, 2 mg/1 mL (NDC 0409-1312-36)")</f>
        <v>Hydromorphone Hydrochloride, Injection, 2 mg/1 mL (NDC 0409-1312-36)</v>
      </c>
      <c r="D817" s="5" t="str">
        <f>IFERROR(__xludf.DUMMYFUNCTION("""COMPUTED_VALUE"""),"Revised")</f>
        <v>Revised</v>
      </c>
      <c r="E817" s="13">
        <f>IFERROR(__xludf.DUMMYFUNCTION("""COMPUTED_VALUE"""),46316.0)</f>
        <v>46316</v>
      </c>
      <c r="F817" s="5" t="str">
        <f>IFERROR(__xludf.DUMMYFUNCTION("""COMPUTED_VALUE"""),"Limited Availability")</f>
        <v>Limited Availability</v>
      </c>
      <c r="G817" s="5" t="str">
        <f>IFERROR(__xludf.DUMMYFUNCTION("""COMPUTED_VALUE"""),"Limited Supply Available. Next Delivery: January 2027; Estimated Recovery: March 2027; Shortage per Manufacturer: Manufacturing Delay")</f>
        <v>Limited Supply Available. Next Delivery: January 2027; Estimated Recovery: March 2027; Shortage per Manufacturer: Manufacturing Delay</v>
      </c>
      <c r="H817" s="5"/>
      <c r="I817" s="5" t="str">
        <f>IFERROR(__xludf.DUMMYFUNCTION("""COMPUTED_VALUE"""),"Other")</f>
        <v>Other</v>
      </c>
      <c r="J817" s="5" t="str">
        <f>IFERROR(__xludf.DUMMYFUNCTION("""COMPUTED_VALUE"""),"Analgesia/Addiction")</f>
        <v>Analgesia/Addiction</v>
      </c>
      <c r="K817" s="5" t="str">
        <f>IFERROR(__xludf.DUMMYFUNCTION("""COMPUTED_VALUE"""),"Current")</f>
        <v>Current</v>
      </c>
      <c r="L817" s="5"/>
      <c r="M817" s="5"/>
      <c r="N817" s="13">
        <f>IFERROR(__xludf.DUMMYFUNCTION("""COMPUTED_VALUE"""),43039.0)</f>
        <v>43039</v>
      </c>
      <c r="O817" s="5">
        <v>2017.0</v>
      </c>
      <c r="P817" s="5" t="str">
        <f>IFERROR(__xludf.DUMMYFUNCTION("""COMPUTED_VALUE"""),"Limited Availability")</f>
        <v>Limited Availability</v>
      </c>
      <c r="Q817" s="5" t="s">
        <v>47</v>
      </c>
      <c r="R817" s="5" t="s">
        <v>136</v>
      </c>
      <c r="S817" s="11">
        <v>3282.0</v>
      </c>
    </row>
    <row r="818">
      <c r="A818" s="5" t="str">
        <f>IFERROR(__xludf.DUMMYFUNCTION("""COMPUTED_VALUE"""),"Hydromorphone Hydrochloride Injection")</f>
        <v>Hydromorphone Hydrochloride Injection</v>
      </c>
      <c r="B818" s="5" t="str">
        <f>IFERROR(__xludf.DUMMYFUNCTION("""COMPUTED_VALUE"""),"Fresenius Kabi USA, LLC")</f>
        <v>Fresenius Kabi USA, LLC</v>
      </c>
      <c r="C818" s="5" t="str">
        <f>IFERROR(__xludf.DUMMYFUNCTION("""COMPUTED_VALUE"""),"Dilaudid, Injection, 1 mg/1 mL (NDC 76045-009-11)")</f>
        <v>Dilaudid, Injection, 1 mg/1 mL (NDC 76045-009-11)</v>
      </c>
      <c r="D818" s="5" t="str">
        <f>IFERROR(__xludf.DUMMYFUNCTION("""COMPUTED_VALUE"""),"Reverified")</f>
        <v>Reverified</v>
      </c>
      <c r="E818" s="13">
        <f>IFERROR(__xludf.DUMMYFUNCTION("""COMPUTED_VALUE"""),46310.0)</f>
        <v>46310</v>
      </c>
      <c r="F818" s="5" t="str">
        <f>IFERROR(__xludf.DUMMYFUNCTION("""COMPUTED_VALUE"""),"Unavailable")</f>
        <v>Unavailable</v>
      </c>
      <c r="G818" s="5" t="str">
        <f>IFERROR(__xludf.DUMMYFUNCTION("""COMPUTED_VALUE"""),"Next release October 2026. Check wholesalers for inventory.")</f>
        <v>Next release October 2026. Check wholesalers for inventory.</v>
      </c>
      <c r="H818" s="5"/>
      <c r="I818" s="5" t="str">
        <f>IFERROR(__xludf.DUMMYFUNCTION("""COMPUTED_VALUE"""),"Other")</f>
        <v>Other</v>
      </c>
      <c r="J818" s="5" t="str">
        <f>IFERROR(__xludf.DUMMYFUNCTION("""COMPUTED_VALUE"""),"Analgesia/Addiction")</f>
        <v>Analgesia/Addiction</v>
      </c>
      <c r="K818" s="5" t="str">
        <f>IFERROR(__xludf.DUMMYFUNCTION("""COMPUTED_VALUE"""),"Current")</f>
        <v>Current</v>
      </c>
      <c r="L818" s="5"/>
      <c r="M818" s="5"/>
      <c r="N818" s="13">
        <f>IFERROR(__xludf.DUMMYFUNCTION("""COMPUTED_VALUE"""),43039.0)</f>
        <v>43039</v>
      </c>
      <c r="O818" s="5">
        <v>2017.0</v>
      </c>
      <c r="P818" s="5" t="str">
        <f>IFERROR(__xludf.DUMMYFUNCTION("""COMPUTED_VALUE"""),"Unavailable")</f>
        <v>Unavailable</v>
      </c>
      <c r="Q818" s="5" t="s">
        <v>47</v>
      </c>
      <c r="R818" s="5" t="s">
        <v>136</v>
      </c>
      <c r="S818" s="11">
        <v>3282.0</v>
      </c>
    </row>
    <row r="819">
      <c r="A819" s="5" t="str">
        <f>IFERROR(__xludf.DUMMYFUNCTION("""COMPUTED_VALUE"""),"Hydromorphone Hydrochloride Injection")</f>
        <v>Hydromorphone Hydrochloride Injection</v>
      </c>
      <c r="B819" s="5" t="str">
        <f>IFERROR(__xludf.DUMMYFUNCTION("""COMPUTED_VALUE"""),"Fresenius Kabi USA, LLC")</f>
        <v>Fresenius Kabi USA, LLC</v>
      </c>
      <c r="C819" s="5" t="str">
        <f>IFERROR(__xludf.DUMMYFUNCTION("""COMPUTED_VALUE"""),"Dilaudid, Injection, .2 mg/1 mL (NDC 76045-121-11)")</f>
        <v>Dilaudid, Injection, .2 mg/1 mL (NDC 76045-121-11)</v>
      </c>
      <c r="D819" s="5" t="str">
        <f>IFERROR(__xludf.DUMMYFUNCTION("""COMPUTED_VALUE"""),"Reverified")</f>
        <v>Reverified</v>
      </c>
      <c r="E819" s="13">
        <f>IFERROR(__xludf.DUMMYFUNCTION("""COMPUTED_VALUE"""),46310.0)</f>
        <v>46310</v>
      </c>
      <c r="F819" s="5" t="str">
        <f>IFERROR(__xludf.DUMMYFUNCTION("""COMPUTED_VALUE"""),"Unavailable")</f>
        <v>Unavailable</v>
      </c>
      <c r="G819" s="5" t="str">
        <f>IFERROR(__xludf.DUMMYFUNCTION("""COMPUTED_VALUE"""),"Next release October 2026. Check wholesalers for inventory.")</f>
        <v>Next release October 2026. Check wholesalers for inventory.</v>
      </c>
      <c r="H819" s="5"/>
      <c r="I819" s="5" t="str">
        <f>IFERROR(__xludf.DUMMYFUNCTION("""COMPUTED_VALUE"""),"Other")</f>
        <v>Other</v>
      </c>
      <c r="J819" s="5" t="str">
        <f>IFERROR(__xludf.DUMMYFUNCTION("""COMPUTED_VALUE"""),"Analgesia/Addiction")</f>
        <v>Analgesia/Addiction</v>
      </c>
      <c r="K819" s="5" t="str">
        <f>IFERROR(__xludf.DUMMYFUNCTION("""COMPUTED_VALUE"""),"Current")</f>
        <v>Current</v>
      </c>
      <c r="L819" s="5"/>
      <c r="M819" s="5"/>
      <c r="N819" s="10">
        <f>IFERROR(__xludf.DUMMYFUNCTION("""COMPUTED_VALUE"""),43040.0)</f>
        <v>43040</v>
      </c>
      <c r="O819" s="5">
        <v>2017.0</v>
      </c>
      <c r="P819" s="5" t="str">
        <f>IFERROR(__xludf.DUMMYFUNCTION("""COMPUTED_VALUE"""),"Unavailable")</f>
        <v>Unavailable</v>
      </c>
      <c r="Q819" s="5" t="s">
        <v>47</v>
      </c>
      <c r="R819" s="5" t="s">
        <v>136</v>
      </c>
      <c r="S819" s="11">
        <v>3281.0</v>
      </c>
    </row>
    <row r="820">
      <c r="A820" s="5" t="str">
        <f>IFERROR(__xludf.DUMMYFUNCTION("""COMPUTED_VALUE"""),"Hydromorphone Hydrochloride Injection")</f>
        <v>Hydromorphone Hydrochloride Injection</v>
      </c>
      <c r="B820" s="5" t="str">
        <f>IFERROR(__xludf.DUMMYFUNCTION("""COMPUTED_VALUE"""),"Fresenius Kabi USA, LLC")</f>
        <v>Fresenius Kabi USA, LLC</v>
      </c>
      <c r="C820" s="5" t="str">
        <f>IFERROR(__xludf.DUMMYFUNCTION("""COMPUTED_VALUE"""),"Dilaudid, Injection, 2 mg/1 mL (NDC 76045-010-11)")</f>
        <v>Dilaudid, Injection, 2 mg/1 mL (NDC 76045-010-11)</v>
      </c>
      <c r="D820" s="5" t="str">
        <f>IFERROR(__xludf.DUMMYFUNCTION("""COMPUTED_VALUE"""),"Reverified")</f>
        <v>Reverified</v>
      </c>
      <c r="E820" s="13">
        <f>IFERROR(__xludf.DUMMYFUNCTION("""COMPUTED_VALUE"""),46310.0)</f>
        <v>46310</v>
      </c>
      <c r="F820" s="5" t="str">
        <f>IFERROR(__xludf.DUMMYFUNCTION("""COMPUTED_VALUE"""),"Unavailable")</f>
        <v>Unavailable</v>
      </c>
      <c r="G820" s="5" t="str">
        <f>IFERROR(__xludf.DUMMYFUNCTION("""COMPUTED_VALUE"""),"Next release not available at this time.  Check wholesalers for inventory.")</f>
        <v>Next release not available at this time.  Check wholesalers for inventory.</v>
      </c>
      <c r="H820" s="5"/>
      <c r="I820" s="5" t="str">
        <f>IFERROR(__xludf.DUMMYFUNCTION("""COMPUTED_VALUE"""),"Other")</f>
        <v>Other</v>
      </c>
      <c r="J820" s="5" t="str">
        <f>IFERROR(__xludf.DUMMYFUNCTION("""COMPUTED_VALUE"""),"Analgesia/Addiction")</f>
        <v>Analgesia/Addiction</v>
      </c>
      <c r="K820" s="5" t="str">
        <f>IFERROR(__xludf.DUMMYFUNCTION("""COMPUTED_VALUE"""),"Current")</f>
        <v>Current</v>
      </c>
      <c r="L820" s="5"/>
      <c r="M820" s="5"/>
      <c r="N820" s="10">
        <f>IFERROR(__xludf.DUMMYFUNCTION("""COMPUTED_VALUE"""),43040.0)</f>
        <v>43040</v>
      </c>
      <c r="O820" s="5">
        <v>2017.0</v>
      </c>
      <c r="P820" s="5" t="str">
        <f>IFERROR(__xludf.DUMMYFUNCTION("""COMPUTED_VALUE"""),"Unavailable")</f>
        <v>Unavailable</v>
      </c>
      <c r="Q820" s="5" t="s">
        <v>47</v>
      </c>
      <c r="R820" s="5" t="s">
        <v>136</v>
      </c>
      <c r="S820" s="11">
        <v>3281.0</v>
      </c>
    </row>
    <row r="821">
      <c r="A821" s="5" t="str">
        <f>IFERROR(__xludf.DUMMYFUNCTION("""COMPUTED_VALUE"""),"Hydromorphone Hydrochloride Injection")</f>
        <v>Hydromorphone Hydrochloride Injection</v>
      </c>
      <c r="B821" s="5" t="str">
        <f>IFERROR(__xludf.DUMMYFUNCTION("""COMPUTED_VALUE"""),"Fresenius Kabi USA, LLC")</f>
        <v>Fresenius Kabi USA, LLC</v>
      </c>
      <c r="C821" s="5" t="str">
        <f>IFERROR(__xludf.DUMMYFUNCTION("""COMPUTED_VALUE"""),"Hydromorphone Hydrochloride, Injection, 1 mg/1 mL (NDC 63323-852-25)")</f>
        <v>Hydromorphone Hydrochloride, Injection, 1 mg/1 mL (NDC 63323-852-25)</v>
      </c>
      <c r="D821" s="5" t="str">
        <f>IFERROR(__xludf.DUMMYFUNCTION("""COMPUTED_VALUE"""),"Reverified")</f>
        <v>Reverified</v>
      </c>
      <c r="E821" s="13">
        <f>IFERROR(__xludf.DUMMYFUNCTION("""COMPUTED_VALUE"""),46310.0)</f>
        <v>46310</v>
      </c>
      <c r="F821" s="5" t="str">
        <f>IFERROR(__xludf.DUMMYFUNCTION("""COMPUTED_VALUE"""),"Available")</f>
        <v>Available</v>
      </c>
      <c r="G821" s="5" t="str">
        <f>IFERROR(__xludf.DUMMYFUNCTION("""COMPUTED_VALUE"""),"Check wholesalers for inventory")</f>
        <v>Check wholesalers for inventory</v>
      </c>
      <c r="H821" s="5"/>
      <c r="I821" s="5"/>
      <c r="J821" s="5" t="str">
        <f>IFERROR(__xludf.DUMMYFUNCTION("""COMPUTED_VALUE"""),"Analgesia/Addiction")</f>
        <v>Analgesia/Addiction</v>
      </c>
      <c r="K821" s="5" t="str">
        <f>IFERROR(__xludf.DUMMYFUNCTION("""COMPUTED_VALUE"""),"Current")</f>
        <v>Current</v>
      </c>
      <c r="L821" s="5"/>
      <c r="M821" s="5"/>
      <c r="N821" s="13">
        <f>IFERROR(__xludf.DUMMYFUNCTION("""COMPUTED_VALUE"""),43039.0)</f>
        <v>43039</v>
      </c>
      <c r="O821" s="5">
        <v>2017.0</v>
      </c>
      <c r="P821" s="5" t="str">
        <f>IFERROR(__xludf.DUMMYFUNCTION("""COMPUTED_VALUE"""),"Available")</f>
        <v>Available</v>
      </c>
      <c r="Q821" s="5" t="s">
        <v>135</v>
      </c>
      <c r="R821" s="5" t="s">
        <v>136</v>
      </c>
      <c r="S821" s="11">
        <v>3282.0</v>
      </c>
    </row>
    <row r="822">
      <c r="A822" s="5" t="str">
        <f>IFERROR(__xludf.DUMMYFUNCTION("""COMPUTED_VALUE"""),"Hydromorphone Hydrochloride Injection")</f>
        <v>Hydromorphone Hydrochloride Injection</v>
      </c>
      <c r="B822" s="5" t="str">
        <f>IFERROR(__xludf.DUMMYFUNCTION("""COMPUTED_VALUE"""),"Fresenius Kabi USA, LLC")</f>
        <v>Fresenius Kabi USA, LLC</v>
      </c>
      <c r="C822" s="5" t="str">
        <f>IFERROR(__xludf.DUMMYFUNCTION("""COMPUTED_VALUE"""),"Hydromorphone Hydrochloride, Injection, 2 mg/1 mL (NDC 63323-853-25)")</f>
        <v>Hydromorphone Hydrochloride, Injection, 2 mg/1 mL (NDC 63323-853-25)</v>
      </c>
      <c r="D822" s="5" t="str">
        <f>IFERROR(__xludf.DUMMYFUNCTION("""COMPUTED_VALUE"""),"Reverified")</f>
        <v>Reverified</v>
      </c>
      <c r="E822" s="13">
        <f>IFERROR(__xludf.DUMMYFUNCTION("""COMPUTED_VALUE"""),46310.0)</f>
        <v>46310</v>
      </c>
      <c r="F822" s="5" t="str">
        <f>IFERROR(__xludf.DUMMYFUNCTION("""COMPUTED_VALUE"""),"Available")</f>
        <v>Available</v>
      </c>
      <c r="G822" s="5" t="str">
        <f>IFERROR(__xludf.DUMMYFUNCTION("""COMPUTED_VALUE"""),"Check wholesalers for inventory")</f>
        <v>Check wholesalers for inventory</v>
      </c>
      <c r="H822" s="5"/>
      <c r="I822" s="5"/>
      <c r="J822" s="5" t="str">
        <f>IFERROR(__xludf.DUMMYFUNCTION("""COMPUTED_VALUE"""),"Analgesia/Addiction")</f>
        <v>Analgesia/Addiction</v>
      </c>
      <c r="K822" s="5" t="str">
        <f>IFERROR(__xludf.DUMMYFUNCTION("""COMPUTED_VALUE"""),"Current")</f>
        <v>Current</v>
      </c>
      <c r="L822" s="5"/>
      <c r="M822" s="5"/>
      <c r="N822" s="13">
        <f>IFERROR(__xludf.DUMMYFUNCTION("""COMPUTED_VALUE"""),43039.0)</f>
        <v>43039</v>
      </c>
      <c r="O822" s="5">
        <v>2017.0</v>
      </c>
      <c r="P822" s="5" t="str">
        <f>IFERROR(__xludf.DUMMYFUNCTION("""COMPUTED_VALUE"""),"Available")</f>
        <v>Available</v>
      </c>
      <c r="Q822" s="5" t="s">
        <v>135</v>
      </c>
      <c r="R822" s="5" t="s">
        <v>136</v>
      </c>
      <c r="S822" s="11">
        <v>3282.0</v>
      </c>
    </row>
    <row r="823">
      <c r="A823" s="5" t="str">
        <f>IFERROR(__xludf.DUMMYFUNCTION("""COMPUTED_VALUE"""),"Hydromorphone Hydrochloride Injection")</f>
        <v>Hydromorphone Hydrochloride Injection</v>
      </c>
      <c r="B823" s="5" t="str">
        <f>IFERROR(__xludf.DUMMYFUNCTION("""COMPUTED_VALUE"""),"Fresenius Kabi USA, LLC")</f>
        <v>Fresenius Kabi USA, LLC</v>
      </c>
      <c r="C823" s="5" t="str">
        <f>IFERROR(__xludf.DUMMYFUNCTION("""COMPUTED_VALUE"""),"Hydromorphone Hydrochloride, Injection, 4 mg/1 mL (NDC 63323-854-10)")</f>
        <v>Hydromorphone Hydrochloride, Injection, 4 mg/1 mL (NDC 63323-854-10)</v>
      </c>
      <c r="D823" s="5" t="str">
        <f>IFERROR(__xludf.DUMMYFUNCTION("""COMPUTED_VALUE"""),"Reverified")</f>
        <v>Reverified</v>
      </c>
      <c r="E823" s="13">
        <f>IFERROR(__xludf.DUMMYFUNCTION("""COMPUTED_VALUE"""),46310.0)</f>
        <v>46310</v>
      </c>
      <c r="F823" s="5" t="str">
        <f>IFERROR(__xludf.DUMMYFUNCTION("""COMPUTED_VALUE"""),"Available")</f>
        <v>Available</v>
      </c>
      <c r="G823" s="5" t="str">
        <f>IFERROR(__xludf.DUMMYFUNCTION("""COMPUTED_VALUE"""),"Check wholesalers for inventory")</f>
        <v>Check wholesalers for inventory</v>
      </c>
      <c r="H823" s="5"/>
      <c r="I823" s="5"/>
      <c r="J823" s="5" t="str">
        <f>IFERROR(__xludf.DUMMYFUNCTION("""COMPUTED_VALUE"""),"Analgesia/Addiction")</f>
        <v>Analgesia/Addiction</v>
      </c>
      <c r="K823" s="5" t="str">
        <f>IFERROR(__xludf.DUMMYFUNCTION("""COMPUTED_VALUE"""),"Current")</f>
        <v>Current</v>
      </c>
      <c r="L823" s="5"/>
      <c r="M823" s="5"/>
      <c r="N823" s="10">
        <f>IFERROR(__xludf.DUMMYFUNCTION("""COMPUTED_VALUE"""),43040.0)</f>
        <v>43040</v>
      </c>
      <c r="O823" s="5">
        <v>2017.0</v>
      </c>
      <c r="P823" s="5" t="str">
        <f>IFERROR(__xludf.DUMMYFUNCTION("""COMPUTED_VALUE"""),"Available")</f>
        <v>Available</v>
      </c>
      <c r="Q823" s="5" t="s">
        <v>135</v>
      </c>
      <c r="R823" s="5" t="s">
        <v>136</v>
      </c>
      <c r="S823" s="11">
        <v>3281.0</v>
      </c>
    </row>
    <row r="824">
      <c r="A824" s="5" t="str">
        <f>IFERROR(__xludf.DUMMYFUNCTION("""COMPUTED_VALUE"""),"Hydromorphone Hydrochloride Injection")</f>
        <v>Hydromorphone Hydrochloride Injection</v>
      </c>
      <c r="B824" s="5" t="str">
        <f>IFERROR(__xludf.DUMMYFUNCTION("""COMPUTED_VALUE"""),"Fresenius Kabi USA, LLC")</f>
        <v>Fresenius Kabi USA, LLC</v>
      </c>
      <c r="C824" s="5" t="str">
        <f>IFERROR(__xludf.DUMMYFUNCTION("""COMPUTED_VALUE"""),"Hydromorphone Hydrochloride, Injection, 10 mg/1 mL (NDC 63323-851-10)")</f>
        <v>Hydromorphone Hydrochloride, Injection, 10 mg/1 mL (NDC 63323-851-10)</v>
      </c>
      <c r="D824" s="5" t="str">
        <f>IFERROR(__xludf.DUMMYFUNCTION("""COMPUTED_VALUE"""),"Reverified")</f>
        <v>Reverified</v>
      </c>
      <c r="E824" s="13">
        <f>IFERROR(__xludf.DUMMYFUNCTION("""COMPUTED_VALUE"""),46310.0)</f>
        <v>46310</v>
      </c>
      <c r="F824" s="5" t="str">
        <f>IFERROR(__xludf.DUMMYFUNCTION("""COMPUTED_VALUE"""),"Available")</f>
        <v>Available</v>
      </c>
      <c r="G824" s="5" t="str">
        <f>IFERROR(__xludf.DUMMYFUNCTION("""COMPUTED_VALUE"""),"Check wholesalers for inventory")</f>
        <v>Check wholesalers for inventory</v>
      </c>
      <c r="H824" s="5"/>
      <c r="I824" s="5"/>
      <c r="J824" s="5" t="str">
        <f>IFERROR(__xludf.DUMMYFUNCTION("""COMPUTED_VALUE"""),"Analgesia/Addiction")</f>
        <v>Analgesia/Addiction</v>
      </c>
      <c r="K824" s="5" t="str">
        <f>IFERROR(__xludf.DUMMYFUNCTION("""COMPUTED_VALUE"""),"Current")</f>
        <v>Current</v>
      </c>
      <c r="L824" s="5"/>
      <c r="M824" s="5"/>
      <c r="N824" s="13">
        <f>IFERROR(__xludf.DUMMYFUNCTION("""COMPUTED_VALUE"""),43039.0)</f>
        <v>43039</v>
      </c>
      <c r="O824" s="5">
        <v>2017.0</v>
      </c>
      <c r="P824" s="5" t="str">
        <f>IFERROR(__xludf.DUMMYFUNCTION("""COMPUTED_VALUE"""),"Available")</f>
        <v>Available</v>
      </c>
      <c r="Q824" s="5" t="s">
        <v>135</v>
      </c>
      <c r="R824" s="5" t="s">
        <v>136</v>
      </c>
      <c r="S824" s="11">
        <v>3282.0</v>
      </c>
    </row>
    <row r="825">
      <c r="A825" s="5" t="str">
        <f>IFERROR(__xludf.DUMMYFUNCTION("""COMPUTED_VALUE"""),"Hydromorphone Hydrochloride Injection")</f>
        <v>Hydromorphone Hydrochloride Injection</v>
      </c>
      <c r="B825" s="5" t="str">
        <f>IFERROR(__xludf.DUMMYFUNCTION("""COMPUTED_VALUE"""),"Fresenius Kabi USA, LLC")</f>
        <v>Fresenius Kabi USA, LLC</v>
      </c>
      <c r="C825" s="5" t="str">
        <f>IFERROR(__xludf.DUMMYFUNCTION("""COMPUTED_VALUE"""),"Hydromorphone Hydrochloride, Injection, 10 mg/1 mL (NDC 63323-851-15)")</f>
        <v>Hydromorphone Hydrochloride, Injection, 10 mg/1 mL (NDC 63323-851-15)</v>
      </c>
      <c r="D825" s="5" t="str">
        <f>IFERROR(__xludf.DUMMYFUNCTION("""COMPUTED_VALUE"""),"Reverified")</f>
        <v>Reverified</v>
      </c>
      <c r="E825" s="13">
        <f>IFERROR(__xludf.DUMMYFUNCTION("""COMPUTED_VALUE"""),46310.0)</f>
        <v>46310</v>
      </c>
      <c r="F825" s="5" t="str">
        <f>IFERROR(__xludf.DUMMYFUNCTION("""COMPUTED_VALUE"""),"Available")</f>
        <v>Available</v>
      </c>
      <c r="G825" s="5" t="str">
        <f>IFERROR(__xludf.DUMMYFUNCTION("""COMPUTED_VALUE"""),"Check wholesaler for inventory")</f>
        <v>Check wholesaler for inventory</v>
      </c>
      <c r="H825" s="5"/>
      <c r="I825" s="5"/>
      <c r="J825" s="5" t="str">
        <f>IFERROR(__xludf.DUMMYFUNCTION("""COMPUTED_VALUE"""),"Analgesia/Addiction")</f>
        <v>Analgesia/Addiction</v>
      </c>
      <c r="K825" s="5" t="str">
        <f>IFERROR(__xludf.DUMMYFUNCTION("""COMPUTED_VALUE"""),"Current")</f>
        <v>Current</v>
      </c>
      <c r="L825" s="5"/>
      <c r="M825" s="5"/>
      <c r="N825" s="13">
        <f>IFERROR(__xludf.DUMMYFUNCTION("""COMPUTED_VALUE"""),43039.0)</f>
        <v>43039</v>
      </c>
      <c r="O825" s="5">
        <v>2017.0</v>
      </c>
      <c r="P825" s="5" t="str">
        <f>IFERROR(__xludf.DUMMYFUNCTION("""COMPUTED_VALUE"""),"Available")</f>
        <v>Available</v>
      </c>
      <c r="Q825" s="5" t="s">
        <v>135</v>
      </c>
      <c r="R825" s="5" t="s">
        <v>136</v>
      </c>
      <c r="S825" s="11">
        <v>3282.0</v>
      </c>
    </row>
    <row r="826">
      <c r="A826" s="5" t="str">
        <f>IFERROR(__xludf.DUMMYFUNCTION("""COMPUTED_VALUE"""),"Hydromorphone Hydrochloride Injection")</f>
        <v>Hydromorphone Hydrochloride Injection</v>
      </c>
      <c r="B826" s="5" t="str">
        <f>IFERROR(__xludf.DUMMYFUNCTION("""COMPUTED_VALUE"""),"Fresenius Kabi USA, LLC")</f>
        <v>Fresenius Kabi USA, LLC</v>
      </c>
      <c r="C826" s="5" t="str">
        <f>IFERROR(__xludf.DUMMYFUNCTION("""COMPUTED_VALUE"""),"Hydromorphone Hydrochloride, Injection, 10 mg/1 mL (NDC 63323-851-50)")</f>
        <v>Hydromorphone Hydrochloride, Injection, 10 mg/1 mL (NDC 63323-851-50)</v>
      </c>
      <c r="D826" s="5" t="str">
        <f>IFERROR(__xludf.DUMMYFUNCTION("""COMPUTED_VALUE"""),"Reverified")</f>
        <v>Reverified</v>
      </c>
      <c r="E826" s="13">
        <f>IFERROR(__xludf.DUMMYFUNCTION("""COMPUTED_VALUE"""),46310.0)</f>
        <v>46310</v>
      </c>
      <c r="F826" s="5" t="str">
        <f>IFERROR(__xludf.DUMMYFUNCTION("""COMPUTED_VALUE"""),"Available")</f>
        <v>Available</v>
      </c>
      <c r="G826" s="5" t="str">
        <f>IFERROR(__xludf.DUMMYFUNCTION("""COMPUTED_VALUE"""),"Check wholesalers for inventory")</f>
        <v>Check wholesalers for inventory</v>
      </c>
      <c r="H826" s="5"/>
      <c r="I826" s="5"/>
      <c r="J826" s="5" t="str">
        <f>IFERROR(__xludf.DUMMYFUNCTION("""COMPUTED_VALUE"""),"Analgesia/Addiction")</f>
        <v>Analgesia/Addiction</v>
      </c>
      <c r="K826" s="5" t="str">
        <f>IFERROR(__xludf.DUMMYFUNCTION("""COMPUTED_VALUE"""),"Current")</f>
        <v>Current</v>
      </c>
      <c r="L826" s="5"/>
      <c r="M826" s="5"/>
      <c r="N826" s="13">
        <f>IFERROR(__xludf.DUMMYFUNCTION("""COMPUTED_VALUE"""),43039.0)</f>
        <v>43039</v>
      </c>
      <c r="O826" s="5">
        <v>2017.0</v>
      </c>
      <c r="P826" s="5" t="str">
        <f>IFERROR(__xludf.DUMMYFUNCTION("""COMPUTED_VALUE"""),"Available")</f>
        <v>Available</v>
      </c>
      <c r="Q826" s="5" t="s">
        <v>135</v>
      </c>
      <c r="R826" s="5" t="s">
        <v>136</v>
      </c>
      <c r="S826" s="11">
        <v>3282.0</v>
      </c>
    </row>
    <row r="827">
      <c r="A827" s="5" t="str">
        <f>IFERROR(__xludf.DUMMYFUNCTION("""COMPUTED_VALUE"""),"Hydromorphone Hydrochloride Injection")</f>
        <v>Hydromorphone Hydrochloride Injection</v>
      </c>
      <c r="B827" s="5" t="str">
        <f>IFERROR(__xludf.DUMMYFUNCTION("""COMPUTED_VALUE"""),"Hospira, Inc., a Pfizer Company")</f>
        <v>Hospira, Inc., a Pfizer Company</v>
      </c>
      <c r="C827" s="5" t="str">
        <f>IFERROR(__xludf.DUMMYFUNCTION("""COMPUTED_VALUE"""),"Hydromorphone Hydrochloride, Injection, 1 mg/1 mL Syringes (NDC 0409-1283-31)")</f>
        <v>Hydromorphone Hydrochloride, Injection, 1 mg/1 mL Syringes (NDC 0409-1283-31)</v>
      </c>
      <c r="D827" s="5" t="str">
        <f>IFERROR(__xludf.DUMMYFUNCTION("""COMPUTED_VALUE"""),"Reverified")</f>
        <v>Reverified</v>
      </c>
      <c r="E827" s="13">
        <f>IFERROR(__xludf.DUMMYFUNCTION("""COMPUTED_VALUE"""),46316.0)</f>
        <v>46316</v>
      </c>
      <c r="F827" s="5" t="str">
        <f>IFERROR(__xludf.DUMMYFUNCTION("""COMPUTED_VALUE"""),"Available")</f>
        <v>Available</v>
      </c>
      <c r="G827" s="5"/>
      <c r="H827" s="5"/>
      <c r="I827" s="5"/>
      <c r="J827" s="5" t="str">
        <f>IFERROR(__xludf.DUMMYFUNCTION("""COMPUTED_VALUE"""),"Analgesia/Addiction")</f>
        <v>Analgesia/Addiction</v>
      </c>
      <c r="K827" s="5" t="str">
        <f>IFERROR(__xludf.DUMMYFUNCTION("""COMPUTED_VALUE"""),"Current")</f>
        <v>Current</v>
      </c>
      <c r="L827" s="5"/>
      <c r="M827" s="5"/>
      <c r="N827" s="13">
        <f>IFERROR(__xludf.DUMMYFUNCTION("""COMPUTED_VALUE"""),43039.0)</f>
        <v>43039</v>
      </c>
      <c r="O827" s="5">
        <v>2017.0</v>
      </c>
      <c r="P827" s="5" t="str">
        <f>IFERROR(__xludf.DUMMYFUNCTION("""COMPUTED_VALUE"""),"Available")</f>
        <v>Available</v>
      </c>
      <c r="Q827" s="5" t="s">
        <v>135</v>
      </c>
      <c r="R827" s="5" t="s">
        <v>136</v>
      </c>
      <c r="S827" s="11">
        <v>3282.0</v>
      </c>
    </row>
    <row r="828">
      <c r="A828" s="5" t="str">
        <f>IFERROR(__xludf.DUMMYFUNCTION("""COMPUTED_VALUE"""),"Hydromorphone Hydrochloride Injection")</f>
        <v>Hydromorphone Hydrochloride Injection</v>
      </c>
      <c r="B828" s="5" t="str">
        <f>IFERROR(__xludf.DUMMYFUNCTION("""COMPUTED_VALUE"""),"Hospira, Inc., a Pfizer Company")</f>
        <v>Hospira, Inc., a Pfizer Company</v>
      </c>
      <c r="C828" s="5" t="str">
        <f>IFERROR(__xludf.DUMMYFUNCTION("""COMPUTED_VALUE"""),"Hydromorphone Hydrochloride, Injection, 2 mg/1 mL Syringes (NDC 0409-1312-30)")</f>
        <v>Hydromorphone Hydrochloride, Injection, 2 mg/1 mL Syringes (NDC 0409-1312-30)</v>
      </c>
      <c r="D828" s="5" t="str">
        <f>IFERROR(__xludf.DUMMYFUNCTION("""COMPUTED_VALUE"""),"Reverified")</f>
        <v>Reverified</v>
      </c>
      <c r="E828" s="13">
        <f>IFERROR(__xludf.DUMMYFUNCTION("""COMPUTED_VALUE"""),46316.0)</f>
        <v>46316</v>
      </c>
      <c r="F828" s="5" t="str">
        <f>IFERROR(__xludf.DUMMYFUNCTION("""COMPUTED_VALUE"""),"Available")</f>
        <v>Available</v>
      </c>
      <c r="G828" s="5"/>
      <c r="H828" s="5"/>
      <c r="I828" s="5"/>
      <c r="J828" s="5" t="str">
        <f>IFERROR(__xludf.DUMMYFUNCTION("""COMPUTED_VALUE"""),"Analgesia/Addiction")</f>
        <v>Analgesia/Addiction</v>
      </c>
      <c r="K828" s="5" t="str">
        <f>IFERROR(__xludf.DUMMYFUNCTION("""COMPUTED_VALUE"""),"Current")</f>
        <v>Current</v>
      </c>
      <c r="L828" s="5"/>
      <c r="M828" s="5"/>
      <c r="N828" s="13">
        <f>IFERROR(__xludf.DUMMYFUNCTION("""COMPUTED_VALUE"""),43039.0)</f>
        <v>43039</v>
      </c>
      <c r="O828" s="5">
        <v>2017.0</v>
      </c>
      <c r="P828" s="5" t="str">
        <f>IFERROR(__xludf.DUMMYFUNCTION("""COMPUTED_VALUE"""),"Available")</f>
        <v>Available</v>
      </c>
      <c r="Q828" s="5" t="s">
        <v>135</v>
      </c>
      <c r="R828" s="5" t="s">
        <v>136</v>
      </c>
      <c r="S828" s="11">
        <v>3282.0</v>
      </c>
    </row>
    <row r="829">
      <c r="A829" s="5" t="str">
        <f>IFERROR(__xludf.DUMMYFUNCTION("""COMPUTED_VALUE"""),"Hydromorphone Hydrochloride Injection")</f>
        <v>Hydromorphone Hydrochloride Injection</v>
      </c>
      <c r="B829" s="5" t="str">
        <f>IFERROR(__xludf.DUMMYFUNCTION("""COMPUTED_VALUE"""),"Hospira, Inc., a Pfizer Company")</f>
        <v>Hospira, Inc., a Pfizer Company</v>
      </c>
      <c r="C829" s="5" t="str">
        <f>IFERROR(__xludf.DUMMYFUNCTION("""COMPUTED_VALUE"""),"Hydromorphone Hydrochloride, Injection, 4 mg/1 mL Syringes (NDC 0409-1304-31)")</f>
        <v>Hydromorphone Hydrochloride, Injection, 4 mg/1 mL Syringes (NDC 0409-1304-31)</v>
      </c>
      <c r="D829" s="5" t="str">
        <f>IFERROR(__xludf.DUMMYFUNCTION("""COMPUTED_VALUE"""),"Reverified")</f>
        <v>Reverified</v>
      </c>
      <c r="E829" s="13">
        <f>IFERROR(__xludf.DUMMYFUNCTION("""COMPUTED_VALUE"""),46316.0)</f>
        <v>46316</v>
      </c>
      <c r="F829" s="5" t="str">
        <f>IFERROR(__xludf.DUMMYFUNCTION("""COMPUTED_VALUE"""),"Available")</f>
        <v>Available</v>
      </c>
      <c r="G829" s="5"/>
      <c r="H829" s="5"/>
      <c r="I829" s="5"/>
      <c r="J829" s="5" t="str">
        <f>IFERROR(__xludf.DUMMYFUNCTION("""COMPUTED_VALUE"""),"Analgesia/Addiction")</f>
        <v>Analgesia/Addiction</v>
      </c>
      <c r="K829" s="5" t="str">
        <f>IFERROR(__xludf.DUMMYFUNCTION("""COMPUTED_VALUE"""),"Current")</f>
        <v>Current</v>
      </c>
      <c r="L829" s="5"/>
      <c r="M829" s="5"/>
      <c r="N829" s="13">
        <f>IFERROR(__xludf.DUMMYFUNCTION("""COMPUTED_VALUE"""),43039.0)</f>
        <v>43039</v>
      </c>
      <c r="O829" s="5">
        <v>2017.0</v>
      </c>
      <c r="P829" s="5" t="str">
        <f>IFERROR(__xludf.DUMMYFUNCTION("""COMPUTED_VALUE"""),"Available")</f>
        <v>Available</v>
      </c>
      <c r="Q829" s="5" t="s">
        <v>135</v>
      </c>
      <c r="R829" s="5" t="s">
        <v>136</v>
      </c>
      <c r="S829" s="11">
        <v>3282.0</v>
      </c>
    </row>
    <row r="830">
      <c r="A830" s="5" t="str">
        <f>IFERROR(__xludf.DUMMYFUNCTION("""COMPUTED_VALUE"""),"Hydromorphone Hydrochloride Injection")</f>
        <v>Hydromorphone Hydrochloride Injection</v>
      </c>
      <c r="B830" s="5" t="str">
        <f>IFERROR(__xludf.DUMMYFUNCTION("""COMPUTED_VALUE"""),"Hospira, Inc., a Pfizer Company")</f>
        <v>Hospira, Inc., a Pfizer Company</v>
      </c>
      <c r="C830" s="5" t="str">
        <f>IFERROR(__xludf.DUMMYFUNCTION("""COMPUTED_VALUE"""),"Hydromorphone Hydrochloride, Injection, 10 mg/1 mL (NDC 0409-2634-01)")</f>
        <v>Hydromorphone Hydrochloride, Injection, 10 mg/1 mL (NDC 0409-2634-01)</v>
      </c>
      <c r="D830" s="5" t="str">
        <f>IFERROR(__xludf.DUMMYFUNCTION("""COMPUTED_VALUE"""),"Reverified")</f>
        <v>Reverified</v>
      </c>
      <c r="E830" s="13">
        <f>IFERROR(__xludf.DUMMYFUNCTION("""COMPUTED_VALUE"""),46316.0)</f>
        <v>46316</v>
      </c>
      <c r="F830" s="5" t="str">
        <f>IFERROR(__xludf.DUMMYFUNCTION("""COMPUTED_VALUE"""),"Available")</f>
        <v>Available</v>
      </c>
      <c r="G830" s="5"/>
      <c r="H830" s="5"/>
      <c r="I830" s="5"/>
      <c r="J830" s="5" t="str">
        <f>IFERROR(__xludf.DUMMYFUNCTION("""COMPUTED_VALUE"""),"Analgesia/Addiction")</f>
        <v>Analgesia/Addiction</v>
      </c>
      <c r="K830" s="5" t="str">
        <f>IFERROR(__xludf.DUMMYFUNCTION("""COMPUTED_VALUE"""),"Current")</f>
        <v>Current</v>
      </c>
      <c r="L830" s="5"/>
      <c r="M830" s="5"/>
      <c r="N830" s="13">
        <f>IFERROR(__xludf.DUMMYFUNCTION("""COMPUTED_VALUE"""),43039.0)</f>
        <v>43039</v>
      </c>
      <c r="O830" s="5">
        <v>2017.0</v>
      </c>
      <c r="P830" s="5" t="str">
        <f>IFERROR(__xludf.DUMMYFUNCTION("""COMPUTED_VALUE"""),"Available")</f>
        <v>Available</v>
      </c>
      <c r="Q830" s="5" t="s">
        <v>135</v>
      </c>
      <c r="R830" s="5" t="s">
        <v>136</v>
      </c>
      <c r="S830" s="11">
        <v>3282.0</v>
      </c>
    </row>
    <row r="831">
      <c r="A831" s="5" t="str">
        <f>IFERROR(__xludf.DUMMYFUNCTION("""COMPUTED_VALUE"""),"Hydromorphone Hydrochloride Injection")</f>
        <v>Hydromorphone Hydrochloride Injection</v>
      </c>
      <c r="B831" s="5" t="str">
        <f>IFERROR(__xludf.DUMMYFUNCTION("""COMPUTED_VALUE"""),"Hospira, Inc., a Pfizer Company")</f>
        <v>Hospira, Inc., a Pfizer Company</v>
      </c>
      <c r="C831" s="5" t="str">
        <f>IFERROR(__xludf.DUMMYFUNCTION("""COMPUTED_VALUE"""),"Hydromorphone Hydrochloride, Injection, 50 mg/5 mL (10 mg/mL) (NDC 0409-2634-05)")</f>
        <v>Hydromorphone Hydrochloride, Injection, 50 mg/5 mL (10 mg/mL) (NDC 0409-2634-05)</v>
      </c>
      <c r="D831" s="5" t="str">
        <f>IFERROR(__xludf.DUMMYFUNCTION("""COMPUTED_VALUE"""),"Reverified")</f>
        <v>Reverified</v>
      </c>
      <c r="E831" s="13">
        <f>IFERROR(__xludf.DUMMYFUNCTION("""COMPUTED_VALUE"""),46316.0)</f>
        <v>46316</v>
      </c>
      <c r="F831" s="5" t="str">
        <f>IFERROR(__xludf.DUMMYFUNCTION("""COMPUTED_VALUE"""),"Available")</f>
        <v>Available</v>
      </c>
      <c r="G831" s="5"/>
      <c r="H831" s="5"/>
      <c r="I831" s="5"/>
      <c r="J831" s="5" t="str">
        <f>IFERROR(__xludf.DUMMYFUNCTION("""COMPUTED_VALUE"""),"Analgesia/Addiction")</f>
        <v>Analgesia/Addiction</v>
      </c>
      <c r="K831" s="5" t="str">
        <f>IFERROR(__xludf.DUMMYFUNCTION("""COMPUTED_VALUE"""),"Current")</f>
        <v>Current</v>
      </c>
      <c r="L831" s="5"/>
      <c r="M831" s="5"/>
      <c r="N831" s="13">
        <f>IFERROR(__xludf.DUMMYFUNCTION("""COMPUTED_VALUE"""),43039.0)</f>
        <v>43039</v>
      </c>
      <c r="O831" s="5">
        <v>2017.0</v>
      </c>
      <c r="P831" s="5" t="str">
        <f>IFERROR(__xludf.DUMMYFUNCTION("""COMPUTED_VALUE"""),"Available")</f>
        <v>Available</v>
      </c>
      <c r="Q831" s="5" t="s">
        <v>135</v>
      </c>
      <c r="R831" s="5" t="s">
        <v>136</v>
      </c>
      <c r="S831" s="11">
        <v>3282.0</v>
      </c>
    </row>
    <row r="832">
      <c r="A832" s="5" t="str">
        <f>IFERROR(__xludf.DUMMYFUNCTION("""COMPUTED_VALUE"""),"Hydromorphone Hydrochloride Injection")</f>
        <v>Hydromorphone Hydrochloride Injection</v>
      </c>
      <c r="B832" s="5" t="str">
        <f>IFERROR(__xludf.DUMMYFUNCTION("""COMPUTED_VALUE"""),"Hospira, Inc., a Pfizer Company")</f>
        <v>Hospira, Inc., a Pfizer Company</v>
      </c>
      <c r="C832" s="5" t="str">
        <f>IFERROR(__xludf.DUMMYFUNCTION("""COMPUTED_VALUE"""),"Hydromorphone Hydrochloride, Injection, 500 mg/50 mL (10 mg/mL) (NDC 0409-2634-50)")</f>
        <v>Hydromorphone Hydrochloride, Injection, 500 mg/50 mL (10 mg/mL) (NDC 0409-2634-50)</v>
      </c>
      <c r="D832" s="5" t="str">
        <f>IFERROR(__xludf.DUMMYFUNCTION("""COMPUTED_VALUE"""),"Reverified")</f>
        <v>Reverified</v>
      </c>
      <c r="E832" s="13">
        <f>IFERROR(__xludf.DUMMYFUNCTION("""COMPUTED_VALUE"""),46316.0)</f>
        <v>46316</v>
      </c>
      <c r="F832" s="5" t="str">
        <f>IFERROR(__xludf.DUMMYFUNCTION("""COMPUTED_VALUE"""),"Available")</f>
        <v>Available</v>
      </c>
      <c r="G832" s="5"/>
      <c r="H832" s="5"/>
      <c r="I832" s="5"/>
      <c r="J832" s="5" t="str">
        <f>IFERROR(__xludf.DUMMYFUNCTION("""COMPUTED_VALUE"""),"Analgesia/Addiction")</f>
        <v>Analgesia/Addiction</v>
      </c>
      <c r="K832" s="5" t="str">
        <f>IFERROR(__xludf.DUMMYFUNCTION("""COMPUTED_VALUE"""),"Current")</f>
        <v>Current</v>
      </c>
      <c r="L832" s="5"/>
      <c r="M832" s="5"/>
      <c r="N832" s="13">
        <f>IFERROR(__xludf.DUMMYFUNCTION("""COMPUTED_VALUE"""),43039.0)</f>
        <v>43039</v>
      </c>
      <c r="O832" s="5">
        <v>2017.0</v>
      </c>
      <c r="P832" s="5" t="str">
        <f>IFERROR(__xludf.DUMMYFUNCTION("""COMPUTED_VALUE"""),"Available")</f>
        <v>Available</v>
      </c>
      <c r="Q832" s="5" t="s">
        <v>135</v>
      </c>
      <c r="R832" s="5" t="s">
        <v>136</v>
      </c>
      <c r="S832" s="11">
        <v>3282.0</v>
      </c>
    </row>
    <row r="833">
      <c r="A833" s="5" t="str">
        <f>IFERROR(__xludf.DUMMYFUNCTION("""COMPUTED_VALUE"""),"Hydromorphone Hydrochloride Injection")</f>
        <v>Hydromorphone Hydrochloride Injection</v>
      </c>
      <c r="B833" s="5" t="str">
        <f>IFERROR(__xludf.DUMMYFUNCTION("""COMPUTED_VALUE"""),"Teva Pharmaceuticals USA, Inc.")</f>
        <v>Teva Pharmaceuticals USA, Inc.</v>
      </c>
      <c r="C833" s="5" t="str">
        <f>IFERROR(__xludf.DUMMYFUNCTION("""COMPUTED_VALUE"""),"Hydromorphone Hydrochloride, Injection, 10 mg/1 mL (NDC 0703-0110-03)")</f>
        <v>Hydromorphone Hydrochloride, Injection, 10 mg/1 mL (NDC 0703-0110-03)</v>
      </c>
      <c r="D833" s="5" t="str">
        <f>IFERROR(__xludf.DUMMYFUNCTION("""COMPUTED_VALUE"""),"Reverified")</f>
        <v>Reverified</v>
      </c>
      <c r="E833" s="13">
        <f>IFERROR(__xludf.DUMMYFUNCTION("""COMPUTED_VALUE"""),46310.0)</f>
        <v>46310</v>
      </c>
      <c r="F833" s="5" t="str">
        <f>IFERROR(__xludf.DUMMYFUNCTION("""COMPUTED_VALUE"""),"Available")</f>
        <v>Available</v>
      </c>
      <c r="G833" s="5"/>
      <c r="H833" s="5"/>
      <c r="I833" s="5"/>
      <c r="J833" s="5" t="str">
        <f>IFERROR(__xludf.DUMMYFUNCTION("""COMPUTED_VALUE"""),"Analgesia/Addiction")</f>
        <v>Analgesia/Addiction</v>
      </c>
      <c r="K833" s="5" t="str">
        <f>IFERROR(__xludf.DUMMYFUNCTION("""COMPUTED_VALUE"""),"Current")</f>
        <v>Current</v>
      </c>
      <c r="L833" s="5"/>
      <c r="M833" s="5"/>
      <c r="N833" s="10">
        <f>IFERROR(__xludf.DUMMYFUNCTION("""COMPUTED_VALUE"""),43040.0)</f>
        <v>43040</v>
      </c>
      <c r="O833" s="5">
        <v>2017.0</v>
      </c>
      <c r="P833" s="5" t="str">
        <f>IFERROR(__xludf.DUMMYFUNCTION("""COMPUTED_VALUE"""),"Available")</f>
        <v>Available</v>
      </c>
      <c r="Q833" s="5" t="s">
        <v>135</v>
      </c>
      <c r="R833" s="5" t="s">
        <v>136</v>
      </c>
      <c r="S833" s="11">
        <v>3281.0</v>
      </c>
    </row>
    <row r="834">
      <c r="A834" s="5" t="str">
        <f>IFERROR(__xludf.DUMMYFUNCTION("""COMPUTED_VALUE"""),"Hydromorphone Hydrochloride Injection")</f>
        <v>Hydromorphone Hydrochloride Injection</v>
      </c>
      <c r="B834" s="5" t="str">
        <f>IFERROR(__xludf.DUMMYFUNCTION("""COMPUTED_VALUE"""),"Teva Pharmaceuticals USA, Inc.")</f>
        <v>Teva Pharmaceuticals USA, Inc.</v>
      </c>
      <c r="C834" s="5" t="str">
        <f>IFERROR(__xludf.DUMMYFUNCTION("""COMPUTED_VALUE"""),"Hydromorphone Hydrochloride, Injection, 10 mg/1 mL (NDC 0703-0113-03)")</f>
        <v>Hydromorphone Hydrochloride, Injection, 10 mg/1 mL (NDC 0703-0113-03)</v>
      </c>
      <c r="D834" s="5" t="str">
        <f>IFERROR(__xludf.DUMMYFUNCTION("""COMPUTED_VALUE"""),"Reverified")</f>
        <v>Reverified</v>
      </c>
      <c r="E834" s="13">
        <f>IFERROR(__xludf.DUMMYFUNCTION("""COMPUTED_VALUE"""),46310.0)</f>
        <v>46310</v>
      </c>
      <c r="F834" s="5" t="str">
        <f>IFERROR(__xludf.DUMMYFUNCTION("""COMPUTED_VALUE"""),"Limited Availability")</f>
        <v>Limited Availability</v>
      </c>
      <c r="G834" s="5" t="str">
        <f>IFERROR(__xludf.DUMMYFUNCTION("""COMPUTED_VALUE"""),"Estimated recovery: October 2026")</f>
        <v>Estimated recovery: October 2026</v>
      </c>
      <c r="H834" s="5"/>
      <c r="I834" s="5" t="str">
        <f>IFERROR(__xludf.DUMMYFUNCTION("""COMPUTED_VALUE"""),"Other")</f>
        <v>Other</v>
      </c>
      <c r="J834" s="5" t="str">
        <f>IFERROR(__xludf.DUMMYFUNCTION("""COMPUTED_VALUE"""),"Analgesia/Addiction")</f>
        <v>Analgesia/Addiction</v>
      </c>
      <c r="K834" s="5" t="str">
        <f>IFERROR(__xludf.DUMMYFUNCTION("""COMPUTED_VALUE"""),"Current")</f>
        <v>Current</v>
      </c>
      <c r="L834" s="5"/>
      <c r="M834" s="5"/>
      <c r="N834" s="10">
        <f>IFERROR(__xludf.DUMMYFUNCTION("""COMPUTED_VALUE"""),43040.0)</f>
        <v>43040</v>
      </c>
      <c r="O834" s="5">
        <v>2017.0</v>
      </c>
      <c r="P834" s="5" t="str">
        <f>IFERROR(__xludf.DUMMYFUNCTION("""COMPUTED_VALUE"""),"Limited Availability")</f>
        <v>Limited Availability</v>
      </c>
      <c r="Q834" s="5" t="s">
        <v>47</v>
      </c>
      <c r="R834" s="5" t="s">
        <v>136</v>
      </c>
      <c r="S834" s="11">
        <v>3281.0</v>
      </c>
    </row>
    <row r="835">
      <c r="A835" s="5" t="str">
        <f>IFERROR(__xludf.DUMMYFUNCTION("""COMPUTED_VALUE"""),"Hydromorphone Hydrochloride Injection")</f>
        <v>Hydromorphone Hydrochloride Injection</v>
      </c>
      <c r="B835" s="5" t="str">
        <f>IFERROR(__xludf.DUMMYFUNCTION("""COMPUTED_VALUE"""),"Teva Pharmaceuticals USA, Inc.")</f>
        <v>Teva Pharmaceuticals USA, Inc.</v>
      </c>
      <c r="C835" s="5" t="str">
        <f>IFERROR(__xludf.DUMMYFUNCTION("""COMPUTED_VALUE"""),"Hydromorphone Hydrochloride, Injection, 10 mg/1 mL (NDC 0703-0018-01)")</f>
        <v>Hydromorphone Hydrochloride, Injection, 10 mg/1 mL (NDC 0703-0018-01)</v>
      </c>
      <c r="D835" s="5" t="str">
        <f>IFERROR(__xludf.DUMMYFUNCTION("""COMPUTED_VALUE"""),"Reverified")</f>
        <v>Reverified</v>
      </c>
      <c r="E835" s="13">
        <f>IFERROR(__xludf.DUMMYFUNCTION("""COMPUTED_VALUE"""),46310.0)</f>
        <v>46310</v>
      </c>
      <c r="F835" s="5" t="str">
        <f>IFERROR(__xludf.DUMMYFUNCTION("""COMPUTED_VALUE"""),"Available")</f>
        <v>Available</v>
      </c>
      <c r="G835" s="5"/>
      <c r="H835" s="5"/>
      <c r="I835" s="5"/>
      <c r="J835" s="5" t="str">
        <f>IFERROR(__xludf.DUMMYFUNCTION("""COMPUTED_VALUE"""),"Analgesia/Addiction")</f>
        <v>Analgesia/Addiction</v>
      </c>
      <c r="K835" s="5" t="str">
        <f>IFERROR(__xludf.DUMMYFUNCTION("""COMPUTED_VALUE"""),"Current")</f>
        <v>Current</v>
      </c>
      <c r="L835" s="5"/>
      <c r="M835" s="5"/>
      <c r="N835" s="10">
        <f>IFERROR(__xludf.DUMMYFUNCTION("""COMPUTED_VALUE"""),43040.0)</f>
        <v>43040</v>
      </c>
      <c r="O835" s="5">
        <v>2017.0</v>
      </c>
      <c r="P835" s="5" t="str">
        <f>IFERROR(__xludf.DUMMYFUNCTION("""COMPUTED_VALUE"""),"Available")</f>
        <v>Available</v>
      </c>
      <c r="Q835" s="5" t="s">
        <v>135</v>
      </c>
      <c r="R835" s="5" t="s">
        <v>136</v>
      </c>
      <c r="S835" s="11">
        <v>3281.0</v>
      </c>
    </row>
    <row r="836">
      <c r="A836" s="5" t="str">
        <f>IFERROR(__xludf.DUMMYFUNCTION("""COMPUTED_VALUE"""),"Hydromorphone Hydrochloride Injection")</f>
        <v>Hydromorphone Hydrochloride Injection</v>
      </c>
      <c r="B836" s="5" t="str">
        <f>IFERROR(__xludf.DUMMYFUNCTION("""COMPUTED_VALUE"""),"Hikma Pharmaceuticals USA, Inc.")</f>
        <v>Hikma Pharmaceuticals USA, Inc.</v>
      </c>
      <c r="C836" s="5" t="str">
        <f>IFERROR(__xludf.DUMMYFUNCTION("""COMPUTED_VALUE"""),"Hydromorphone Hydrochloride, Injection, 2 mg/1 mL (NDC 0641-0121-25)")</f>
        <v>Hydromorphone Hydrochloride, Injection, 2 mg/1 mL (NDC 0641-0121-25)</v>
      </c>
      <c r="D836" s="5" t="str">
        <f>IFERROR(__xludf.DUMMYFUNCTION("""COMPUTED_VALUE"""),"Reverified")</f>
        <v>Reverified</v>
      </c>
      <c r="E836" s="13">
        <f>IFERROR(__xludf.DUMMYFUNCTION("""COMPUTED_VALUE"""),46309.0)</f>
        <v>46309</v>
      </c>
      <c r="F836" s="5" t="str">
        <f>IFERROR(__xludf.DUMMYFUNCTION("""COMPUTED_VALUE"""),"Available")</f>
        <v>Available</v>
      </c>
      <c r="G836" s="5" t="str">
        <f>IFERROR(__xludf.DUMMYFUNCTION("""COMPUTED_VALUE"""),"Additional lots are scheduled for manufacturing to meet demand.  Product will be made available as it is released.")</f>
        <v>Additional lots are scheduled for manufacturing to meet demand.  Product will be made available as it is released.</v>
      </c>
      <c r="H836" s="5"/>
      <c r="I836" s="5"/>
      <c r="J836" s="5" t="str">
        <f>IFERROR(__xludf.DUMMYFUNCTION("""COMPUTED_VALUE"""),"Analgesia/Addiction")</f>
        <v>Analgesia/Addiction</v>
      </c>
      <c r="K836" s="5" t="str">
        <f>IFERROR(__xludf.DUMMYFUNCTION("""COMPUTED_VALUE"""),"Current")</f>
        <v>Current</v>
      </c>
      <c r="L836" s="10">
        <f>IFERROR(__xludf.DUMMYFUNCTION("""COMPUTED_VALUE"""),45660.0)</f>
        <v>45660</v>
      </c>
      <c r="M836" s="5"/>
      <c r="N836" s="10">
        <f>IFERROR(__xludf.DUMMYFUNCTION("""COMPUTED_VALUE"""),43042.0)</f>
        <v>43042</v>
      </c>
      <c r="O836" s="5">
        <v>2017.0</v>
      </c>
      <c r="P836" s="5" t="str">
        <f>IFERROR(__xludf.DUMMYFUNCTION("""COMPUTED_VALUE"""),"Available")</f>
        <v>Available</v>
      </c>
      <c r="Q836" s="5" t="s">
        <v>135</v>
      </c>
      <c r="R836" s="5" t="s">
        <v>136</v>
      </c>
      <c r="S836" s="11">
        <v>3279.0</v>
      </c>
    </row>
    <row r="837">
      <c r="A837" s="5" t="str">
        <f>IFERROR(__xludf.DUMMYFUNCTION("""COMPUTED_VALUE"""),"Hydromorphone Hydrochloride Injection")</f>
        <v>Hydromorphone Hydrochloride Injection</v>
      </c>
      <c r="B837" s="5" t="str">
        <f>IFERROR(__xludf.DUMMYFUNCTION("""COMPUTED_VALUE"""),"Hikma Pharmaceuticals USA, Inc.")</f>
        <v>Hikma Pharmaceuticals USA, Inc.</v>
      </c>
      <c r="C837" s="5" t="str">
        <f>IFERROR(__xludf.DUMMYFUNCTION("""COMPUTED_VALUE"""),"Hydromorphone Hydrochloride, Injection, 2 mg/1 mL (NDC 0641-6254-01)")</f>
        <v>Hydromorphone Hydrochloride, Injection, 2 mg/1 mL (NDC 0641-6254-01)</v>
      </c>
      <c r="D837" s="5" t="str">
        <f>IFERROR(__xludf.DUMMYFUNCTION("""COMPUTED_VALUE"""),"Revised")</f>
        <v>Revised</v>
      </c>
      <c r="E837" s="13">
        <f>IFERROR(__xludf.DUMMYFUNCTION("""COMPUTED_VALUE"""),46309.0)</f>
        <v>46309</v>
      </c>
      <c r="F837" s="5" t="str">
        <f>IFERROR(__xludf.DUMMYFUNCTION("""COMPUTED_VALUE"""),"Unavailable")</f>
        <v>Unavailable</v>
      </c>
      <c r="G837" s="5" t="str">
        <f>IFERROR(__xludf.DUMMYFUNCTION("""COMPUTED_VALUE"""),"Product temporarily on backorder.  Additional lots will be available in the November 2026 timeframe.")</f>
        <v>Product temporarily on backorder.  Additional lots will be available in the November 2026 timeframe.</v>
      </c>
      <c r="H837" s="5"/>
      <c r="I837" s="5" t="str">
        <f>IFERROR(__xludf.DUMMYFUNCTION("""COMPUTED_VALUE"""),"Demand increase for the drug")</f>
        <v>Demand increase for the drug</v>
      </c>
      <c r="J837" s="5" t="str">
        <f>IFERROR(__xludf.DUMMYFUNCTION("""COMPUTED_VALUE"""),"Analgesia/Addiction")</f>
        <v>Analgesia/Addiction</v>
      </c>
      <c r="K837" s="5" t="str">
        <f>IFERROR(__xludf.DUMMYFUNCTION("""COMPUTED_VALUE"""),"Current")</f>
        <v>Current</v>
      </c>
      <c r="L837" s="5"/>
      <c r="M837" s="5"/>
      <c r="N837" s="10">
        <f>IFERROR(__xludf.DUMMYFUNCTION("""COMPUTED_VALUE"""),43040.0)</f>
        <v>43040</v>
      </c>
      <c r="O837" s="5">
        <v>2017.0</v>
      </c>
      <c r="P837" s="5" t="str">
        <f>IFERROR(__xludf.DUMMYFUNCTION("""COMPUTED_VALUE"""),"Unavailable")</f>
        <v>Unavailable</v>
      </c>
      <c r="Q837" s="5" t="s">
        <v>134</v>
      </c>
      <c r="R837" s="5" t="s">
        <v>136</v>
      </c>
      <c r="S837" s="11">
        <v>3281.0</v>
      </c>
    </row>
    <row r="838">
      <c r="A838" s="5" t="str">
        <f>IFERROR(__xludf.DUMMYFUNCTION("""COMPUTED_VALUE"""),"Hydromorphone Hydrochloride Suppository")</f>
        <v>Hydromorphone Hydrochloride Suppository</v>
      </c>
      <c r="B838" s="5" t="str">
        <f>IFERROR(__xludf.DUMMYFUNCTION("""COMPUTED_VALUE"""),"Padagis US LLC")</f>
        <v>Padagis US LLC</v>
      </c>
      <c r="C838" s="5" t="str">
        <f>IFERROR(__xludf.DUMMYFUNCTION("""COMPUTED_VALUE"""),"Hydromorphone Hydrochloride, Suppository, 3 mg (NDC 0574-7224-06)")</f>
        <v>Hydromorphone Hydrochloride, Suppository, 3 mg (NDC 0574-7224-06)</v>
      </c>
      <c r="D838" s="5" t="str">
        <f>IFERROR(__xludf.DUMMYFUNCTION("""COMPUTED_VALUE"""),"New")</f>
        <v>New</v>
      </c>
      <c r="E838" s="10">
        <f>IFERROR(__xludf.DUMMYFUNCTION("""COMPUTED_VALUE"""),46226.0)</f>
        <v>46226</v>
      </c>
      <c r="F838" s="5"/>
      <c r="G838" s="5" t="str">
        <f>IFERROR(__xludf.DUMMYFUNCTION("""COMPUTED_VALUE"""),"Discontinuation of the manufacture of the drug")</f>
        <v>Discontinuation of the manufacture of the drug</v>
      </c>
      <c r="H838" s="5"/>
      <c r="I838" s="5"/>
      <c r="J838" s="5" t="str">
        <f>IFERROR(__xludf.DUMMYFUNCTION("""COMPUTED_VALUE"""),"Analgesia/Addiction")</f>
        <v>Analgesia/Addiction</v>
      </c>
      <c r="K838" s="5" t="str">
        <f>IFERROR(__xludf.DUMMYFUNCTION("""COMPUTED_VALUE"""),"To Be Discontinued")</f>
        <v>To Be Discontinued</v>
      </c>
      <c r="L838" s="5"/>
      <c r="M838" s="10">
        <f>IFERROR(__xludf.DUMMYFUNCTION("""COMPUTED_VALUE"""),46226.0)</f>
        <v>46226</v>
      </c>
      <c r="N838" s="10">
        <f>IFERROR(__xludf.DUMMYFUNCTION("""COMPUTED_VALUE"""),46226.0)</f>
        <v>46226</v>
      </c>
      <c r="O838" s="5">
        <v>2026.0</v>
      </c>
      <c r="P838" s="5" t="str">
        <f>IFERROR(__xludf.DUMMYFUNCTION("""COMPUTED_VALUE"""),"Not stated")</f>
        <v>Not stated</v>
      </c>
      <c r="Q838" s="5" t="s">
        <v>135</v>
      </c>
      <c r="R838" s="5" t="s">
        <v>136</v>
      </c>
      <c r="S838" s="11">
        <v>95.0</v>
      </c>
    </row>
    <row r="839">
      <c r="A839" s="5" t="str">
        <f>IFERROR(__xludf.DUMMYFUNCTION("""COMPUTED_VALUE"""),"Hydroxocobalamin Injection")</f>
        <v>Hydroxocobalamin Injection</v>
      </c>
      <c r="B839" s="5" t="str">
        <f>IFERROR(__xludf.DUMMYFUNCTION("""COMPUTED_VALUE"""),"BTG International Inc.")</f>
        <v>BTG International Inc.</v>
      </c>
      <c r="C839" s="5" t="str">
        <f>IFERROR(__xludf.DUMMYFUNCTION("""COMPUTED_VALUE"""),"Cyanokit, Injection, 5 g/250mL (NDC 50633-310-11)")</f>
        <v>Cyanokit, Injection, 5 g/250mL (NDC 50633-310-11)</v>
      </c>
      <c r="D839" s="5" t="str">
        <f>IFERROR(__xludf.DUMMYFUNCTION("""COMPUTED_VALUE"""),"Reverified")</f>
        <v>Reverified</v>
      </c>
      <c r="E839" s="13">
        <f>IFERROR(__xludf.DUMMYFUNCTION("""COMPUTED_VALUE"""),46314.0)</f>
        <v>46314</v>
      </c>
      <c r="F839" s="5" t="str">
        <f>IFERROR(__xludf.DUMMYFUNCTION("""COMPUTED_VALUE"""),"Limited Availability")</f>
        <v>Limited Availability</v>
      </c>
      <c r="G839" s="5" t="str">
        <f>IFERROR(__xludf.DUMMYFUNCTION("""COMPUTED_VALUE"""),"Cyanokit is available to order. To address the drug shortage, BTG International Inc (a SERB Pharmaceuticals company) coordinated with the U.S. Food and Drug Administration (FDA) to make the following impacted batches available to U.S. patients during this"&amp;" period of shortage.")</f>
        <v>Cyanokit is available to order. To address the drug shortage, BTG International Inc (a SERB Pharmaceuticals company) coordinated with the U.S. Food and Drug Administration (FDA) to make the following impacted batches available to U.S. patients during this period of shortage.</v>
      </c>
      <c r="H839" s="5"/>
      <c r="I839" s="5" t="str">
        <f>IFERROR(__xludf.DUMMYFUNCTION("""COMPUTED_VALUE"""),"Other")</f>
        <v>Other</v>
      </c>
      <c r="J839" s="5" t="str">
        <f>IFERROR(__xludf.DUMMYFUNCTION("""COMPUTED_VALUE"""),"Other")</f>
        <v>Other</v>
      </c>
      <c r="K839" s="5" t="str">
        <f>IFERROR(__xludf.DUMMYFUNCTION("""COMPUTED_VALUE"""),"Current")</f>
        <v>Current</v>
      </c>
      <c r="L839" s="5"/>
      <c r="M839" s="5"/>
      <c r="N839" s="10">
        <f>IFERROR(__xludf.DUMMYFUNCTION("""COMPUTED_VALUE"""),45600.0)</f>
        <v>45600</v>
      </c>
      <c r="O839" s="5">
        <v>2024.0</v>
      </c>
      <c r="P839" s="5" t="str">
        <f>IFERROR(__xludf.DUMMYFUNCTION("""COMPUTED_VALUE"""),"Limited Availability")</f>
        <v>Limited Availability</v>
      </c>
      <c r="Q839" s="5" t="s">
        <v>47</v>
      </c>
      <c r="R839" s="5" t="s">
        <v>136</v>
      </c>
      <c r="S839" s="11">
        <v>721.0</v>
      </c>
    </row>
    <row r="840">
      <c r="A840" s="5" t="str">
        <f>IFERROR(__xludf.DUMMYFUNCTION("""COMPUTED_VALUE"""),"Hydroxocobalamin Injection")</f>
        <v>Hydroxocobalamin Injection</v>
      </c>
      <c r="B840" s="5" t="str">
        <f>IFERROR(__xludf.DUMMYFUNCTION("""COMPUTED_VALUE"""),"Teva Pharmaceuticals USA, Inc.")</f>
        <v>Teva Pharmaceuticals USA, Inc.</v>
      </c>
      <c r="C840" s="5" t="str">
        <f>IFERROR(__xludf.DUMMYFUNCTION("""COMPUTED_VALUE"""),"Hydroxocobalamin, Injection, 1000 MCG/ML, 30 ML Multi-Dose Vial (NDC 0591-2888-30)")</f>
        <v>Hydroxocobalamin, Injection, 1000 MCG/ML, 30 ML Multi-Dose Vial (NDC 0591-2888-30)</v>
      </c>
      <c r="D840" s="5" t="str">
        <f>IFERROR(__xludf.DUMMYFUNCTION("""COMPUTED_VALUE"""),"Reverified")</f>
        <v>Reverified</v>
      </c>
      <c r="E840" s="13">
        <f>IFERROR(__xludf.DUMMYFUNCTION("""COMPUTED_VALUE"""),46310.0)</f>
        <v>46310</v>
      </c>
      <c r="F840" s="5" t="str">
        <f>IFERROR(__xludf.DUMMYFUNCTION("""COMPUTED_VALUE"""),"Unavailable")</f>
        <v>Unavailable</v>
      </c>
      <c r="G840" s="5" t="str">
        <f>IFERROR(__xludf.DUMMYFUNCTION("""COMPUTED_VALUE"""),"Estimated recovery: mid-November 2026")</f>
        <v>Estimated recovery: mid-November 2026</v>
      </c>
      <c r="H840" s="5"/>
      <c r="I840" s="5" t="str">
        <f>IFERROR(__xludf.DUMMYFUNCTION("""COMPUTED_VALUE"""),"Other")</f>
        <v>Other</v>
      </c>
      <c r="J840" s="5" t="str">
        <f>IFERROR(__xludf.DUMMYFUNCTION("""COMPUTED_VALUE"""),"Other")</f>
        <v>Other</v>
      </c>
      <c r="K840" s="5" t="str">
        <f>IFERROR(__xludf.DUMMYFUNCTION("""COMPUTED_VALUE"""),"Current")</f>
        <v>Current</v>
      </c>
      <c r="L840" s="5"/>
      <c r="M840" s="5"/>
      <c r="N840" s="10">
        <f>IFERROR(__xludf.DUMMYFUNCTION("""COMPUTED_VALUE"""),45600.0)</f>
        <v>45600</v>
      </c>
      <c r="O840" s="5">
        <v>2024.0</v>
      </c>
      <c r="P840" s="5" t="str">
        <f>IFERROR(__xludf.DUMMYFUNCTION("""COMPUTED_VALUE"""),"Unavailable")</f>
        <v>Unavailable</v>
      </c>
      <c r="Q840" s="5" t="s">
        <v>47</v>
      </c>
      <c r="R840" s="5" t="s">
        <v>136</v>
      </c>
      <c r="S840" s="11">
        <v>721.0</v>
      </c>
    </row>
    <row r="841">
      <c r="A841" s="5" t="str">
        <f>IFERROR(__xludf.DUMMYFUNCTION("""COMPUTED_VALUE"""),"Hydroxychloroquine Sulfate Tablet")</f>
        <v>Hydroxychloroquine Sulfate Tablet</v>
      </c>
      <c r="B841" s="5" t="str">
        <f>IFERROR(__xludf.DUMMYFUNCTION("""COMPUTED_VALUE"""),"Teva Pharmaceuticals USA, Inc.")</f>
        <v>Teva Pharmaceuticals USA, Inc.</v>
      </c>
      <c r="C841" s="5" t="str">
        <f>IFERROR(__xludf.DUMMYFUNCTION("""COMPUTED_VALUE"""),"Hydroxychloroquine Sulfate, Tablet, 200 mg (NDC 0093-2401-01)")</f>
        <v>Hydroxychloroquine Sulfate, Tablet, 200 mg (NDC 0093-2401-01)</v>
      </c>
      <c r="D841" s="5" t="str">
        <f>IFERROR(__xludf.DUMMYFUNCTION("""COMPUTED_VALUE"""),"New")</f>
        <v>New</v>
      </c>
      <c r="E841" s="10">
        <f>IFERROR(__xludf.DUMMYFUNCTION("""COMPUTED_VALUE"""),46027.0)</f>
        <v>46027</v>
      </c>
      <c r="F841" s="5"/>
      <c r="G841" s="5" t="str">
        <f>IFERROR(__xludf.DUMMYFUNCTION("""COMPUTED_VALUE"""),"Discontinuation of the manufacture of the drug")</f>
        <v>Discontinuation of the manufacture of the drug</v>
      </c>
      <c r="H841" s="5"/>
      <c r="I841" s="5"/>
      <c r="J841" s="5" t="str">
        <f>IFERROR(__xludf.DUMMYFUNCTION("""COMPUTED_VALUE"""),"Anti-Infective; Other; Rheumatology")</f>
        <v>Anti-Infective; Other; Rheumatology</v>
      </c>
      <c r="K841" s="5" t="str">
        <f>IFERROR(__xludf.DUMMYFUNCTION("""COMPUTED_VALUE"""),"To Be Discontinued")</f>
        <v>To Be Discontinued</v>
      </c>
      <c r="L841" s="5"/>
      <c r="M841" s="10">
        <f>IFERROR(__xludf.DUMMYFUNCTION("""COMPUTED_VALUE"""),46027.0)</f>
        <v>46027</v>
      </c>
      <c r="N841" s="10">
        <f>IFERROR(__xludf.DUMMYFUNCTION("""COMPUTED_VALUE"""),46027.0)</f>
        <v>46027</v>
      </c>
      <c r="O841" s="5">
        <v>2026.0</v>
      </c>
      <c r="P841" s="5" t="str">
        <f>IFERROR(__xludf.DUMMYFUNCTION("""COMPUTED_VALUE"""),"Not stated")</f>
        <v>Not stated</v>
      </c>
      <c r="Q841" s="5" t="s">
        <v>135</v>
      </c>
      <c r="R841" s="5" t="s">
        <v>136</v>
      </c>
      <c r="S841" s="11">
        <v>294.0</v>
      </c>
    </row>
    <row r="842">
      <c r="A842" s="5" t="str">
        <f>IFERROR(__xludf.DUMMYFUNCTION("""COMPUTED_VALUE"""),"Icatibant Acetate Injection")</f>
        <v>Icatibant Acetate Injection</v>
      </c>
      <c r="B842" s="5" t="str">
        <f>IFERROR(__xludf.DUMMYFUNCTION("""COMPUTED_VALUE"""),"Fresenius Kabi USA, LLC")</f>
        <v>Fresenius Kabi USA, LLC</v>
      </c>
      <c r="C842" s="5" t="str">
        <f>IFERROR(__xludf.DUMMYFUNCTION("""COMPUTED_VALUE"""),"Icatibant Acetate, Injection, 10 mg/1 mL (NDC 63323-574-86)")</f>
        <v>Icatibant Acetate, Injection, 10 mg/1 mL (NDC 63323-574-86)</v>
      </c>
      <c r="D842" s="5" t="str">
        <f>IFERROR(__xludf.DUMMYFUNCTION("""COMPUTED_VALUE"""),"New")</f>
        <v>New</v>
      </c>
      <c r="E842" s="10">
        <f>IFERROR(__xludf.DUMMYFUNCTION("""COMPUTED_VALUE"""),46149.0)</f>
        <v>46149</v>
      </c>
      <c r="F842" s="5"/>
      <c r="G842" s="5" t="str">
        <f>IFERROR(__xludf.DUMMYFUNCTION("""COMPUTED_VALUE"""),"Discontinuation of the manufacturer of the drug")</f>
        <v>Discontinuation of the manufacturer of the drug</v>
      </c>
      <c r="H842" s="5"/>
      <c r="I842" s="5"/>
      <c r="J842" s="5" t="str">
        <f>IFERROR(__xludf.DUMMYFUNCTION("""COMPUTED_VALUE"""),"Hematology")</f>
        <v>Hematology</v>
      </c>
      <c r="K842" s="5" t="str">
        <f>IFERROR(__xludf.DUMMYFUNCTION("""COMPUTED_VALUE"""),"To Be Discontinued")</f>
        <v>To Be Discontinued</v>
      </c>
      <c r="L842" s="5"/>
      <c r="M842" s="10">
        <f>IFERROR(__xludf.DUMMYFUNCTION("""COMPUTED_VALUE"""),46149.0)</f>
        <v>46149</v>
      </c>
      <c r="N842" s="10">
        <f>IFERROR(__xludf.DUMMYFUNCTION("""COMPUTED_VALUE"""),46149.0)</f>
        <v>46149</v>
      </c>
      <c r="O842" s="5">
        <v>2026.0</v>
      </c>
      <c r="P842" s="5" t="str">
        <f>IFERROR(__xludf.DUMMYFUNCTION("""COMPUTED_VALUE"""),"Not stated")</f>
        <v>Not stated</v>
      </c>
      <c r="Q842" s="5" t="s">
        <v>135</v>
      </c>
      <c r="R842" s="5" t="s">
        <v>136</v>
      </c>
      <c r="S842" s="11">
        <v>172.0</v>
      </c>
    </row>
    <row r="843">
      <c r="A843" s="5" t="str">
        <f>IFERROR(__xludf.DUMMYFUNCTION("""COMPUTED_VALUE"""),"Icatibant Acetate Injection")</f>
        <v>Icatibant Acetate Injection</v>
      </c>
      <c r="B843" s="5" t="str">
        <f>IFERROR(__xludf.DUMMYFUNCTION("""COMPUTED_VALUE"""),"Fresenius Kabi USA, LLC")</f>
        <v>Fresenius Kabi USA, LLC</v>
      </c>
      <c r="C843" s="5" t="str">
        <f>IFERROR(__xludf.DUMMYFUNCTION("""COMPUTED_VALUE"""),"Icatibant Acetate, Injection, 10 mg/1 mL (NDC 63323-574-93)")</f>
        <v>Icatibant Acetate, Injection, 10 mg/1 mL (NDC 63323-574-93)</v>
      </c>
      <c r="D843" s="5" t="str">
        <f>IFERROR(__xludf.DUMMYFUNCTION("""COMPUTED_VALUE"""),"New")</f>
        <v>New</v>
      </c>
      <c r="E843" s="10">
        <f>IFERROR(__xludf.DUMMYFUNCTION("""COMPUTED_VALUE"""),46149.0)</f>
        <v>46149</v>
      </c>
      <c r="F843" s="5"/>
      <c r="G843" s="5" t="str">
        <f>IFERROR(__xludf.DUMMYFUNCTION("""COMPUTED_VALUE"""),"Discontinuation of the manufacturer of the drug")</f>
        <v>Discontinuation of the manufacturer of the drug</v>
      </c>
      <c r="H843" s="5"/>
      <c r="I843" s="5"/>
      <c r="J843" s="5" t="str">
        <f>IFERROR(__xludf.DUMMYFUNCTION("""COMPUTED_VALUE"""),"Hematology")</f>
        <v>Hematology</v>
      </c>
      <c r="K843" s="5" t="str">
        <f>IFERROR(__xludf.DUMMYFUNCTION("""COMPUTED_VALUE"""),"To Be Discontinued")</f>
        <v>To Be Discontinued</v>
      </c>
      <c r="L843" s="5"/>
      <c r="M843" s="10">
        <f>IFERROR(__xludf.DUMMYFUNCTION("""COMPUTED_VALUE"""),46149.0)</f>
        <v>46149</v>
      </c>
      <c r="N843" s="10">
        <f>IFERROR(__xludf.DUMMYFUNCTION("""COMPUTED_VALUE"""),46149.0)</f>
        <v>46149</v>
      </c>
      <c r="O843" s="5">
        <v>2026.0</v>
      </c>
      <c r="P843" s="5" t="str">
        <f>IFERROR(__xludf.DUMMYFUNCTION("""COMPUTED_VALUE"""),"Not stated")</f>
        <v>Not stated</v>
      </c>
      <c r="Q843" s="5" t="s">
        <v>135</v>
      </c>
      <c r="R843" s="5" t="s">
        <v>136</v>
      </c>
      <c r="S843" s="11">
        <v>172.0</v>
      </c>
    </row>
    <row r="844">
      <c r="A844" s="5" t="str">
        <f>IFERROR(__xludf.DUMMYFUNCTION("""COMPUTED_VALUE"""),"Icosapent Ethyl Capsule")</f>
        <v>Icosapent Ethyl Capsule</v>
      </c>
      <c r="B844" s="5" t="str">
        <f>IFERROR(__xludf.DUMMYFUNCTION("""COMPUTED_VALUE"""),"Apotex Corp.")</f>
        <v>Apotex Corp.</v>
      </c>
      <c r="C844" s="5" t="str">
        <f>IFERROR(__xludf.DUMMYFUNCTION("""COMPUTED_VALUE"""),"Icosapent Ethyl, Capsule, 1 g (NDC 60429-005-12)")</f>
        <v>Icosapent Ethyl, Capsule, 1 g (NDC 60429-005-12)</v>
      </c>
      <c r="D844" s="5" t="str">
        <f>IFERROR(__xludf.DUMMYFUNCTION("""COMPUTED_VALUE"""),"New")</f>
        <v>New</v>
      </c>
      <c r="E844" s="10">
        <f>IFERROR(__xludf.DUMMYFUNCTION("""COMPUTED_VALUE"""),46113.0)</f>
        <v>46113</v>
      </c>
      <c r="F844" s="5"/>
      <c r="G844" s="5" t="str">
        <f>IFERROR(__xludf.DUMMYFUNCTION("""COMPUTED_VALUE"""),"Discontinuation of the manufacture of the drug")</f>
        <v>Discontinuation of the manufacture of the drug</v>
      </c>
      <c r="H844" s="5"/>
      <c r="I844" s="5"/>
      <c r="J844" s="5" t="str">
        <f>IFERROR(__xludf.DUMMYFUNCTION("""COMPUTED_VALUE"""),"Cardiovascular")</f>
        <v>Cardiovascular</v>
      </c>
      <c r="K844" s="5" t="str">
        <f>IFERROR(__xludf.DUMMYFUNCTION("""COMPUTED_VALUE"""),"To Be Discontinued")</f>
        <v>To Be Discontinued</v>
      </c>
      <c r="L844" s="5"/>
      <c r="M844" s="10">
        <f>IFERROR(__xludf.DUMMYFUNCTION("""COMPUTED_VALUE"""),46113.0)</f>
        <v>46113</v>
      </c>
      <c r="N844" s="10">
        <f>IFERROR(__xludf.DUMMYFUNCTION("""COMPUTED_VALUE"""),46113.0)</f>
        <v>46113</v>
      </c>
      <c r="O844" s="5">
        <v>2026.0</v>
      </c>
      <c r="P844" s="5" t="str">
        <f>IFERROR(__xludf.DUMMYFUNCTION("""COMPUTED_VALUE"""),"Not stated")</f>
        <v>Not stated</v>
      </c>
      <c r="Q844" s="5" t="s">
        <v>135</v>
      </c>
      <c r="R844" s="5" t="s">
        <v>136</v>
      </c>
      <c r="S844" s="11">
        <v>208.0</v>
      </c>
    </row>
    <row r="845">
      <c r="A845" s="5" t="str">
        <f>IFERROR(__xludf.DUMMYFUNCTION("""COMPUTED_VALUE"""),"Icosapent Ethyl Capsule")</f>
        <v>Icosapent Ethyl Capsule</v>
      </c>
      <c r="B845" s="5" t="str">
        <f>IFERROR(__xludf.DUMMYFUNCTION("""COMPUTED_VALUE"""),"Apotex Corp.")</f>
        <v>Apotex Corp.</v>
      </c>
      <c r="C845" s="5" t="str">
        <f>IFERROR(__xludf.DUMMYFUNCTION("""COMPUTED_VALUE"""),"Icosapent Ethyl, Capsule, 1 g (NDC 61474-9711-1)")</f>
        <v>Icosapent Ethyl, Capsule, 1 g (NDC 61474-9711-1)</v>
      </c>
      <c r="D845" s="5" t="str">
        <f>IFERROR(__xludf.DUMMYFUNCTION("""COMPUTED_VALUE"""),"New")</f>
        <v>New</v>
      </c>
      <c r="E845" s="10">
        <f>IFERROR(__xludf.DUMMYFUNCTION("""COMPUTED_VALUE"""),46113.0)</f>
        <v>46113</v>
      </c>
      <c r="F845" s="5"/>
      <c r="G845" s="5" t="str">
        <f>IFERROR(__xludf.DUMMYFUNCTION("""COMPUTED_VALUE"""),"Discontinuation of the manufacture of the drug")</f>
        <v>Discontinuation of the manufacture of the drug</v>
      </c>
      <c r="H845" s="5"/>
      <c r="I845" s="5"/>
      <c r="J845" s="5" t="str">
        <f>IFERROR(__xludf.DUMMYFUNCTION("""COMPUTED_VALUE"""),"Cardiovascular")</f>
        <v>Cardiovascular</v>
      </c>
      <c r="K845" s="5" t="str">
        <f>IFERROR(__xludf.DUMMYFUNCTION("""COMPUTED_VALUE"""),"To Be Discontinued")</f>
        <v>To Be Discontinued</v>
      </c>
      <c r="L845" s="5"/>
      <c r="M845" s="10">
        <f>IFERROR(__xludf.DUMMYFUNCTION("""COMPUTED_VALUE"""),46113.0)</f>
        <v>46113</v>
      </c>
      <c r="N845" s="10">
        <f>IFERROR(__xludf.DUMMYFUNCTION("""COMPUTED_VALUE"""),46113.0)</f>
        <v>46113</v>
      </c>
      <c r="O845" s="5">
        <v>2026.0</v>
      </c>
      <c r="P845" s="5" t="str">
        <f>IFERROR(__xludf.DUMMYFUNCTION("""COMPUTED_VALUE"""),"Not stated")</f>
        <v>Not stated</v>
      </c>
      <c r="Q845" s="5" t="s">
        <v>135</v>
      </c>
      <c r="R845" s="5" t="s">
        <v>136</v>
      </c>
      <c r="S845" s="11">
        <v>208.0</v>
      </c>
    </row>
    <row r="846">
      <c r="A846" s="5" t="str">
        <f>IFERROR(__xludf.DUMMYFUNCTION("""COMPUTED_VALUE"""),"Idelalisib Tablet")</f>
        <v>Idelalisib Tablet</v>
      </c>
      <c r="B846" s="5" t="str">
        <f>IFERROR(__xludf.DUMMYFUNCTION("""COMPUTED_VALUE"""),"Gilead Sciences, Inc.")</f>
        <v>Gilead Sciences, Inc.</v>
      </c>
      <c r="C846" s="5" t="str">
        <f>IFERROR(__xludf.DUMMYFUNCTION("""COMPUTED_VALUE"""),"Zydelig, Tablet, 100 mg (NDC 61958-1701-1)")</f>
        <v>Zydelig, Tablet, 100 mg (NDC 61958-1701-1)</v>
      </c>
      <c r="D846" s="5" t="str">
        <f>IFERROR(__xludf.DUMMYFUNCTION("""COMPUTED_VALUE"""),"New")</f>
        <v>New</v>
      </c>
      <c r="E846" s="10">
        <f>IFERROR(__xludf.DUMMYFUNCTION("""COMPUTED_VALUE"""),46119.0)</f>
        <v>46119</v>
      </c>
      <c r="F846" s="5"/>
      <c r="G846" s="5" t="str">
        <f>IFERROR(__xludf.DUMMYFUNCTION("""COMPUTED_VALUE"""),"Discontinuation in the manufacturing of the drug")</f>
        <v>Discontinuation in the manufacturing of the drug</v>
      </c>
      <c r="H846" s="5"/>
      <c r="I846" s="5"/>
      <c r="J846" s="5" t="str">
        <f>IFERROR(__xludf.DUMMYFUNCTION("""COMPUTED_VALUE"""),"Oncology")</f>
        <v>Oncology</v>
      </c>
      <c r="K846" s="5" t="str">
        <f>IFERROR(__xludf.DUMMYFUNCTION("""COMPUTED_VALUE"""),"To Be Discontinued")</f>
        <v>To Be Discontinued</v>
      </c>
      <c r="L846" s="5"/>
      <c r="M846" s="10">
        <f>IFERROR(__xludf.DUMMYFUNCTION("""COMPUTED_VALUE"""),46119.0)</f>
        <v>46119</v>
      </c>
      <c r="N846" s="10">
        <f>IFERROR(__xludf.DUMMYFUNCTION("""COMPUTED_VALUE"""),46119.0)</f>
        <v>46119</v>
      </c>
      <c r="O846" s="5">
        <v>2026.0</v>
      </c>
      <c r="P846" s="5" t="str">
        <f>IFERROR(__xludf.DUMMYFUNCTION("""COMPUTED_VALUE"""),"Not stated")</f>
        <v>Not stated</v>
      </c>
      <c r="Q846" s="5" t="s">
        <v>135</v>
      </c>
      <c r="R846" s="5" t="s">
        <v>136</v>
      </c>
      <c r="S846" s="11">
        <v>202.0</v>
      </c>
    </row>
    <row r="847">
      <c r="A847" s="5" t="str">
        <f>IFERROR(__xludf.DUMMYFUNCTION("""COMPUTED_VALUE"""),"Idelalisib Tablet")</f>
        <v>Idelalisib Tablet</v>
      </c>
      <c r="B847" s="5" t="str">
        <f>IFERROR(__xludf.DUMMYFUNCTION("""COMPUTED_VALUE"""),"Gilead Sciences, Inc.")</f>
        <v>Gilead Sciences, Inc.</v>
      </c>
      <c r="C847" s="5" t="str">
        <f>IFERROR(__xludf.DUMMYFUNCTION("""COMPUTED_VALUE"""),"Zydelig, Tablet, 150 mg (NDC 61958-1702-1)")</f>
        <v>Zydelig, Tablet, 150 mg (NDC 61958-1702-1)</v>
      </c>
      <c r="D847" s="5" t="str">
        <f>IFERROR(__xludf.DUMMYFUNCTION("""COMPUTED_VALUE"""),"New")</f>
        <v>New</v>
      </c>
      <c r="E847" s="10">
        <f>IFERROR(__xludf.DUMMYFUNCTION("""COMPUTED_VALUE"""),46119.0)</f>
        <v>46119</v>
      </c>
      <c r="F847" s="5"/>
      <c r="G847" s="5" t="str">
        <f>IFERROR(__xludf.DUMMYFUNCTION("""COMPUTED_VALUE"""),"Discontinuation in the manufacturing of the drug")</f>
        <v>Discontinuation in the manufacturing of the drug</v>
      </c>
      <c r="H847" s="5"/>
      <c r="I847" s="5"/>
      <c r="J847" s="5" t="str">
        <f>IFERROR(__xludf.DUMMYFUNCTION("""COMPUTED_VALUE"""),"Oncology")</f>
        <v>Oncology</v>
      </c>
      <c r="K847" s="5" t="str">
        <f>IFERROR(__xludf.DUMMYFUNCTION("""COMPUTED_VALUE"""),"To Be Discontinued")</f>
        <v>To Be Discontinued</v>
      </c>
      <c r="L847" s="5"/>
      <c r="M847" s="10">
        <f>IFERROR(__xludf.DUMMYFUNCTION("""COMPUTED_VALUE"""),46119.0)</f>
        <v>46119</v>
      </c>
      <c r="N847" s="10">
        <f>IFERROR(__xludf.DUMMYFUNCTION("""COMPUTED_VALUE"""),46119.0)</f>
        <v>46119</v>
      </c>
      <c r="O847" s="5">
        <v>2026.0</v>
      </c>
      <c r="P847" s="5" t="str">
        <f>IFERROR(__xludf.DUMMYFUNCTION("""COMPUTED_VALUE"""),"Not stated")</f>
        <v>Not stated</v>
      </c>
      <c r="Q847" s="5" t="s">
        <v>135</v>
      </c>
      <c r="R847" s="5" t="s">
        <v>136</v>
      </c>
      <c r="S847" s="11">
        <v>202.0</v>
      </c>
    </row>
    <row r="848">
      <c r="A848" s="5" t="str">
        <f>IFERROR(__xludf.DUMMYFUNCTION("""COMPUTED_VALUE"""),"Ifosfamide Injection")</f>
        <v>Ifosfamide Injection</v>
      </c>
      <c r="B848" s="5" t="str">
        <f>IFERROR(__xludf.DUMMYFUNCTION("""COMPUTED_VALUE"""),"Baxter Healthcare")</f>
        <v>Baxter Healthcare</v>
      </c>
      <c r="C848" s="5" t="str">
        <f>IFERROR(__xludf.DUMMYFUNCTION("""COMPUTED_VALUE"""),"Ifosfamide, Injection, 1 g/20 mL (NDC 10019-925-01)")</f>
        <v>Ifosfamide, Injection, 1 g/20 mL (NDC 10019-925-01)</v>
      </c>
      <c r="D848" s="5" t="str">
        <f>IFERROR(__xludf.DUMMYFUNCTION("""COMPUTED_VALUE"""),"Reverified")</f>
        <v>Reverified</v>
      </c>
      <c r="E848" s="13">
        <f>IFERROR(__xludf.DUMMYFUNCTION("""COMPUTED_VALUE"""),46311.0)</f>
        <v>46311</v>
      </c>
      <c r="F848" s="5" t="str">
        <f>IFERROR(__xludf.DUMMYFUNCTION("""COMPUTED_VALUE"""),"Available")</f>
        <v>Available</v>
      </c>
      <c r="G848" s="5"/>
      <c r="H848" s="5"/>
      <c r="I848" s="5"/>
      <c r="J848" s="5" t="str">
        <f>IFERROR(__xludf.DUMMYFUNCTION("""COMPUTED_VALUE"""),"Oncology; Pediatric")</f>
        <v>Oncology; Pediatric</v>
      </c>
      <c r="K848" s="5" t="str">
        <f>IFERROR(__xludf.DUMMYFUNCTION("""COMPUTED_VALUE"""),"Current")</f>
        <v>Current</v>
      </c>
      <c r="L848" s="5"/>
      <c r="M848" s="5"/>
      <c r="N848" s="10">
        <f>IFERROR(__xludf.DUMMYFUNCTION("""COMPUTED_VALUE"""),46185.0)</f>
        <v>46185</v>
      </c>
      <c r="O848" s="5">
        <v>2026.0</v>
      </c>
      <c r="P848" s="5" t="str">
        <f>IFERROR(__xludf.DUMMYFUNCTION("""COMPUTED_VALUE"""),"Available")</f>
        <v>Available</v>
      </c>
      <c r="Q848" s="5" t="s">
        <v>135</v>
      </c>
      <c r="R848" s="5" t="s">
        <v>136</v>
      </c>
      <c r="S848" s="11">
        <v>136.0</v>
      </c>
    </row>
    <row r="849">
      <c r="A849" s="5" t="str">
        <f>IFERROR(__xludf.DUMMYFUNCTION("""COMPUTED_VALUE"""),"Ifosfamide Injection")</f>
        <v>Ifosfamide Injection</v>
      </c>
      <c r="B849" s="5" t="str">
        <f>IFERROR(__xludf.DUMMYFUNCTION("""COMPUTED_VALUE"""),"Baxter Healthcare")</f>
        <v>Baxter Healthcare</v>
      </c>
      <c r="C849" s="5" t="str">
        <f>IFERROR(__xludf.DUMMYFUNCTION("""COMPUTED_VALUE"""),"Ifosfamide, Injection, 3 g/60 mL (NDC 10019-926-02)")</f>
        <v>Ifosfamide, Injection, 3 g/60 mL (NDC 10019-926-02)</v>
      </c>
      <c r="D849" s="5" t="str">
        <f>IFERROR(__xludf.DUMMYFUNCTION("""COMPUTED_VALUE"""),"Reverified")</f>
        <v>Reverified</v>
      </c>
      <c r="E849" s="13">
        <f>IFERROR(__xludf.DUMMYFUNCTION("""COMPUTED_VALUE"""),46311.0)</f>
        <v>46311</v>
      </c>
      <c r="F849" s="5" t="str">
        <f>IFERROR(__xludf.DUMMYFUNCTION("""COMPUTED_VALUE"""),"Available")</f>
        <v>Available</v>
      </c>
      <c r="G849" s="5"/>
      <c r="H849" s="5"/>
      <c r="I849" s="5"/>
      <c r="J849" s="5" t="str">
        <f>IFERROR(__xludf.DUMMYFUNCTION("""COMPUTED_VALUE"""),"Oncology; Pediatric")</f>
        <v>Oncology; Pediatric</v>
      </c>
      <c r="K849" s="5" t="str">
        <f>IFERROR(__xludf.DUMMYFUNCTION("""COMPUTED_VALUE"""),"Current")</f>
        <v>Current</v>
      </c>
      <c r="L849" s="5"/>
      <c r="M849" s="5"/>
      <c r="N849" s="10">
        <f>IFERROR(__xludf.DUMMYFUNCTION("""COMPUTED_VALUE"""),46185.0)</f>
        <v>46185</v>
      </c>
      <c r="O849" s="5">
        <v>2026.0</v>
      </c>
      <c r="P849" s="5" t="str">
        <f>IFERROR(__xludf.DUMMYFUNCTION("""COMPUTED_VALUE"""),"Available")</f>
        <v>Available</v>
      </c>
      <c r="Q849" s="5" t="s">
        <v>135</v>
      </c>
      <c r="R849" s="5" t="s">
        <v>136</v>
      </c>
      <c r="S849" s="11">
        <v>136.0</v>
      </c>
    </row>
    <row r="850">
      <c r="A850" s="5" t="str">
        <f>IFERROR(__xludf.DUMMYFUNCTION("""COMPUTED_VALUE"""),"Ifosfamide Injection")</f>
        <v>Ifosfamide Injection</v>
      </c>
      <c r="B850" s="5" t="str">
        <f>IFERROR(__xludf.DUMMYFUNCTION("""COMPUTED_VALUE"""),"Baxter Healthcare")</f>
        <v>Baxter Healthcare</v>
      </c>
      <c r="C850" s="5" t="str">
        <f>IFERROR(__xludf.DUMMYFUNCTION("""COMPUTED_VALUE"""),"IFEX, Injection, 1 g/20 mL (NDC 0338-3991-01)")</f>
        <v>IFEX, Injection, 1 g/20 mL (NDC 0338-3991-01)</v>
      </c>
      <c r="D850" s="5" t="str">
        <f>IFERROR(__xludf.DUMMYFUNCTION("""COMPUTED_VALUE"""),"Reverified")</f>
        <v>Reverified</v>
      </c>
      <c r="E850" s="13">
        <f>IFERROR(__xludf.DUMMYFUNCTION("""COMPUTED_VALUE"""),46311.0)</f>
        <v>46311</v>
      </c>
      <c r="F850" s="5" t="str">
        <f>IFERROR(__xludf.DUMMYFUNCTION("""COMPUTED_VALUE"""),"Available")</f>
        <v>Available</v>
      </c>
      <c r="G850" s="5"/>
      <c r="H850" s="5"/>
      <c r="I850" s="5"/>
      <c r="J850" s="5" t="str">
        <f>IFERROR(__xludf.DUMMYFUNCTION("""COMPUTED_VALUE"""),"Oncology; Pediatric")</f>
        <v>Oncology; Pediatric</v>
      </c>
      <c r="K850" s="5" t="str">
        <f>IFERROR(__xludf.DUMMYFUNCTION("""COMPUTED_VALUE"""),"Current")</f>
        <v>Current</v>
      </c>
      <c r="L850" s="5"/>
      <c r="M850" s="5"/>
      <c r="N850" s="10">
        <f>IFERROR(__xludf.DUMMYFUNCTION("""COMPUTED_VALUE"""),46185.0)</f>
        <v>46185</v>
      </c>
      <c r="O850" s="5">
        <v>2026.0</v>
      </c>
      <c r="P850" s="5" t="str">
        <f>IFERROR(__xludf.DUMMYFUNCTION("""COMPUTED_VALUE"""),"Available")</f>
        <v>Available</v>
      </c>
      <c r="Q850" s="5" t="s">
        <v>135</v>
      </c>
      <c r="R850" s="5" t="s">
        <v>136</v>
      </c>
      <c r="S850" s="11">
        <v>136.0</v>
      </c>
    </row>
    <row r="851">
      <c r="A851" s="5" t="str">
        <f>IFERROR(__xludf.DUMMYFUNCTION("""COMPUTED_VALUE"""),"Ifosfamide Injection")</f>
        <v>Ifosfamide Injection</v>
      </c>
      <c r="B851" s="5" t="str">
        <f>IFERROR(__xludf.DUMMYFUNCTION("""COMPUTED_VALUE"""),"Baxter Healthcare")</f>
        <v>Baxter Healthcare</v>
      </c>
      <c r="C851" s="5" t="str">
        <f>IFERROR(__xludf.DUMMYFUNCTION("""COMPUTED_VALUE"""),"IFEX, Injection, 3 g/60 mL (NDC 0338-3993-01)")</f>
        <v>IFEX, Injection, 3 g/60 mL (NDC 0338-3993-01)</v>
      </c>
      <c r="D851" s="5" t="str">
        <f>IFERROR(__xludf.DUMMYFUNCTION("""COMPUTED_VALUE"""),"Reverified")</f>
        <v>Reverified</v>
      </c>
      <c r="E851" s="13">
        <f>IFERROR(__xludf.DUMMYFUNCTION("""COMPUTED_VALUE"""),46311.0)</f>
        <v>46311</v>
      </c>
      <c r="F851" s="5" t="str">
        <f>IFERROR(__xludf.DUMMYFUNCTION("""COMPUTED_VALUE"""),"Unavailable")</f>
        <v>Unavailable</v>
      </c>
      <c r="G851" s="5" t="str">
        <f>IFERROR(__xludf.DUMMYFUNCTION("""COMPUTED_VALUE"""),"Estimated recovery: November 2026")</f>
        <v>Estimated recovery: November 2026</v>
      </c>
      <c r="H851" s="5"/>
      <c r="I851" s="5" t="str">
        <f>IFERROR(__xludf.DUMMYFUNCTION("""COMPUTED_VALUE"""),"Requirements related to complying with good manufacturing practices")</f>
        <v>Requirements related to complying with good manufacturing practices</v>
      </c>
      <c r="J851" s="5" t="str">
        <f>IFERROR(__xludf.DUMMYFUNCTION("""COMPUTED_VALUE"""),"Oncology; Pediatric")</f>
        <v>Oncology; Pediatric</v>
      </c>
      <c r="K851" s="5" t="str">
        <f>IFERROR(__xludf.DUMMYFUNCTION("""COMPUTED_VALUE"""),"Current")</f>
        <v>Current</v>
      </c>
      <c r="L851" s="5"/>
      <c r="M851" s="5"/>
      <c r="N851" s="10">
        <f>IFERROR(__xludf.DUMMYFUNCTION("""COMPUTED_VALUE"""),46185.0)</f>
        <v>46185</v>
      </c>
      <c r="O851" s="5">
        <v>2026.0</v>
      </c>
      <c r="P851" s="5" t="str">
        <f>IFERROR(__xludf.DUMMYFUNCTION("""COMPUTED_VALUE"""),"Unavailable")</f>
        <v>Unavailable</v>
      </c>
      <c r="Q851" s="5" t="s">
        <v>295</v>
      </c>
      <c r="R851" s="5" t="s">
        <v>136</v>
      </c>
      <c r="S851" s="11">
        <v>136.0</v>
      </c>
    </row>
    <row r="852">
      <c r="A852" s="5" t="str">
        <f>IFERROR(__xludf.DUMMYFUNCTION("""COMPUTED_VALUE"""),"Ifosfamide Injection")</f>
        <v>Ifosfamide Injection</v>
      </c>
      <c r="B852" s="5" t="str">
        <f>IFERROR(__xludf.DUMMYFUNCTION("""COMPUTED_VALUE"""),"Hikma Pharmaceuticals USA, Inc.")</f>
        <v>Hikma Pharmaceuticals USA, Inc.</v>
      </c>
      <c r="C852" s="5" t="str">
        <f>IFERROR(__xludf.DUMMYFUNCTION("""COMPUTED_VALUE"""),"Ifosfamide, Injection, 50 mg/1 mL (NDC 0143-9531-01)")</f>
        <v>Ifosfamide, Injection, 50 mg/1 mL (NDC 0143-9531-01)</v>
      </c>
      <c r="D852" s="5" t="str">
        <f>IFERROR(__xludf.DUMMYFUNCTION("""COMPUTED_VALUE"""),"Revised")</f>
        <v>Revised</v>
      </c>
      <c r="E852" s="13">
        <f>IFERROR(__xludf.DUMMYFUNCTION("""COMPUTED_VALUE"""),46309.0)</f>
        <v>46309</v>
      </c>
      <c r="F852" s="5" t="str">
        <f>IFERROR(__xludf.DUMMYFUNCTION("""COMPUTED_VALUE"""),"Unavailable")</f>
        <v>Unavailable</v>
      </c>
      <c r="G852" s="5" t="str">
        <f>IFERROR(__xludf.DUMMYFUNCTION("""COMPUTED_VALUE"""),"Additional lots will be available in the November 2026 timeframe.  Product will be made available as it is released.")</f>
        <v>Additional lots will be available in the November 2026 timeframe.  Product will be made available as it is released.</v>
      </c>
      <c r="H852" s="5"/>
      <c r="I852" s="5" t="str">
        <f>IFERROR(__xludf.DUMMYFUNCTION("""COMPUTED_VALUE"""),"Demand increase for the drug")</f>
        <v>Demand increase for the drug</v>
      </c>
      <c r="J852" s="5" t="str">
        <f>IFERROR(__xludf.DUMMYFUNCTION("""COMPUTED_VALUE"""),"Oncology; Pediatric")</f>
        <v>Oncology; Pediatric</v>
      </c>
      <c r="K852" s="5" t="str">
        <f>IFERROR(__xludf.DUMMYFUNCTION("""COMPUTED_VALUE"""),"Current")</f>
        <v>Current</v>
      </c>
      <c r="L852" s="5"/>
      <c r="M852" s="5"/>
      <c r="N852" s="10">
        <f>IFERROR(__xludf.DUMMYFUNCTION("""COMPUTED_VALUE"""),46185.0)</f>
        <v>46185</v>
      </c>
      <c r="O852" s="5">
        <v>2026.0</v>
      </c>
      <c r="P852" s="5" t="str">
        <f>IFERROR(__xludf.DUMMYFUNCTION("""COMPUTED_VALUE"""),"Unavailable")</f>
        <v>Unavailable</v>
      </c>
      <c r="Q852" s="5" t="s">
        <v>134</v>
      </c>
      <c r="R852" s="5" t="s">
        <v>136</v>
      </c>
      <c r="S852" s="11">
        <v>136.0</v>
      </c>
    </row>
    <row r="853">
      <c r="A853" s="5" t="str">
        <f>IFERROR(__xludf.DUMMYFUNCTION("""COMPUTED_VALUE"""),"Ifosfamide Injection")</f>
        <v>Ifosfamide Injection</v>
      </c>
      <c r="B853" s="5" t="str">
        <f>IFERROR(__xludf.DUMMYFUNCTION("""COMPUTED_VALUE"""),"Hikma Pharmaceuticals USA, Inc.")</f>
        <v>Hikma Pharmaceuticals USA, Inc.</v>
      </c>
      <c r="C853" s="5" t="str">
        <f>IFERROR(__xludf.DUMMYFUNCTION("""COMPUTED_VALUE"""),"Ifosfamide, Injection, 50 mg/1 mL (NDC 0143-9530-01)")</f>
        <v>Ifosfamide, Injection, 50 mg/1 mL (NDC 0143-9530-01)</v>
      </c>
      <c r="D853" s="5" t="str">
        <f>IFERROR(__xludf.DUMMYFUNCTION("""COMPUTED_VALUE"""),"Revised")</f>
        <v>Revised</v>
      </c>
      <c r="E853" s="13">
        <f>IFERROR(__xludf.DUMMYFUNCTION("""COMPUTED_VALUE"""),46309.0)</f>
        <v>46309</v>
      </c>
      <c r="F853" s="5" t="str">
        <f>IFERROR(__xludf.DUMMYFUNCTION("""COMPUTED_VALUE"""),"Unavailable")</f>
        <v>Unavailable</v>
      </c>
      <c r="G853" s="5" t="str">
        <f>IFERROR(__xludf.DUMMYFUNCTION("""COMPUTED_VALUE"""),"Additional lots will be available in the November 2026 timeframe.  Product will be made available as it is released.")</f>
        <v>Additional lots will be available in the November 2026 timeframe.  Product will be made available as it is released.</v>
      </c>
      <c r="H853" s="5"/>
      <c r="I853" s="5" t="str">
        <f>IFERROR(__xludf.DUMMYFUNCTION("""COMPUTED_VALUE"""),"Demand increase for the drug")</f>
        <v>Demand increase for the drug</v>
      </c>
      <c r="J853" s="5" t="str">
        <f>IFERROR(__xludf.DUMMYFUNCTION("""COMPUTED_VALUE"""),"Oncology; Pediatric")</f>
        <v>Oncology; Pediatric</v>
      </c>
      <c r="K853" s="5" t="str">
        <f>IFERROR(__xludf.DUMMYFUNCTION("""COMPUTED_VALUE"""),"Current")</f>
        <v>Current</v>
      </c>
      <c r="L853" s="5"/>
      <c r="M853" s="5"/>
      <c r="N853" s="10">
        <f>IFERROR(__xludf.DUMMYFUNCTION("""COMPUTED_VALUE"""),46185.0)</f>
        <v>46185</v>
      </c>
      <c r="O853" s="5">
        <v>2026.0</v>
      </c>
      <c r="P853" s="5" t="str">
        <f>IFERROR(__xludf.DUMMYFUNCTION("""COMPUTED_VALUE"""),"Unavailable")</f>
        <v>Unavailable</v>
      </c>
      <c r="Q853" s="5" t="s">
        <v>134</v>
      </c>
      <c r="R853" s="5" t="s">
        <v>136</v>
      </c>
      <c r="S853" s="11">
        <v>136.0</v>
      </c>
    </row>
    <row r="854">
      <c r="A854" s="5" t="str">
        <f>IFERROR(__xludf.DUMMYFUNCTION("""COMPUTED_VALUE"""),"Ifosfamide Injection")</f>
        <v>Ifosfamide Injection</v>
      </c>
      <c r="B854" s="5" t="str">
        <f>IFERROR(__xludf.DUMMYFUNCTION("""COMPUTED_VALUE"""),"Fresenius Kabi USA, LLC")</f>
        <v>Fresenius Kabi USA, LLC</v>
      </c>
      <c r="C854" s="5" t="str">
        <f>IFERROR(__xludf.DUMMYFUNCTION("""COMPUTED_VALUE"""),"Ifosfamide, Injection, 1 g/1 (NDC 63323-142-10)")</f>
        <v>Ifosfamide, Injection, 1 g/1 (NDC 63323-142-10)</v>
      </c>
      <c r="D854" s="5" t="str">
        <f>IFERROR(__xludf.DUMMYFUNCTION("""COMPUTED_VALUE"""),"Reverified")</f>
        <v>Reverified</v>
      </c>
      <c r="E854" s="13">
        <f>IFERROR(__xludf.DUMMYFUNCTION("""COMPUTED_VALUE"""),46310.0)</f>
        <v>46310</v>
      </c>
      <c r="F854" s="5" t="str">
        <f>IFERROR(__xludf.DUMMYFUNCTION("""COMPUTED_VALUE"""),"Limited Availability")</f>
        <v>Limited Availability</v>
      </c>
      <c r="G854" s="5" t="str">
        <f>IFERROR(__xludf.DUMMYFUNCTION("""COMPUTED_VALUE"""),"Check wholesalers for inventory")</f>
        <v>Check wholesalers for inventory</v>
      </c>
      <c r="H854" s="5"/>
      <c r="I854" s="5" t="str">
        <f>IFERROR(__xludf.DUMMYFUNCTION("""COMPUTED_VALUE"""),"Demand increase for the drug")</f>
        <v>Demand increase for the drug</v>
      </c>
      <c r="J854" s="5" t="str">
        <f>IFERROR(__xludf.DUMMYFUNCTION("""COMPUTED_VALUE"""),"Oncology; Pediatric")</f>
        <v>Oncology; Pediatric</v>
      </c>
      <c r="K854" s="5" t="str">
        <f>IFERROR(__xludf.DUMMYFUNCTION("""COMPUTED_VALUE"""),"Current")</f>
        <v>Current</v>
      </c>
      <c r="L854" s="5"/>
      <c r="M854" s="5"/>
      <c r="N854" s="10">
        <f>IFERROR(__xludf.DUMMYFUNCTION("""COMPUTED_VALUE"""),46185.0)</f>
        <v>46185</v>
      </c>
      <c r="O854" s="5">
        <v>2026.0</v>
      </c>
      <c r="P854" s="5" t="str">
        <f>IFERROR(__xludf.DUMMYFUNCTION("""COMPUTED_VALUE"""),"Limited Availability")</f>
        <v>Limited Availability</v>
      </c>
      <c r="Q854" s="5" t="s">
        <v>134</v>
      </c>
      <c r="R854" s="5" t="s">
        <v>136</v>
      </c>
      <c r="S854" s="11">
        <v>136.0</v>
      </c>
    </row>
    <row r="855">
      <c r="A855" s="5" t="str">
        <f>IFERROR(__xludf.DUMMYFUNCTION("""COMPUTED_VALUE"""),"Ifosfamide Injection")</f>
        <v>Ifosfamide Injection</v>
      </c>
      <c r="B855" s="5" t="str">
        <f>IFERROR(__xludf.DUMMYFUNCTION("""COMPUTED_VALUE"""),"SteriMax, Inc.")</f>
        <v>SteriMax, Inc.</v>
      </c>
      <c r="C855" s="5" t="str">
        <f>IFERROR(__xludf.DUMMYFUNCTION("""COMPUTED_VALUE"""),"Ifosfamide, Injection, 1 g/1 (NDC 21586-211-02)")</f>
        <v>Ifosfamide, Injection, 1 g/1 (NDC 21586-211-02)</v>
      </c>
      <c r="D855" s="5" t="str">
        <f>IFERROR(__xludf.DUMMYFUNCTION("""COMPUTED_VALUE"""),"New")</f>
        <v>New</v>
      </c>
      <c r="E855" s="10">
        <f>IFERROR(__xludf.DUMMYFUNCTION("""COMPUTED_VALUE"""),46273.0)</f>
        <v>46273</v>
      </c>
      <c r="F855" s="5" t="str">
        <f>IFERROR(__xludf.DUMMYFUNCTION("""COMPUTED_VALUE"""),"Available")</f>
        <v>Available</v>
      </c>
      <c r="G855" s="5" t="str">
        <f>IFERROR(__xludf.DUMMYFUNCTION("""COMPUTED_VALUE"""),"To place an order, please contact GlobalRX at info@globalrx.com or (919) 245-8418")</f>
        <v>To place an order, please contact GlobalRX at info@globalrx.com or (919) 245-8418</v>
      </c>
      <c r="H855" s="5"/>
      <c r="I855" s="5"/>
      <c r="J855" s="5" t="str">
        <f>IFERROR(__xludf.DUMMYFUNCTION("""COMPUTED_VALUE"""),"Oncology; Pediatric")</f>
        <v>Oncology; Pediatric</v>
      </c>
      <c r="K855" s="5" t="str">
        <f>IFERROR(__xludf.DUMMYFUNCTION("""COMPUTED_VALUE"""),"Current")</f>
        <v>Current</v>
      </c>
      <c r="L855" s="5"/>
      <c r="M855" s="5"/>
      <c r="N855" s="10">
        <f>IFERROR(__xludf.DUMMYFUNCTION("""COMPUTED_VALUE"""),46185.0)</f>
        <v>46185</v>
      </c>
      <c r="O855" s="5">
        <v>2026.0</v>
      </c>
      <c r="P855" s="5" t="str">
        <f>IFERROR(__xludf.DUMMYFUNCTION("""COMPUTED_VALUE"""),"Available")</f>
        <v>Available</v>
      </c>
      <c r="Q855" s="5" t="s">
        <v>135</v>
      </c>
      <c r="R855" s="5" t="s">
        <v>136</v>
      </c>
      <c r="S855" s="11">
        <v>136.0</v>
      </c>
    </row>
    <row r="856">
      <c r="A856" s="5" t="str">
        <f>IFERROR(__xludf.DUMMYFUNCTION("""COMPUTED_VALUE"""),"Imipenem and Cilastatin Injection")</f>
        <v>Imipenem and Cilastatin Injection</v>
      </c>
      <c r="B856" s="5" t="str">
        <f>IFERROR(__xludf.DUMMYFUNCTION("""COMPUTED_VALUE"""),"Merck Sharp &amp; Dohme Corp.")</f>
        <v>Merck Sharp &amp; Dohme Corp.</v>
      </c>
      <c r="C856" s="5" t="str">
        <f>IFERROR(__xludf.DUMMYFUNCTION("""COMPUTED_VALUE"""),"Primaxin, Injection, 500mg (NDC 0006-3516-59)")</f>
        <v>Primaxin, Injection, 500mg (NDC 0006-3516-59)</v>
      </c>
      <c r="D856" s="5" t="str">
        <f>IFERROR(__xludf.DUMMYFUNCTION("""COMPUTED_VALUE"""),"New")</f>
        <v>New</v>
      </c>
      <c r="E856" s="10">
        <f>IFERROR(__xludf.DUMMYFUNCTION("""COMPUTED_VALUE"""),46030.0)</f>
        <v>46030</v>
      </c>
      <c r="F856" s="5"/>
      <c r="G856" s="5" t="str">
        <f>IFERROR(__xludf.DUMMYFUNCTION("""COMPUTED_VALUE"""),"To be discontinued approximately 11/30/2026")</f>
        <v>To be discontinued approximately 11/30/2026</v>
      </c>
      <c r="H856" s="5"/>
      <c r="I856" s="5"/>
      <c r="J856" s="5" t="str">
        <f>IFERROR(__xludf.DUMMYFUNCTION("""COMPUTED_VALUE"""),"Anti-Infective")</f>
        <v>Anti-Infective</v>
      </c>
      <c r="K856" s="5" t="str">
        <f>IFERROR(__xludf.DUMMYFUNCTION("""COMPUTED_VALUE"""),"To Be Discontinued")</f>
        <v>To Be Discontinued</v>
      </c>
      <c r="L856" s="5"/>
      <c r="M856" s="10">
        <f>IFERROR(__xludf.DUMMYFUNCTION("""COMPUTED_VALUE"""),46030.0)</f>
        <v>46030</v>
      </c>
      <c r="N856" s="10">
        <f>IFERROR(__xludf.DUMMYFUNCTION("""COMPUTED_VALUE"""),46030.0)</f>
        <v>46030</v>
      </c>
      <c r="O856" s="5">
        <v>2026.0</v>
      </c>
      <c r="P856" s="5" t="str">
        <f>IFERROR(__xludf.DUMMYFUNCTION("""COMPUTED_VALUE"""),"Not stated")</f>
        <v>Not stated</v>
      </c>
      <c r="Q856" s="5" t="s">
        <v>135</v>
      </c>
      <c r="R856" s="5" t="s">
        <v>136</v>
      </c>
      <c r="S856" s="11">
        <v>291.0</v>
      </c>
    </row>
    <row r="857">
      <c r="A857" s="5" t="str">
        <f>IFERROR(__xludf.DUMMYFUNCTION("""COMPUTED_VALUE"""),"Imipenem Anhydrous, Cilastatin, and Relebactam Anhydrous Injection")</f>
        <v>Imipenem Anhydrous, Cilastatin, and Relebactam Anhydrous Injection</v>
      </c>
      <c r="B857" s="5" t="str">
        <f>IFERROR(__xludf.DUMMYFUNCTION("""COMPUTED_VALUE"""),"Merck Sharp &amp; Dohme LLC")</f>
        <v>Merck Sharp &amp; Dohme LLC</v>
      </c>
      <c r="C857" s="5" t="str">
        <f>IFERROR(__xludf.DUMMYFUNCTION("""COMPUTED_VALUE"""),"RECARBRIO, Injection, 500 mg/100 mL; 500 mg/100 mL; 250 mg/100 mL (NDC 0006-3856-02)")</f>
        <v>RECARBRIO, Injection, 500 mg/100 mL; 500 mg/100 mL; 250 mg/100 mL (NDC 0006-3856-02)</v>
      </c>
      <c r="D857" s="5" t="str">
        <f>IFERROR(__xludf.DUMMYFUNCTION("""COMPUTED_VALUE"""),"New")</f>
        <v>New</v>
      </c>
      <c r="E857" s="10">
        <f>IFERROR(__xludf.DUMMYFUNCTION("""COMPUTED_VALUE"""),46274.0)</f>
        <v>46274</v>
      </c>
      <c r="F857" s="5"/>
      <c r="G857" s="5" t="str">
        <f>IFERROR(__xludf.DUMMYFUNCTION("""COMPUTED_VALUE"""),"To be discontinued on or near late September 2026.")</f>
        <v>To be discontinued on or near late September 2026.</v>
      </c>
      <c r="H857" s="5"/>
      <c r="I857" s="5"/>
      <c r="J857" s="5" t="str">
        <f>IFERROR(__xludf.DUMMYFUNCTION("""COMPUTED_VALUE"""),"Anti-Infective")</f>
        <v>Anti-Infective</v>
      </c>
      <c r="K857" s="5" t="str">
        <f>IFERROR(__xludf.DUMMYFUNCTION("""COMPUTED_VALUE"""),"To Be Discontinued")</f>
        <v>To Be Discontinued</v>
      </c>
      <c r="L857" s="5"/>
      <c r="M857" s="10">
        <f>IFERROR(__xludf.DUMMYFUNCTION("""COMPUTED_VALUE"""),46274.0)</f>
        <v>46274</v>
      </c>
      <c r="N857" s="10">
        <f>IFERROR(__xludf.DUMMYFUNCTION("""COMPUTED_VALUE"""),46274.0)</f>
        <v>46274</v>
      </c>
      <c r="O857" s="5">
        <v>2026.0</v>
      </c>
      <c r="P857" s="5" t="str">
        <f>IFERROR(__xludf.DUMMYFUNCTION("""COMPUTED_VALUE"""),"Not stated")</f>
        <v>Not stated</v>
      </c>
      <c r="Q857" s="5" t="s">
        <v>135</v>
      </c>
      <c r="R857" s="5" t="s">
        <v>136</v>
      </c>
      <c r="S857" s="11">
        <v>47.0</v>
      </c>
    </row>
    <row r="858">
      <c r="A858" s="5" t="str">
        <f>IFERROR(__xludf.DUMMYFUNCTION("""COMPUTED_VALUE"""),"Insulin Glargine-aglr Injection")</f>
        <v>Insulin Glargine-aglr Injection</v>
      </c>
      <c r="B858" s="5" t="str">
        <f>IFERROR(__xludf.DUMMYFUNCTION("""COMPUTED_VALUE"""),"Eli Lilly and Co.")</f>
        <v>Eli Lilly and Co.</v>
      </c>
      <c r="C858" s="5" t="str">
        <f>IFERROR(__xludf.DUMMYFUNCTION("""COMPUTED_VALUE"""),"Rezvoglar, Injection, 100 [iU]/1 mL (NDC 0002-8980-05)")</f>
        <v>Rezvoglar, Injection, 100 [iU]/1 mL (NDC 0002-8980-05)</v>
      </c>
      <c r="D858" s="5" t="str">
        <f>IFERROR(__xludf.DUMMYFUNCTION("""COMPUTED_VALUE"""),"New")</f>
        <v>New</v>
      </c>
      <c r="E858" s="10">
        <f>IFERROR(__xludf.DUMMYFUNCTION("""COMPUTED_VALUE"""),46266.0)</f>
        <v>46266</v>
      </c>
      <c r="F858" s="5"/>
      <c r="G858" s="5" t="str">
        <f>IFERROR(__xludf.DUMMYFUNCTION("""COMPUTED_VALUE"""),"A business decision was made to discontinue manufacture of the drug. Distribution projected to end June 2027. If patients or prescribers have any questions, the Lilly Answers Center (1-800-545-5979) is available Monday through Friday from 9am to 8pm for a"&amp;"ssistance.")</f>
        <v>A business decision was made to discontinue manufacture of the drug. Distribution projected to end June 2027. If patients or prescribers have any questions, the Lilly Answers Center (1-800-545-5979) is available Monday through Friday from 9am to 8pm for assistance.</v>
      </c>
      <c r="H858" s="5"/>
      <c r="I858" s="5"/>
      <c r="J858" s="5" t="str">
        <f>IFERROR(__xludf.DUMMYFUNCTION("""COMPUTED_VALUE"""),"Endocrinology/Metabolism")</f>
        <v>Endocrinology/Metabolism</v>
      </c>
      <c r="K858" s="5" t="str">
        <f>IFERROR(__xludf.DUMMYFUNCTION("""COMPUTED_VALUE"""),"To Be Discontinued")</f>
        <v>To Be Discontinued</v>
      </c>
      <c r="L858" s="5"/>
      <c r="M858" s="10">
        <f>IFERROR(__xludf.DUMMYFUNCTION("""COMPUTED_VALUE"""),46266.0)</f>
        <v>46266</v>
      </c>
      <c r="N858" s="10">
        <f>IFERROR(__xludf.DUMMYFUNCTION("""COMPUTED_VALUE"""),46266.0)</f>
        <v>46266</v>
      </c>
      <c r="O858" s="5">
        <v>2026.0</v>
      </c>
      <c r="P858" s="5" t="str">
        <f>IFERROR(__xludf.DUMMYFUNCTION("""COMPUTED_VALUE"""),"Not stated")</f>
        <v>Not stated</v>
      </c>
      <c r="Q858" s="5" t="s">
        <v>135</v>
      </c>
      <c r="R858" s="5" t="s">
        <v>136</v>
      </c>
      <c r="S858" s="11">
        <v>55.0</v>
      </c>
    </row>
    <row r="859">
      <c r="A859" s="5" t="str">
        <f>IFERROR(__xludf.DUMMYFUNCTION("""COMPUTED_VALUE"""),"Insulin Lispro Injection")</f>
        <v>Insulin Lispro Injection</v>
      </c>
      <c r="B859" s="5" t="str">
        <f>IFERROR(__xludf.DUMMYFUNCTION("""COMPUTED_VALUE"""),"Eli Lilly and Co.")</f>
        <v>Eli Lilly and Co.</v>
      </c>
      <c r="C859" s="5" t="str">
        <f>IFERROR(__xludf.DUMMYFUNCTION("""COMPUTED_VALUE"""),"Insulin Lispro Junior KwikPen, Injection, 100 [iU]/1 mL (NDC 0002-7752-05)")</f>
        <v>Insulin Lispro Junior KwikPen, Injection, 100 [iU]/1 mL (NDC 0002-7752-05)</v>
      </c>
      <c r="D859" s="5" t="str">
        <f>IFERROR(__xludf.DUMMYFUNCTION("""COMPUTED_VALUE"""),"New")</f>
        <v>New</v>
      </c>
      <c r="E859" s="10">
        <f>IFERROR(__xludf.DUMMYFUNCTION("""COMPUTED_VALUE"""),46266.0)</f>
        <v>46266</v>
      </c>
      <c r="F859" s="5"/>
      <c r="G859" s="5" t="str">
        <f>IFERROR(__xludf.DUMMYFUNCTION("""COMPUTED_VALUE"""),"A business decision was made to discontinue manufacture of the drug. Distribution projected to end June 2027. If patients or prescribers have any questions, the Lilly Answers Center (1-800-545-5979) is available Monday through Friday from 9am to 8pm for a"&amp;"ssistance.")</f>
        <v>A business decision was made to discontinue manufacture of the drug. Distribution projected to end June 2027. If patients or prescribers have any questions, the Lilly Answers Center (1-800-545-5979) is available Monday through Friday from 9am to 8pm for assistance.</v>
      </c>
      <c r="H859" s="5"/>
      <c r="I859" s="5"/>
      <c r="J859" s="5" t="str">
        <f>IFERROR(__xludf.DUMMYFUNCTION("""COMPUTED_VALUE"""),"Endocrinology/Metabolism")</f>
        <v>Endocrinology/Metabolism</v>
      </c>
      <c r="K859" s="5" t="str">
        <f>IFERROR(__xludf.DUMMYFUNCTION("""COMPUTED_VALUE"""),"To Be Discontinued")</f>
        <v>To Be Discontinued</v>
      </c>
      <c r="L859" s="5"/>
      <c r="M859" s="10">
        <f>IFERROR(__xludf.DUMMYFUNCTION("""COMPUTED_VALUE"""),46266.0)</f>
        <v>46266</v>
      </c>
      <c r="N859" s="10">
        <f>IFERROR(__xludf.DUMMYFUNCTION("""COMPUTED_VALUE"""),46266.0)</f>
        <v>46266</v>
      </c>
      <c r="O859" s="5">
        <v>2026.0</v>
      </c>
      <c r="P859" s="5" t="str">
        <f>IFERROR(__xludf.DUMMYFUNCTION("""COMPUTED_VALUE"""),"Not stated")</f>
        <v>Not stated</v>
      </c>
      <c r="Q859" s="5" t="s">
        <v>135</v>
      </c>
      <c r="R859" s="5" t="s">
        <v>136</v>
      </c>
      <c r="S859" s="11">
        <v>55.0</v>
      </c>
    </row>
    <row r="860">
      <c r="A860" s="5" t="str">
        <f>IFERROR(__xludf.DUMMYFUNCTION("""COMPUTED_VALUE"""),"Insulin Lispro Protamine and Insulin Lispro Injection")</f>
        <v>Insulin Lispro Protamine and Insulin Lispro Injection</v>
      </c>
      <c r="B860" s="5" t="str">
        <f>IFERROR(__xludf.DUMMYFUNCTION("""COMPUTED_VALUE"""),"Eli Lilly and Co.")</f>
        <v>Eli Lilly and Co.</v>
      </c>
      <c r="C860" s="5" t="str">
        <f>IFERROR(__xludf.DUMMYFUNCTION("""COMPUTED_VALUE"""),"Humalog Mix 75/25, Injection, 100 [iU]/1 mL (NDC 0002-8233-05)")</f>
        <v>Humalog Mix 75/25, Injection, 100 [iU]/1 mL (NDC 0002-8233-05)</v>
      </c>
      <c r="D860" s="5" t="str">
        <f>IFERROR(__xludf.DUMMYFUNCTION("""COMPUTED_VALUE"""),"New")</f>
        <v>New</v>
      </c>
      <c r="E860" s="10">
        <f>IFERROR(__xludf.DUMMYFUNCTION("""COMPUTED_VALUE"""),46266.0)</f>
        <v>46266</v>
      </c>
      <c r="F860" s="5"/>
      <c r="G860" s="5" t="str">
        <f>IFERROR(__xludf.DUMMYFUNCTION("""COMPUTED_VALUE"""),"A business decision was made to discontinue manufacture of the drug. Distribution projected to end June 2027. If patients or prescribers have any questions, the Lilly Answers Center (1-800-545-5979) is available Monday through Friday from 9am to 8pm for a"&amp;"ssistance.")</f>
        <v>A business decision was made to discontinue manufacture of the drug. Distribution projected to end June 2027. If patients or prescribers have any questions, the Lilly Answers Center (1-800-545-5979) is available Monday through Friday from 9am to 8pm for assistance.</v>
      </c>
      <c r="H860" s="5"/>
      <c r="I860" s="5"/>
      <c r="J860" s="5" t="str">
        <f>IFERROR(__xludf.DUMMYFUNCTION("""COMPUTED_VALUE"""),"Endocrinology/Metabolism")</f>
        <v>Endocrinology/Metabolism</v>
      </c>
      <c r="K860" s="5" t="str">
        <f>IFERROR(__xludf.DUMMYFUNCTION("""COMPUTED_VALUE"""),"To Be Discontinued")</f>
        <v>To Be Discontinued</v>
      </c>
      <c r="L860" s="5"/>
      <c r="M860" s="10">
        <f>IFERROR(__xludf.DUMMYFUNCTION("""COMPUTED_VALUE"""),46266.0)</f>
        <v>46266</v>
      </c>
      <c r="N860" s="10">
        <f>IFERROR(__xludf.DUMMYFUNCTION("""COMPUTED_VALUE"""),46266.0)</f>
        <v>46266</v>
      </c>
      <c r="O860" s="5">
        <v>2026.0</v>
      </c>
      <c r="P860" s="5" t="str">
        <f>IFERROR(__xludf.DUMMYFUNCTION("""COMPUTED_VALUE"""),"Not stated")</f>
        <v>Not stated</v>
      </c>
      <c r="Q860" s="5" t="s">
        <v>135</v>
      </c>
      <c r="R860" s="5" t="s">
        <v>136</v>
      </c>
      <c r="S860" s="11">
        <v>55.0</v>
      </c>
    </row>
    <row r="861">
      <c r="A861" s="5" t="str">
        <f>IFERROR(__xludf.DUMMYFUNCTION("""COMPUTED_VALUE"""),"Irinotecan Hydrochloride Injection")</f>
        <v>Irinotecan Hydrochloride Injection</v>
      </c>
      <c r="B861" s="5" t="str">
        <f>IFERROR(__xludf.DUMMYFUNCTION("""COMPUTED_VALUE"""),"Ingenus Pharmaceuticals LLC")</f>
        <v>Ingenus Pharmaceuticals LLC</v>
      </c>
      <c r="C861" s="5" t="str">
        <f>IFERROR(__xludf.DUMMYFUNCTION("""COMPUTED_VALUE"""),"Irinotecan Hydrochloride, Injection, 40 mg/2 mL (NDC 50742-401-02)")</f>
        <v>Irinotecan Hydrochloride, Injection, 40 mg/2 mL (NDC 50742-401-02)</v>
      </c>
      <c r="D861" s="5" t="str">
        <f>IFERROR(__xludf.DUMMYFUNCTION("""COMPUTED_VALUE"""),"New")</f>
        <v>New</v>
      </c>
      <c r="E861" s="10">
        <f>IFERROR(__xludf.DUMMYFUNCTION("""COMPUTED_VALUE"""),46077.0)</f>
        <v>46077</v>
      </c>
      <c r="F861" s="5"/>
      <c r="G861" s="5" t="str">
        <f>IFERROR(__xludf.DUMMYFUNCTION("""COMPUTED_VALUE"""),"A business decision was made to discontinue manufacture of the drug.")</f>
        <v>A business decision was made to discontinue manufacture of the drug.</v>
      </c>
      <c r="H861" s="5"/>
      <c r="I861" s="5"/>
      <c r="J861" s="5" t="str">
        <f>IFERROR(__xludf.DUMMYFUNCTION("""COMPUTED_VALUE"""),"Oncology")</f>
        <v>Oncology</v>
      </c>
      <c r="K861" s="5" t="str">
        <f>IFERROR(__xludf.DUMMYFUNCTION("""COMPUTED_VALUE"""),"To Be Discontinued")</f>
        <v>To Be Discontinued</v>
      </c>
      <c r="L861" s="5"/>
      <c r="M861" s="10">
        <f>IFERROR(__xludf.DUMMYFUNCTION("""COMPUTED_VALUE"""),46077.0)</f>
        <v>46077</v>
      </c>
      <c r="N861" s="10">
        <f>IFERROR(__xludf.DUMMYFUNCTION("""COMPUTED_VALUE"""),46077.0)</f>
        <v>46077</v>
      </c>
      <c r="O861" s="5">
        <v>2026.0</v>
      </c>
      <c r="P861" s="5" t="str">
        <f>IFERROR(__xludf.DUMMYFUNCTION("""COMPUTED_VALUE"""),"Not stated")</f>
        <v>Not stated</v>
      </c>
      <c r="Q861" s="5" t="s">
        <v>135</v>
      </c>
      <c r="R861" s="5" t="s">
        <v>136</v>
      </c>
      <c r="S861" s="11">
        <v>244.0</v>
      </c>
    </row>
    <row r="862">
      <c r="A862" s="5" t="str">
        <f>IFERROR(__xludf.DUMMYFUNCTION("""COMPUTED_VALUE"""),"Irinotecan Hydrochloride Injection")</f>
        <v>Irinotecan Hydrochloride Injection</v>
      </c>
      <c r="B862" s="5" t="str">
        <f>IFERROR(__xludf.DUMMYFUNCTION("""COMPUTED_VALUE"""),"Ingenus Pharmaceuticals LLC")</f>
        <v>Ingenus Pharmaceuticals LLC</v>
      </c>
      <c r="C862" s="5" t="str">
        <f>IFERROR(__xludf.DUMMYFUNCTION("""COMPUTED_VALUE"""),"Irinotecan Hydrochloride, Injection, 100 mg/5 mL (NDC 50742-402-05)")</f>
        <v>Irinotecan Hydrochloride, Injection, 100 mg/5 mL (NDC 50742-402-05)</v>
      </c>
      <c r="D862" s="5" t="str">
        <f>IFERROR(__xludf.DUMMYFUNCTION("""COMPUTED_VALUE"""),"New")</f>
        <v>New</v>
      </c>
      <c r="E862" s="10">
        <f>IFERROR(__xludf.DUMMYFUNCTION("""COMPUTED_VALUE"""),46077.0)</f>
        <v>46077</v>
      </c>
      <c r="F862" s="5"/>
      <c r="G862" s="5" t="str">
        <f>IFERROR(__xludf.DUMMYFUNCTION("""COMPUTED_VALUE"""),"A business decision was made to discontinue manufacture of the drug.")</f>
        <v>A business decision was made to discontinue manufacture of the drug.</v>
      </c>
      <c r="H862" s="5"/>
      <c r="I862" s="5"/>
      <c r="J862" s="5" t="str">
        <f>IFERROR(__xludf.DUMMYFUNCTION("""COMPUTED_VALUE"""),"Oncology")</f>
        <v>Oncology</v>
      </c>
      <c r="K862" s="5" t="str">
        <f>IFERROR(__xludf.DUMMYFUNCTION("""COMPUTED_VALUE"""),"To Be Discontinued")</f>
        <v>To Be Discontinued</v>
      </c>
      <c r="L862" s="5"/>
      <c r="M862" s="10">
        <f>IFERROR(__xludf.DUMMYFUNCTION("""COMPUTED_VALUE"""),46077.0)</f>
        <v>46077</v>
      </c>
      <c r="N862" s="10">
        <f>IFERROR(__xludf.DUMMYFUNCTION("""COMPUTED_VALUE"""),46077.0)</f>
        <v>46077</v>
      </c>
      <c r="O862" s="5">
        <v>2026.0</v>
      </c>
      <c r="P862" s="5" t="str">
        <f>IFERROR(__xludf.DUMMYFUNCTION("""COMPUTED_VALUE"""),"Not stated")</f>
        <v>Not stated</v>
      </c>
      <c r="Q862" s="5" t="s">
        <v>135</v>
      </c>
      <c r="R862" s="5" t="s">
        <v>136</v>
      </c>
      <c r="S862" s="11">
        <v>244.0</v>
      </c>
    </row>
    <row r="863">
      <c r="A863" s="5" t="str">
        <f>IFERROR(__xludf.DUMMYFUNCTION("""COMPUTED_VALUE"""),"Iron Sucrose Injection")</f>
        <v>Iron Sucrose Injection</v>
      </c>
      <c r="B863" s="5" t="str">
        <f>IFERROR(__xludf.DUMMYFUNCTION("""COMPUTED_VALUE"""),"Mylan Institutional, a Viatris Company")</f>
        <v>Mylan Institutional, a Viatris Company</v>
      </c>
      <c r="C863" s="5" t="str">
        <f>IFERROR(__xludf.DUMMYFUNCTION("""COMPUTED_VALUE"""),"Iron Sucrose, Injection, 50 mg/2.5 mL (NDC 67457-957-99)")</f>
        <v>Iron Sucrose, Injection, 50 mg/2.5 mL (NDC 67457-957-99)</v>
      </c>
      <c r="D863" s="5" t="str">
        <f>IFERROR(__xludf.DUMMYFUNCTION("""COMPUTED_VALUE"""),"New")</f>
        <v>New</v>
      </c>
      <c r="E863" s="10">
        <f>IFERROR(__xludf.DUMMYFUNCTION("""COMPUTED_VALUE"""),46163.0)</f>
        <v>46163</v>
      </c>
      <c r="F863" s="5"/>
      <c r="G863" s="5" t="str">
        <f>IFERROR(__xludf.DUMMYFUNCTION("""COMPUTED_VALUE"""),"A business decision has been made to discontinue of 2.5mL presentation only. Continuity of supply is forecasted across all other presentations of Iron Sucrose: 67457-639-10 Iron Sucrose 20mg/mL 10mL SDV 5PK 67457-638-10 Iron Sucrose 20mg/mL 5mL SDV 10PK 6"&amp;"7457-638-25 Iron Sucrose 20mg/mL 5mL SDV 25PK.")</f>
        <v>A business decision has been made to discontinue of 2.5mL presentation only. Continuity of supply is forecasted across all other presentations of Iron Sucrose: 67457-639-10 Iron Sucrose 20mg/mL 10mL SDV 5PK 67457-638-10 Iron Sucrose 20mg/mL 5mL SDV 10PK 67457-638-25 Iron Sucrose 20mg/mL 5mL SDV 25PK.</v>
      </c>
      <c r="H863" s="5"/>
      <c r="I863" s="5"/>
      <c r="J863" s="5" t="str">
        <f>IFERROR(__xludf.DUMMYFUNCTION("""COMPUTED_VALUE"""),"Hematology")</f>
        <v>Hematology</v>
      </c>
      <c r="K863" s="5" t="str">
        <f>IFERROR(__xludf.DUMMYFUNCTION("""COMPUTED_VALUE"""),"To Be Discontinued")</f>
        <v>To Be Discontinued</v>
      </c>
      <c r="L863" s="5"/>
      <c r="M863" s="10">
        <f>IFERROR(__xludf.DUMMYFUNCTION("""COMPUTED_VALUE"""),46163.0)</f>
        <v>46163</v>
      </c>
      <c r="N863" s="10">
        <f>IFERROR(__xludf.DUMMYFUNCTION("""COMPUTED_VALUE"""),46163.0)</f>
        <v>46163</v>
      </c>
      <c r="O863" s="5">
        <v>2026.0</v>
      </c>
      <c r="P863" s="5" t="str">
        <f>IFERROR(__xludf.DUMMYFUNCTION("""COMPUTED_VALUE"""),"Not stated")</f>
        <v>Not stated</v>
      </c>
      <c r="Q863" s="5" t="s">
        <v>135</v>
      </c>
      <c r="R863" s="5" t="s">
        <v>136</v>
      </c>
      <c r="S863" s="11">
        <v>158.0</v>
      </c>
    </row>
    <row r="864">
      <c r="A864" s="5" t="str">
        <f>IFERROR(__xludf.DUMMYFUNCTION("""COMPUTED_VALUE"""),"Isocarboxazid Tablet")</f>
        <v>Isocarboxazid Tablet</v>
      </c>
      <c r="B864" s="5" t="str">
        <f>IFERROR(__xludf.DUMMYFUNCTION("""COMPUTED_VALUE"""),"Lifsa Drugs LLC")</f>
        <v>Lifsa Drugs LLC</v>
      </c>
      <c r="C864" s="5" t="str">
        <f>IFERROR(__xludf.DUMMYFUNCTION("""COMPUTED_VALUE"""),"Marplan, Tablet, 10 mg, 100 count bottle (NDC 72336-032-01)")</f>
        <v>Marplan, Tablet, 10 mg, 100 count bottle (NDC 72336-032-01)</v>
      </c>
      <c r="D864" s="5" t="str">
        <f>IFERROR(__xludf.DUMMYFUNCTION("""COMPUTED_VALUE"""),"Revised")</f>
        <v>Revised</v>
      </c>
      <c r="E864" s="10">
        <f>IFERROR(__xludf.DUMMYFUNCTION("""COMPUTED_VALUE"""),46240.0)</f>
        <v>46240</v>
      </c>
      <c r="F864" s="5" t="str">
        <f>IFERROR(__xludf.DUMMYFUNCTION("""COMPUTED_VALUE"""),"Limited Availability")</f>
        <v>Limited Availability</v>
      </c>
      <c r="G864" s="5" t="str">
        <f>IFERROR(__xludf.DUMMYFUNCTION("""COMPUTED_VALUE"""),"Estimated recovery: TBD")</f>
        <v>Estimated recovery: TBD</v>
      </c>
      <c r="H864" s="5"/>
      <c r="I864" s="5" t="str">
        <f>IFERROR(__xludf.DUMMYFUNCTION("""COMPUTED_VALUE"""),"Other")</f>
        <v>Other</v>
      </c>
      <c r="J864" s="5" t="str">
        <f>IFERROR(__xludf.DUMMYFUNCTION("""COMPUTED_VALUE"""),"Psychiatry")</f>
        <v>Psychiatry</v>
      </c>
      <c r="K864" s="5" t="str">
        <f>IFERROR(__xludf.DUMMYFUNCTION("""COMPUTED_VALUE"""),"Current")</f>
        <v>Current</v>
      </c>
      <c r="L864" s="5"/>
      <c r="M864" s="5"/>
      <c r="N864" s="10">
        <f>IFERROR(__xludf.DUMMYFUNCTION("""COMPUTED_VALUE"""),46128.0)</f>
        <v>46128</v>
      </c>
      <c r="O864" s="5">
        <v>2026.0</v>
      </c>
      <c r="P864" s="5" t="str">
        <f>IFERROR(__xludf.DUMMYFUNCTION("""COMPUTED_VALUE"""),"Limited Availability")</f>
        <v>Limited Availability</v>
      </c>
      <c r="Q864" s="5" t="s">
        <v>47</v>
      </c>
      <c r="R864" s="5" t="s">
        <v>136</v>
      </c>
      <c r="S864" s="11">
        <v>193.0</v>
      </c>
    </row>
    <row r="865">
      <c r="A865" s="5" t="str">
        <f>IFERROR(__xludf.DUMMYFUNCTION("""COMPUTED_VALUE"""),"Itraconazole Capsule")</f>
        <v>Itraconazole Capsule</v>
      </c>
      <c r="B865" s="5" t="str">
        <f>IFERROR(__xludf.DUMMYFUNCTION("""COMPUTED_VALUE"""),"Janssen Pharmaceuticals")</f>
        <v>Janssen Pharmaceuticals</v>
      </c>
      <c r="C865" s="5" t="str">
        <f>IFERROR(__xludf.DUMMYFUNCTION("""COMPUTED_VALUE"""),"Sporanox, Capsule, 100 mg (NDC 10147-1700-3)")</f>
        <v>Sporanox, Capsule, 100 mg (NDC 10147-1700-3)</v>
      </c>
      <c r="D865" s="5" t="str">
        <f>IFERROR(__xludf.DUMMYFUNCTION("""COMPUTED_VALUE"""),"New")</f>
        <v>New</v>
      </c>
      <c r="E865" s="10">
        <f>IFERROR(__xludf.DUMMYFUNCTION("""COMPUTED_VALUE"""),46080.0)</f>
        <v>46080</v>
      </c>
      <c r="F865" s="5"/>
      <c r="G865" s="5" t="str">
        <f>IFERROR(__xludf.DUMMYFUNCTION("""COMPUTED_VALUE"""),"Discontinuation of the manufacture of the drug")</f>
        <v>Discontinuation of the manufacture of the drug</v>
      </c>
      <c r="H865" s="5"/>
      <c r="I865" s="5"/>
      <c r="J865" s="5" t="str">
        <f>IFERROR(__xludf.DUMMYFUNCTION("""COMPUTED_VALUE"""),"Anti-Infective; Other")</f>
        <v>Anti-Infective; Other</v>
      </c>
      <c r="K865" s="5" t="str">
        <f>IFERROR(__xludf.DUMMYFUNCTION("""COMPUTED_VALUE"""),"To Be Discontinued")</f>
        <v>To Be Discontinued</v>
      </c>
      <c r="L865" s="5"/>
      <c r="M865" s="10">
        <f>IFERROR(__xludf.DUMMYFUNCTION("""COMPUTED_VALUE"""),46080.0)</f>
        <v>46080</v>
      </c>
      <c r="N865" s="10">
        <f>IFERROR(__xludf.DUMMYFUNCTION("""COMPUTED_VALUE"""),46080.0)</f>
        <v>46080</v>
      </c>
      <c r="O865" s="5">
        <v>2026.0</v>
      </c>
      <c r="P865" s="5" t="str">
        <f>IFERROR(__xludf.DUMMYFUNCTION("""COMPUTED_VALUE"""),"Not stated")</f>
        <v>Not stated</v>
      </c>
      <c r="Q865" s="5" t="s">
        <v>135</v>
      </c>
      <c r="R865" s="5" t="s">
        <v>136</v>
      </c>
      <c r="S865" s="11">
        <v>241.0</v>
      </c>
    </row>
    <row r="866">
      <c r="A866" s="5" t="str">
        <f>IFERROR(__xludf.DUMMYFUNCTION("""COMPUTED_VALUE"""),"Itraconazole Capsule")</f>
        <v>Itraconazole Capsule</v>
      </c>
      <c r="B866" s="5" t="str">
        <f>IFERROR(__xludf.DUMMYFUNCTION("""COMPUTED_VALUE"""),"Janssen Pharmaceuticals")</f>
        <v>Janssen Pharmaceuticals</v>
      </c>
      <c r="C866" s="5" t="str">
        <f>IFERROR(__xludf.DUMMYFUNCTION("""COMPUTED_VALUE"""),"Sporanox, Capsule, 100 mg (NDC 50458-290-01)")</f>
        <v>Sporanox, Capsule, 100 mg (NDC 50458-290-01)</v>
      </c>
      <c r="D866" s="5" t="str">
        <f>IFERROR(__xludf.DUMMYFUNCTION("""COMPUTED_VALUE"""),"New")</f>
        <v>New</v>
      </c>
      <c r="E866" s="10">
        <f>IFERROR(__xludf.DUMMYFUNCTION("""COMPUTED_VALUE"""),46080.0)</f>
        <v>46080</v>
      </c>
      <c r="F866" s="5"/>
      <c r="G866" s="5" t="str">
        <f>IFERROR(__xludf.DUMMYFUNCTION("""COMPUTED_VALUE"""),"Discontinuation of the manufacture of the drug")</f>
        <v>Discontinuation of the manufacture of the drug</v>
      </c>
      <c r="H866" s="5"/>
      <c r="I866" s="5"/>
      <c r="J866" s="5" t="str">
        <f>IFERROR(__xludf.DUMMYFUNCTION("""COMPUTED_VALUE"""),"Anti-Infective; Other")</f>
        <v>Anti-Infective; Other</v>
      </c>
      <c r="K866" s="5" t="str">
        <f>IFERROR(__xludf.DUMMYFUNCTION("""COMPUTED_VALUE"""),"To Be Discontinued")</f>
        <v>To Be Discontinued</v>
      </c>
      <c r="L866" s="5"/>
      <c r="M866" s="10">
        <f>IFERROR(__xludf.DUMMYFUNCTION("""COMPUTED_VALUE"""),46080.0)</f>
        <v>46080</v>
      </c>
      <c r="N866" s="10">
        <f>IFERROR(__xludf.DUMMYFUNCTION("""COMPUTED_VALUE"""),46080.0)</f>
        <v>46080</v>
      </c>
      <c r="O866" s="5">
        <v>2026.0</v>
      </c>
      <c r="P866" s="5" t="str">
        <f>IFERROR(__xludf.DUMMYFUNCTION("""COMPUTED_VALUE"""),"Not stated")</f>
        <v>Not stated</v>
      </c>
      <c r="Q866" s="5" t="s">
        <v>135</v>
      </c>
      <c r="R866" s="5" t="s">
        <v>136</v>
      </c>
      <c r="S866" s="11">
        <v>241.0</v>
      </c>
    </row>
    <row r="867">
      <c r="A867" s="5" t="str">
        <f>IFERROR(__xludf.DUMMYFUNCTION("""COMPUTED_VALUE"""),"Itraconazole Capsule")</f>
        <v>Itraconazole Capsule</v>
      </c>
      <c r="B867" s="5" t="str">
        <f>IFERROR(__xludf.DUMMYFUNCTION("""COMPUTED_VALUE"""),"Janssen Pharmaceuticals")</f>
        <v>Janssen Pharmaceuticals</v>
      </c>
      <c r="C867" s="5" t="str">
        <f>IFERROR(__xludf.DUMMYFUNCTION("""COMPUTED_VALUE"""),"Sporanox, Capsule, 100 mg (NDC 50458-290-04)")</f>
        <v>Sporanox, Capsule, 100 mg (NDC 50458-290-04)</v>
      </c>
      <c r="D867" s="5" t="str">
        <f>IFERROR(__xludf.DUMMYFUNCTION("""COMPUTED_VALUE"""),"New")</f>
        <v>New</v>
      </c>
      <c r="E867" s="10">
        <f>IFERROR(__xludf.DUMMYFUNCTION("""COMPUTED_VALUE"""),46080.0)</f>
        <v>46080</v>
      </c>
      <c r="F867" s="5"/>
      <c r="G867" s="5" t="str">
        <f>IFERROR(__xludf.DUMMYFUNCTION("""COMPUTED_VALUE"""),"Discontinuation of the manufacture of the drug")</f>
        <v>Discontinuation of the manufacture of the drug</v>
      </c>
      <c r="H867" s="5"/>
      <c r="I867" s="5"/>
      <c r="J867" s="5" t="str">
        <f>IFERROR(__xludf.DUMMYFUNCTION("""COMPUTED_VALUE"""),"Anti-Infective; Other")</f>
        <v>Anti-Infective; Other</v>
      </c>
      <c r="K867" s="5" t="str">
        <f>IFERROR(__xludf.DUMMYFUNCTION("""COMPUTED_VALUE"""),"To Be Discontinued")</f>
        <v>To Be Discontinued</v>
      </c>
      <c r="L867" s="5"/>
      <c r="M867" s="10">
        <f>IFERROR(__xludf.DUMMYFUNCTION("""COMPUTED_VALUE"""),46080.0)</f>
        <v>46080</v>
      </c>
      <c r="N867" s="10">
        <f>IFERROR(__xludf.DUMMYFUNCTION("""COMPUTED_VALUE"""),46080.0)</f>
        <v>46080</v>
      </c>
      <c r="O867" s="5">
        <v>2026.0</v>
      </c>
      <c r="P867" s="5" t="str">
        <f>IFERROR(__xludf.DUMMYFUNCTION("""COMPUTED_VALUE"""),"Not stated")</f>
        <v>Not stated</v>
      </c>
      <c r="Q867" s="5" t="s">
        <v>135</v>
      </c>
      <c r="R867" s="5" t="s">
        <v>136</v>
      </c>
      <c r="S867" s="11">
        <v>241.0</v>
      </c>
    </row>
    <row r="868">
      <c r="A868" s="5" t="str">
        <f>IFERROR(__xludf.DUMMYFUNCTION("""COMPUTED_VALUE"""),"Ivabradine Hydrochloride Tablet")</f>
        <v>Ivabradine Hydrochloride Tablet</v>
      </c>
      <c r="B868" s="5" t="str">
        <f>IFERROR(__xludf.DUMMYFUNCTION("""COMPUTED_VALUE"""),"Amgen Inc.")</f>
        <v>Amgen Inc.</v>
      </c>
      <c r="C868" s="5" t="str">
        <f>IFERROR(__xludf.DUMMYFUNCTION("""COMPUTED_VALUE"""),"Corlanor, Tablet, eq. 5 mg base (NDC 55513-800-60)")</f>
        <v>Corlanor, Tablet, eq. 5 mg base (NDC 55513-800-60)</v>
      </c>
      <c r="D868" s="5" t="str">
        <f>IFERROR(__xludf.DUMMYFUNCTION("""COMPUTED_VALUE"""),"New")</f>
        <v>New</v>
      </c>
      <c r="E868" s="10">
        <f>IFERROR(__xludf.DUMMYFUNCTION("""COMPUTED_VALUE"""),46105.0)</f>
        <v>46105</v>
      </c>
      <c r="F868" s="5"/>
      <c r="G868" s="5" t="str">
        <f>IFERROR(__xludf.DUMMYFUNCTION("""COMPUTED_VALUE"""),"Discontinuation of the manufacture of the drug product")</f>
        <v>Discontinuation of the manufacture of the drug product</v>
      </c>
      <c r="H868" s="5"/>
      <c r="I868" s="5"/>
      <c r="J868" s="5" t="str">
        <f>IFERROR(__xludf.DUMMYFUNCTION("""COMPUTED_VALUE"""),"Cardiovascular")</f>
        <v>Cardiovascular</v>
      </c>
      <c r="K868" s="5" t="str">
        <f>IFERROR(__xludf.DUMMYFUNCTION("""COMPUTED_VALUE"""),"To Be Discontinued")</f>
        <v>To Be Discontinued</v>
      </c>
      <c r="L868" s="5"/>
      <c r="M868" s="10">
        <f>IFERROR(__xludf.DUMMYFUNCTION("""COMPUTED_VALUE"""),46023.0)</f>
        <v>46023</v>
      </c>
      <c r="N868" s="10">
        <f>IFERROR(__xludf.DUMMYFUNCTION("""COMPUTED_VALUE"""),46105.0)</f>
        <v>46105</v>
      </c>
      <c r="O868" s="5">
        <v>2026.0</v>
      </c>
      <c r="P868" s="5" t="str">
        <f>IFERROR(__xludf.DUMMYFUNCTION("""COMPUTED_VALUE"""),"Not stated")</f>
        <v>Not stated</v>
      </c>
      <c r="Q868" s="5" t="s">
        <v>135</v>
      </c>
      <c r="R868" s="5" t="s">
        <v>136</v>
      </c>
      <c r="S868" s="11">
        <v>216.0</v>
      </c>
    </row>
    <row r="869">
      <c r="A869" s="5" t="str">
        <f>IFERROR(__xludf.DUMMYFUNCTION("""COMPUTED_VALUE"""),"Ivabradine Hydrochloride Tablet")</f>
        <v>Ivabradine Hydrochloride Tablet</v>
      </c>
      <c r="B869" s="5" t="str">
        <f>IFERROR(__xludf.DUMMYFUNCTION("""COMPUTED_VALUE"""),"Amgen Inc.")</f>
        <v>Amgen Inc.</v>
      </c>
      <c r="C869" s="5" t="str">
        <f>IFERROR(__xludf.DUMMYFUNCTION("""COMPUTED_VALUE"""),"Corlanor, Tablet, eq. 7.5 mg base (NDC 55513-810-60)")</f>
        <v>Corlanor, Tablet, eq. 7.5 mg base (NDC 55513-810-60)</v>
      </c>
      <c r="D869" s="5" t="str">
        <f>IFERROR(__xludf.DUMMYFUNCTION("""COMPUTED_VALUE"""),"New")</f>
        <v>New</v>
      </c>
      <c r="E869" s="10">
        <f>IFERROR(__xludf.DUMMYFUNCTION("""COMPUTED_VALUE"""),46105.0)</f>
        <v>46105</v>
      </c>
      <c r="F869" s="5"/>
      <c r="G869" s="5" t="str">
        <f>IFERROR(__xludf.DUMMYFUNCTION("""COMPUTED_VALUE"""),"Discontinuation of the manufacture of the drug product")</f>
        <v>Discontinuation of the manufacture of the drug product</v>
      </c>
      <c r="H869" s="5"/>
      <c r="I869" s="5"/>
      <c r="J869" s="5" t="str">
        <f>IFERROR(__xludf.DUMMYFUNCTION("""COMPUTED_VALUE"""),"Cardiovascular")</f>
        <v>Cardiovascular</v>
      </c>
      <c r="K869" s="5" t="str">
        <f>IFERROR(__xludf.DUMMYFUNCTION("""COMPUTED_VALUE"""),"To Be Discontinued")</f>
        <v>To Be Discontinued</v>
      </c>
      <c r="L869" s="5"/>
      <c r="M869" s="10">
        <f>IFERROR(__xludf.DUMMYFUNCTION("""COMPUTED_VALUE"""),46023.0)</f>
        <v>46023</v>
      </c>
      <c r="N869" s="10">
        <f>IFERROR(__xludf.DUMMYFUNCTION("""COMPUTED_VALUE"""),46105.0)</f>
        <v>46105</v>
      </c>
      <c r="O869" s="5">
        <v>2026.0</v>
      </c>
      <c r="P869" s="5" t="str">
        <f>IFERROR(__xludf.DUMMYFUNCTION("""COMPUTED_VALUE"""),"Not stated")</f>
        <v>Not stated</v>
      </c>
      <c r="Q869" s="5" t="s">
        <v>135</v>
      </c>
      <c r="R869" s="5" t="s">
        <v>136</v>
      </c>
      <c r="S869" s="11">
        <v>216.0</v>
      </c>
    </row>
    <row r="870">
      <c r="A870" s="5" t="str">
        <f>IFERROR(__xludf.DUMMYFUNCTION("""COMPUTED_VALUE"""),"Ivabradine Solution")</f>
        <v>Ivabradine Solution</v>
      </c>
      <c r="B870" s="5" t="str">
        <f>IFERROR(__xludf.DUMMYFUNCTION("""COMPUTED_VALUE"""),"Amgen Inc.")</f>
        <v>Amgen Inc.</v>
      </c>
      <c r="C870" s="5" t="str">
        <f>IFERROR(__xludf.DUMMYFUNCTION("""COMPUTED_VALUE"""),"Corlanor, Solution, 5 mg/5 mL (NDC 55513-813-28)")</f>
        <v>Corlanor, Solution, 5 mg/5 mL (NDC 55513-813-28)</v>
      </c>
      <c r="D870" s="5" t="str">
        <f>IFERROR(__xludf.DUMMYFUNCTION("""COMPUTED_VALUE"""),"New")</f>
        <v>New</v>
      </c>
      <c r="E870" s="10">
        <f>IFERROR(__xludf.DUMMYFUNCTION("""COMPUTED_VALUE"""),46105.0)</f>
        <v>46105</v>
      </c>
      <c r="F870" s="5"/>
      <c r="G870" s="5" t="str">
        <f>IFERROR(__xludf.DUMMYFUNCTION("""COMPUTED_VALUE"""),"Discontinuation of the manufacture of the drug product")</f>
        <v>Discontinuation of the manufacture of the drug product</v>
      </c>
      <c r="H870" s="5"/>
      <c r="I870" s="5"/>
      <c r="J870" s="5" t="str">
        <f>IFERROR(__xludf.DUMMYFUNCTION("""COMPUTED_VALUE"""),"Cardiovascular")</f>
        <v>Cardiovascular</v>
      </c>
      <c r="K870" s="5" t="str">
        <f>IFERROR(__xludf.DUMMYFUNCTION("""COMPUTED_VALUE"""),"To Be Discontinued")</f>
        <v>To Be Discontinued</v>
      </c>
      <c r="L870" s="5"/>
      <c r="M870" s="10">
        <f>IFERROR(__xludf.DUMMYFUNCTION("""COMPUTED_VALUE"""),46023.0)</f>
        <v>46023</v>
      </c>
      <c r="N870" s="10">
        <f>IFERROR(__xludf.DUMMYFUNCTION("""COMPUTED_VALUE"""),46105.0)</f>
        <v>46105</v>
      </c>
      <c r="O870" s="5">
        <v>2026.0</v>
      </c>
      <c r="P870" s="5" t="str">
        <f>IFERROR(__xludf.DUMMYFUNCTION("""COMPUTED_VALUE"""),"Not stated")</f>
        <v>Not stated</v>
      </c>
      <c r="Q870" s="5" t="s">
        <v>135</v>
      </c>
      <c r="R870" s="5" t="s">
        <v>136</v>
      </c>
      <c r="S870" s="11">
        <v>216.0</v>
      </c>
    </row>
    <row r="871">
      <c r="A871" s="5" t="str">
        <f>IFERROR(__xludf.DUMMYFUNCTION("""COMPUTED_VALUE"""),"Ivermectin Tablet")</f>
        <v>Ivermectin Tablet</v>
      </c>
      <c r="B871" s="5" t="str">
        <f>IFERROR(__xludf.DUMMYFUNCTION("""COMPUTED_VALUE"""),"Merck Sharp &amp; Dohme LLC")</f>
        <v>Merck Sharp &amp; Dohme LLC</v>
      </c>
      <c r="C871" s="5" t="str">
        <f>IFERROR(__xludf.DUMMYFUNCTION("""COMPUTED_VALUE"""),"STROMECTOL, Tablet, 3 mg (NDC 0006-0032-01)")</f>
        <v>STROMECTOL, Tablet, 3 mg (NDC 0006-0032-01)</v>
      </c>
      <c r="D871" s="5" t="str">
        <f>IFERROR(__xludf.DUMMYFUNCTION("""COMPUTED_VALUE"""),"New")</f>
        <v>New</v>
      </c>
      <c r="E871" s="10">
        <f>IFERROR(__xludf.DUMMYFUNCTION("""COMPUTED_VALUE"""),46294.0)</f>
        <v>46294</v>
      </c>
      <c r="F871" s="5"/>
      <c r="G871" s="5" t="str">
        <f>IFERROR(__xludf.DUMMYFUNCTION("""COMPUTED_VALUE"""),"Product will be discontinued on 10/31/2026")</f>
        <v>Product will be discontinued on 10/31/2026</v>
      </c>
      <c r="H871" s="5"/>
      <c r="I871" s="5"/>
      <c r="J871" s="5" t="str">
        <f>IFERROR(__xludf.DUMMYFUNCTION("""COMPUTED_VALUE"""),"Anti-Infective")</f>
        <v>Anti-Infective</v>
      </c>
      <c r="K871" s="5" t="str">
        <f>IFERROR(__xludf.DUMMYFUNCTION("""COMPUTED_VALUE"""),"To Be Discontinued")</f>
        <v>To Be Discontinued</v>
      </c>
      <c r="L871" s="5"/>
      <c r="M871" s="10">
        <f>IFERROR(__xludf.DUMMYFUNCTION("""COMPUTED_VALUE"""),46294.0)</f>
        <v>46294</v>
      </c>
      <c r="N871" s="10">
        <f>IFERROR(__xludf.DUMMYFUNCTION("""COMPUTED_VALUE"""),46294.0)</f>
        <v>46294</v>
      </c>
      <c r="O871" s="5">
        <v>2026.0</v>
      </c>
      <c r="P871" s="5" t="str">
        <f>IFERROR(__xludf.DUMMYFUNCTION("""COMPUTED_VALUE"""),"Not stated")</f>
        <v>Not stated</v>
      </c>
      <c r="Q871" s="5" t="s">
        <v>135</v>
      </c>
      <c r="R871" s="5" t="s">
        <v>136</v>
      </c>
      <c r="S871" s="11">
        <v>27.0</v>
      </c>
    </row>
    <row r="872">
      <c r="A872" s="5" t="str">
        <f>IFERROR(__xludf.DUMMYFUNCTION("""COMPUTED_VALUE"""),"Ketamine Hydrochloride Injection")</f>
        <v>Ketamine Hydrochloride Injection</v>
      </c>
      <c r="B872" s="5" t="str">
        <f>IFERROR(__xludf.DUMMYFUNCTION("""COMPUTED_VALUE"""),"Pfizer Inc.")</f>
        <v>Pfizer Inc.</v>
      </c>
      <c r="C872" s="5" t="str">
        <f>IFERROR(__xludf.DUMMYFUNCTION("""COMPUTED_VALUE"""),"Ketamine Hydrochloride, Injection, 500 mg/5mL (100 mg/mL); Multiple Dose Glass Fliptop Vial Novaplus (NDC 0409-0040-10)")</f>
        <v>Ketamine Hydrochloride, Injection, 500 mg/5mL (100 mg/mL); Multiple Dose Glass Fliptop Vial Novaplus (NDC 0409-0040-10)</v>
      </c>
      <c r="D872" s="5" t="str">
        <f>IFERROR(__xludf.DUMMYFUNCTION("""COMPUTED_VALUE"""),"New")</f>
        <v>New</v>
      </c>
      <c r="E872" s="10">
        <f>IFERROR(__xludf.DUMMYFUNCTION("""COMPUTED_VALUE"""),45968.0)</f>
        <v>45968</v>
      </c>
      <c r="F872" s="5"/>
      <c r="G872" s="5" t="str">
        <f>IFERROR(__xludf.DUMMYFUNCTION("""COMPUTED_VALUE"""),"Discontinuation of the manufacture of the drug")</f>
        <v>Discontinuation of the manufacture of the drug</v>
      </c>
      <c r="H872" s="5"/>
      <c r="I872" s="5"/>
      <c r="J872" s="5" t="str">
        <f>IFERROR(__xludf.DUMMYFUNCTION("""COMPUTED_VALUE"""),"Anesthesia")</f>
        <v>Anesthesia</v>
      </c>
      <c r="K872" s="5" t="str">
        <f>IFERROR(__xludf.DUMMYFUNCTION("""COMPUTED_VALUE"""),"To Be Discontinued")</f>
        <v>To Be Discontinued</v>
      </c>
      <c r="L872" s="5"/>
      <c r="M872" s="10">
        <f>IFERROR(__xludf.DUMMYFUNCTION("""COMPUTED_VALUE"""),45968.0)</f>
        <v>45968</v>
      </c>
      <c r="N872" s="10">
        <f>IFERROR(__xludf.DUMMYFUNCTION("""COMPUTED_VALUE"""),45968.0)</f>
        <v>45968</v>
      </c>
      <c r="O872" s="5">
        <v>2025.0</v>
      </c>
      <c r="P872" s="5" t="str">
        <f>IFERROR(__xludf.DUMMYFUNCTION("""COMPUTED_VALUE"""),"Not stated")</f>
        <v>Not stated</v>
      </c>
      <c r="Q872" s="5" t="s">
        <v>135</v>
      </c>
      <c r="R872" s="5" t="s">
        <v>136</v>
      </c>
      <c r="S872" s="11">
        <v>353.0</v>
      </c>
    </row>
    <row r="873">
      <c r="A873" s="5" t="str">
        <f>IFERROR(__xludf.DUMMYFUNCTION("""COMPUTED_VALUE"""),"Ketorolac Tromethamine Injection")</f>
        <v>Ketorolac Tromethamine Injection</v>
      </c>
      <c r="B873" s="5" t="str">
        <f>IFERROR(__xludf.DUMMYFUNCTION("""COMPUTED_VALUE"""),"Alembic Pharmaceuticals")</f>
        <v>Alembic Pharmaceuticals</v>
      </c>
      <c r="C873" s="5" t="str">
        <f>IFERROR(__xludf.DUMMYFUNCTION("""COMPUTED_VALUE"""),"Ketorolac Tromethamine, Injection, 15 mg/1 mL (NDC 62332-599-25)")</f>
        <v>Ketorolac Tromethamine, Injection, 15 mg/1 mL (NDC 62332-599-25)</v>
      </c>
      <c r="D873" s="5" t="str">
        <f>IFERROR(__xludf.DUMMYFUNCTION("""COMPUTED_VALUE"""),"Reverified")</f>
        <v>Reverified</v>
      </c>
      <c r="E873" s="10">
        <f>IFERROR(__xludf.DUMMYFUNCTION("""COMPUTED_VALUE"""),46157.0)</f>
        <v>46157</v>
      </c>
      <c r="F873" s="5" t="str">
        <f>IFERROR(__xludf.DUMMYFUNCTION("""COMPUTED_VALUE"""),"Available")</f>
        <v>Available</v>
      </c>
      <c r="G873" s="5"/>
      <c r="H873" s="5"/>
      <c r="I873" s="5"/>
      <c r="J873" s="5" t="str">
        <f>IFERROR(__xludf.DUMMYFUNCTION("""COMPUTED_VALUE"""),"Analgesia/Addiction")</f>
        <v>Analgesia/Addiction</v>
      </c>
      <c r="K873" s="5" t="str">
        <f>IFERROR(__xludf.DUMMYFUNCTION("""COMPUTED_VALUE"""),"Current")</f>
        <v>Current</v>
      </c>
      <c r="L873" s="5"/>
      <c r="M873" s="5"/>
      <c r="N873" s="10">
        <f>IFERROR(__xludf.DUMMYFUNCTION("""COMPUTED_VALUE"""),43182.0)</f>
        <v>43182</v>
      </c>
      <c r="O873" s="5">
        <v>2018.0</v>
      </c>
      <c r="P873" s="5" t="str">
        <f>IFERROR(__xludf.DUMMYFUNCTION("""COMPUTED_VALUE"""),"Available")</f>
        <v>Available</v>
      </c>
      <c r="Q873" s="5" t="s">
        <v>135</v>
      </c>
      <c r="R873" s="5" t="s">
        <v>136</v>
      </c>
      <c r="S873" s="11">
        <v>3139.0</v>
      </c>
    </row>
    <row r="874">
      <c r="A874" s="5" t="str">
        <f>IFERROR(__xludf.DUMMYFUNCTION("""COMPUTED_VALUE"""),"Ketorolac Tromethamine Injection")</f>
        <v>Ketorolac Tromethamine Injection</v>
      </c>
      <c r="B874" s="5" t="str">
        <f>IFERROR(__xludf.DUMMYFUNCTION("""COMPUTED_VALUE"""),"Alembic Pharmaceuticals")</f>
        <v>Alembic Pharmaceuticals</v>
      </c>
      <c r="C874" s="5" t="str">
        <f>IFERROR(__xludf.DUMMYFUNCTION("""COMPUTED_VALUE"""),"Ketorolac Tromethamine, Injection, 30 mg/1 mL (NDC 62332-600-25)")</f>
        <v>Ketorolac Tromethamine, Injection, 30 mg/1 mL (NDC 62332-600-25)</v>
      </c>
      <c r="D874" s="5" t="str">
        <f>IFERROR(__xludf.DUMMYFUNCTION("""COMPUTED_VALUE"""),"Reverified")</f>
        <v>Reverified</v>
      </c>
      <c r="E874" s="10">
        <f>IFERROR(__xludf.DUMMYFUNCTION("""COMPUTED_VALUE"""),46157.0)</f>
        <v>46157</v>
      </c>
      <c r="F874" s="5" t="str">
        <f>IFERROR(__xludf.DUMMYFUNCTION("""COMPUTED_VALUE"""),"Available")</f>
        <v>Available</v>
      </c>
      <c r="G874" s="5"/>
      <c r="H874" s="5"/>
      <c r="I874" s="5"/>
      <c r="J874" s="5" t="str">
        <f>IFERROR(__xludf.DUMMYFUNCTION("""COMPUTED_VALUE"""),"Analgesia/Addiction")</f>
        <v>Analgesia/Addiction</v>
      </c>
      <c r="K874" s="5" t="str">
        <f>IFERROR(__xludf.DUMMYFUNCTION("""COMPUTED_VALUE"""),"Current")</f>
        <v>Current</v>
      </c>
      <c r="L874" s="5"/>
      <c r="M874" s="5"/>
      <c r="N874" s="10">
        <f>IFERROR(__xludf.DUMMYFUNCTION("""COMPUTED_VALUE"""),43182.0)</f>
        <v>43182</v>
      </c>
      <c r="O874" s="5">
        <v>2018.0</v>
      </c>
      <c r="P874" s="5" t="str">
        <f>IFERROR(__xludf.DUMMYFUNCTION("""COMPUTED_VALUE"""),"Available")</f>
        <v>Available</v>
      </c>
      <c r="Q874" s="5" t="s">
        <v>135</v>
      </c>
      <c r="R874" s="5" t="s">
        <v>136</v>
      </c>
      <c r="S874" s="11">
        <v>3139.0</v>
      </c>
    </row>
    <row r="875">
      <c r="A875" s="5" t="str">
        <f>IFERROR(__xludf.DUMMYFUNCTION("""COMPUTED_VALUE"""),"Ketorolac Tromethamine Injection")</f>
        <v>Ketorolac Tromethamine Injection</v>
      </c>
      <c r="B875" s="5" t="str">
        <f>IFERROR(__xludf.DUMMYFUNCTION("""COMPUTED_VALUE"""),"Alembic Pharmaceuticals")</f>
        <v>Alembic Pharmaceuticals</v>
      </c>
      <c r="C875" s="5" t="str">
        <f>IFERROR(__xludf.DUMMYFUNCTION("""COMPUTED_VALUE"""),"Ketorolac Tromethamine, Injection, 60 mg/2 mL (NDC 62332-601-25)")</f>
        <v>Ketorolac Tromethamine, Injection, 60 mg/2 mL (NDC 62332-601-25)</v>
      </c>
      <c r="D875" s="5" t="str">
        <f>IFERROR(__xludf.DUMMYFUNCTION("""COMPUTED_VALUE"""),"Reverified")</f>
        <v>Reverified</v>
      </c>
      <c r="E875" s="10">
        <f>IFERROR(__xludf.DUMMYFUNCTION("""COMPUTED_VALUE"""),46157.0)</f>
        <v>46157</v>
      </c>
      <c r="F875" s="5" t="str">
        <f>IFERROR(__xludf.DUMMYFUNCTION("""COMPUTED_VALUE"""),"Available")</f>
        <v>Available</v>
      </c>
      <c r="G875" s="5"/>
      <c r="H875" s="5"/>
      <c r="I875" s="5"/>
      <c r="J875" s="5" t="str">
        <f>IFERROR(__xludf.DUMMYFUNCTION("""COMPUTED_VALUE"""),"Analgesia/Addiction")</f>
        <v>Analgesia/Addiction</v>
      </c>
      <c r="K875" s="5" t="str">
        <f>IFERROR(__xludf.DUMMYFUNCTION("""COMPUTED_VALUE"""),"Current")</f>
        <v>Current</v>
      </c>
      <c r="L875" s="5"/>
      <c r="M875" s="5"/>
      <c r="N875" s="10">
        <f>IFERROR(__xludf.DUMMYFUNCTION("""COMPUTED_VALUE"""),43182.0)</f>
        <v>43182</v>
      </c>
      <c r="O875" s="5">
        <v>2018.0</v>
      </c>
      <c r="P875" s="5" t="str">
        <f>IFERROR(__xludf.DUMMYFUNCTION("""COMPUTED_VALUE"""),"Available")</f>
        <v>Available</v>
      </c>
      <c r="Q875" s="5" t="s">
        <v>135</v>
      </c>
      <c r="R875" s="5" t="s">
        <v>136</v>
      </c>
      <c r="S875" s="11">
        <v>3139.0</v>
      </c>
    </row>
    <row r="876">
      <c r="A876" s="5" t="str">
        <f>IFERROR(__xludf.DUMMYFUNCTION("""COMPUTED_VALUE"""),"Ketorolac Tromethamine Injection")</f>
        <v>Ketorolac Tromethamine Injection</v>
      </c>
      <c r="B876" s="5" t="str">
        <f>IFERROR(__xludf.DUMMYFUNCTION("""COMPUTED_VALUE"""),"Gland Pharma Limited")</f>
        <v>Gland Pharma Limited</v>
      </c>
      <c r="C876" s="5" t="str">
        <f>IFERROR(__xludf.DUMMYFUNCTION("""COMPUTED_VALUE"""),"Ketorolac Tromethamine, Injection, 30 mg/1 mL (NDC 25021-701-01)")</f>
        <v>Ketorolac Tromethamine, Injection, 30 mg/1 mL (NDC 25021-701-01)</v>
      </c>
      <c r="D876" s="5" t="str">
        <f>IFERROR(__xludf.DUMMYFUNCTION("""COMPUTED_VALUE"""),"Reverified")</f>
        <v>Reverified</v>
      </c>
      <c r="E876" s="13">
        <f>IFERROR(__xludf.DUMMYFUNCTION("""COMPUTED_VALUE"""),46316.0)</f>
        <v>46316</v>
      </c>
      <c r="F876" s="5" t="str">
        <f>IFERROR(__xludf.DUMMYFUNCTION("""COMPUTED_VALUE"""),"Available")</f>
        <v>Available</v>
      </c>
      <c r="G876" s="5"/>
      <c r="H876" s="5"/>
      <c r="I876" s="5"/>
      <c r="J876" s="5" t="str">
        <f>IFERROR(__xludf.DUMMYFUNCTION("""COMPUTED_VALUE"""),"Analgesia/Addiction")</f>
        <v>Analgesia/Addiction</v>
      </c>
      <c r="K876" s="5" t="str">
        <f>IFERROR(__xludf.DUMMYFUNCTION("""COMPUTED_VALUE"""),"Current")</f>
        <v>Current</v>
      </c>
      <c r="L876" s="5"/>
      <c r="M876" s="5"/>
      <c r="N876" s="10">
        <f>IFERROR(__xludf.DUMMYFUNCTION("""COMPUTED_VALUE"""),43182.0)</f>
        <v>43182</v>
      </c>
      <c r="O876" s="5">
        <v>2018.0</v>
      </c>
      <c r="P876" s="5" t="str">
        <f>IFERROR(__xludf.DUMMYFUNCTION("""COMPUTED_VALUE"""),"Available")</f>
        <v>Available</v>
      </c>
      <c r="Q876" s="5" t="s">
        <v>135</v>
      </c>
      <c r="R876" s="5" t="s">
        <v>434</v>
      </c>
      <c r="S876" s="11">
        <v>3139.0</v>
      </c>
    </row>
    <row r="877">
      <c r="A877" s="5" t="str">
        <f>IFERROR(__xludf.DUMMYFUNCTION("""COMPUTED_VALUE"""),"Ketorolac Tromethamine Injection")</f>
        <v>Ketorolac Tromethamine Injection</v>
      </c>
      <c r="B877" s="5" t="str">
        <f>IFERROR(__xludf.DUMMYFUNCTION("""COMPUTED_VALUE"""),"Gland Pharma Limited")</f>
        <v>Gland Pharma Limited</v>
      </c>
      <c r="C877" s="5" t="str">
        <f>IFERROR(__xludf.DUMMYFUNCTION("""COMPUTED_VALUE"""),"Ketorolac Tromethamine, Injection, 15 mg/1 mL (NDC 25021-700-01)")</f>
        <v>Ketorolac Tromethamine, Injection, 15 mg/1 mL (NDC 25021-700-01)</v>
      </c>
      <c r="D877" s="5" t="str">
        <f>IFERROR(__xludf.DUMMYFUNCTION("""COMPUTED_VALUE"""),"Reverified")</f>
        <v>Reverified</v>
      </c>
      <c r="E877" s="13">
        <f>IFERROR(__xludf.DUMMYFUNCTION("""COMPUTED_VALUE"""),46316.0)</f>
        <v>46316</v>
      </c>
      <c r="F877" s="5" t="str">
        <f>IFERROR(__xludf.DUMMYFUNCTION("""COMPUTED_VALUE"""),"Available")</f>
        <v>Available</v>
      </c>
      <c r="G877" s="5"/>
      <c r="H877" s="5"/>
      <c r="I877" s="5"/>
      <c r="J877" s="5" t="str">
        <f>IFERROR(__xludf.DUMMYFUNCTION("""COMPUTED_VALUE"""),"Analgesia/Addiction")</f>
        <v>Analgesia/Addiction</v>
      </c>
      <c r="K877" s="5" t="str">
        <f>IFERROR(__xludf.DUMMYFUNCTION("""COMPUTED_VALUE"""),"Current")</f>
        <v>Current</v>
      </c>
      <c r="L877" s="5"/>
      <c r="M877" s="5"/>
      <c r="N877" s="10">
        <f>IFERROR(__xludf.DUMMYFUNCTION("""COMPUTED_VALUE"""),43182.0)</f>
        <v>43182</v>
      </c>
      <c r="O877" s="5">
        <v>2018.0</v>
      </c>
      <c r="P877" s="5" t="str">
        <f>IFERROR(__xludf.DUMMYFUNCTION("""COMPUTED_VALUE"""),"Available")</f>
        <v>Available</v>
      </c>
      <c r="Q877" s="5" t="s">
        <v>135</v>
      </c>
      <c r="R877" s="5" t="s">
        <v>434</v>
      </c>
      <c r="S877" s="11">
        <v>3139.0</v>
      </c>
    </row>
    <row r="878">
      <c r="A878" s="5" t="str">
        <f>IFERROR(__xludf.DUMMYFUNCTION("""COMPUTED_VALUE"""),"Ketorolac Tromethamine Injection")</f>
        <v>Ketorolac Tromethamine Injection</v>
      </c>
      <c r="B878" s="5" t="str">
        <f>IFERROR(__xludf.DUMMYFUNCTION("""COMPUTED_VALUE"""),"Gland Pharma Limited")</f>
        <v>Gland Pharma Limited</v>
      </c>
      <c r="C878" s="5" t="str">
        <f>IFERROR(__xludf.DUMMYFUNCTION("""COMPUTED_VALUE"""),"Ketorolac Tromethamine, Injection, 30 mg/1 mL (NDC 25021-701-02)")</f>
        <v>Ketorolac Tromethamine, Injection, 30 mg/1 mL (NDC 25021-701-02)</v>
      </c>
      <c r="D878" s="5" t="str">
        <f>IFERROR(__xludf.DUMMYFUNCTION("""COMPUTED_VALUE"""),"Reverified")</f>
        <v>Reverified</v>
      </c>
      <c r="E878" s="13">
        <f>IFERROR(__xludf.DUMMYFUNCTION("""COMPUTED_VALUE"""),46316.0)</f>
        <v>46316</v>
      </c>
      <c r="F878" s="5" t="str">
        <f>IFERROR(__xludf.DUMMYFUNCTION("""COMPUTED_VALUE"""),"Available")</f>
        <v>Available</v>
      </c>
      <c r="G878" s="5"/>
      <c r="H878" s="5"/>
      <c r="I878" s="5"/>
      <c r="J878" s="5" t="str">
        <f>IFERROR(__xludf.DUMMYFUNCTION("""COMPUTED_VALUE"""),"Analgesia/Addiction")</f>
        <v>Analgesia/Addiction</v>
      </c>
      <c r="K878" s="5" t="str">
        <f>IFERROR(__xludf.DUMMYFUNCTION("""COMPUTED_VALUE"""),"Current")</f>
        <v>Current</v>
      </c>
      <c r="L878" s="5"/>
      <c r="M878" s="5"/>
      <c r="N878" s="10">
        <f>IFERROR(__xludf.DUMMYFUNCTION("""COMPUTED_VALUE"""),43182.0)</f>
        <v>43182</v>
      </c>
      <c r="O878" s="5">
        <v>2018.0</v>
      </c>
      <c r="P878" s="5" t="str">
        <f>IFERROR(__xludf.DUMMYFUNCTION("""COMPUTED_VALUE"""),"Available")</f>
        <v>Available</v>
      </c>
      <c r="Q878" s="5" t="s">
        <v>135</v>
      </c>
      <c r="R878" s="5" t="s">
        <v>434</v>
      </c>
      <c r="S878" s="11">
        <v>3139.0</v>
      </c>
    </row>
    <row r="879">
      <c r="A879" s="5" t="str">
        <f>IFERROR(__xludf.DUMMYFUNCTION("""COMPUTED_VALUE"""),"Ketorolac Tromethamine Injection")</f>
        <v>Ketorolac Tromethamine Injection</v>
      </c>
      <c r="B879" s="5" t="str">
        <f>IFERROR(__xludf.DUMMYFUNCTION("""COMPUTED_VALUE"""),"Fresenius Kabi USA, LLC")</f>
        <v>Fresenius Kabi USA, LLC</v>
      </c>
      <c r="C879" s="5" t="str">
        <f>IFERROR(__xludf.DUMMYFUNCTION("""COMPUTED_VALUE"""),"Ketorolac Tromethamine, Injection, 15 mg/1 mL (NDC 63323-161-01)")</f>
        <v>Ketorolac Tromethamine, Injection, 15 mg/1 mL (NDC 63323-161-01)</v>
      </c>
      <c r="D879" s="5" t="str">
        <f>IFERROR(__xludf.DUMMYFUNCTION("""COMPUTED_VALUE"""),"Reverified")</f>
        <v>Reverified</v>
      </c>
      <c r="E879" s="13">
        <f>IFERROR(__xludf.DUMMYFUNCTION("""COMPUTED_VALUE"""),46310.0)</f>
        <v>46310</v>
      </c>
      <c r="F879" s="5" t="str">
        <f>IFERROR(__xludf.DUMMYFUNCTION("""COMPUTED_VALUE"""),"Available")</f>
        <v>Available</v>
      </c>
      <c r="G879" s="5" t="str">
        <f>IFERROR(__xludf.DUMMYFUNCTION("""COMPUTED_VALUE"""),"Check wholesalers for inventory")</f>
        <v>Check wholesalers for inventory</v>
      </c>
      <c r="H879" s="5"/>
      <c r="I879" s="5"/>
      <c r="J879" s="5" t="str">
        <f>IFERROR(__xludf.DUMMYFUNCTION("""COMPUTED_VALUE"""),"Analgesia/Addiction")</f>
        <v>Analgesia/Addiction</v>
      </c>
      <c r="K879" s="5" t="str">
        <f>IFERROR(__xludf.DUMMYFUNCTION("""COMPUTED_VALUE"""),"Current")</f>
        <v>Current</v>
      </c>
      <c r="L879" s="5"/>
      <c r="M879" s="5"/>
      <c r="N879" s="10">
        <f>IFERROR(__xludf.DUMMYFUNCTION("""COMPUTED_VALUE"""),43182.0)</f>
        <v>43182</v>
      </c>
      <c r="O879" s="5">
        <v>2018.0</v>
      </c>
      <c r="P879" s="5" t="str">
        <f>IFERROR(__xludf.DUMMYFUNCTION("""COMPUTED_VALUE"""),"Available")</f>
        <v>Available</v>
      </c>
      <c r="Q879" s="5" t="s">
        <v>135</v>
      </c>
      <c r="R879" s="5" t="s">
        <v>136</v>
      </c>
      <c r="S879" s="11">
        <v>3139.0</v>
      </c>
    </row>
    <row r="880">
      <c r="A880" s="5" t="str">
        <f>IFERROR(__xludf.DUMMYFUNCTION("""COMPUTED_VALUE"""),"Ketorolac Tromethamine Injection")</f>
        <v>Ketorolac Tromethamine Injection</v>
      </c>
      <c r="B880" s="5" t="str">
        <f>IFERROR(__xludf.DUMMYFUNCTION("""COMPUTED_VALUE"""),"Fresenius Kabi USA, LLC")</f>
        <v>Fresenius Kabi USA, LLC</v>
      </c>
      <c r="C880" s="5" t="str">
        <f>IFERROR(__xludf.DUMMYFUNCTION("""COMPUTED_VALUE"""),"Ketorolac Tromethamine, Injection, 30 mg/1 mL (NDC 63323-162-01)")</f>
        <v>Ketorolac Tromethamine, Injection, 30 mg/1 mL (NDC 63323-162-01)</v>
      </c>
      <c r="D880" s="5" t="str">
        <f>IFERROR(__xludf.DUMMYFUNCTION("""COMPUTED_VALUE"""),"Reverified")</f>
        <v>Reverified</v>
      </c>
      <c r="E880" s="13">
        <f>IFERROR(__xludf.DUMMYFUNCTION("""COMPUTED_VALUE"""),46310.0)</f>
        <v>46310</v>
      </c>
      <c r="F880" s="5" t="str">
        <f>IFERROR(__xludf.DUMMYFUNCTION("""COMPUTED_VALUE"""),"Unavailable")</f>
        <v>Unavailable</v>
      </c>
      <c r="G880" s="5" t="str">
        <f>IFERROR(__xludf.DUMMYFUNCTION("""COMPUTED_VALUE"""),"Next release not available at this time.  Check wholesalers for inventory.")</f>
        <v>Next release not available at this time.  Check wholesalers for inventory.</v>
      </c>
      <c r="H880" s="5"/>
      <c r="I880" s="5" t="str">
        <f>IFERROR(__xludf.DUMMYFUNCTION("""COMPUTED_VALUE"""),"Delay in shipping of the drug")</f>
        <v>Delay in shipping of the drug</v>
      </c>
      <c r="J880" s="5" t="str">
        <f>IFERROR(__xludf.DUMMYFUNCTION("""COMPUTED_VALUE"""),"Analgesia/Addiction")</f>
        <v>Analgesia/Addiction</v>
      </c>
      <c r="K880" s="5" t="str">
        <f>IFERROR(__xludf.DUMMYFUNCTION("""COMPUTED_VALUE"""),"Current")</f>
        <v>Current</v>
      </c>
      <c r="L880" s="5"/>
      <c r="M880" s="5"/>
      <c r="N880" s="10">
        <f>IFERROR(__xludf.DUMMYFUNCTION("""COMPUTED_VALUE"""),43182.0)</f>
        <v>43182</v>
      </c>
      <c r="O880" s="5">
        <v>2018.0</v>
      </c>
      <c r="P880" s="5" t="str">
        <f>IFERROR(__xludf.DUMMYFUNCTION("""COMPUTED_VALUE"""),"Unavailable")</f>
        <v>Unavailable</v>
      </c>
      <c r="Q880" s="5" t="s">
        <v>562</v>
      </c>
      <c r="R880" s="5" t="s">
        <v>136</v>
      </c>
      <c r="S880" s="11">
        <v>3139.0</v>
      </c>
    </row>
    <row r="881">
      <c r="A881" s="5" t="str">
        <f>IFERROR(__xludf.DUMMYFUNCTION("""COMPUTED_VALUE"""),"Ketorolac Tromethamine Injection")</f>
        <v>Ketorolac Tromethamine Injection</v>
      </c>
      <c r="B881" s="5" t="str">
        <f>IFERROR(__xludf.DUMMYFUNCTION("""COMPUTED_VALUE"""),"Fresenius Kabi USA, LLC")</f>
        <v>Fresenius Kabi USA, LLC</v>
      </c>
      <c r="C881" s="5" t="str">
        <f>IFERROR(__xludf.DUMMYFUNCTION("""COMPUTED_VALUE"""),"Ketorolac Tromethamine, Injection, 30 mg/1 mL (NDC 63323-162-02)")</f>
        <v>Ketorolac Tromethamine, Injection, 30 mg/1 mL (NDC 63323-162-02)</v>
      </c>
      <c r="D881" s="5" t="str">
        <f>IFERROR(__xludf.DUMMYFUNCTION("""COMPUTED_VALUE"""),"Reverified")</f>
        <v>Reverified</v>
      </c>
      <c r="E881" s="13">
        <f>IFERROR(__xludf.DUMMYFUNCTION("""COMPUTED_VALUE"""),46310.0)</f>
        <v>46310</v>
      </c>
      <c r="F881" s="5" t="str">
        <f>IFERROR(__xludf.DUMMYFUNCTION("""COMPUTED_VALUE"""),"Unavailable")</f>
        <v>Unavailable</v>
      </c>
      <c r="G881" s="5" t="str">
        <f>IFERROR(__xludf.DUMMYFUNCTION("""COMPUTED_VALUE"""),"Next release not available at this time.  Check wholesalers for inventory.")</f>
        <v>Next release not available at this time.  Check wholesalers for inventory.</v>
      </c>
      <c r="H881" s="5"/>
      <c r="I881" s="5" t="str">
        <f>IFERROR(__xludf.DUMMYFUNCTION("""COMPUTED_VALUE"""),"Delay in shipping of the drug")</f>
        <v>Delay in shipping of the drug</v>
      </c>
      <c r="J881" s="5" t="str">
        <f>IFERROR(__xludf.DUMMYFUNCTION("""COMPUTED_VALUE"""),"Analgesia/Addiction")</f>
        <v>Analgesia/Addiction</v>
      </c>
      <c r="K881" s="5" t="str">
        <f>IFERROR(__xludf.DUMMYFUNCTION("""COMPUTED_VALUE"""),"Current")</f>
        <v>Current</v>
      </c>
      <c r="L881" s="5"/>
      <c r="M881" s="5"/>
      <c r="N881" s="10">
        <f>IFERROR(__xludf.DUMMYFUNCTION("""COMPUTED_VALUE"""),43182.0)</f>
        <v>43182</v>
      </c>
      <c r="O881" s="5">
        <v>2018.0</v>
      </c>
      <c r="P881" s="5" t="str">
        <f>IFERROR(__xludf.DUMMYFUNCTION("""COMPUTED_VALUE"""),"Unavailable")</f>
        <v>Unavailable</v>
      </c>
      <c r="Q881" s="5" t="s">
        <v>562</v>
      </c>
      <c r="R881" s="5" t="s">
        <v>136</v>
      </c>
      <c r="S881" s="11">
        <v>3139.0</v>
      </c>
    </row>
    <row r="882">
      <c r="A882" s="5" t="str">
        <f>IFERROR(__xludf.DUMMYFUNCTION("""COMPUTED_VALUE"""),"Ketorolac Tromethamine Injection")</f>
        <v>Ketorolac Tromethamine Injection</v>
      </c>
      <c r="B882" s="5" t="str">
        <f>IFERROR(__xludf.DUMMYFUNCTION("""COMPUTED_VALUE"""),"Hikma Pharmaceuticals USA, Inc.")</f>
        <v>Hikma Pharmaceuticals USA, Inc.</v>
      </c>
      <c r="C882" s="5" t="str">
        <f>IFERROR(__xludf.DUMMYFUNCTION("""COMPUTED_VALUE"""),"Ketorolac Tromethamine, Injection, 15 mg/1 mL (NDC 0641-6041-25)")</f>
        <v>Ketorolac Tromethamine, Injection, 15 mg/1 mL (NDC 0641-6041-25)</v>
      </c>
      <c r="D882" s="5" t="str">
        <f>IFERROR(__xludf.DUMMYFUNCTION("""COMPUTED_VALUE"""),"Reverified")</f>
        <v>Reverified</v>
      </c>
      <c r="E882" s="13">
        <f>IFERROR(__xludf.DUMMYFUNCTION("""COMPUTED_VALUE"""),46309.0)</f>
        <v>46309</v>
      </c>
      <c r="F882" s="5" t="str">
        <f>IFERROR(__xludf.DUMMYFUNCTION("""COMPUTED_VALUE"""),"Unavailable")</f>
        <v>Unavailable</v>
      </c>
      <c r="G882" s="5" t="str">
        <f>IFERROR(__xludf.DUMMYFUNCTION("""COMPUTED_VALUE"""),"Estimated recovery: TBD")</f>
        <v>Estimated recovery: TBD</v>
      </c>
      <c r="H882" s="5"/>
      <c r="I882" s="5" t="str">
        <f>IFERROR(__xludf.DUMMYFUNCTION("""COMPUTED_VALUE"""),"Other")</f>
        <v>Other</v>
      </c>
      <c r="J882" s="5" t="str">
        <f>IFERROR(__xludf.DUMMYFUNCTION("""COMPUTED_VALUE"""),"Analgesia/Addiction")</f>
        <v>Analgesia/Addiction</v>
      </c>
      <c r="K882" s="5" t="str">
        <f>IFERROR(__xludf.DUMMYFUNCTION("""COMPUTED_VALUE"""),"Current")</f>
        <v>Current</v>
      </c>
      <c r="L882" s="5"/>
      <c r="M882" s="5"/>
      <c r="N882" s="10">
        <f>IFERROR(__xludf.DUMMYFUNCTION("""COMPUTED_VALUE"""),43257.0)</f>
        <v>43257</v>
      </c>
      <c r="O882" s="5">
        <v>2018.0</v>
      </c>
      <c r="P882" s="5" t="str">
        <f>IFERROR(__xludf.DUMMYFUNCTION("""COMPUTED_VALUE"""),"Unavailable")</f>
        <v>Unavailable</v>
      </c>
      <c r="Q882" s="5" t="s">
        <v>47</v>
      </c>
      <c r="R882" s="5" t="s">
        <v>136</v>
      </c>
      <c r="S882" s="11">
        <v>3064.0</v>
      </c>
    </row>
    <row r="883">
      <c r="A883" s="5" t="str">
        <f>IFERROR(__xludf.DUMMYFUNCTION("""COMPUTED_VALUE"""),"Ketorolac Tromethamine Injection")</f>
        <v>Ketorolac Tromethamine Injection</v>
      </c>
      <c r="B883" s="5" t="str">
        <f>IFERROR(__xludf.DUMMYFUNCTION("""COMPUTED_VALUE"""),"Hikma Pharmaceuticals USA, Inc.")</f>
        <v>Hikma Pharmaceuticals USA, Inc.</v>
      </c>
      <c r="C883" s="5" t="str">
        <f>IFERROR(__xludf.DUMMYFUNCTION("""COMPUTED_VALUE"""),"Ketorolac Tromethamine, Injection, 30 mg/1 mL (NDC 0641-6042-25)")</f>
        <v>Ketorolac Tromethamine, Injection, 30 mg/1 mL (NDC 0641-6042-25)</v>
      </c>
      <c r="D883" s="5" t="str">
        <f>IFERROR(__xludf.DUMMYFUNCTION("""COMPUTED_VALUE"""),"Reverified")</f>
        <v>Reverified</v>
      </c>
      <c r="E883" s="13">
        <f>IFERROR(__xludf.DUMMYFUNCTION("""COMPUTED_VALUE"""),46309.0)</f>
        <v>46309</v>
      </c>
      <c r="F883" s="5" t="str">
        <f>IFERROR(__xludf.DUMMYFUNCTION("""COMPUTED_VALUE"""),"Unavailable")</f>
        <v>Unavailable</v>
      </c>
      <c r="G883" s="5" t="str">
        <f>IFERROR(__xludf.DUMMYFUNCTION("""COMPUTED_VALUE"""),"Estimated recovery: TBD")</f>
        <v>Estimated recovery: TBD</v>
      </c>
      <c r="H883" s="5"/>
      <c r="I883" s="5" t="str">
        <f>IFERROR(__xludf.DUMMYFUNCTION("""COMPUTED_VALUE"""),"Other")</f>
        <v>Other</v>
      </c>
      <c r="J883" s="5" t="str">
        <f>IFERROR(__xludf.DUMMYFUNCTION("""COMPUTED_VALUE"""),"Analgesia/Addiction")</f>
        <v>Analgesia/Addiction</v>
      </c>
      <c r="K883" s="5" t="str">
        <f>IFERROR(__xludf.DUMMYFUNCTION("""COMPUTED_VALUE"""),"Current")</f>
        <v>Current</v>
      </c>
      <c r="L883" s="5"/>
      <c r="M883" s="5"/>
      <c r="N883" s="10">
        <f>IFERROR(__xludf.DUMMYFUNCTION("""COMPUTED_VALUE"""),43257.0)</f>
        <v>43257</v>
      </c>
      <c r="O883" s="5">
        <v>2018.0</v>
      </c>
      <c r="P883" s="5" t="str">
        <f>IFERROR(__xludf.DUMMYFUNCTION("""COMPUTED_VALUE"""),"Unavailable")</f>
        <v>Unavailable</v>
      </c>
      <c r="Q883" s="5" t="s">
        <v>47</v>
      </c>
      <c r="R883" s="5" t="s">
        <v>136</v>
      </c>
      <c r="S883" s="11">
        <v>3064.0</v>
      </c>
    </row>
    <row r="884">
      <c r="A884" s="5" t="str">
        <f>IFERROR(__xludf.DUMMYFUNCTION("""COMPUTED_VALUE"""),"Ketorolac Tromethamine Injection")</f>
        <v>Ketorolac Tromethamine Injection</v>
      </c>
      <c r="B884" s="5" t="str">
        <f>IFERROR(__xludf.DUMMYFUNCTION("""COMPUTED_VALUE"""),"Hikma Pharmaceuticals USA, Inc.")</f>
        <v>Hikma Pharmaceuticals USA, Inc.</v>
      </c>
      <c r="C884" s="5" t="str">
        <f>IFERROR(__xludf.DUMMYFUNCTION("""COMPUTED_VALUE"""),"Ketorolac Tromethamine, Injection, 30 mg/1 mL (NDC 0641-6043-25)")</f>
        <v>Ketorolac Tromethamine, Injection, 30 mg/1 mL (NDC 0641-6043-25)</v>
      </c>
      <c r="D884" s="5" t="str">
        <f>IFERROR(__xludf.DUMMYFUNCTION("""COMPUTED_VALUE"""),"Reverified")</f>
        <v>Reverified</v>
      </c>
      <c r="E884" s="13">
        <f>IFERROR(__xludf.DUMMYFUNCTION("""COMPUTED_VALUE"""),46309.0)</f>
        <v>46309</v>
      </c>
      <c r="F884" s="5" t="str">
        <f>IFERROR(__xludf.DUMMYFUNCTION("""COMPUTED_VALUE"""),"Unavailable")</f>
        <v>Unavailable</v>
      </c>
      <c r="G884" s="5" t="str">
        <f>IFERROR(__xludf.DUMMYFUNCTION("""COMPUTED_VALUE"""),"Estimated recovery: TBD")</f>
        <v>Estimated recovery: TBD</v>
      </c>
      <c r="H884" s="5"/>
      <c r="I884" s="5" t="str">
        <f>IFERROR(__xludf.DUMMYFUNCTION("""COMPUTED_VALUE"""),"Other")</f>
        <v>Other</v>
      </c>
      <c r="J884" s="5" t="str">
        <f>IFERROR(__xludf.DUMMYFUNCTION("""COMPUTED_VALUE"""),"Analgesia/Addiction")</f>
        <v>Analgesia/Addiction</v>
      </c>
      <c r="K884" s="5" t="str">
        <f>IFERROR(__xludf.DUMMYFUNCTION("""COMPUTED_VALUE"""),"Current")</f>
        <v>Current</v>
      </c>
      <c r="L884" s="5"/>
      <c r="M884" s="5"/>
      <c r="N884" s="10">
        <f>IFERROR(__xludf.DUMMYFUNCTION("""COMPUTED_VALUE"""),43257.0)</f>
        <v>43257</v>
      </c>
      <c r="O884" s="5">
        <v>2018.0</v>
      </c>
      <c r="P884" s="5" t="str">
        <f>IFERROR(__xludf.DUMMYFUNCTION("""COMPUTED_VALUE"""),"Unavailable")</f>
        <v>Unavailable</v>
      </c>
      <c r="Q884" s="5" t="s">
        <v>47</v>
      </c>
      <c r="R884" s="5" t="s">
        <v>136</v>
      </c>
      <c r="S884" s="11">
        <v>3064.0</v>
      </c>
    </row>
    <row r="885">
      <c r="A885" s="5" t="str">
        <f>IFERROR(__xludf.DUMMYFUNCTION("""COMPUTED_VALUE"""),"Ketorolac Tromethamine Injection")</f>
        <v>Ketorolac Tromethamine Injection</v>
      </c>
      <c r="B885" s="5" t="str">
        <f>IFERROR(__xludf.DUMMYFUNCTION("""COMPUTED_VALUE"""),"Gland Pharma Limited")</f>
        <v>Gland Pharma Limited</v>
      </c>
      <c r="C885" s="5" t="str">
        <f>IFERROR(__xludf.DUMMYFUNCTION("""COMPUTED_VALUE"""),"Ketorolac Tromethamine, Injection, 30 mg/1 mL (NDC 72266-118-25)")</f>
        <v>Ketorolac Tromethamine, Injection, 30 mg/1 mL (NDC 72266-118-25)</v>
      </c>
      <c r="D885" s="5" t="str">
        <f>IFERROR(__xludf.DUMMYFUNCTION("""COMPUTED_VALUE"""),"Reverified")</f>
        <v>Reverified</v>
      </c>
      <c r="E885" s="13">
        <f>IFERROR(__xludf.DUMMYFUNCTION("""COMPUTED_VALUE"""),46316.0)</f>
        <v>46316</v>
      </c>
      <c r="F885" s="5" t="str">
        <f>IFERROR(__xludf.DUMMYFUNCTION("""COMPUTED_VALUE"""),"Available")</f>
        <v>Available</v>
      </c>
      <c r="G885" s="5" t="str">
        <f>IFERROR(__xludf.DUMMYFUNCTION("""COMPUTED_VALUE"""),"Distributed by Fosun Pharma USA, Inc.. To order, contact: 833-291-9645.")</f>
        <v>Distributed by Fosun Pharma USA, Inc.. To order, contact: 833-291-9645.</v>
      </c>
      <c r="H885" s="5"/>
      <c r="I885" s="5"/>
      <c r="J885" s="5" t="str">
        <f>IFERROR(__xludf.DUMMYFUNCTION("""COMPUTED_VALUE"""),"Analgesia/Addiction")</f>
        <v>Analgesia/Addiction</v>
      </c>
      <c r="K885" s="5" t="str">
        <f>IFERROR(__xludf.DUMMYFUNCTION("""COMPUTED_VALUE"""),"Current")</f>
        <v>Current</v>
      </c>
      <c r="L885" s="5"/>
      <c r="M885" s="5"/>
      <c r="N885" s="10">
        <f>IFERROR(__xludf.DUMMYFUNCTION("""COMPUTED_VALUE"""),43257.0)</f>
        <v>43257</v>
      </c>
      <c r="O885" s="5">
        <v>2018.0</v>
      </c>
      <c r="P885" s="5" t="str">
        <f>IFERROR(__xludf.DUMMYFUNCTION("""COMPUTED_VALUE"""),"Available")</f>
        <v>Available</v>
      </c>
      <c r="Q885" s="5" t="s">
        <v>135</v>
      </c>
      <c r="R885" s="5" t="s">
        <v>136</v>
      </c>
      <c r="S885" s="11">
        <v>3064.0</v>
      </c>
    </row>
    <row r="886">
      <c r="A886" s="5" t="str">
        <f>IFERROR(__xludf.DUMMYFUNCTION("""COMPUTED_VALUE"""),"Ketorolac Tromethamine Injection")</f>
        <v>Ketorolac Tromethamine Injection</v>
      </c>
      <c r="B886" s="5" t="str">
        <f>IFERROR(__xludf.DUMMYFUNCTION("""COMPUTED_VALUE"""),"Gland Pharma Limited")</f>
        <v>Gland Pharma Limited</v>
      </c>
      <c r="C886" s="5" t="str">
        <f>IFERROR(__xludf.DUMMYFUNCTION("""COMPUTED_VALUE"""),"Ketorolac Tromethamine, Injection, 30 mg/1 mL (NDC 72266-119-25)")</f>
        <v>Ketorolac Tromethamine, Injection, 30 mg/1 mL (NDC 72266-119-25)</v>
      </c>
      <c r="D886" s="5" t="str">
        <f>IFERROR(__xludf.DUMMYFUNCTION("""COMPUTED_VALUE"""),"Reverified")</f>
        <v>Reverified</v>
      </c>
      <c r="E886" s="13">
        <f>IFERROR(__xludf.DUMMYFUNCTION("""COMPUTED_VALUE"""),46316.0)</f>
        <v>46316</v>
      </c>
      <c r="F886" s="5" t="str">
        <f>IFERROR(__xludf.DUMMYFUNCTION("""COMPUTED_VALUE"""),"Available")</f>
        <v>Available</v>
      </c>
      <c r="G886" s="5" t="str">
        <f>IFERROR(__xludf.DUMMYFUNCTION("""COMPUTED_VALUE"""),"Distributed by Fosun Pharma USA, Inc.. To order, contact: 833-291-9645.")</f>
        <v>Distributed by Fosun Pharma USA, Inc.. To order, contact: 833-291-9645.</v>
      </c>
      <c r="H886" s="5"/>
      <c r="I886" s="5"/>
      <c r="J886" s="5" t="str">
        <f>IFERROR(__xludf.DUMMYFUNCTION("""COMPUTED_VALUE"""),"Analgesia/Addiction")</f>
        <v>Analgesia/Addiction</v>
      </c>
      <c r="K886" s="5" t="str">
        <f>IFERROR(__xludf.DUMMYFUNCTION("""COMPUTED_VALUE"""),"Current")</f>
        <v>Current</v>
      </c>
      <c r="L886" s="5"/>
      <c r="M886" s="5"/>
      <c r="N886" s="10">
        <f>IFERROR(__xludf.DUMMYFUNCTION("""COMPUTED_VALUE"""),43257.0)</f>
        <v>43257</v>
      </c>
      <c r="O886" s="5">
        <v>2018.0</v>
      </c>
      <c r="P886" s="5" t="str">
        <f>IFERROR(__xludf.DUMMYFUNCTION("""COMPUTED_VALUE"""),"Available")</f>
        <v>Available</v>
      </c>
      <c r="Q886" s="5" t="s">
        <v>135</v>
      </c>
      <c r="R886" s="5" t="s">
        <v>136</v>
      </c>
      <c r="S886" s="11">
        <v>3064.0</v>
      </c>
    </row>
    <row r="887">
      <c r="A887" s="5" t="str">
        <f>IFERROR(__xludf.DUMMYFUNCTION("""COMPUTED_VALUE"""),"Ketorolac Tromethamine Injection")</f>
        <v>Ketorolac Tromethamine Injection</v>
      </c>
      <c r="B887" s="5" t="str">
        <f>IFERROR(__xludf.DUMMYFUNCTION("""COMPUTED_VALUE"""),"Sagent Pharmaceuticals")</f>
        <v>Sagent Pharmaceuticals</v>
      </c>
      <c r="C887" s="5" t="str">
        <f>IFERROR(__xludf.DUMMYFUNCTION("""COMPUTED_VALUE"""),"Ketorolac Tromethamine, Injection, 15 mg/1 mL (NDC 25021-700-01)")</f>
        <v>Ketorolac Tromethamine, Injection, 15 mg/1 mL (NDC 25021-700-01)</v>
      </c>
      <c r="D887" s="5" t="str">
        <f>IFERROR(__xludf.DUMMYFUNCTION("""COMPUTED_VALUE"""),"Revised")</f>
        <v>Revised</v>
      </c>
      <c r="E887" s="10">
        <f>IFERROR(__xludf.DUMMYFUNCTION("""COMPUTED_VALUE"""),46303.0)</f>
        <v>46303</v>
      </c>
      <c r="F887" s="5" t="str">
        <f>IFERROR(__xludf.DUMMYFUNCTION("""COMPUTED_VALUE"""),"Limited Availability")</f>
        <v>Limited Availability</v>
      </c>
      <c r="G887" s="5" t="str">
        <f>IFERROR(__xludf.DUMMYFUNCTION("""COMPUTED_VALUE"""),"Estimated recovery: end-October to mid-November 2026")</f>
        <v>Estimated recovery: end-October to mid-November 2026</v>
      </c>
      <c r="H887" s="5"/>
      <c r="I887" s="5" t="str">
        <f>IFERROR(__xludf.DUMMYFUNCTION("""COMPUTED_VALUE"""),"Delay in shipping of the drug")</f>
        <v>Delay in shipping of the drug</v>
      </c>
      <c r="J887" s="5" t="str">
        <f>IFERROR(__xludf.DUMMYFUNCTION("""COMPUTED_VALUE"""),"Analgesia/Addiction")</f>
        <v>Analgesia/Addiction</v>
      </c>
      <c r="K887" s="5" t="str">
        <f>IFERROR(__xludf.DUMMYFUNCTION("""COMPUTED_VALUE"""),"Current")</f>
        <v>Current</v>
      </c>
      <c r="L887" s="5"/>
      <c r="M887" s="5"/>
      <c r="N887" s="10">
        <f>IFERROR(__xludf.DUMMYFUNCTION("""COMPUTED_VALUE"""),43185.0)</f>
        <v>43185</v>
      </c>
      <c r="O887" s="5">
        <v>2018.0</v>
      </c>
      <c r="P887" s="5" t="str">
        <f>IFERROR(__xludf.DUMMYFUNCTION("""COMPUTED_VALUE"""),"Limited Availability")</f>
        <v>Limited Availability</v>
      </c>
      <c r="Q887" s="5" t="s">
        <v>562</v>
      </c>
      <c r="R887" s="5" t="s">
        <v>434</v>
      </c>
      <c r="S887" s="11">
        <v>3136.0</v>
      </c>
    </row>
    <row r="888">
      <c r="A888" s="5" t="str">
        <f>IFERROR(__xludf.DUMMYFUNCTION("""COMPUTED_VALUE"""),"Ketorolac Tromethamine Injection")</f>
        <v>Ketorolac Tromethamine Injection</v>
      </c>
      <c r="B888" s="5" t="str">
        <f>IFERROR(__xludf.DUMMYFUNCTION("""COMPUTED_VALUE"""),"Sagent Pharmaceuticals")</f>
        <v>Sagent Pharmaceuticals</v>
      </c>
      <c r="C888" s="5" t="str">
        <f>IFERROR(__xludf.DUMMYFUNCTION("""COMPUTED_VALUE"""),"Ketorolac Tromethamine, Injection, 30 mg/1 mL (NDC 25021-701-02)")</f>
        <v>Ketorolac Tromethamine, Injection, 30 mg/1 mL (NDC 25021-701-02)</v>
      </c>
      <c r="D888" s="5" t="str">
        <f>IFERROR(__xludf.DUMMYFUNCTION("""COMPUTED_VALUE"""),"Reverified")</f>
        <v>Reverified</v>
      </c>
      <c r="E888" s="10">
        <f>IFERROR(__xludf.DUMMYFUNCTION("""COMPUTED_VALUE"""),46303.0)</f>
        <v>46303</v>
      </c>
      <c r="F888" s="5" t="str">
        <f>IFERROR(__xludf.DUMMYFUNCTION("""COMPUTED_VALUE"""),"Available")</f>
        <v>Available</v>
      </c>
      <c r="G888" s="5"/>
      <c r="H888" s="5"/>
      <c r="I888" s="5"/>
      <c r="J888" s="5" t="str">
        <f>IFERROR(__xludf.DUMMYFUNCTION("""COMPUTED_VALUE"""),"Analgesia/Addiction")</f>
        <v>Analgesia/Addiction</v>
      </c>
      <c r="K888" s="5" t="str">
        <f>IFERROR(__xludf.DUMMYFUNCTION("""COMPUTED_VALUE"""),"Current")</f>
        <v>Current</v>
      </c>
      <c r="L888" s="5"/>
      <c r="M888" s="5"/>
      <c r="N888" s="10">
        <f>IFERROR(__xludf.DUMMYFUNCTION("""COMPUTED_VALUE"""),43185.0)</f>
        <v>43185</v>
      </c>
      <c r="O888" s="5">
        <v>2018.0</v>
      </c>
      <c r="P888" s="5" t="str">
        <f>IFERROR(__xludf.DUMMYFUNCTION("""COMPUTED_VALUE"""),"Available")</f>
        <v>Available</v>
      </c>
      <c r="Q888" s="5" t="s">
        <v>135</v>
      </c>
      <c r="R888" s="5" t="s">
        <v>434</v>
      </c>
      <c r="S888" s="11">
        <v>3136.0</v>
      </c>
    </row>
    <row r="889">
      <c r="A889" s="5" t="str">
        <f>IFERROR(__xludf.DUMMYFUNCTION("""COMPUTED_VALUE"""),"Ketorolac Tromethamine Injection")</f>
        <v>Ketorolac Tromethamine Injection</v>
      </c>
      <c r="B889" s="5" t="str">
        <f>IFERROR(__xludf.DUMMYFUNCTION("""COMPUTED_VALUE"""),"Sagent Pharmaceuticals")</f>
        <v>Sagent Pharmaceuticals</v>
      </c>
      <c r="C889" s="5" t="str">
        <f>IFERROR(__xludf.DUMMYFUNCTION("""COMPUTED_VALUE"""),"Ketorolac Tromethamine, Injection, 30 mg/1 mL (NDC 25021-701-01)")</f>
        <v>Ketorolac Tromethamine, Injection, 30 mg/1 mL (NDC 25021-701-01)</v>
      </c>
      <c r="D889" s="5" t="str">
        <f>IFERROR(__xludf.DUMMYFUNCTION("""COMPUTED_VALUE"""),"Reverified")</f>
        <v>Reverified</v>
      </c>
      <c r="E889" s="10">
        <f>IFERROR(__xludf.DUMMYFUNCTION("""COMPUTED_VALUE"""),46303.0)</f>
        <v>46303</v>
      </c>
      <c r="F889" s="5" t="str">
        <f>IFERROR(__xludf.DUMMYFUNCTION("""COMPUTED_VALUE"""),"Available")</f>
        <v>Available</v>
      </c>
      <c r="G889" s="5"/>
      <c r="H889" s="5"/>
      <c r="I889" s="5"/>
      <c r="J889" s="5" t="str">
        <f>IFERROR(__xludf.DUMMYFUNCTION("""COMPUTED_VALUE"""),"Analgesia/Addiction")</f>
        <v>Analgesia/Addiction</v>
      </c>
      <c r="K889" s="5" t="str">
        <f>IFERROR(__xludf.DUMMYFUNCTION("""COMPUTED_VALUE"""),"Current")</f>
        <v>Current</v>
      </c>
      <c r="L889" s="5"/>
      <c r="M889" s="5"/>
      <c r="N889" s="10">
        <f>IFERROR(__xludf.DUMMYFUNCTION("""COMPUTED_VALUE"""),43185.0)</f>
        <v>43185</v>
      </c>
      <c r="O889" s="5">
        <v>2018.0</v>
      </c>
      <c r="P889" s="5" t="str">
        <f>IFERROR(__xludf.DUMMYFUNCTION("""COMPUTED_VALUE"""),"Available")</f>
        <v>Available</v>
      </c>
      <c r="Q889" s="5" t="s">
        <v>135</v>
      </c>
      <c r="R889" s="5" t="s">
        <v>434</v>
      </c>
      <c r="S889" s="11">
        <v>3136.0</v>
      </c>
    </row>
    <row r="890">
      <c r="A890" s="5" t="str">
        <f>IFERROR(__xludf.DUMMYFUNCTION("""COMPUTED_VALUE"""),"Ketorolac Tromethamine Injection")</f>
        <v>Ketorolac Tromethamine Injection</v>
      </c>
      <c r="B890" s="5" t="str">
        <f>IFERROR(__xludf.DUMMYFUNCTION("""COMPUTED_VALUE"""),"Hospira, Inc., a Pfizer Company")</f>
        <v>Hospira, Inc., a Pfizer Company</v>
      </c>
      <c r="C890" s="5" t="str">
        <f>IFERROR(__xludf.DUMMYFUNCTION("""COMPUTED_VALUE"""),"Ketorolac Tromethamine, Injection, 15 mg/1 mL (NDC 0409-3793-01)")</f>
        <v>Ketorolac Tromethamine, Injection, 15 mg/1 mL (NDC 0409-3793-01)</v>
      </c>
      <c r="D890" s="5" t="str">
        <f>IFERROR(__xludf.DUMMYFUNCTION("""COMPUTED_VALUE"""),"Revised")</f>
        <v>Revised</v>
      </c>
      <c r="E890" s="10">
        <f>IFERROR(__xludf.DUMMYFUNCTION("""COMPUTED_VALUE"""),46303.0)</f>
        <v>46303</v>
      </c>
      <c r="F890" s="5" t="str">
        <f>IFERROR(__xludf.DUMMYFUNCTION("""COMPUTED_VALUE"""),"Unavailable")</f>
        <v>Unavailable</v>
      </c>
      <c r="G890" s="5" t="str">
        <f>IFERROR(__xludf.DUMMYFUNCTION("""COMPUTED_VALUE"""),"Next Delivery and Estimated Recovery: December 2027")</f>
        <v>Next Delivery and Estimated Recovery: December 2027</v>
      </c>
      <c r="H890" s="5"/>
      <c r="I890" s="5" t="str">
        <f>IFERROR(__xludf.DUMMYFUNCTION("""COMPUTED_VALUE"""),"Other")</f>
        <v>Other</v>
      </c>
      <c r="J890" s="5" t="str">
        <f>IFERROR(__xludf.DUMMYFUNCTION("""COMPUTED_VALUE"""),"Analgesia/Addiction")</f>
        <v>Analgesia/Addiction</v>
      </c>
      <c r="K890" s="5" t="str">
        <f>IFERROR(__xludf.DUMMYFUNCTION("""COMPUTED_VALUE"""),"Current")</f>
        <v>Current</v>
      </c>
      <c r="L890" s="5"/>
      <c r="M890" s="5"/>
      <c r="N890" s="10">
        <f>IFERROR(__xludf.DUMMYFUNCTION("""COMPUTED_VALUE"""),43185.0)</f>
        <v>43185</v>
      </c>
      <c r="O890" s="5">
        <v>2018.0</v>
      </c>
      <c r="P890" s="5" t="str">
        <f>IFERROR(__xludf.DUMMYFUNCTION("""COMPUTED_VALUE"""),"Unavailable")</f>
        <v>Unavailable</v>
      </c>
      <c r="Q890" s="5" t="s">
        <v>47</v>
      </c>
      <c r="R890" s="5" t="s">
        <v>136</v>
      </c>
      <c r="S890" s="11">
        <v>3136.0</v>
      </c>
    </row>
    <row r="891">
      <c r="A891" s="5" t="str">
        <f>IFERROR(__xludf.DUMMYFUNCTION("""COMPUTED_VALUE"""),"Ketorolac Tromethamine Injection")</f>
        <v>Ketorolac Tromethamine Injection</v>
      </c>
      <c r="B891" s="5" t="str">
        <f>IFERROR(__xludf.DUMMYFUNCTION("""COMPUTED_VALUE"""),"Hospira, Inc., a Pfizer Company")</f>
        <v>Hospira, Inc., a Pfizer Company</v>
      </c>
      <c r="C891" s="5" t="str">
        <f>IFERROR(__xludf.DUMMYFUNCTION("""COMPUTED_VALUE"""),"Ketorolac Tromethamine, Injection, 30 mg/1 mL (NDC 0409-3795-01)")</f>
        <v>Ketorolac Tromethamine, Injection, 30 mg/1 mL (NDC 0409-3795-01)</v>
      </c>
      <c r="D891" s="5" t="str">
        <f>IFERROR(__xludf.DUMMYFUNCTION("""COMPUTED_VALUE"""),"Revised")</f>
        <v>Revised</v>
      </c>
      <c r="E891" s="13">
        <f>IFERROR(__xludf.DUMMYFUNCTION("""COMPUTED_VALUE"""),46316.0)</f>
        <v>46316</v>
      </c>
      <c r="F891" s="5" t="str">
        <f>IFERROR(__xludf.DUMMYFUNCTION("""COMPUTED_VALUE"""),"Unavailable")</f>
        <v>Unavailable</v>
      </c>
      <c r="G891" s="5" t="str">
        <f>IFERROR(__xludf.DUMMYFUNCTION("""COMPUTED_VALUE"""),"Next Delivery and Estimated Recovery: June 2027; Shortage per Manufacturer: Manufacturing Delay")</f>
        <v>Next Delivery and Estimated Recovery: June 2027; Shortage per Manufacturer: Manufacturing Delay</v>
      </c>
      <c r="H891" s="5"/>
      <c r="I891" s="5" t="str">
        <f>IFERROR(__xludf.DUMMYFUNCTION("""COMPUTED_VALUE"""),"Other")</f>
        <v>Other</v>
      </c>
      <c r="J891" s="5" t="str">
        <f>IFERROR(__xludf.DUMMYFUNCTION("""COMPUTED_VALUE"""),"Analgesia/Addiction")</f>
        <v>Analgesia/Addiction</v>
      </c>
      <c r="K891" s="5" t="str">
        <f>IFERROR(__xludf.DUMMYFUNCTION("""COMPUTED_VALUE"""),"Current")</f>
        <v>Current</v>
      </c>
      <c r="L891" s="5"/>
      <c r="M891" s="5"/>
      <c r="N891" s="10">
        <f>IFERROR(__xludf.DUMMYFUNCTION("""COMPUTED_VALUE"""),43185.0)</f>
        <v>43185</v>
      </c>
      <c r="O891" s="5">
        <v>2018.0</v>
      </c>
      <c r="P891" s="5" t="str">
        <f>IFERROR(__xludf.DUMMYFUNCTION("""COMPUTED_VALUE"""),"Unavailable")</f>
        <v>Unavailable</v>
      </c>
      <c r="Q891" s="5" t="s">
        <v>47</v>
      </c>
      <c r="R891" s="5" t="s">
        <v>136</v>
      </c>
      <c r="S891" s="11">
        <v>3136.0</v>
      </c>
    </row>
    <row r="892">
      <c r="A892" s="5" t="str">
        <f>IFERROR(__xludf.DUMMYFUNCTION("""COMPUTED_VALUE"""),"Ketorolac Tromethamine Injection")</f>
        <v>Ketorolac Tromethamine Injection</v>
      </c>
      <c r="B892" s="5" t="str">
        <f>IFERROR(__xludf.DUMMYFUNCTION("""COMPUTED_VALUE"""),"Hospira, Inc., a Pfizer Company")</f>
        <v>Hospira, Inc., a Pfizer Company</v>
      </c>
      <c r="C892" s="5" t="str">
        <f>IFERROR(__xludf.DUMMYFUNCTION("""COMPUTED_VALUE"""),"Ketorolac Tromethamine, Injection, 60 mg/2 mL (30 mg/mL) (NDC 0409-3796-01)")</f>
        <v>Ketorolac Tromethamine, Injection, 60 mg/2 mL (30 mg/mL) (NDC 0409-3796-01)</v>
      </c>
      <c r="D892" s="5" t="str">
        <f>IFERROR(__xludf.DUMMYFUNCTION("""COMPUTED_VALUE"""),"Revised")</f>
        <v>Revised</v>
      </c>
      <c r="E892" s="13">
        <f>IFERROR(__xludf.DUMMYFUNCTION("""COMPUTED_VALUE"""),46316.0)</f>
        <v>46316</v>
      </c>
      <c r="F892" s="5" t="str">
        <f>IFERROR(__xludf.DUMMYFUNCTION("""COMPUTED_VALUE"""),"Unavailable")</f>
        <v>Unavailable</v>
      </c>
      <c r="G892" s="5" t="str">
        <f>IFERROR(__xludf.DUMMYFUNCTION("""COMPUTED_VALUE"""),"Next Delivery and Estimated Recovery: June 2027; Shortage per Manufacturer: Manufacturing Delay")</f>
        <v>Next Delivery and Estimated Recovery: June 2027; Shortage per Manufacturer: Manufacturing Delay</v>
      </c>
      <c r="H892" s="5"/>
      <c r="I892" s="5" t="str">
        <f>IFERROR(__xludf.DUMMYFUNCTION("""COMPUTED_VALUE"""),"Other")</f>
        <v>Other</v>
      </c>
      <c r="J892" s="5" t="str">
        <f>IFERROR(__xludf.DUMMYFUNCTION("""COMPUTED_VALUE"""),"Analgesia/Addiction")</f>
        <v>Analgesia/Addiction</v>
      </c>
      <c r="K892" s="5" t="str">
        <f>IFERROR(__xludf.DUMMYFUNCTION("""COMPUTED_VALUE"""),"Current")</f>
        <v>Current</v>
      </c>
      <c r="L892" s="5"/>
      <c r="M892" s="5"/>
      <c r="N892" s="10">
        <f>IFERROR(__xludf.DUMMYFUNCTION("""COMPUTED_VALUE"""),43185.0)</f>
        <v>43185</v>
      </c>
      <c r="O892" s="5">
        <v>2018.0</v>
      </c>
      <c r="P892" s="5" t="str">
        <f>IFERROR(__xludf.DUMMYFUNCTION("""COMPUTED_VALUE"""),"Unavailable")</f>
        <v>Unavailable</v>
      </c>
      <c r="Q892" s="5" t="s">
        <v>47</v>
      </c>
      <c r="R892" s="5" t="s">
        <v>136</v>
      </c>
      <c r="S892" s="11">
        <v>3136.0</v>
      </c>
    </row>
    <row r="893">
      <c r="A893" s="5" t="str">
        <f>IFERROR(__xludf.DUMMYFUNCTION("""COMPUTED_VALUE"""),"Ketorolac Tromethamine Injection")</f>
        <v>Ketorolac Tromethamine Injection</v>
      </c>
      <c r="B893" s="5" t="str">
        <f>IFERROR(__xludf.DUMMYFUNCTION("""COMPUTED_VALUE"""),"Baxter Healthcare")</f>
        <v>Baxter Healthcare</v>
      </c>
      <c r="C893" s="5" t="str">
        <f>IFERROR(__xludf.DUMMYFUNCTION("""COMPUTED_VALUE"""),"Ketorolac Tromethamine, Injection, 15 mg/1 mL (NDC 0338-0069-10)")</f>
        <v>Ketorolac Tromethamine, Injection, 15 mg/1 mL (NDC 0338-0069-10)</v>
      </c>
      <c r="D893" s="5" t="str">
        <f>IFERROR(__xludf.DUMMYFUNCTION("""COMPUTED_VALUE"""),"Reverified")</f>
        <v>Reverified</v>
      </c>
      <c r="E893" s="13">
        <f>IFERROR(__xludf.DUMMYFUNCTION("""COMPUTED_VALUE"""),46311.0)</f>
        <v>46311</v>
      </c>
      <c r="F893" s="5" t="str">
        <f>IFERROR(__xludf.DUMMYFUNCTION("""COMPUTED_VALUE"""),"Unavailable")</f>
        <v>Unavailable</v>
      </c>
      <c r="G893" s="5" t="str">
        <f>IFERROR(__xludf.DUMMYFUNCTION("""COMPUTED_VALUE"""),"Estimated recovery: December 2026")</f>
        <v>Estimated recovery: December 2026</v>
      </c>
      <c r="H893" s="5"/>
      <c r="I893" s="5" t="str">
        <f>IFERROR(__xludf.DUMMYFUNCTION("""COMPUTED_VALUE"""),"Demand increase for the drug")</f>
        <v>Demand increase for the drug</v>
      </c>
      <c r="J893" s="5" t="str">
        <f>IFERROR(__xludf.DUMMYFUNCTION("""COMPUTED_VALUE"""),"Analgesia/Addiction")</f>
        <v>Analgesia/Addiction</v>
      </c>
      <c r="K893" s="5" t="str">
        <f>IFERROR(__xludf.DUMMYFUNCTION("""COMPUTED_VALUE"""),"Current")</f>
        <v>Current</v>
      </c>
      <c r="L893" s="5"/>
      <c r="M893" s="5"/>
      <c r="N893" s="10">
        <f>IFERROR(__xludf.DUMMYFUNCTION("""COMPUTED_VALUE"""),43257.0)</f>
        <v>43257</v>
      </c>
      <c r="O893" s="5">
        <v>2018.0</v>
      </c>
      <c r="P893" s="5" t="str">
        <f>IFERROR(__xludf.DUMMYFUNCTION("""COMPUTED_VALUE"""),"Unavailable")</f>
        <v>Unavailable</v>
      </c>
      <c r="Q893" s="5" t="s">
        <v>134</v>
      </c>
      <c r="R893" s="5" t="s">
        <v>136</v>
      </c>
      <c r="S893" s="11">
        <v>3064.0</v>
      </c>
    </row>
    <row r="894">
      <c r="A894" s="5" t="str">
        <f>IFERROR(__xludf.DUMMYFUNCTION("""COMPUTED_VALUE"""),"Ketorolac Tromethamine Injection")</f>
        <v>Ketorolac Tromethamine Injection</v>
      </c>
      <c r="B894" s="5" t="str">
        <f>IFERROR(__xludf.DUMMYFUNCTION("""COMPUTED_VALUE"""),"Baxter Healthcare")</f>
        <v>Baxter Healthcare</v>
      </c>
      <c r="C894" s="5" t="str">
        <f>IFERROR(__xludf.DUMMYFUNCTION("""COMPUTED_VALUE"""),"Ketorolac Tromethamine, Injection, 30 mg/1 mL (NDC 0338-0072-25)")</f>
        <v>Ketorolac Tromethamine, Injection, 30 mg/1 mL (NDC 0338-0072-25)</v>
      </c>
      <c r="D894" s="5" t="str">
        <f>IFERROR(__xludf.DUMMYFUNCTION("""COMPUTED_VALUE"""),"Reverified")</f>
        <v>Reverified</v>
      </c>
      <c r="E894" s="13">
        <f>IFERROR(__xludf.DUMMYFUNCTION("""COMPUTED_VALUE"""),46311.0)</f>
        <v>46311</v>
      </c>
      <c r="F894" s="5" t="str">
        <f>IFERROR(__xludf.DUMMYFUNCTION("""COMPUTED_VALUE"""),"Available")</f>
        <v>Available</v>
      </c>
      <c r="G894" s="5"/>
      <c r="H894" s="5"/>
      <c r="I894" s="5"/>
      <c r="J894" s="5" t="str">
        <f>IFERROR(__xludf.DUMMYFUNCTION("""COMPUTED_VALUE"""),"Analgesia/Addiction")</f>
        <v>Analgesia/Addiction</v>
      </c>
      <c r="K894" s="5" t="str">
        <f>IFERROR(__xludf.DUMMYFUNCTION("""COMPUTED_VALUE"""),"Current")</f>
        <v>Current</v>
      </c>
      <c r="L894" s="5"/>
      <c r="M894" s="5"/>
      <c r="N894" s="10">
        <f>IFERROR(__xludf.DUMMYFUNCTION("""COMPUTED_VALUE"""),43257.0)</f>
        <v>43257</v>
      </c>
      <c r="O894" s="5">
        <v>2018.0</v>
      </c>
      <c r="P894" s="5" t="str">
        <f>IFERROR(__xludf.DUMMYFUNCTION("""COMPUTED_VALUE"""),"Available")</f>
        <v>Available</v>
      </c>
      <c r="Q894" s="5" t="s">
        <v>135</v>
      </c>
      <c r="R894" s="5" t="s">
        <v>136</v>
      </c>
      <c r="S894" s="11">
        <v>3064.0</v>
      </c>
    </row>
    <row r="895">
      <c r="A895" s="5" t="str">
        <f>IFERROR(__xludf.DUMMYFUNCTION("""COMPUTED_VALUE"""),"Ketorolac Tromethamine Injection")</f>
        <v>Ketorolac Tromethamine Injection</v>
      </c>
      <c r="B895" s="5" t="str">
        <f>IFERROR(__xludf.DUMMYFUNCTION("""COMPUTED_VALUE"""),"Fresenius Kabi USA, LLC")</f>
        <v>Fresenius Kabi USA, LLC</v>
      </c>
      <c r="C895" s="5" t="str">
        <f>IFERROR(__xludf.DUMMYFUNCTION("""COMPUTED_VALUE"""),"Ketorolac Tromethamine, Injection, 15 mg/1 mL (NDC 76045-107-10)")</f>
        <v>Ketorolac Tromethamine, Injection, 15 mg/1 mL (NDC 76045-107-10)</v>
      </c>
      <c r="D895" s="5" t="str">
        <f>IFERROR(__xludf.DUMMYFUNCTION("""COMPUTED_VALUE"""),"Reverified")</f>
        <v>Reverified</v>
      </c>
      <c r="E895" s="13">
        <f>IFERROR(__xludf.DUMMYFUNCTION("""COMPUTED_VALUE"""),46310.0)</f>
        <v>46310</v>
      </c>
      <c r="F895" s="5" t="str">
        <f>IFERROR(__xludf.DUMMYFUNCTION("""COMPUTED_VALUE"""),"Unavailable")</f>
        <v>Unavailable</v>
      </c>
      <c r="G895" s="5" t="str">
        <f>IFERROR(__xludf.DUMMYFUNCTION("""COMPUTED_VALUE"""),"Estimated recovery: TBD")</f>
        <v>Estimated recovery: TBD</v>
      </c>
      <c r="H895" s="5"/>
      <c r="I895" s="5" t="str">
        <f>IFERROR(__xludf.DUMMYFUNCTION("""COMPUTED_VALUE"""),"Other")</f>
        <v>Other</v>
      </c>
      <c r="J895" s="5" t="str">
        <f>IFERROR(__xludf.DUMMYFUNCTION("""COMPUTED_VALUE"""),"Analgesia/Addiction")</f>
        <v>Analgesia/Addiction</v>
      </c>
      <c r="K895" s="5" t="str">
        <f>IFERROR(__xludf.DUMMYFUNCTION("""COMPUTED_VALUE"""),"Current")</f>
        <v>Current</v>
      </c>
      <c r="L895" s="5"/>
      <c r="M895" s="5"/>
      <c r="N895" s="10">
        <f>IFERROR(__xludf.DUMMYFUNCTION("""COMPUTED_VALUE"""),43182.0)</f>
        <v>43182</v>
      </c>
      <c r="O895" s="5">
        <v>2018.0</v>
      </c>
      <c r="P895" s="5" t="str">
        <f>IFERROR(__xludf.DUMMYFUNCTION("""COMPUTED_VALUE"""),"Unavailable")</f>
        <v>Unavailable</v>
      </c>
      <c r="Q895" s="5" t="s">
        <v>47</v>
      </c>
      <c r="R895" s="5" t="s">
        <v>136</v>
      </c>
      <c r="S895" s="11">
        <v>3139.0</v>
      </c>
    </row>
    <row r="896">
      <c r="A896" s="5" t="str">
        <f>IFERROR(__xludf.DUMMYFUNCTION("""COMPUTED_VALUE"""),"Ketorolac Tromethamine Injection")</f>
        <v>Ketorolac Tromethamine Injection</v>
      </c>
      <c r="B896" s="5" t="str">
        <f>IFERROR(__xludf.DUMMYFUNCTION("""COMPUTED_VALUE"""),"Fresenius Kabi USA, LLC")</f>
        <v>Fresenius Kabi USA, LLC</v>
      </c>
      <c r="C896" s="5" t="str">
        <f>IFERROR(__xludf.DUMMYFUNCTION("""COMPUTED_VALUE"""),"Ketorolac Tromethamine, Injection, 30 mg/1 mL (NDC 76045-104-10)")</f>
        <v>Ketorolac Tromethamine, Injection, 30 mg/1 mL (NDC 76045-104-10)</v>
      </c>
      <c r="D896" s="5" t="str">
        <f>IFERROR(__xludf.DUMMYFUNCTION("""COMPUTED_VALUE"""),"Reverified")</f>
        <v>Reverified</v>
      </c>
      <c r="E896" s="13">
        <f>IFERROR(__xludf.DUMMYFUNCTION("""COMPUTED_VALUE"""),46310.0)</f>
        <v>46310</v>
      </c>
      <c r="F896" s="5" t="str">
        <f>IFERROR(__xludf.DUMMYFUNCTION("""COMPUTED_VALUE"""),"Unavailable")</f>
        <v>Unavailable</v>
      </c>
      <c r="G896" s="5" t="str">
        <f>IFERROR(__xludf.DUMMYFUNCTION("""COMPUTED_VALUE"""),"Estimated recovery: TBD")</f>
        <v>Estimated recovery: TBD</v>
      </c>
      <c r="H896" s="5"/>
      <c r="I896" s="5" t="str">
        <f>IFERROR(__xludf.DUMMYFUNCTION("""COMPUTED_VALUE"""),"Other")</f>
        <v>Other</v>
      </c>
      <c r="J896" s="5" t="str">
        <f>IFERROR(__xludf.DUMMYFUNCTION("""COMPUTED_VALUE"""),"Analgesia/Addiction")</f>
        <v>Analgesia/Addiction</v>
      </c>
      <c r="K896" s="5" t="str">
        <f>IFERROR(__xludf.DUMMYFUNCTION("""COMPUTED_VALUE"""),"Current")</f>
        <v>Current</v>
      </c>
      <c r="L896" s="5"/>
      <c r="M896" s="5"/>
      <c r="N896" s="10">
        <f>IFERROR(__xludf.DUMMYFUNCTION("""COMPUTED_VALUE"""),43182.0)</f>
        <v>43182</v>
      </c>
      <c r="O896" s="5">
        <v>2018.0</v>
      </c>
      <c r="P896" s="5" t="str">
        <f>IFERROR(__xludf.DUMMYFUNCTION("""COMPUTED_VALUE"""),"Unavailable")</f>
        <v>Unavailable</v>
      </c>
      <c r="Q896" s="5" t="s">
        <v>47</v>
      </c>
      <c r="R896" s="5" t="s">
        <v>136</v>
      </c>
      <c r="S896" s="11">
        <v>3139.0</v>
      </c>
    </row>
    <row r="897">
      <c r="A897" s="5" t="str">
        <f>IFERROR(__xludf.DUMMYFUNCTION("""COMPUTED_VALUE"""),"Ketorolac Tromethamine Injection")</f>
        <v>Ketorolac Tromethamine Injection</v>
      </c>
      <c r="B897" s="5" t="str">
        <f>IFERROR(__xludf.DUMMYFUNCTION("""COMPUTED_VALUE"""),"Fresenius Kabi USA, LLC")</f>
        <v>Fresenius Kabi USA, LLC</v>
      </c>
      <c r="C897" s="5" t="str">
        <f>IFERROR(__xludf.DUMMYFUNCTION("""COMPUTED_VALUE"""),"Ketorolac Tromethamine, Injection, 60 mg/2 mL (NDC 76045-105-20)")</f>
        <v>Ketorolac Tromethamine, Injection, 60 mg/2 mL (NDC 76045-105-20)</v>
      </c>
      <c r="D897" s="5" t="str">
        <f>IFERROR(__xludf.DUMMYFUNCTION("""COMPUTED_VALUE"""),"Reverified")</f>
        <v>Reverified</v>
      </c>
      <c r="E897" s="13">
        <f>IFERROR(__xludf.DUMMYFUNCTION("""COMPUTED_VALUE"""),46310.0)</f>
        <v>46310</v>
      </c>
      <c r="F897" s="5" t="str">
        <f>IFERROR(__xludf.DUMMYFUNCTION("""COMPUTED_VALUE"""),"Unavailable")</f>
        <v>Unavailable</v>
      </c>
      <c r="G897" s="5" t="str">
        <f>IFERROR(__xludf.DUMMYFUNCTION("""COMPUTED_VALUE"""),"Estimated recovery: TBD")</f>
        <v>Estimated recovery: TBD</v>
      </c>
      <c r="H897" s="5"/>
      <c r="I897" s="5" t="str">
        <f>IFERROR(__xludf.DUMMYFUNCTION("""COMPUTED_VALUE"""),"Other")</f>
        <v>Other</v>
      </c>
      <c r="J897" s="5" t="str">
        <f>IFERROR(__xludf.DUMMYFUNCTION("""COMPUTED_VALUE"""),"Analgesia/Addiction")</f>
        <v>Analgesia/Addiction</v>
      </c>
      <c r="K897" s="5" t="str">
        <f>IFERROR(__xludf.DUMMYFUNCTION("""COMPUTED_VALUE"""),"Current")</f>
        <v>Current</v>
      </c>
      <c r="L897" s="5"/>
      <c r="M897" s="5"/>
      <c r="N897" s="10">
        <f>IFERROR(__xludf.DUMMYFUNCTION("""COMPUTED_VALUE"""),43182.0)</f>
        <v>43182</v>
      </c>
      <c r="O897" s="5">
        <v>2018.0</v>
      </c>
      <c r="P897" s="5" t="str">
        <f>IFERROR(__xludf.DUMMYFUNCTION("""COMPUTED_VALUE"""),"Unavailable")</f>
        <v>Unavailable</v>
      </c>
      <c r="Q897" s="5" t="s">
        <v>47</v>
      </c>
      <c r="R897" s="5" t="s">
        <v>136</v>
      </c>
      <c r="S897" s="11">
        <v>3139.0</v>
      </c>
    </row>
    <row r="898">
      <c r="A898" s="5" t="str">
        <f>IFERROR(__xludf.DUMMYFUNCTION("""COMPUTED_VALUE"""),"Ketorolac Tromethamine Tablet")</f>
        <v>Ketorolac Tromethamine Tablet</v>
      </c>
      <c r="B898" s="5" t="str">
        <f>IFERROR(__xludf.DUMMYFUNCTION("""COMPUTED_VALUE"""),"Mylan Pharmaceuticals Inc., a Viatris Company")</f>
        <v>Mylan Pharmaceuticals Inc., a Viatris Company</v>
      </c>
      <c r="C898" s="5" t="str">
        <f>IFERROR(__xludf.DUMMYFUNCTION("""COMPUTED_VALUE"""),"Ketorolac Tromethamine, Tablet, 10 mg (NDC 0378-1134-01)")</f>
        <v>Ketorolac Tromethamine, Tablet, 10 mg (NDC 0378-1134-01)</v>
      </c>
      <c r="D898" s="5" t="str">
        <f>IFERROR(__xludf.DUMMYFUNCTION("""COMPUTED_VALUE"""),"New")</f>
        <v>New</v>
      </c>
      <c r="E898" s="10">
        <f>IFERROR(__xludf.DUMMYFUNCTION("""COMPUTED_VALUE"""),46132.0)</f>
        <v>46132</v>
      </c>
      <c r="F898" s="5"/>
      <c r="G898" s="5" t="str">
        <f>IFERROR(__xludf.DUMMYFUNCTION("""COMPUTED_VALUE"""),"Discontinuation of the manufacture of the drug")</f>
        <v>Discontinuation of the manufacture of the drug</v>
      </c>
      <c r="H898" s="5"/>
      <c r="I898" s="5"/>
      <c r="J898" s="5" t="str">
        <f>IFERROR(__xludf.DUMMYFUNCTION("""COMPUTED_VALUE"""),"Analgesia/Addiction")</f>
        <v>Analgesia/Addiction</v>
      </c>
      <c r="K898" s="5" t="str">
        <f>IFERROR(__xludf.DUMMYFUNCTION("""COMPUTED_VALUE"""),"To Be Discontinued")</f>
        <v>To Be Discontinued</v>
      </c>
      <c r="L898" s="5"/>
      <c r="M898" s="10">
        <f>IFERROR(__xludf.DUMMYFUNCTION("""COMPUTED_VALUE"""),46132.0)</f>
        <v>46132</v>
      </c>
      <c r="N898" s="10">
        <f>IFERROR(__xludf.DUMMYFUNCTION("""COMPUTED_VALUE"""),46132.0)</f>
        <v>46132</v>
      </c>
      <c r="O898" s="5">
        <v>2026.0</v>
      </c>
      <c r="P898" s="5" t="str">
        <f>IFERROR(__xludf.DUMMYFUNCTION("""COMPUTED_VALUE"""),"Not stated")</f>
        <v>Not stated</v>
      </c>
      <c r="Q898" s="5" t="s">
        <v>135</v>
      </c>
      <c r="R898" s="5" t="s">
        <v>136</v>
      </c>
      <c r="S898" s="11">
        <v>189.0</v>
      </c>
    </row>
    <row r="899">
      <c r="A899" s="5" t="str">
        <f>IFERROR(__xludf.DUMMYFUNCTION("""COMPUTED_VALUE"""),"Lamivudine Tablet")</f>
        <v>Lamivudine Tablet</v>
      </c>
      <c r="B899" s="5" t="str">
        <f>IFERROR(__xludf.DUMMYFUNCTION("""COMPUTED_VALUE"""),"ViiV Healthcare Company")</f>
        <v>ViiV Healthcare Company</v>
      </c>
      <c r="C899" s="5" t="str">
        <f>IFERROR(__xludf.DUMMYFUNCTION("""COMPUTED_VALUE"""),"Epivir, Tablet, 150 mg (NDC 49702-203-18)")</f>
        <v>Epivir, Tablet, 150 mg (NDC 49702-203-18)</v>
      </c>
      <c r="D899" s="5" t="str">
        <f>IFERROR(__xludf.DUMMYFUNCTION("""COMPUTED_VALUE"""),"New")</f>
        <v>New</v>
      </c>
      <c r="E899" s="13">
        <f>IFERROR(__xludf.DUMMYFUNCTION("""COMPUTED_VALUE"""),46314.0)</f>
        <v>46314</v>
      </c>
      <c r="F899" s="5"/>
      <c r="G899" s="5" t="str">
        <f>IFERROR(__xludf.DUMMYFUNCTION("""COMPUTED_VALUE"""),"The anticipated date that ViiV will cease distribution of the products is approximately April 15, 2027; Discontinuation of the manufacture of the drug")</f>
        <v>The anticipated date that ViiV will cease distribution of the products is approximately April 15, 2027; Discontinuation of the manufacture of the drug</v>
      </c>
      <c r="H899" s="5"/>
      <c r="I899" s="5"/>
      <c r="J899" s="5" t="str">
        <f>IFERROR(__xludf.DUMMYFUNCTION("""COMPUTED_VALUE"""),"Antiviral")</f>
        <v>Antiviral</v>
      </c>
      <c r="K899" s="5" t="str">
        <f>IFERROR(__xludf.DUMMYFUNCTION("""COMPUTED_VALUE"""),"To Be Discontinued")</f>
        <v>To Be Discontinued</v>
      </c>
      <c r="L899" s="5"/>
      <c r="M899" s="13">
        <f>IFERROR(__xludf.DUMMYFUNCTION("""COMPUTED_VALUE"""),46314.0)</f>
        <v>46314</v>
      </c>
      <c r="N899" s="13">
        <f>IFERROR(__xludf.DUMMYFUNCTION("""COMPUTED_VALUE"""),46314.0)</f>
        <v>46314</v>
      </c>
      <c r="O899" s="5">
        <v>2026.0</v>
      </c>
      <c r="P899" s="5" t="str">
        <f>IFERROR(__xludf.DUMMYFUNCTION("""COMPUTED_VALUE"""),"Not stated")</f>
        <v>Not stated</v>
      </c>
      <c r="Q899" s="5" t="s">
        <v>135</v>
      </c>
      <c r="R899" s="5" t="s">
        <v>136</v>
      </c>
      <c r="S899" s="11">
        <v>7.0</v>
      </c>
    </row>
    <row r="900">
      <c r="A900" s="5" t="str">
        <f>IFERROR(__xludf.DUMMYFUNCTION("""COMPUTED_VALUE"""),"Lamivudine Tablet")</f>
        <v>Lamivudine Tablet</v>
      </c>
      <c r="B900" s="5" t="str">
        <f>IFERROR(__xludf.DUMMYFUNCTION("""COMPUTED_VALUE"""),"ViiV Healthcare Company")</f>
        <v>ViiV Healthcare Company</v>
      </c>
      <c r="C900" s="5" t="str">
        <f>IFERROR(__xludf.DUMMYFUNCTION("""COMPUTED_VALUE"""),"Epivir, Tablet, 300 mg (NDC 49702-204-13)")</f>
        <v>Epivir, Tablet, 300 mg (NDC 49702-204-13)</v>
      </c>
      <c r="D900" s="5" t="str">
        <f>IFERROR(__xludf.DUMMYFUNCTION("""COMPUTED_VALUE"""),"New")</f>
        <v>New</v>
      </c>
      <c r="E900" s="13">
        <f>IFERROR(__xludf.DUMMYFUNCTION("""COMPUTED_VALUE"""),46314.0)</f>
        <v>46314</v>
      </c>
      <c r="F900" s="5"/>
      <c r="G900" s="5" t="str">
        <f>IFERROR(__xludf.DUMMYFUNCTION("""COMPUTED_VALUE"""),"The anticipated date that ViiV will cease distribution of the products is approximately April 15, 2027; Discontinuation of the manufacture of the drug")</f>
        <v>The anticipated date that ViiV will cease distribution of the products is approximately April 15, 2027; Discontinuation of the manufacture of the drug</v>
      </c>
      <c r="H900" s="5"/>
      <c r="I900" s="5"/>
      <c r="J900" s="5" t="str">
        <f>IFERROR(__xludf.DUMMYFUNCTION("""COMPUTED_VALUE"""),"Antiviral")</f>
        <v>Antiviral</v>
      </c>
      <c r="K900" s="5" t="str">
        <f>IFERROR(__xludf.DUMMYFUNCTION("""COMPUTED_VALUE"""),"To Be Discontinued")</f>
        <v>To Be Discontinued</v>
      </c>
      <c r="L900" s="5"/>
      <c r="M900" s="13">
        <f>IFERROR(__xludf.DUMMYFUNCTION("""COMPUTED_VALUE"""),46314.0)</f>
        <v>46314</v>
      </c>
      <c r="N900" s="13">
        <f>IFERROR(__xludf.DUMMYFUNCTION("""COMPUTED_VALUE"""),46314.0)</f>
        <v>46314</v>
      </c>
      <c r="O900" s="5">
        <v>2026.0</v>
      </c>
      <c r="P900" s="5" t="str">
        <f>IFERROR(__xludf.DUMMYFUNCTION("""COMPUTED_VALUE"""),"Not stated")</f>
        <v>Not stated</v>
      </c>
      <c r="Q900" s="5" t="s">
        <v>135</v>
      </c>
      <c r="R900" s="5" t="s">
        <v>136</v>
      </c>
      <c r="S900" s="11">
        <v>7.0</v>
      </c>
    </row>
    <row r="901">
      <c r="A901" s="5" t="str">
        <f>IFERROR(__xludf.DUMMYFUNCTION("""COMPUTED_VALUE"""),"Lamotrigine Tablet, Extended Release")</f>
        <v>Lamotrigine Tablet, Extended Release</v>
      </c>
      <c r="B901" s="5" t="str">
        <f>IFERROR(__xludf.DUMMYFUNCTION("""COMPUTED_VALUE"""),"Par Health, Inc.")</f>
        <v>Par Health, Inc.</v>
      </c>
      <c r="C901" s="5" t="str">
        <f>IFERROR(__xludf.DUMMYFUNCTION("""COMPUTED_VALUE"""),"Lamotrigine, Tablet, Extended Release, 25 mg (NDC 49884-561-11)")</f>
        <v>Lamotrigine, Tablet, Extended Release, 25 mg (NDC 49884-561-11)</v>
      </c>
      <c r="D901" s="5" t="str">
        <f>IFERROR(__xludf.DUMMYFUNCTION("""COMPUTED_VALUE"""),"New")</f>
        <v>New</v>
      </c>
      <c r="E901" s="10">
        <f>IFERROR(__xludf.DUMMYFUNCTION("""COMPUTED_VALUE"""),46141.0)</f>
        <v>46141</v>
      </c>
      <c r="F901" s="5"/>
      <c r="G901" s="5" t="str">
        <f>IFERROR(__xludf.DUMMYFUNCTION("""COMPUTED_VALUE"""),"Discontinuation of the manufacture of the drug")</f>
        <v>Discontinuation of the manufacture of the drug</v>
      </c>
      <c r="H901" s="5"/>
      <c r="I901" s="5"/>
      <c r="J901" s="5" t="str">
        <f>IFERROR(__xludf.DUMMYFUNCTION("""COMPUTED_VALUE"""),"Neurology")</f>
        <v>Neurology</v>
      </c>
      <c r="K901" s="5" t="str">
        <f>IFERROR(__xludf.DUMMYFUNCTION("""COMPUTED_VALUE"""),"To Be Discontinued")</f>
        <v>To Be Discontinued</v>
      </c>
      <c r="L901" s="5"/>
      <c r="M901" s="10">
        <f>IFERROR(__xludf.DUMMYFUNCTION("""COMPUTED_VALUE"""),46141.0)</f>
        <v>46141</v>
      </c>
      <c r="N901" s="10">
        <f>IFERROR(__xludf.DUMMYFUNCTION("""COMPUTED_VALUE"""),46141.0)</f>
        <v>46141</v>
      </c>
      <c r="O901" s="5">
        <v>2026.0</v>
      </c>
      <c r="P901" s="5" t="str">
        <f>IFERROR(__xludf.DUMMYFUNCTION("""COMPUTED_VALUE"""),"Not stated")</f>
        <v>Not stated</v>
      </c>
      <c r="Q901" s="5" t="s">
        <v>135</v>
      </c>
      <c r="R901" s="5" t="s">
        <v>136</v>
      </c>
      <c r="S901" s="11">
        <v>180.0</v>
      </c>
    </row>
    <row r="902">
      <c r="A902" s="5" t="str">
        <f>IFERROR(__xludf.DUMMYFUNCTION("""COMPUTED_VALUE"""),"Lamotrigine Tablet, Extended Release")</f>
        <v>Lamotrigine Tablet, Extended Release</v>
      </c>
      <c r="B902" s="5" t="str">
        <f>IFERROR(__xludf.DUMMYFUNCTION("""COMPUTED_VALUE"""),"Par Health, Inc.")</f>
        <v>Par Health, Inc.</v>
      </c>
      <c r="C902" s="5" t="str">
        <f>IFERROR(__xludf.DUMMYFUNCTION("""COMPUTED_VALUE"""),"Lamotrigine, Tablet, Extended Release, 50 mg (NDC 49884-562-11)")</f>
        <v>Lamotrigine, Tablet, Extended Release, 50 mg (NDC 49884-562-11)</v>
      </c>
      <c r="D902" s="5" t="str">
        <f>IFERROR(__xludf.DUMMYFUNCTION("""COMPUTED_VALUE"""),"New")</f>
        <v>New</v>
      </c>
      <c r="E902" s="10">
        <f>IFERROR(__xludf.DUMMYFUNCTION("""COMPUTED_VALUE"""),46141.0)</f>
        <v>46141</v>
      </c>
      <c r="F902" s="5"/>
      <c r="G902" s="5" t="str">
        <f>IFERROR(__xludf.DUMMYFUNCTION("""COMPUTED_VALUE"""),"Discontinuation of the manufacture of the drug")</f>
        <v>Discontinuation of the manufacture of the drug</v>
      </c>
      <c r="H902" s="5"/>
      <c r="I902" s="5"/>
      <c r="J902" s="5" t="str">
        <f>IFERROR(__xludf.DUMMYFUNCTION("""COMPUTED_VALUE"""),"Neurology")</f>
        <v>Neurology</v>
      </c>
      <c r="K902" s="5" t="str">
        <f>IFERROR(__xludf.DUMMYFUNCTION("""COMPUTED_VALUE"""),"To Be Discontinued")</f>
        <v>To Be Discontinued</v>
      </c>
      <c r="L902" s="5"/>
      <c r="M902" s="10">
        <f>IFERROR(__xludf.DUMMYFUNCTION("""COMPUTED_VALUE"""),46141.0)</f>
        <v>46141</v>
      </c>
      <c r="N902" s="10">
        <f>IFERROR(__xludf.DUMMYFUNCTION("""COMPUTED_VALUE"""),46141.0)</f>
        <v>46141</v>
      </c>
      <c r="O902" s="5">
        <v>2026.0</v>
      </c>
      <c r="P902" s="5" t="str">
        <f>IFERROR(__xludf.DUMMYFUNCTION("""COMPUTED_VALUE"""),"Not stated")</f>
        <v>Not stated</v>
      </c>
      <c r="Q902" s="5" t="s">
        <v>135</v>
      </c>
      <c r="R902" s="5" t="s">
        <v>136</v>
      </c>
      <c r="S902" s="11">
        <v>180.0</v>
      </c>
    </row>
    <row r="903">
      <c r="A903" s="5" t="str">
        <f>IFERROR(__xludf.DUMMYFUNCTION("""COMPUTED_VALUE"""),"Lamotrigine Tablet, Extended Release")</f>
        <v>Lamotrigine Tablet, Extended Release</v>
      </c>
      <c r="B903" s="5" t="str">
        <f>IFERROR(__xludf.DUMMYFUNCTION("""COMPUTED_VALUE"""),"Par Health, Inc.")</f>
        <v>Par Health, Inc.</v>
      </c>
      <c r="C903" s="5" t="str">
        <f>IFERROR(__xludf.DUMMYFUNCTION("""COMPUTED_VALUE"""),"Lamotrigine, Tablet, Extended Release, 100 mg (NDC 49884-563-11)")</f>
        <v>Lamotrigine, Tablet, Extended Release, 100 mg (NDC 49884-563-11)</v>
      </c>
      <c r="D903" s="5" t="str">
        <f>IFERROR(__xludf.DUMMYFUNCTION("""COMPUTED_VALUE"""),"New")</f>
        <v>New</v>
      </c>
      <c r="E903" s="10">
        <f>IFERROR(__xludf.DUMMYFUNCTION("""COMPUTED_VALUE"""),46141.0)</f>
        <v>46141</v>
      </c>
      <c r="F903" s="5"/>
      <c r="G903" s="5" t="str">
        <f>IFERROR(__xludf.DUMMYFUNCTION("""COMPUTED_VALUE"""),"Discontinuation of the manufacture of the drug")</f>
        <v>Discontinuation of the manufacture of the drug</v>
      </c>
      <c r="H903" s="5"/>
      <c r="I903" s="5"/>
      <c r="J903" s="5" t="str">
        <f>IFERROR(__xludf.DUMMYFUNCTION("""COMPUTED_VALUE"""),"Neurology")</f>
        <v>Neurology</v>
      </c>
      <c r="K903" s="5" t="str">
        <f>IFERROR(__xludf.DUMMYFUNCTION("""COMPUTED_VALUE"""),"To Be Discontinued")</f>
        <v>To Be Discontinued</v>
      </c>
      <c r="L903" s="5"/>
      <c r="M903" s="10">
        <f>IFERROR(__xludf.DUMMYFUNCTION("""COMPUTED_VALUE"""),46141.0)</f>
        <v>46141</v>
      </c>
      <c r="N903" s="10">
        <f>IFERROR(__xludf.DUMMYFUNCTION("""COMPUTED_VALUE"""),46141.0)</f>
        <v>46141</v>
      </c>
      <c r="O903" s="5">
        <v>2026.0</v>
      </c>
      <c r="P903" s="5" t="str">
        <f>IFERROR(__xludf.DUMMYFUNCTION("""COMPUTED_VALUE"""),"Not stated")</f>
        <v>Not stated</v>
      </c>
      <c r="Q903" s="5" t="s">
        <v>135</v>
      </c>
      <c r="R903" s="5" t="s">
        <v>136</v>
      </c>
      <c r="S903" s="11">
        <v>180.0</v>
      </c>
    </row>
    <row r="904">
      <c r="A904" s="5" t="str">
        <f>IFERROR(__xludf.DUMMYFUNCTION("""COMPUTED_VALUE"""),"Lamotrigine Tablet, Extended Release")</f>
        <v>Lamotrigine Tablet, Extended Release</v>
      </c>
      <c r="B904" s="5" t="str">
        <f>IFERROR(__xludf.DUMMYFUNCTION("""COMPUTED_VALUE"""),"Par Health, Inc.")</f>
        <v>Par Health, Inc.</v>
      </c>
      <c r="C904" s="5" t="str">
        <f>IFERROR(__xludf.DUMMYFUNCTION("""COMPUTED_VALUE"""),"Lamotrigine, Tablet, Extended Release, 200 mg (NDC 49884-564-11)")</f>
        <v>Lamotrigine, Tablet, Extended Release, 200 mg (NDC 49884-564-11)</v>
      </c>
      <c r="D904" s="5" t="str">
        <f>IFERROR(__xludf.DUMMYFUNCTION("""COMPUTED_VALUE"""),"New")</f>
        <v>New</v>
      </c>
      <c r="E904" s="10">
        <f>IFERROR(__xludf.DUMMYFUNCTION("""COMPUTED_VALUE"""),46141.0)</f>
        <v>46141</v>
      </c>
      <c r="F904" s="5"/>
      <c r="G904" s="5" t="str">
        <f>IFERROR(__xludf.DUMMYFUNCTION("""COMPUTED_VALUE"""),"Discontinuation of the manufacture of the drug")</f>
        <v>Discontinuation of the manufacture of the drug</v>
      </c>
      <c r="H904" s="5"/>
      <c r="I904" s="5"/>
      <c r="J904" s="5" t="str">
        <f>IFERROR(__xludf.DUMMYFUNCTION("""COMPUTED_VALUE"""),"Neurology")</f>
        <v>Neurology</v>
      </c>
      <c r="K904" s="5" t="str">
        <f>IFERROR(__xludf.DUMMYFUNCTION("""COMPUTED_VALUE"""),"To Be Discontinued")</f>
        <v>To Be Discontinued</v>
      </c>
      <c r="L904" s="5"/>
      <c r="M904" s="10">
        <f>IFERROR(__xludf.DUMMYFUNCTION("""COMPUTED_VALUE"""),46141.0)</f>
        <v>46141</v>
      </c>
      <c r="N904" s="10">
        <f>IFERROR(__xludf.DUMMYFUNCTION("""COMPUTED_VALUE"""),46141.0)</f>
        <v>46141</v>
      </c>
      <c r="O904" s="5">
        <v>2026.0</v>
      </c>
      <c r="P904" s="5" t="str">
        <f>IFERROR(__xludf.DUMMYFUNCTION("""COMPUTED_VALUE"""),"Not stated")</f>
        <v>Not stated</v>
      </c>
      <c r="Q904" s="5" t="s">
        <v>135</v>
      </c>
      <c r="R904" s="5" t="s">
        <v>136</v>
      </c>
      <c r="S904" s="11">
        <v>180.0</v>
      </c>
    </row>
    <row r="905">
      <c r="A905" s="5" t="str">
        <f>IFERROR(__xludf.DUMMYFUNCTION("""COMPUTED_VALUE"""),"Lamotrigine Tablet, Extended Release")</f>
        <v>Lamotrigine Tablet, Extended Release</v>
      </c>
      <c r="B905" s="5" t="str">
        <f>IFERROR(__xludf.DUMMYFUNCTION("""COMPUTED_VALUE"""),"Par Health, Inc.")</f>
        <v>Par Health, Inc.</v>
      </c>
      <c r="C905" s="5" t="str">
        <f>IFERROR(__xludf.DUMMYFUNCTION("""COMPUTED_VALUE"""),"Lamotrigine, Tablet, Extended Release, 250 mg (NDC 49884-604-11)")</f>
        <v>Lamotrigine, Tablet, Extended Release, 250 mg (NDC 49884-604-11)</v>
      </c>
      <c r="D905" s="5" t="str">
        <f>IFERROR(__xludf.DUMMYFUNCTION("""COMPUTED_VALUE"""),"New")</f>
        <v>New</v>
      </c>
      <c r="E905" s="10">
        <f>IFERROR(__xludf.DUMMYFUNCTION("""COMPUTED_VALUE"""),46141.0)</f>
        <v>46141</v>
      </c>
      <c r="F905" s="5"/>
      <c r="G905" s="5" t="str">
        <f>IFERROR(__xludf.DUMMYFUNCTION("""COMPUTED_VALUE"""),"Discontinuation of the manufacture of the drug")</f>
        <v>Discontinuation of the manufacture of the drug</v>
      </c>
      <c r="H905" s="5"/>
      <c r="I905" s="5"/>
      <c r="J905" s="5" t="str">
        <f>IFERROR(__xludf.DUMMYFUNCTION("""COMPUTED_VALUE"""),"Neurology")</f>
        <v>Neurology</v>
      </c>
      <c r="K905" s="5" t="str">
        <f>IFERROR(__xludf.DUMMYFUNCTION("""COMPUTED_VALUE"""),"To Be Discontinued")</f>
        <v>To Be Discontinued</v>
      </c>
      <c r="L905" s="5"/>
      <c r="M905" s="10">
        <f>IFERROR(__xludf.DUMMYFUNCTION("""COMPUTED_VALUE"""),46141.0)</f>
        <v>46141</v>
      </c>
      <c r="N905" s="10">
        <f>IFERROR(__xludf.DUMMYFUNCTION("""COMPUTED_VALUE"""),46141.0)</f>
        <v>46141</v>
      </c>
      <c r="O905" s="5">
        <v>2026.0</v>
      </c>
      <c r="P905" s="5" t="str">
        <f>IFERROR(__xludf.DUMMYFUNCTION("""COMPUTED_VALUE"""),"Not stated")</f>
        <v>Not stated</v>
      </c>
      <c r="Q905" s="5" t="s">
        <v>135</v>
      </c>
      <c r="R905" s="5" t="s">
        <v>136</v>
      </c>
      <c r="S905" s="11">
        <v>180.0</v>
      </c>
    </row>
    <row r="906">
      <c r="A906" s="5" t="str">
        <f>IFERROR(__xludf.DUMMYFUNCTION("""COMPUTED_VALUE"""),"Lamotrigine Tablet, Extended Release")</f>
        <v>Lamotrigine Tablet, Extended Release</v>
      </c>
      <c r="B906" s="5" t="str">
        <f>IFERROR(__xludf.DUMMYFUNCTION("""COMPUTED_VALUE"""),"Par Health, Inc.")</f>
        <v>Par Health, Inc.</v>
      </c>
      <c r="C906" s="5" t="str">
        <f>IFERROR(__xludf.DUMMYFUNCTION("""COMPUTED_VALUE"""),"Lamotrigine, Tablet, Extended Release, 300 mg (NDC 49884-605-11)")</f>
        <v>Lamotrigine, Tablet, Extended Release, 300 mg (NDC 49884-605-11)</v>
      </c>
      <c r="D906" s="5" t="str">
        <f>IFERROR(__xludf.DUMMYFUNCTION("""COMPUTED_VALUE"""),"New")</f>
        <v>New</v>
      </c>
      <c r="E906" s="10">
        <f>IFERROR(__xludf.DUMMYFUNCTION("""COMPUTED_VALUE"""),46141.0)</f>
        <v>46141</v>
      </c>
      <c r="F906" s="5"/>
      <c r="G906" s="5" t="str">
        <f>IFERROR(__xludf.DUMMYFUNCTION("""COMPUTED_VALUE"""),"Discontinuation of the manufacture of the drug")</f>
        <v>Discontinuation of the manufacture of the drug</v>
      </c>
      <c r="H906" s="5"/>
      <c r="I906" s="5"/>
      <c r="J906" s="5" t="str">
        <f>IFERROR(__xludf.DUMMYFUNCTION("""COMPUTED_VALUE"""),"Neurology")</f>
        <v>Neurology</v>
      </c>
      <c r="K906" s="5" t="str">
        <f>IFERROR(__xludf.DUMMYFUNCTION("""COMPUTED_VALUE"""),"To Be Discontinued")</f>
        <v>To Be Discontinued</v>
      </c>
      <c r="L906" s="5"/>
      <c r="M906" s="10">
        <f>IFERROR(__xludf.DUMMYFUNCTION("""COMPUTED_VALUE"""),46141.0)</f>
        <v>46141</v>
      </c>
      <c r="N906" s="10">
        <f>IFERROR(__xludf.DUMMYFUNCTION("""COMPUTED_VALUE"""),46141.0)</f>
        <v>46141</v>
      </c>
      <c r="O906" s="5">
        <v>2026.0</v>
      </c>
      <c r="P906" s="5" t="str">
        <f>IFERROR(__xludf.DUMMYFUNCTION("""COMPUTED_VALUE"""),"Not stated")</f>
        <v>Not stated</v>
      </c>
      <c r="Q906" s="5" t="s">
        <v>135</v>
      </c>
      <c r="R906" s="5" t="s">
        <v>136</v>
      </c>
      <c r="S906" s="11">
        <v>180.0</v>
      </c>
    </row>
    <row r="907">
      <c r="A907" s="5" t="str">
        <f>IFERROR(__xludf.DUMMYFUNCTION("""COMPUTED_VALUE"""),"Lasmiditan Succinate Tablet")</f>
        <v>Lasmiditan Succinate Tablet</v>
      </c>
      <c r="B907" s="5" t="str">
        <f>IFERROR(__xludf.DUMMYFUNCTION("""COMPUTED_VALUE"""),"Eli Lilly and Co.")</f>
        <v>Eli Lilly and Co.</v>
      </c>
      <c r="C907" s="5" t="str">
        <f>IFERROR(__xludf.DUMMYFUNCTION("""COMPUTED_VALUE"""),"Reyvow, Tablet, 50 mg (NDC 0002-4312-08)")</f>
        <v>Reyvow, Tablet, 50 mg (NDC 0002-4312-08)</v>
      </c>
      <c r="D907" s="5" t="str">
        <f>IFERROR(__xludf.DUMMYFUNCTION("""COMPUTED_VALUE"""),"New")</f>
        <v>New</v>
      </c>
      <c r="E907" s="10">
        <f>IFERROR(__xludf.DUMMYFUNCTION("""COMPUTED_VALUE"""),45964.0)</f>
        <v>45964</v>
      </c>
      <c r="F907" s="5"/>
      <c r="G907" s="5" t="str">
        <f>IFERROR(__xludf.DUMMYFUNCTION("""COMPUTED_VALUE"""),"A business decision was made to discontinue manufacture of the 50 mg and 100 mg tablets. Distribution will end on May 31, 2026.")</f>
        <v>A business decision was made to discontinue manufacture of the 50 mg and 100 mg tablets. Distribution will end on May 31, 2026.</v>
      </c>
      <c r="H907" s="5"/>
      <c r="I907" s="5"/>
      <c r="J907" s="5" t="str">
        <f>IFERROR(__xludf.DUMMYFUNCTION("""COMPUTED_VALUE"""),"Neurology")</f>
        <v>Neurology</v>
      </c>
      <c r="K907" s="5" t="str">
        <f>IFERROR(__xludf.DUMMYFUNCTION("""COMPUTED_VALUE"""),"To Be Discontinued")</f>
        <v>To Be Discontinued</v>
      </c>
      <c r="L907" s="5"/>
      <c r="M907" s="10">
        <f>IFERROR(__xludf.DUMMYFUNCTION("""COMPUTED_VALUE"""),45964.0)</f>
        <v>45964</v>
      </c>
      <c r="N907" s="10">
        <f>IFERROR(__xludf.DUMMYFUNCTION("""COMPUTED_VALUE"""),45964.0)</f>
        <v>45964</v>
      </c>
      <c r="O907" s="5">
        <v>2025.0</v>
      </c>
      <c r="P907" s="5" t="str">
        <f>IFERROR(__xludf.DUMMYFUNCTION("""COMPUTED_VALUE"""),"Not stated")</f>
        <v>Not stated</v>
      </c>
      <c r="Q907" s="5" t="s">
        <v>135</v>
      </c>
      <c r="R907" s="5" t="s">
        <v>136</v>
      </c>
      <c r="S907" s="11">
        <v>357.0</v>
      </c>
    </row>
    <row r="908">
      <c r="A908" s="5" t="str">
        <f>IFERROR(__xludf.DUMMYFUNCTION("""COMPUTED_VALUE"""),"Lasmiditan Succinate Tablet")</f>
        <v>Lasmiditan Succinate Tablet</v>
      </c>
      <c r="B908" s="5" t="str">
        <f>IFERROR(__xludf.DUMMYFUNCTION("""COMPUTED_VALUE"""),"Eli Lilly and Co.")</f>
        <v>Eli Lilly and Co.</v>
      </c>
      <c r="C908" s="5" t="str">
        <f>IFERROR(__xludf.DUMMYFUNCTION("""COMPUTED_VALUE"""),"Reyvow, Tablet, 50 mg (NDC 0002-4312-61)")</f>
        <v>Reyvow, Tablet, 50 mg (NDC 0002-4312-61)</v>
      </c>
      <c r="D908" s="5" t="str">
        <f>IFERROR(__xludf.DUMMYFUNCTION("""COMPUTED_VALUE"""),"New")</f>
        <v>New</v>
      </c>
      <c r="E908" s="10">
        <f>IFERROR(__xludf.DUMMYFUNCTION("""COMPUTED_VALUE"""),45964.0)</f>
        <v>45964</v>
      </c>
      <c r="F908" s="5"/>
      <c r="G908" s="5" t="str">
        <f>IFERROR(__xludf.DUMMYFUNCTION("""COMPUTED_VALUE"""),"A business decision was made to discontinue manufacture of the 50 mg and 100 mg tablets. Distribution will end on May 31, 2026.")</f>
        <v>A business decision was made to discontinue manufacture of the 50 mg and 100 mg tablets. Distribution will end on May 31, 2026.</v>
      </c>
      <c r="H908" s="5"/>
      <c r="I908" s="5"/>
      <c r="J908" s="5" t="str">
        <f>IFERROR(__xludf.DUMMYFUNCTION("""COMPUTED_VALUE"""),"Neurology")</f>
        <v>Neurology</v>
      </c>
      <c r="K908" s="5" t="str">
        <f>IFERROR(__xludf.DUMMYFUNCTION("""COMPUTED_VALUE"""),"To Be Discontinued")</f>
        <v>To Be Discontinued</v>
      </c>
      <c r="L908" s="5"/>
      <c r="M908" s="10">
        <f>IFERROR(__xludf.DUMMYFUNCTION("""COMPUTED_VALUE"""),45964.0)</f>
        <v>45964</v>
      </c>
      <c r="N908" s="10">
        <f>IFERROR(__xludf.DUMMYFUNCTION("""COMPUTED_VALUE"""),45964.0)</f>
        <v>45964</v>
      </c>
      <c r="O908" s="5">
        <v>2025.0</v>
      </c>
      <c r="P908" s="5" t="str">
        <f>IFERROR(__xludf.DUMMYFUNCTION("""COMPUTED_VALUE"""),"Not stated")</f>
        <v>Not stated</v>
      </c>
      <c r="Q908" s="5" t="s">
        <v>135</v>
      </c>
      <c r="R908" s="5" t="s">
        <v>136</v>
      </c>
      <c r="S908" s="11">
        <v>357.0</v>
      </c>
    </row>
    <row r="909">
      <c r="A909" s="5" t="str">
        <f>IFERROR(__xludf.DUMMYFUNCTION("""COMPUTED_VALUE"""),"Lasmiditan Succinate Tablet")</f>
        <v>Lasmiditan Succinate Tablet</v>
      </c>
      <c r="B909" s="5" t="str">
        <f>IFERROR(__xludf.DUMMYFUNCTION("""COMPUTED_VALUE"""),"Eli Lilly and Co.")</f>
        <v>Eli Lilly and Co.</v>
      </c>
      <c r="C909" s="5" t="str">
        <f>IFERROR(__xludf.DUMMYFUNCTION("""COMPUTED_VALUE"""),"Reyvow, Tablet, 50 mg (NDC 0002-4312-62)")</f>
        <v>Reyvow, Tablet, 50 mg (NDC 0002-4312-62)</v>
      </c>
      <c r="D909" s="5" t="str">
        <f>IFERROR(__xludf.DUMMYFUNCTION("""COMPUTED_VALUE"""),"New")</f>
        <v>New</v>
      </c>
      <c r="E909" s="10">
        <f>IFERROR(__xludf.DUMMYFUNCTION("""COMPUTED_VALUE"""),45964.0)</f>
        <v>45964</v>
      </c>
      <c r="F909" s="5"/>
      <c r="G909" s="5" t="str">
        <f>IFERROR(__xludf.DUMMYFUNCTION("""COMPUTED_VALUE"""),"A business decision was made to discontinue manufacture of the 50 mg and 100 mg tablets. Distribution will end on May 31, 2026.")</f>
        <v>A business decision was made to discontinue manufacture of the 50 mg and 100 mg tablets. Distribution will end on May 31, 2026.</v>
      </c>
      <c r="H909" s="5"/>
      <c r="I909" s="5"/>
      <c r="J909" s="5" t="str">
        <f>IFERROR(__xludf.DUMMYFUNCTION("""COMPUTED_VALUE"""),"Neurology")</f>
        <v>Neurology</v>
      </c>
      <c r="K909" s="5" t="str">
        <f>IFERROR(__xludf.DUMMYFUNCTION("""COMPUTED_VALUE"""),"To Be Discontinued")</f>
        <v>To Be Discontinued</v>
      </c>
      <c r="L909" s="5"/>
      <c r="M909" s="10">
        <f>IFERROR(__xludf.DUMMYFUNCTION("""COMPUTED_VALUE"""),45964.0)</f>
        <v>45964</v>
      </c>
      <c r="N909" s="10">
        <f>IFERROR(__xludf.DUMMYFUNCTION("""COMPUTED_VALUE"""),45964.0)</f>
        <v>45964</v>
      </c>
      <c r="O909" s="5">
        <v>2025.0</v>
      </c>
      <c r="P909" s="5" t="str">
        <f>IFERROR(__xludf.DUMMYFUNCTION("""COMPUTED_VALUE"""),"Not stated")</f>
        <v>Not stated</v>
      </c>
      <c r="Q909" s="5" t="s">
        <v>135</v>
      </c>
      <c r="R909" s="5" t="s">
        <v>136</v>
      </c>
      <c r="S909" s="11">
        <v>357.0</v>
      </c>
    </row>
    <row r="910">
      <c r="A910" s="5" t="str">
        <f>IFERROR(__xludf.DUMMYFUNCTION("""COMPUTED_VALUE"""),"Lasmiditan Succinate Tablet")</f>
        <v>Lasmiditan Succinate Tablet</v>
      </c>
      <c r="B910" s="5" t="str">
        <f>IFERROR(__xludf.DUMMYFUNCTION("""COMPUTED_VALUE"""),"Eli Lilly and Co.")</f>
        <v>Eli Lilly and Co.</v>
      </c>
      <c r="C910" s="5" t="str">
        <f>IFERROR(__xludf.DUMMYFUNCTION("""COMPUTED_VALUE"""),"Reyvow, Tablet, 100 mg (NDC 0002-4491-08)")</f>
        <v>Reyvow, Tablet, 100 mg (NDC 0002-4491-08)</v>
      </c>
      <c r="D910" s="5" t="str">
        <f>IFERROR(__xludf.DUMMYFUNCTION("""COMPUTED_VALUE"""),"New")</f>
        <v>New</v>
      </c>
      <c r="E910" s="10">
        <f>IFERROR(__xludf.DUMMYFUNCTION("""COMPUTED_VALUE"""),45964.0)</f>
        <v>45964</v>
      </c>
      <c r="F910" s="5"/>
      <c r="G910" s="5" t="str">
        <f>IFERROR(__xludf.DUMMYFUNCTION("""COMPUTED_VALUE"""),"A business decision was made to discontinue manufacture of the 50 mg and 100 mg tablets. Distribution will end on May 31, 2026.")</f>
        <v>A business decision was made to discontinue manufacture of the 50 mg and 100 mg tablets. Distribution will end on May 31, 2026.</v>
      </c>
      <c r="H910" s="5"/>
      <c r="I910" s="5"/>
      <c r="J910" s="5" t="str">
        <f>IFERROR(__xludf.DUMMYFUNCTION("""COMPUTED_VALUE"""),"Neurology")</f>
        <v>Neurology</v>
      </c>
      <c r="K910" s="5" t="str">
        <f>IFERROR(__xludf.DUMMYFUNCTION("""COMPUTED_VALUE"""),"To Be Discontinued")</f>
        <v>To Be Discontinued</v>
      </c>
      <c r="L910" s="5"/>
      <c r="M910" s="10">
        <f>IFERROR(__xludf.DUMMYFUNCTION("""COMPUTED_VALUE"""),45964.0)</f>
        <v>45964</v>
      </c>
      <c r="N910" s="10">
        <f>IFERROR(__xludf.DUMMYFUNCTION("""COMPUTED_VALUE"""),45964.0)</f>
        <v>45964</v>
      </c>
      <c r="O910" s="5">
        <v>2025.0</v>
      </c>
      <c r="P910" s="5" t="str">
        <f>IFERROR(__xludf.DUMMYFUNCTION("""COMPUTED_VALUE"""),"Not stated")</f>
        <v>Not stated</v>
      </c>
      <c r="Q910" s="5" t="s">
        <v>135</v>
      </c>
      <c r="R910" s="5" t="s">
        <v>136</v>
      </c>
      <c r="S910" s="11">
        <v>357.0</v>
      </c>
    </row>
    <row r="911">
      <c r="A911" s="5" t="str">
        <f>IFERROR(__xludf.DUMMYFUNCTION("""COMPUTED_VALUE"""),"Lasmiditan Succinate Tablet")</f>
        <v>Lasmiditan Succinate Tablet</v>
      </c>
      <c r="B911" s="5" t="str">
        <f>IFERROR(__xludf.DUMMYFUNCTION("""COMPUTED_VALUE"""),"Eli Lilly and Co.")</f>
        <v>Eli Lilly and Co.</v>
      </c>
      <c r="C911" s="5" t="str">
        <f>IFERROR(__xludf.DUMMYFUNCTION("""COMPUTED_VALUE"""),"Reyvow, Tablet, 100 mg (NDC 0002-4491-61)")</f>
        <v>Reyvow, Tablet, 100 mg (NDC 0002-4491-61)</v>
      </c>
      <c r="D911" s="5" t="str">
        <f>IFERROR(__xludf.DUMMYFUNCTION("""COMPUTED_VALUE"""),"New")</f>
        <v>New</v>
      </c>
      <c r="E911" s="10">
        <f>IFERROR(__xludf.DUMMYFUNCTION("""COMPUTED_VALUE"""),45964.0)</f>
        <v>45964</v>
      </c>
      <c r="F911" s="5"/>
      <c r="G911" s="5" t="str">
        <f>IFERROR(__xludf.DUMMYFUNCTION("""COMPUTED_VALUE"""),"A business decision was made to discontinue manufacture of the 50 mg and 100 mg tablets. Distribution will end on May 31, 2026.")</f>
        <v>A business decision was made to discontinue manufacture of the 50 mg and 100 mg tablets. Distribution will end on May 31, 2026.</v>
      </c>
      <c r="H911" s="5"/>
      <c r="I911" s="5"/>
      <c r="J911" s="5" t="str">
        <f>IFERROR(__xludf.DUMMYFUNCTION("""COMPUTED_VALUE"""),"Neurology")</f>
        <v>Neurology</v>
      </c>
      <c r="K911" s="5" t="str">
        <f>IFERROR(__xludf.DUMMYFUNCTION("""COMPUTED_VALUE"""),"To Be Discontinued")</f>
        <v>To Be Discontinued</v>
      </c>
      <c r="L911" s="5"/>
      <c r="M911" s="10">
        <f>IFERROR(__xludf.DUMMYFUNCTION("""COMPUTED_VALUE"""),45964.0)</f>
        <v>45964</v>
      </c>
      <c r="N911" s="10">
        <f>IFERROR(__xludf.DUMMYFUNCTION("""COMPUTED_VALUE"""),45964.0)</f>
        <v>45964</v>
      </c>
      <c r="O911" s="5">
        <v>2025.0</v>
      </c>
      <c r="P911" s="5" t="str">
        <f>IFERROR(__xludf.DUMMYFUNCTION("""COMPUTED_VALUE"""),"Not stated")</f>
        <v>Not stated</v>
      </c>
      <c r="Q911" s="5" t="s">
        <v>135</v>
      </c>
      <c r="R911" s="5" t="s">
        <v>136</v>
      </c>
      <c r="S911" s="11">
        <v>357.0</v>
      </c>
    </row>
    <row r="912">
      <c r="A912" s="5" t="str">
        <f>IFERROR(__xludf.DUMMYFUNCTION("""COMPUTED_VALUE"""),"Lasmiditan Succinate Tablet")</f>
        <v>Lasmiditan Succinate Tablet</v>
      </c>
      <c r="B912" s="5" t="str">
        <f>IFERROR(__xludf.DUMMYFUNCTION("""COMPUTED_VALUE"""),"Eli Lilly and Co.")</f>
        <v>Eli Lilly and Co.</v>
      </c>
      <c r="C912" s="5" t="str">
        <f>IFERROR(__xludf.DUMMYFUNCTION("""COMPUTED_VALUE"""),"Reyvow, Tablet, 100 mg (NDC 0002-4491-62)")</f>
        <v>Reyvow, Tablet, 100 mg (NDC 0002-4491-62)</v>
      </c>
      <c r="D912" s="5" t="str">
        <f>IFERROR(__xludf.DUMMYFUNCTION("""COMPUTED_VALUE"""),"New")</f>
        <v>New</v>
      </c>
      <c r="E912" s="10">
        <f>IFERROR(__xludf.DUMMYFUNCTION("""COMPUTED_VALUE"""),45964.0)</f>
        <v>45964</v>
      </c>
      <c r="F912" s="5"/>
      <c r="G912" s="5" t="str">
        <f>IFERROR(__xludf.DUMMYFUNCTION("""COMPUTED_VALUE"""),"A business decision was made to discontinue manufacture of the 50 mg and 100 mg tablets. Distribution will end on May 31, 2026.")</f>
        <v>A business decision was made to discontinue manufacture of the 50 mg and 100 mg tablets. Distribution will end on May 31, 2026.</v>
      </c>
      <c r="H912" s="5"/>
      <c r="I912" s="5"/>
      <c r="J912" s="5" t="str">
        <f>IFERROR(__xludf.DUMMYFUNCTION("""COMPUTED_VALUE"""),"Neurology")</f>
        <v>Neurology</v>
      </c>
      <c r="K912" s="5" t="str">
        <f>IFERROR(__xludf.DUMMYFUNCTION("""COMPUTED_VALUE"""),"To Be Discontinued")</f>
        <v>To Be Discontinued</v>
      </c>
      <c r="L912" s="5"/>
      <c r="M912" s="10">
        <f>IFERROR(__xludf.DUMMYFUNCTION("""COMPUTED_VALUE"""),45964.0)</f>
        <v>45964</v>
      </c>
      <c r="N912" s="10">
        <f>IFERROR(__xludf.DUMMYFUNCTION("""COMPUTED_VALUE"""),45964.0)</f>
        <v>45964</v>
      </c>
      <c r="O912" s="5">
        <v>2025.0</v>
      </c>
      <c r="P912" s="5" t="str">
        <f>IFERROR(__xludf.DUMMYFUNCTION("""COMPUTED_VALUE"""),"Not stated")</f>
        <v>Not stated</v>
      </c>
      <c r="Q912" s="5" t="s">
        <v>135</v>
      </c>
      <c r="R912" s="5" t="s">
        <v>136</v>
      </c>
      <c r="S912" s="11">
        <v>357.0</v>
      </c>
    </row>
    <row r="913">
      <c r="A913" s="5" t="str">
        <f>IFERROR(__xludf.DUMMYFUNCTION("""COMPUTED_VALUE"""),"Leflunomide Tablet")</f>
        <v>Leflunomide Tablet</v>
      </c>
      <c r="B913" s="5" t="str">
        <f>IFERROR(__xludf.DUMMYFUNCTION("""COMPUTED_VALUE"""),"Sanofi-Aventis U.S. LLC")</f>
        <v>Sanofi-Aventis U.S. LLC</v>
      </c>
      <c r="C913" s="5" t="str">
        <f>IFERROR(__xludf.DUMMYFUNCTION("""COMPUTED_VALUE"""),"Arava, Tablet, 10 mg (NDC 0088-2160-30)")</f>
        <v>Arava, Tablet, 10 mg (NDC 0088-2160-30)</v>
      </c>
      <c r="D913" s="5" t="str">
        <f>IFERROR(__xludf.DUMMYFUNCTION("""COMPUTED_VALUE"""),"New")</f>
        <v>New</v>
      </c>
      <c r="E913" s="10">
        <f>IFERROR(__xludf.DUMMYFUNCTION("""COMPUTED_VALUE"""),46181.0)</f>
        <v>46181</v>
      </c>
      <c r="F913" s="5"/>
      <c r="G913" s="5" t="str">
        <f>IFERROR(__xludf.DUMMYFUNCTION("""COMPUTED_VALUE"""),"Discontinuation of the manufacture of the drug")</f>
        <v>Discontinuation of the manufacture of the drug</v>
      </c>
      <c r="H913" s="5"/>
      <c r="I913" s="5"/>
      <c r="J913" s="5" t="str">
        <f>IFERROR(__xludf.DUMMYFUNCTION("""COMPUTED_VALUE"""),"Rheumatology")</f>
        <v>Rheumatology</v>
      </c>
      <c r="K913" s="5" t="str">
        <f>IFERROR(__xludf.DUMMYFUNCTION("""COMPUTED_VALUE"""),"To Be Discontinued")</f>
        <v>To Be Discontinued</v>
      </c>
      <c r="L913" s="5"/>
      <c r="M913" s="10">
        <f>IFERROR(__xludf.DUMMYFUNCTION("""COMPUTED_VALUE"""),46181.0)</f>
        <v>46181</v>
      </c>
      <c r="N913" s="10">
        <f>IFERROR(__xludf.DUMMYFUNCTION("""COMPUTED_VALUE"""),46181.0)</f>
        <v>46181</v>
      </c>
      <c r="O913" s="5">
        <v>2026.0</v>
      </c>
      <c r="P913" s="5" t="str">
        <f>IFERROR(__xludf.DUMMYFUNCTION("""COMPUTED_VALUE"""),"Not stated")</f>
        <v>Not stated</v>
      </c>
      <c r="Q913" s="5" t="s">
        <v>135</v>
      </c>
      <c r="R913" s="5" t="s">
        <v>136</v>
      </c>
      <c r="S913" s="11">
        <v>140.0</v>
      </c>
    </row>
    <row r="914">
      <c r="A914" s="5" t="str">
        <f>IFERROR(__xludf.DUMMYFUNCTION("""COMPUTED_VALUE"""),"Leflunomide Tablet")</f>
        <v>Leflunomide Tablet</v>
      </c>
      <c r="B914" s="5" t="str">
        <f>IFERROR(__xludf.DUMMYFUNCTION("""COMPUTED_VALUE"""),"Sanofi-Aventis U.S. LLC")</f>
        <v>Sanofi-Aventis U.S. LLC</v>
      </c>
      <c r="C914" s="5" t="str">
        <f>IFERROR(__xludf.DUMMYFUNCTION("""COMPUTED_VALUE"""),"Arava, Tablet, 20 mg (NDC 0088-2161-30)")</f>
        <v>Arava, Tablet, 20 mg (NDC 0088-2161-30)</v>
      </c>
      <c r="D914" s="5" t="str">
        <f>IFERROR(__xludf.DUMMYFUNCTION("""COMPUTED_VALUE"""),"New")</f>
        <v>New</v>
      </c>
      <c r="E914" s="10">
        <f>IFERROR(__xludf.DUMMYFUNCTION("""COMPUTED_VALUE"""),46181.0)</f>
        <v>46181</v>
      </c>
      <c r="F914" s="5"/>
      <c r="G914" s="5" t="str">
        <f>IFERROR(__xludf.DUMMYFUNCTION("""COMPUTED_VALUE"""),"Discontinuation of the manufacture of the drug")</f>
        <v>Discontinuation of the manufacture of the drug</v>
      </c>
      <c r="H914" s="5"/>
      <c r="I914" s="5"/>
      <c r="J914" s="5" t="str">
        <f>IFERROR(__xludf.DUMMYFUNCTION("""COMPUTED_VALUE"""),"Rheumatology")</f>
        <v>Rheumatology</v>
      </c>
      <c r="K914" s="5" t="str">
        <f>IFERROR(__xludf.DUMMYFUNCTION("""COMPUTED_VALUE"""),"To Be Discontinued")</f>
        <v>To Be Discontinued</v>
      </c>
      <c r="L914" s="5"/>
      <c r="M914" s="10">
        <f>IFERROR(__xludf.DUMMYFUNCTION("""COMPUTED_VALUE"""),46181.0)</f>
        <v>46181</v>
      </c>
      <c r="N914" s="10">
        <f>IFERROR(__xludf.DUMMYFUNCTION("""COMPUTED_VALUE"""),46181.0)</f>
        <v>46181</v>
      </c>
      <c r="O914" s="5">
        <v>2026.0</v>
      </c>
      <c r="P914" s="5" t="str">
        <f>IFERROR(__xludf.DUMMYFUNCTION("""COMPUTED_VALUE"""),"Not stated")</f>
        <v>Not stated</v>
      </c>
      <c r="Q914" s="5" t="s">
        <v>135</v>
      </c>
      <c r="R914" s="5" t="s">
        <v>136</v>
      </c>
      <c r="S914" s="11">
        <v>140.0</v>
      </c>
    </row>
    <row r="915">
      <c r="A915" s="5" t="str">
        <f>IFERROR(__xludf.DUMMYFUNCTION("""COMPUTED_VALUE"""),"Leflunomide Tablet")</f>
        <v>Leflunomide Tablet</v>
      </c>
      <c r="B915" s="5" t="str">
        <f>IFERROR(__xludf.DUMMYFUNCTION("""COMPUTED_VALUE"""),"Sanofi-Aventis U.S. LLC")</f>
        <v>Sanofi-Aventis U.S. LLC</v>
      </c>
      <c r="C915" s="5" t="str">
        <f>IFERROR(__xludf.DUMMYFUNCTION("""COMPUTED_VALUE"""),"Arava, Tablet, 100 mg (NDC 0088-2162-33)")</f>
        <v>Arava, Tablet, 100 mg (NDC 0088-2162-33)</v>
      </c>
      <c r="D915" s="5" t="str">
        <f>IFERROR(__xludf.DUMMYFUNCTION("""COMPUTED_VALUE"""),"New")</f>
        <v>New</v>
      </c>
      <c r="E915" s="10">
        <f>IFERROR(__xludf.DUMMYFUNCTION("""COMPUTED_VALUE"""),46181.0)</f>
        <v>46181</v>
      </c>
      <c r="F915" s="5"/>
      <c r="G915" s="5" t="str">
        <f>IFERROR(__xludf.DUMMYFUNCTION("""COMPUTED_VALUE"""),"Discontinuation of the manufacture of the drug")</f>
        <v>Discontinuation of the manufacture of the drug</v>
      </c>
      <c r="H915" s="5"/>
      <c r="I915" s="5"/>
      <c r="J915" s="5" t="str">
        <f>IFERROR(__xludf.DUMMYFUNCTION("""COMPUTED_VALUE"""),"Rheumatology")</f>
        <v>Rheumatology</v>
      </c>
      <c r="K915" s="5" t="str">
        <f>IFERROR(__xludf.DUMMYFUNCTION("""COMPUTED_VALUE"""),"To Be Discontinued")</f>
        <v>To Be Discontinued</v>
      </c>
      <c r="L915" s="5"/>
      <c r="M915" s="10">
        <f>IFERROR(__xludf.DUMMYFUNCTION("""COMPUTED_VALUE"""),46181.0)</f>
        <v>46181</v>
      </c>
      <c r="N915" s="10">
        <f>IFERROR(__xludf.DUMMYFUNCTION("""COMPUTED_VALUE"""),46181.0)</f>
        <v>46181</v>
      </c>
      <c r="O915" s="5">
        <v>2026.0</v>
      </c>
      <c r="P915" s="5" t="str">
        <f>IFERROR(__xludf.DUMMYFUNCTION("""COMPUTED_VALUE"""),"Not stated")</f>
        <v>Not stated</v>
      </c>
      <c r="Q915" s="5" t="s">
        <v>135</v>
      </c>
      <c r="R915" s="5" t="s">
        <v>136</v>
      </c>
      <c r="S915" s="11">
        <v>140.0</v>
      </c>
    </row>
    <row r="916">
      <c r="A916" s="5" t="str">
        <f>IFERROR(__xludf.DUMMYFUNCTION("""COMPUTED_VALUE"""),"Leflunomide Tablet")</f>
        <v>Leflunomide Tablet</v>
      </c>
      <c r="B916" s="5" t="str">
        <f>IFERROR(__xludf.DUMMYFUNCTION("""COMPUTED_VALUE"""),"Sanofi-Aventis U.S. LLC")</f>
        <v>Sanofi-Aventis U.S. LLC</v>
      </c>
      <c r="C916" s="5" t="str">
        <f>IFERROR(__xludf.DUMMYFUNCTION("""COMPUTED_VALUE"""),"Leflunomide, Tablet, 10 mg (NDC 0955-1735-30)")</f>
        <v>Leflunomide, Tablet, 10 mg (NDC 0955-1735-30)</v>
      </c>
      <c r="D916" s="5" t="str">
        <f>IFERROR(__xludf.DUMMYFUNCTION("""COMPUTED_VALUE"""),"New")</f>
        <v>New</v>
      </c>
      <c r="E916" s="10">
        <f>IFERROR(__xludf.DUMMYFUNCTION("""COMPUTED_VALUE"""),46181.0)</f>
        <v>46181</v>
      </c>
      <c r="F916" s="5"/>
      <c r="G916" s="5" t="str">
        <f>IFERROR(__xludf.DUMMYFUNCTION("""COMPUTED_VALUE"""),"Discontinuation of the manufacture of the drug")</f>
        <v>Discontinuation of the manufacture of the drug</v>
      </c>
      <c r="H916" s="5"/>
      <c r="I916" s="5"/>
      <c r="J916" s="5" t="str">
        <f>IFERROR(__xludf.DUMMYFUNCTION("""COMPUTED_VALUE"""),"Rheumatology")</f>
        <v>Rheumatology</v>
      </c>
      <c r="K916" s="5" t="str">
        <f>IFERROR(__xludf.DUMMYFUNCTION("""COMPUTED_VALUE"""),"To Be Discontinued")</f>
        <v>To Be Discontinued</v>
      </c>
      <c r="L916" s="5"/>
      <c r="M916" s="10">
        <f>IFERROR(__xludf.DUMMYFUNCTION("""COMPUTED_VALUE"""),46181.0)</f>
        <v>46181</v>
      </c>
      <c r="N916" s="10">
        <f>IFERROR(__xludf.DUMMYFUNCTION("""COMPUTED_VALUE"""),46181.0)</f>
        <v>46181</v>
      </c>
      <c r="O916" s="5">
        <v>2026.0</v>
      </c>
      <c r="P916" s="5" t="str">
        <f>IFERROR(__xludf.DUMMYFUNCTION("""COMPUTED_VALUE"""),"Not stated")</f>
        <v>Not stated</v>
      </c>
      <c r="Q916" s="5" t="s">
        <v>135</v>
      </c>
      <c r="R916" s="5" t="s">
        <v>136</v>
      </c>
      <c r="S916" s="11">
        <v>140.0</v>
      </c>
    </row>
    <row r="917">
      <c r="A917" s="5" t="str">
        <f>IFERROR(__xludf.DUMMYFUNCTION("""COMPUTED_VALUE"""),"Leflunomide Tablet")</f>
        <v>Leflunomide Tablet</v>
      </c>
      <c r="B917" s="5" t="str">
        <f>IFERROR(__xludf.DUMMYFUNCTION("""COMPUTED_VALUE"""),"Sanofi-Aventis U.S. LLC")</f>
        <v>Sanofi-Aventis U.S. LLC</v>
      </c>
      <c r="C917" s="5" t="str">
        <f>IFERROR(__xludf.DUMMYFUNCTION("""COMPUTED_VALUE"""),"Leflunomide, Tablet, 20 mg (NDC 0955-1737-30)")</f>
        <v>Leflunomide, Tablet, 20 mg (NDC 0955-1737-30)</v>
      </c>
      <c r="D917" s="5" t="str">
        <f>IFERROR(__xludf.DUMMYFUNCTION("""COMPUTED_VALUE"""),"New")</f>
        <v>New</v>
      </c>
      <c r="E917" s="10">
        <f>IFERROR(__xludf.DUMMYFUNCTION("""COMPUTED_VALUE"""),46181.0)</f>
        <v>46181</v>
      </c>
      <c r="F917" s="5"/>
      <c r="G917" s="5" t="str">
        <f>IFERROR(__xludf.DUMMYFUNCTION("""COMPUTED_VALUE"""),"Discontinuation of the manufacture of the drug")</f>
        <v>Discontinuation of the manufacture of the drug</v>
      </c>
      <c r="H917" s="5"/>
      <c r="I917" s="5"/>
      <c r="J917" s="5" t="str">
        <f>IFERROR(__xludf.DUMMYFUNCTION("""COMPUTED_VALUE"""),"Rheumatology")</f>
        <v>Rheumatology</v>
      </c>
      <c r="K917" s="5" t="str">
        <f>IFERROR(__xludf.DUMMYFUNCTION("""COMPUTED_VALUE"""),"To Be Discontinued")</f>
        <v>To Be Discontinued</v>
      </c>
      <c r="L917" s="5"/>
      <c r="M917" s="10">
        <f>IFERROR(__xludf.DUMMYFUNCTION("""COMPUTED_VALUE"""),46181.0)</f>
        <v>46181</v>
      </c>
      <c r="N917" s="10">
        <f>IFERROR(__xludf.DUMMYFUNCTION("""COMPUTED_VALUE"""),46181.0)</f>
        <v>46181</v>
      </c>
      <c r="O917" s="5">
        <v>2026.0</v>
      </c>
      <c r="P917" s="5" t="str">
        <f>IFERROR(__xludf.DUMMYFUNCTION("""COMPUTED_VALUE"""),"Not stated")</f>
        <v>Not stated</v>
      </c>
      <c r="Q917" s="5" t="s">
        <v>135</v>
      </c>
      <c r="R917" s="5" t="s">
        <v>136</v>
      </c>
      <c r="S917" s="11">
        <v>140.0</v>
      </c>
    </row>
    <row r="918">
      <c r="A918" s="5" t="str">
        <f>IFERROR(__xludf.DUMMYFUNCTION("""COMPUTED_VALUE"""),"Leuprolide Acetate Injection")</f>
        <v>Leuprolide Acetate Injection</v>
      </c>
      <c r="B918" s="5" t="str">
        <f>IFERROR(__xludf.DUMMYFUNCTION("""COMPUTED_VALUE"""),"Amneal Pharmaceuticals")</f>
        <v>Amneal Pharmaceuticals</v>
      </c>
      <c r="C918" s="5" t="str">
        <f>IFERROR(__xludf.DUMMYFUNCTION("""COMPUTED_VALUE"""),"Leuprolide Acetate, Injection, 14 mg/2.8 mL (1 mg/0.2 mL) (NDC 70121-2537-6)")</f>
        <v>Leuprolide Acetate, Injection, 14 mg/2.8 mL (1 mg/0.2 mL) (NDC 70121-2537-6)</v>
      </c>
      <c r="D918" s="5" t="str">
        <f>IFERROR(__xludf.DUMMYFUNCTION("""COMPUTED_VALUE"""),"New")</f>
        <v>New</v>
      </c>
      <c r="E918" s="13">
        <f>IFERROR(__xludf.DUMMYFUNCTION("""COMPUTED_VALUE"""),46315.0)</f>
        <v>46315</v>
      </c>
      <c r="F918" s="5"/>
      <c r="G918" s="5" t="str">
        <f>IFERROR(__xludf.DUMMYFUNCTION("""COMPUTED_VALUE"""),"A business decision was made to discontinue manufacture of the drug.")</f>
        <v>A business decision was made to discontinue manufacture of the drug.</v>
      </c>
      <c r="H918" s="5"/>
      <c r="I918" s="5"/>
      <c r="J918" s="5" t="str">
        <f>IFERROR(__xludf.DUMMYFUNCTION("""COMPUTED_VALUE"""),"Oncology")</f>
        <v>Oncology</v>
      </c>
      <c r="K918" s="5" t="str">
        <f>IFERROR(__xludf.DUMMYFUNCTION("""COMPUTED_VALUE"""),"To Be Discontinued")</f>
        <v>To Be Discontinued</v>
      </c>
      <c r="L918" s="5"/>
      <c r="M918" s="13">
        <f>IFERROR(__xludf.DUMMYFUNCTION("""COMPUTED_VALUE"""),46315.0)</f>
        <v>46315</v>
      </c>
      <c r="N918" s="13">
        <f>IFERROR(__xludf.DUMMYFUNCTION("""COMPUTED_VALUE"""),46315.0)</f>
        <v>46315</v>
      </c>
      <c r="O918" s="5">
        <v>2026.0</v>
      </c>
      <c r="P918" s="5" t="str">
        <f>IFERROR(__xludf.DUMMYFUNCTION("""COMPUTED_VALUE"""),"Not stated")</f>
        <v>Not stated</v>
      </c>
      <c r="Q918" s="5" t="s">
        <v>135</v>
      </c>
      <c r="R918" s="5" t="s">
        <v>136</v>
      </c>
      <c r="S918" s="11">
        <v>6.0</v>
      </c>
    </row>
    <row r="919">
      <c r="A919" s="5" t="str">
        <f>IFERROR(__xludf.DUMMYFUNCTION("""COMPUTED_VALUE"""),"Lidocaine Hydrochloride Injection")</f>
        <v>Lidocaine Hydrochloride Injection</v>
      </c>
      <c r="B919" s="5" t="str">
        <f>IFERROR(__xludf.DUMMYFUNCTION("""COMPUTED_VALUE"""),"Anthea Pharma")</f>
        <v>Anthea Pharma</v>
      </c>
      <c r="C919" s="5" t="str">
        <f>IFERROR(__xludf.DUMMYFUNCTION("""COMPUTED_VALUE"""),"Lidocaine Hydrochloride, Injection, 100 mg/10 mL (NDC 83634-651-10)")</f>
        <v>Lidocaine Hydrochloride, Injection, 100 mg/10 mL (NDC 83634-651-10)</v>
      </c>
      <c r="D919" s="5" t="str">
        <f>IFERROR(__xludf.DUMMYFUNCTION("""COMPUTED_VALUE"""),"Reverified")</f>
        <v>Reverified</v>
      </c>
      <c r="E919" s="10">
        <f>IFERROR(__xludf.DUMMYFUNCTION("""COMPUTED_VALUE"""),46300.0)</f>
        <v>46300</v>
      </c>
      <c r="F919" s="5" t="str">
        <f>IFERROR(__xludf.DUMMYFUNCTION("""COMPUTED_VALUE"""),"Available")</f>
        <v>Available</v>
      </c>
      <c r="G919" s="5" t="str">
        <f>IFERROR(__xludf.DUMMYFUNCTION("""COMPUTED_VALUE"""),"Distributed by Avenacy, LLC")</f>
        <v>Distributed by Avenacy, LLC</v>
      </c>
      <c r="H919" s="5"/>
      <c r="I919" s="5"/>
      <c r="J919" s="5" t="str">
        <f>IFERROR(__xludf.DUMMYFUNCTION("""COMPUTED_VALUE"""),"Anesthesia; Pediatric")</f>
        <v>Anesthesia; Pediatric</v>
      </c>
      <c r="K919" s="5" t="str">
        <f>IFERROR(__xludf.DUMMYFUNCTION("""COMPUTED_VALUE"""),"Current")</f>
        <v>Current</v>
      </c>
      <c r="L919" s="5"/>
      <c r="M919" s="5"/>
      <c r="N919" s="10">
        <f>IFERROR(__xludf.DUMMYFUNCTION("""COMPUTED_VALUE"""),40961.0)</f>
        <v>40961</v>
      </c>
      <c r="O919" s="5">
        <v>2012.0</v>
      </c>
      <c r="P919" s="5" t="str">
        <f>IFERROR(__xludf.DUMMYFUNCTION("""COMPUTED_VALUE"""),"Available")</f>
        <v>Available</v>
      </c>
      <c r="Q919" s="5" t="s">
        <v>135</v>
      </c>
      <c r="R919" s="5" t="s">
        <v>136</v>
      </c>
      <c r="S919" s="11">
        <v>5360.0</v>
      </c>
    </row>
    <row r="920">
      <c r="A920" s="5" t="str">
        <f>IFERROR(__xludf.DUMMYFUNCTION("""COMPUTED_VALUE"""),"Lidocaine Hydrochloride Injection")</f>
        <v>Lidocaine Hydrochloride Injection</v>
      </c>
      <c r="B920" s="5" t="str">
        <f>IFERROR(__xludf.DUMMYFUNCTION("""COMPUTED_VALUE"""),"Anthea Pharma")</f>
        <v>Anthea Pharma</v>
      </c>
      <c r="C920" s="5" t="str">
        <f>IFERROR(__xludf.DUMMYFUNCTION("""COMPUTED_VALUE"""),"Lidocaine Hydrochloride, Injection, 200 mg/20 mL (NDC 83634-651-20)")</f>
        <v>Lidocaine Hydrochloride, Injection, 200 mg/20 mL (NDC 83634-651-20)</v>
      </c>
      <c r="D920" s="5" t="str">
        <f>IFERROR(__xludf.DUMMYFUNCTION("""COMPUTED_VALUE"""),"Reverified")</f>
        <v>Reverified</v>
      </c>
      <c r="E920" s="10">
        <f>IFERROR(__xludf.DUMMYFUNCTION("""COMPUTED_VALUE"""),46300.0)</f>
        <v>46300</v>
      </c>
      <c r="F920" s="5" t="str">
        <f>IFERROR(__xludf.DUMMYFUNCTION("""COMPUTED_VALUE"""),"Available")</f>
        <v>Available</v>
      </c>
      <c r="G920" s="5" t="str">
        <f>IFERROR(__xludf.DUMMYFUNCTION("""COMPUTED_VALUE"""),"Distributed by Avenacy, LLC")</f>
        <v>Distributed by Avenacy, LLC</v>
      </c>
      <c r="H920" s="5"/>
      <c r="I920" s="5"/>
      <c r="J920" s="5" t="str">
        <f>IFERROR(__xludf.DUMMYFUNCTION("""COMPUTED_VALUE"""),"Anesthesia; Pediatric")</f>
        <v>Anesthesia; Pediatric</v>
      </c>
      <c r="K920" s="5" t="str">
        <f>IFERROR(__xludf.DUMMYFUNCTION("""COMPUTED_VALUE"""),"Current")</f>
        <v>Current</v>
      </c>
      <c r="L920" s="5"/>
      <c r="M920" s="5"/>
      <c r="N920" s="10">
        <f>IFERROR(__xludf.DUMMYFUNCTION("""COMPUTED_VALUE"""),40961.0)</f>
        <v>40961</v>
      </c>
      <c r="O920" s="5">
        <v>2012.0</v>
      </c>
      <c r="P920" s="5" t="str">
        <f>IFERROR(__xludf.DUMMYFUNCTION("""COMPUTED_VALUE"""),"Available")</f>
        <v>Available</v>
      </c>
      <c r="Q920" s="5" t="s">
        <v>135</v>
      </c>
      <c r="R920" s="5" t="s">
        <v>136</v>
      </c>
      <c r="S920" s="11">
        <v>5360.0</v>
      </c>
    </row>
    <row r="921">
      <c r="A921" s="5" t="str">
        <f>IFERROR(__xludf.DUMMYFUNCTION("""COMPUTED_VALUE"""),"Lidocaine Hydrochloride Injection")</f>
        <v>Lidocaine Hydrochloride Injection</v>
      </c>
      <c r="B921" s="5" t="str">
        <f>IFERROR(__xludf.DUMMYFUNCTION("""COMPUTED_VALUE"""),"Anthea Pharma")</f>
        <v>Anthea Pharma</v>
      </c>
      <c r="C921" s="5" t="str">
        <f>IFERROR(__xludf.DUMMYFUNCTION("""COMPUTED_VALUE"""),"Lidocaine Hydrochloride, Injection, 500 mg/50 mL (NDC 83634-651-50)")</f>
        <v>Lidocaine Hydrochloride, Injection, 500 mg/50 mL (NDC 83634-651-50)</v>
      </c>
      <c r="D921" s="5" t="str">
        <f>IFERROR(__xludf.DUMMYFUNCTION("""COMPUTED_VALUE"""),"Reverified")</f>
        <v>Reverified</v>
      </c>
      <c r="E921" s="10">
        <f>IFERROR(__xludf.DUMMYFUNCTION("""COMPUTED_VALUE"""),46300.0)</f>
        <v>46300</v>
      </c>
      <c r="F921" s="5" t="str">
        <f>IFERROR(__xludf.DUMMYFUNCTION("""COMPUTED_VALUE"""),"Available")</f>
        <v>Available</v>
      </c>
      <c r="G921" s="5" t="str">
        <f>IFERROR(__xludf.DUMMYFUNCTION("""COMPUTED_VALUE"""),"Distributed by Avenacy, LLC")</f>
        <v>Distributed by Avenacy, LLC</v>
      </c>
      <c r="H921" s="5"/>
      <c r="I921" s="5"/>
      <c r="J921" s="5" t="str">
        <f>IFERROR(__xludf.DUMMYFUNCTION("""COMPUTED_VALUE"""),"Anesthesia; Pediatric")</f>
        <v>Anesthesia; Pediatric</v>
      </c>
      <c r="K921" s="5" t="str">
        <f>IFERROR(__xludf.DUMMYFUNCTION("""COMPUTED_VALUE"""),"Current")</f>
        <v>Current</v>
      </c>
      <c r="L921" s="5"/>
      <c r="M921" s="5"/>
      <c r="N921" s="10">
        <f>IFERROR(__xludf.DUMMYFUNCTION("""COMPUTED_VALUE"""),40961.0)</f>
        <v>40961</v>
      </c>
      <c r="O921" s="5">
        <v>2012.0</v>
      </c>
      <c r="P921" s="5" t="str">
        <f>IFERROR(__xludf.DUMMYFUNCTION("""COMPUTED_VALUE"""),"Available")</f>
        <v>Available</v>
      </c>
      <c r="Q921" s="5" t="s">
        <v>135</v>
      </c>
      <c r="R921" s="5" t="s">
        <v>136</v>
      </c>
      <c r="S921" s="11">
        <v>5360.0</v>
      </c>
    </row>
    <row r="922">
      <c r="A922" s="5" t="str">
        <f>IFERROR(__xludf.DUMMYFUNCTION("""COMPUTED_VALUE"""),"Lidocaine Hydrochloride Injection")</f>
        <v>Lidocaine Hydrochloride Injection</v>
      </c>
      <c r="B922" s="5" t="str">
        <f>IFERROR(__xludf.DUMMYFUNCTION("""COMPUTED_VALUE"""),"Anthea Pharma")</f>
        <v>Anthea Pharma</v>
      </c>
      <c r="C922" s="5" t="str">
        <f>IFERROR(__xludf.DUMMYFUNCTION("""COMPUTED_VALUE"""),"Lidocaine Hydrochloride, Injection, 20 mg/2 mL (NDC 83634-653-02)")</f>
        <v>Lidocaine Hydrochloride, Injection, 20 mg/2 mL (NDC 83634-653-02)</v>
      </c>
      <c r="D922" s="5" t="str">
        <f>IFERROR(__xludf.DUMMYFUNCTION("""COMPUTED_VALUE"""),"Reverified")</f>
        <v>Reverified</v>
      </c>
      <c r="E922" s="10">
        <f>IFERROR(__xludf.DUMMYFUNCTION("""COMPUTED_VALUE"""),46300.0)</f>
        <v>46300</v>
      </c>
      <c r="F922" s="5" t="str">
        <f>IFERROR(__xludf.DUMMYFUNCTION("""COMPUTED_VALUE"""),"Available")</f>
        <v>Available</v>
      </c>
      <c r="G922" s="5" t="str">
        <f>IFERROR(__xludf.DUMMYFUNCTION("""COMPUTED_VALUE"""),"Distributed by Avenacy, LLC")</f>
        <v>Distributed by Avenacy, LLC</v>
      </c>
      <c r="H922" s="5"/>
      <c r="I922" s="5"/>
      <c r="J922" s="5" t="str">
        <f>IFERROR(__xludf.DUMMYFUNCTION("""COMPUTED_VALUE"""),"Anesthesia; Pediatric")</f>
        <v>Anesthesia; Pediatric</v>
      </c>
      <c r="K922" s="5" t="str">
        <f>IFERROR(__xludf.DUMMYFUNCTION("""COMPUTED_VALUE"""),"Current")</f>
        <v>Current</v>
      </c>
      <c r="L922" s="5"/>
      <c r="M922" s="5"/>
      <c r="N922" s="10">
        <f>IFERROR(__xludf.DUMMYFUNCTION("""COMPUTED_VALUE"""),40961.0)</f>
        <v>40961</v>
      </c>
      <c r="O922" s="5">
        <v>2012.0</v>
      </c>
      <c r="P922" s="5" t="str">
        <f>IFERROR(__xludf.DUMMYFUNCTION("""COMPUTED_VALUE"""),"Available")</f>
        <v>Available</v>
      </c>
      <c r="Q922" s="5" t="s">
        <v>135</v>
      </c>
      <c r="R922" s="5" t="s">
        <v>136</v>
      </c>
      <c r="S922" s="11">
        <v>5360.0</v>
      </c>
    </row>
    <row r="923">
      <c r="A923" s="5" t="str">
        <f>IFERROR(__xludf.DUMMYFUNCTION("""COMPUTED_VALUE"""),"Lidocaine Hydrochloride Injection")</f>
        <v>Lidocaine Hydrochloride Injection</v>
      </c>
      <c r="B923" s="5" t="str">
        <f>IFERROR(__xludf.DUMMYFUNCTION("""COMPUTED_VALUE"""),"Anthea Pharma")</f>
        <v>Anthea Pharma</v>
      </c>
      <c r="C923" s="5" t="str">
        <f>IFERROR(__xludf.DUMMYFUNCTION("""COMPUTED_VALUE"""),"Lidocaine Hydochloride, Injection, 50 mg/5 mL (NDC 83634-653-05)")</f>
        <v>Lidocaine Hydochloride, Injection, 50 mg/5 mL (NDC 83634-653-05)</v>
      </c>
      <c r="D923" s="5" t="str">
        <f>IFERROR(__xludf.DUMMYFUNCTION("""COMPUTED_VALUE"""),"Reverified")</f>
        <v>Reverified</v>
      </c>
      <c r="E923" s="10">
        <f>IFERROR(__xludf.DUMMYFUNCTION("""COMPUTED_VALUE"""),46300.0)</f>
        <v>46300</v>
      </c>
      <c r="F923" s="5" t="str">
        <f>IFERROR(__xludf.DUMMYFUNCTION("""COMPUTED_VALUE"""),"Available")</f>
        <v>Available</v>
      </c>
      <c r="G923" s="5" t="str">
        <f>IFERROR(__xludf.DUMMYFUNCTION("""COMPUTED_VALUE"""),"Distributed by Avenacy, LLC")</f>
        <v>Distributed by Avenacy, LLC</v>
      </c>
      <c r="H923" s="5"/>
      <c r="I923" s="5"/>
      <c r="J923" s="5" t="str">
        <f>IFERROR(__xludf.DUMMYFUNCTION("""COMPUTED_VALUE"""),"Anesthesia; Pediatric")</f>
        <v>Anesthesia; Pediatric</v>
      </c>
      <c r="K923" s="5" t="str">
        <f>IFERROR(__xludf.DUMMYFUNCTION("""COMPUTED_VALUE"""),"Current")</f>
        <v>Current</v>
      </c>
      <c r="L923" s="5"/>
      <c r="M923" s="5"/>
      <c r="N923" s="10">
        <f>IFERROR(__xludf.DUMMYFUNCTION("""COMPUTED_VALUE"""),40961.0)</f>
        <v>40961</v>
      </c>
      <c r="O923" s="5">
        <v>2012.0</v>
      </c>
      <c r="P923" s="5" t="str">
        <f>IFERROR(__xludf.DUMMYFUNCTION("""COMPUTED_VALUE"""),"Available")</f>
        <v>Available</v>
      </c>
      <c r="Q923" s="5" t="s">
        <v>135</v>
      </c>
      <c r="R923" s="5" t="s">
        <v>136</v>
      </c>
      <c r="S923" s="11">
        <v>5360.0</v>
      </c>
    </row>
    <row r="924">
      <c r="A924" s="5" t="str">
        <f>IFERROR(__xludf.DUMMYFUNCTION("""COMPUTED_VALUE"""),"Lidocaine Hydrochloride Injection")</f>
        <v>Lidocaine Hydrochloride Injection</v>
      </c>
      <c r="B924" s="5" t="str">
        <f>IFERROR(__xludf.DUMMYFUNCTION("""COMPUTED_VALUE"""),"Anthea Pharma")</f>
        <v>Anthea Pharma</v>
      </c>
      <c r="C924" s="5" t="str">
        <f>IFERROR(__xludf.DUMMYFUNCTION("""COMPUTED_VALUE"""),"Lidocaine Hydrochloride, Injection, 300 mg/30 mL (NDC 83634-653-30)")</f>
        <v>Lidocaine Hydrochloride, Injection, 300 mg/30 mL (NDC 83634-653-30)</v>
      </c>
      <c r="D924" s="5" t="str">
        <f>IFERROR(__xludf.DUMMYFUNCTION("""COMPUTED_VALUE"""),"Reverified")</f>
        <v>Reverified</v>
      </c>
      <c r="E924" s="10">
        <f>IFERROR(__xludf.DUMMYFUNCTION("""COMPUTED_VALUE"""),46300.0)</f>
        <v>46300</v>
      </c>
      <c r="F924" s="5" t="str">
        <f>IFERROR(__xludf.DUMMYFUNCTION("""COMPUTED_VALUE"""),"Available")</f>
        <v>Available</v>
      </c>
      <c r="G924" s="5" t="str">
        <f>IFERROR(__xludf.DUMMYFUNCTION("""COMPUTED_VALUE"""),"Distributed by Avenacy, LLC")</f>
        <v>Distributed by Avenacy, LLC</v>
      </c>
      <c r="H924" s="5"/>
      <c r="I924" s="5"/>
      <c r="J924" s="5" t="str">
        <f>IFERROR(__xludf.DUMMYFUNCTION("""COMPUTED_VALUE"""),"Anesthesia; Pediatric")</f>
        <v>Anesthesia; Pediatric</v>
      </c>
      <c r="K924" s="5" t="str">
        <f>IFERROR(__xludf.DUMMYFUNCTION("""COMPUTED_VALUE"""),"Current")</f>
        <v>Current</v>
      </c>
      <c r="L924" s="5"/>
      <c r="M924" s="5"/>
      <c r="N924" s="10">
        <f>IFERROR(__xludf.DUMMYFUNCTION("""COMPUTED_VALUE"""),40961.0)</f>
        <v>40961</v>
      </c>
      <c r="O924" s="5">
        <v>2012.0</v>
      </c>
      <c r="P924" s="5" t="str">
        <f>IFERROR(__xludf.DUMMYFUNCTION("""COMPUTED_VALUE"""),"Available")</f>
        <v>Available</v>
      </c>
      <c r="Q924" s="5" t="s">
        <v>135</v>
      </c>
      <c r="R924" s="5" t="s">
        <v>136</v>
      </c>
      <c r="S924" s="11">
        <v>5360.0</v>
      </c>
    </row>
    <row r="925">
      <c r="A925" s="5" t="str">
        <f>IFERROR(__xludf.DUMMYFUNCTION("""COMPUTED_VALUE"""),"Lidocaine Hydrochloride Injection")</f>
        <v>Lidocaine Hydrochloride Injection</v>
      </c>
      <c r="B925" s="5" t="str">
        <f>IFERROR(__xludf.DUMMYFUNCTION("""COMPUTED_VALUE"""),"Hospira, Inc., a Pfizer Company")</f>
        <v>Hospira, Inc., a Pfizer Company</v>
      </c>
      <c r="C925" s="5" t="str">
        <f>IFERROR(__xludf.DUMMYFUNCTION("""COMPUTED_VALUE"""),"Lidocaine Hydrochloride, Injection, 2%, USP (For Cardiac Use Only)  100 mg/5 mL (20 mg/mL) LifeShield® ABBOJECT® Glass Syringe (20 G x 1 1/2) (NDC 0409-4903-34)""")</f>
        <v>Lidocaine Hydrochloride, Injection, 2%, USP (For Cardiac Use Only)  100 mg/5 mL (20 mg/mL) LifeShield® ABBOJECT® Glass Syringe (20 G x 1 1/2) (NDC 0409-4903-34)"</v>
      </c>
      <c r="D925" s="5" t="str">
        <f>IFERROR(__xludf.DUMMYFUNCTION("""COMPUTED_VALUE"""),"New")</f>
        <v>New</v>
      </c>
      <c r="E925" s="10">
        <f>IFERROR(__xludf.DUMMYFUNCTION("""COMPUTED_VALUE"""),45968.0)</f>
        <v>45968</v>
      </c>
      <c r="F925" s="5"/>
      <c r="G925" s="5" t="str">
        <f>IFERROR(__xludf.DUMMYFUNCTION("""COMPUTED_VALUE"""),"Discontinuation of the manufacture of the drug")</f>
        <v>Discontinuation of the manufacture of the drug</v>
      </c>
      <c r="H925" s="5"/>
      <c r="I925" s="5"/>
      <c r="J925" s="5" t="str">
        <f>IFERROR(__xludf.DUMMYFUNCTION("""COMPUTED_VALUE"""),"Analgesia/Addiction; Pediatric")</f>
        <v>Analgesia/Addiction; Pediatric</v>
      </c>
      <c r="K925" s="5" t="str">
        <f>IFERROR(__xludf.DUMMYFUNCTION("""COMPUTED_VALUE"""),"To Be Discontinued")</f>
        <v>To Be Discontinued</v>
      </c>
      <c r="L925" s="5"/>
      <c r="M925" s="10">
        <f>IFERROR(__xludf.DUMMYFUNCTION("""COMPUTED_VALUE"""),45968.0)</f>
        <v>45968</v>
      </c>
      <c r="N925" s="10">
        <f>IFERROR(__xludf.DUMMYFUNCTION("""COMPUTED_VALUE"""),45968.0)</f>
        <v>45968</v>
      </c>
      <c r="O925" s="5">
        <v>2025.0</v>
      </c>
      <c r="P925" s="5" t="str">
        <f>IFERROR(__xludf.DUMMYFUNCTION("""COMPUTED_VALUE"""),"Not stated")</f>
        <v>Not stated</v>
      </c>
      <c r="Q925" s="5" t="s">
        <v>135</v>
      </c>
      <c r="R925" s="5" t="s">
        <v>136</v>
      </c>
      <c r="S925" s="11">
        <v>353.0</v>
      </c>
    </row>
    <row r="926">
      <c r="A926" s="5" t="str">
        <f>IFERROR(__xludf.DUMMYFUNCTION("""COMPUTED_VALUE"""),"Lidocaine Hydrochloride Injection")</f>
        <v>Lidocaine Hydrochloride Injection</v>
      </c>
      <c r="B926" s="5" t="str">
        <f>IFERROR(__xludf.DUMMYFUNCTION("""COMPUTED_VALUE"""),"Hospira, Inc., a Pfizer Company")</f>
        <v>Hospira, Inc., a Pfizer Company</v>
      </c>
      <c r="C926" s="5" t="str">
        <f>IFERROR(__xludf.DUMMYFUNCTION("""COMPUTED_VALUE"""),"Lidocaine Hydrochloride, Injection, 1%, USP (For Cardiac Use Only) 50 mg/5 mL (10 mg/mL) LifeShield™ ABBOJECT® Glass Syringe (20 G x 1 1/2) (NDC 0409-4904-34)""")</f>
        <v>Lidocaine Hydrochloride, Injection, 1%, USP (For Cardiac Use Only) 50 mg/5 mL (10 mg/mL) LifeShield™ ABBOJECT® Glass Syringe (20 G x 1 1/2) (NDC 0409-4904-34)"</v>
      </c>
      <c r="D926" s="5" t="str">
        <f>IFERROR(__xludf.DUMMYFUNCTION("""COMPUTED_VALUE"""),"New")</f>
        <v>New</v>
      </c>
      <c r="E926" s="10">
        <f>IFERROR(__xludf.DUMMYFUNCTION("""COMPUTED_VALUE"""),45968.0)</f>
        <v>45968</v>
      </c>
      <c r="F926" s="5"/>
      <c r="G926" s="5" t="str">
        <f>IFERROR(__xludf.DUMMYFUNCTION("""COMPUTED_VALUE"""),"Discontinuation of the manufacture of the drug")</f>
        <v>Discontinuation of the manufacture of the drug</v>
      </c>
      <c r="H926" s="5"/>
      <c r="I926" s="5"/>
      <c r="J926" s="5" t="str">
        <f>IFERROR(__xludf.DUMMYFUNCTION("""COMPUTED_VALUE"""),"Anesthesia; Pediatric")</f>
        <v>Anesthesia; Pediatric</v>
      </c>
      <c r="K926" s="5" t="str">
        <f>IFERROR(__xludf.DUMMYFUNCTION("""COMPUTED_VALUE"""),"To Be Discontinued")</f>
        <v>To Be Discontinued</v>
      </c>
      <c r="L926" s="5"/>
      <c r="M926" s="10">
        <f>IFERROR(__xludf.DUMMYFUNCTION("""COMPUTED_VALUE"""),45968.0)</f>
        <v>45968</v>
      </c>
      <c r="N926" s="10">
        <f>IFERROR(__xludf.DUMMYFUNCTION("""COMPUTED_VALUE"""),45968.0)</f>
        <v>45968</v>
      </c>
      <c r="O926" s="5">
        <v>2025.0</v>
      </c>
      <c r="P926" s="5" t="str">
        <f>IFERROR(__xludf.DUMMYFUNCTION("""COMPUTED_VALUE"""),"Not stated")</f>
        <v>Not stated</v>
      </c>
      <c r="Q926" s="5" t="s">
        <v>135</v>
      </c>
      <c r="R926" s="5" t="s">
        <v>136</v>
      </c>
      <c r="S926" s="11">
        <v>353.0</v>
      </c>
    </row>
    <row r="927">
      <c r="A927" s="5" t="str">
        <f>IFERROR(__xludf.DUMMYFUNCTION("""COMPUTED_VALUE"""),"Lidocaine Hydrochloride Injection")</f>
        <v>Lidocaine Hydrochloride Injection</v>
      </c>
      <c r="B927" s="5" t="str">
        <f>IFERROR(__xludf.DUMMYFUNCTION("""COMPUTED_VALUE"""),"Hospira, Inc., a Pfizer Company")</f>
        <v>Hospira, Inc., a Pfizer Company</v>
      </c>
      <c r="C927" s="5" t="str">
        <f>IFERROR(__xludf.DUMMYFUNCTION("""COMPUTED_VALUE"""),"Lidocaine Hydrochloride Preservative Free, Injection, 300 mg/20 mL (1.5%; 15 mg/mL) (NDC 0409-4776-01)")</f>
        <v>Lidocaine Hydrochloride Preservative Free, Injection, 300 mg/20 mL (1.5%; 15 mg/mL) (NDC 0409-4776-01)</v>
      </c>
      <c r="D927" s="5" t="str">
        <f>IFERROR(__xludf.DUMMYFUNCTION("""COMPUTED_VALUE"""),"Reverified")</f>
        <v>Reverified</v>
      </c>
      <c r="E927" s="13">
        <f>IFERROR(__xludf.DUMMYFUNCTION("""COMPUTED_VALUE"""),46316.0)</f>
        <v>46316</v>
      </c>
      <c r="F927" s="5" t="str">
        <f>IFERROR(__xludf.DUMMYFUNCTION("""COMPUTED_VALUE"""),"Available")</f>
        <v>Available</v>
      </c>
      <c r="G927" s="5"/>
      <c r="H927" s="5"/>
      <c r="I927" s="5"/>
      <c r="J927" s="5" t="str">
        <f>IFERROR(__xludf.DUMMYFUNCTION("""COMPUTED_VALUE"""),"Anesthesia; Pediatric")</f>
        <v>Anesthesia; Pediatric</v>
      </c>
      <c r="K927" s="5" t="str">
        <f>IFERROR(__xludf.DUMMYFUNCTION("""COMPUTED_VALUE"""),"Current")</f>
        <v>Current</v>
      </c>
      <c r="L927" s="5"/>
      <c r="M927" s="5"/>
      <c r="N927" s="10">
        <f>IFERROR(__xludf.DUMMYFUNCTION("""COMPUTED_VALUE"""),40961.0)</f>
        <v>40961</v>
      </c>
      <c r="O927" s="5">
        <v>2012.0</v>
      </c>
      <c r="P927" s="5" t="str">
        <f>IFERROR(__xludf.DUMMYFUNCTION("""COMPUTED_VALUE"""),"Available")</f>
        <v>Available</v>
      </c>
      <c r="Q927" s="5" t="s">
        <v>135</v>
      </c>
      <c r="R927" s="5" t="s">
        <v>136</v>
      </c>
      <c r="S927" s="11">
        <v>5360.0</v>
      </c>
    </row>
    <row r="928">
      <c r="A928" s="5" t="str">
        <f>IFERROR(__xludf.DUMMYFUNCTION("""COMPUTED_VALUE"""),"Lidocaine Hydrochloride Injection")</f>
        <v>Lidocaine Hydrochloride Injection</v>
      </c>
      <c r="B928" s="5" t="str">
        <f>IFERROR(__xludf.DUMMYFUNCTION("""COMPUTED_VALUE"""),"Eugia US LLC")</f>
        <v>Eugia US LLC</v>
      </c>
      <c r="C928" s="5" t="str">
        <f>IFERROR(__xludf.DUMMYFUNCTION("""COMPUTED_VALUE"""),"Lidocaine Hydrochloride, Injection, 10 mg/1 mL (NDC 55150-159-74)")</f>
        <v>Lidocaine Hydrochloride, Injection, 10 mg/1 mL (NDC 55150-159-74)</v>
      </c>
      <c r="D928" s="5" t="str">
        <f>IFERROR(__xludf.DUMMYFUNCTION("""COMPUTED_VALUE"""),"Reverified")</f>
        <v>Reverified</v>
      </c>
      <c r="E928" s="13">
        <f>IFERROR(__xludf.DUMMYFUNCTION("""COMPUTED_VALUE"""),46314.0)</f>
        <v>46314</v>
      </c>
      <c r="F928" s="5" t="str">
        <f>IFERROR(__xludf.DUMMYFUNCTION("""COMPUTED_VALUE"""),"Unavailable")</f>
        <v>Unavailable</v>
      </c>
      <c r="G928" s="5" t="str">
        <f>IFERROR(__xludf.DUMMYFUNCTION("""COMPUTED_VALUE"""),"On backorder. Recovery: TBD. Check wholesalers for inventory")</f>
        <v>On backorder. Recovery: TBD. Check wholesalers for inventory</v>
      </c>
      <c r="H928" s="5"/>
      <c r="I928" s="5" t="str">
        <f>IFERROR(__xludf.DUMMYFUNCTION("""COMPUTED_VALUE"""),"Demand increase for the drug")</f>
        <v>Demand increase for the drug</v>
      </c>
      <c r="J928" s="5" t="str">
        <f>IFERROR(__xludf.DUMMYFUNCTION("""COMPUTED_VALUE"""),"Anesthesia")</f>
        <v>Anesthesia</v>
      </c>
      <c r="K928" s="5" t="str">
        <f>IFERROR(__xludf.DUMMYFUNCTION("""COMPUTED_VALUE"""),"Current")</f>
        <v>Current</v>
      </c>
      <c r="L928" s="5"/>
      <c r="M928" s="5"/>
      <c r="N928" s="10">
        <f>IFERROR(__xludf.DUMMYFUNCTION("""COMPUTED_VALUE"""),43151.0)</f>
        <v>43151</v>
      </c>
      <c r="O928" s="5">
        <v>2018.0</v>
      </c>
      <c r="P928" s="5" t="str">
        <f>IFERROR(__xludf.DUMMYFUNCTION("""COMPUTED_VALUE"""),"Unavailable")</f>
        <v>Unavailable</v>
      </c>
      <c r="Q928" s="5" t="s">
        <v>134</v>
      </c>
      <c r="R928" s="5" t="s">
        <v>136</v>
      </c>
      <c r="S928" s="11">
        <v>3170.0</v>
      </c>
    </row>
    <row r="929">
      <c r="A929" s="5" t="str">
        <f>IFERROR(__xludf.DUMMYFUNCTION("""COMPUTED_VALUE"""),"Lidocaine Hydrochloride Injection")</f>
        <v>Lidocaine Hydrochloride Injection</v>
      </c>
      <c r="B929" s="5" t="str">
        <f>IFERROR(__xludf.DUMMYFUNCTION("""COMPUTED_VALUE"""),"Eugia US LLC")</f>
        <v>Eugia US LLC</v>
      </c>
      <c r="C929" s="5" t="str">
        <f>IFERROR(__xludf.DUMMYFUNCTION("""COMPUTED_VALUE"""),"Lidocaine Hydrochloride, Injection, 10 mg/1 mL (NDC 55150-161-02)")</f>
        <v>Lidocaine Hydrochloride, Injection, 10 mg/1 mL (NDC 55150-161-02)</v>
      </c>
      <c r="D929" s="5" t="str">
        <f>IFERROR(__xludf.DUMMYFUNCTION("""COMPUTED_VALUE"""),"Revised")</f>
        <v>Revised</v>
      </c>
      <c r="E929" s="13">
        <f>IFERROR(__xludf.DUMMYFUNCTION("""COMPUTED_VALUE"""),46314.0)</f>
        <v>46314</v>
      </c>
      <c r="F929" s="5" t="str">
        <f>IFERROR(__xludf.DUMMYFUNCTION("""COMPUTED_VALUE"""),"Available")</f>
        <v>Available</v>
      </c>
      <c r="G929" s="5" t="str">
        <f>IFERROR(__xludf.DUMMYFUNCTION("""COMPUTED_VALUE"""),"Check wholesalers for inventory")</f>
        <v>Check wholesalers for inventory</v>
      </c>
      <c r="H929" s="5"/>
      <c r="I929" s="5"/>
      <c r="J929" s="5" t="str">
        <f>IFERROR(__xludf.DUMMYFUNCTION("""COMPUTED_VALUE"""),"Anesthesia")</f>
        <v>Anesthesia</v>
      </c>
      <c r="K929" s="5" t="str">
        <f>IFERROR(__xludf.DUMMYFUNCTION("""COMPUTED_VALUE"""),"Current")</f>
        <v>Current</v>
      </c>
      <c r="L929" s="5"/>
      <c r="M929" s="5"/>
      <c r="N929" s="10">
        <f>IFERROR(__xludf.DUMMYFUNCTION("""COMPUTED_VALUE"""),43151.0)</f>
        <v>43151</v>
      </c>
      <c r="O929" s="5">
        <v>2018.0</v>
      </c>
      <c r="P929" s="5" t="str">
        <f>IFERROR(__xludf.DUMMYFUNCTION("""COMPUTED_VALUE"""),"Available")</f>
        <v>Available</v>
      </c>
      <c r="Q929" s="5" t="s">
        <v>135</v>
      </c>
      <c r="R929" s="5" t="s">
        <v>136</v>
      </c>
      <c r="S929" s="11">
        <v>3170.0</v>
      </c>
    </row>
    <row r="930">
      <c r="A930" s="5" t="str">
        <f>IFERROR(__xludf.DUMMYFUNCTION("""COMPUTED_VALUE"""),"Lidocaine Hydrochloride Injection")</f>
        <v>Lidocaine Hydrochloride Injection</v>
      </c>
      <c r="B930" s="5" t="str">
        <f>IFERROR(__xludf.DUMMYFUNCTION("""COMPUTED_VALUE"""),"Eugia US LLC")</f>
        <v>Eugia US LLC</v>
      </c>
      <c r="C930" s="5" t="str">
        <f>IFERROR(__xludf.DUMMYFUNCTION("""COMPUTED_VALUE"""),"Lidocaine Hydrochloride, Injection, 10 mg/1 mL (NDC 55150-162-05)")</f>
        <v>Lidocaine Hydrochloride, Injection, 10 mg/1 mL (NDC 55150-162-05)</v>
      </c>
      <c r="D930" s="5" t="str">
        <f>IFERROR(__xludf.DUMMYFUNCTION("""COMPUTED_VALUE"""),"Reverified")</f>
        <v>Reverified</v>
      </c>
      <c r="E930" s="13">
        <f>IFERROR(__xludf.DUMMYFUNCTION("""COMPUTED_VALUE"""),46314.0)</f>
        <v>46314</v>
      </c>
      <c r="F930" s="5" t="str">
        <f>IFERROR(__xludf.DUMMYFUNCTION("""COMPUTED_VALUE"""),"Available")</f>
        <v>Available</v>
      </c>
      <c r="G930" s="5" t="str">
        <f>IFERROR(__xludf.DUMMYFUNCTION("""COMPUTED_VALUE"""),"Check wholesalers for inventory")</f>
        <v>Check wholesalers for inventory</v>
      </c>
      <c r="H930" s="5"/>
      <c r="I930" s="5"/>
      <c r="J930" s="5" t="str">
        <f>IFERROR(__xludf.DUMMYFUNCTION("""COMPUTED_VALUE"""),"Anesthesia")</f>
        <v>Anesthesia</v>
      </c>
      <c r="K930" s="5" t="str">
        <f>IFERROR(__xludf.DUMMYFUNCTION("""COMPUTED_VALUE"""),"Current")</f>
        <v>Current</v>
      </c>
      <c r="L930" s="5"/>
      <c r="M930" s="5"/>
      <c r="N930" s="10">
        <f>IFERROR(__xludf.DUMMYFUNCTION("""COMPUTED_VALUE"""),43151.0)</f>
        <v>43151</v>
      </c>
      <c r="O930" s="5">
        <v>2018.0</v>
      </c>
      <c r="P930" s="5" t="str">
        <f>IFERROR(__xludf.DUMMYFUNCTION("""COMPUTED_VALUE"""),"Available")</f>
        <v>Available</v>
      </c>
      <c r="Q930" s="5" t="s">
        <v>135</v>
      </c>
      <c r="R930" s="5" t="s">
        <v>136</v>
      </c>
      <c r="S930" s="11">
        <v>3170.0</v>
      </c>
    </row>
    <row r="931">
      <c r="A931" s="5" t="str">
        <f>IFERROR(__xludf.DUMMYFUNCTION("""COMPUTED_VALUE"""),"Lidocaine Hydrochloride Injection")</f>
        <v>Lidocaine Hydrochloride Injection</v>
      </c>
      <c r="B931" s="5" t="str">
        <f>IFERROR(__xludf.DUMMYFUNCTION("""COMPUTED_VALUE"""),"Eugia US LLC")</f>
        <v>Eugia US LLC</v>
      </c>
      <c r="C931" s="5" t="str">
        <f>IFERROR(__xludf.DUMMYFUNCTION("""COMPUTED_VALUE"""),"Lidocaine Hydrochloride, Injection, 10 mg/1 mL (NDC 55150-163-30)")</f>
        <v>Lidocaine Hydrochloride, Injection, 10 mg/1 mL (NDC 55150-163-30)</v>
      </c>
      <c r="D931" s="5" t="str">
        <f>IFERROR(__xludf.DUMMYFUNCTION("""COMPUTED_VALUE"""),"Reverified")</f>
        <v>Reverified</v>
      </c>
      <c r="E931" s="13">
        <f>IFERROR(__xludf.DUMMYFUNCTION("""COMPUTED_VALUE"""),46314.0)</f>
        <v>46314</v>
      </c>
      <c r="F931" s="5" t="str">
        <f>IFERROR(__xludf.DUMMYFUNCTION("""COMPUTED_VALUE"""),"Available")</f>
        <v>Available</v>
      </c>
      <c r="G931" s="5" t="str">
        <f>IFERROR(__xludf.DUMMYFUNCTION("""COMPUTED_VALUE"""),"Check wholesalers for inventory")</f>
        <v>Check wholesalers for inventory</v>
      </c>
      <c r="H931" s="5"/>
      <c r="I931" s="5"/>
      <c r="J931" s="5" t="str">
        <f>IFERROR(__xludf.DUMMYFUNCTION("""COMPUTED_VALUE"""),"Anesthesia")</f>
        <v>Anesthesia</v>
      </c>
      <c r="K931" s="5" t="str">
        <f>IFERROR(__xludf.DUMMYFUNCTION("""COMPUTED_VALUE"""),"Current")</f>
        <v>Current</v>
      </c>
      <c r="L931" s="5"/>
      <c r="M931" s="5"/>
      <c r="N931" s="10">
        <f>IFERROR(__xludf.DUMMYFUNCTION("""COMPUTED_VALUE"""),43151.0)</f>
        <v>43151</v>
      </c>
      <c r="O931" s="5">
        <v>2018.0</v>
      </c>
      <c r="P931" s="5" t="str">
        <f>IFERROR(__xludf.DUMMYFUNCTION("""COMPUTED_VALUE"""),"Available")</f>
        <v>Available</v>
      </c>
      <c r="Q931" s="5" t="s">
        <v>135</v>
      </c>
      <c r="R931" s="5" t="s">
        <v>136</v>
      </c>
      <c r="S931" s="11">
        <v>3170.0</v>
      </c>
    </row>
    <row r="932">
      <c r="A932" s="5" t="str">
        <f>IFERROR(__xludf.DUMMYFUNCTION("""COMPUTED_VALUE"""),"Lidocaine Hydrochloride Injection")</f>
        <v>Lidocaine Hydrochloride Injection</v>
      </c>
      <c r="B932" s="5" t="str">
        <f>IFERROR(__xludf.DUMMYFUNCTION("""COMPUTED_VALUE"""),"Eugia US LLC")</f>
        <v>Eugia US LLC</v>
      </c>
      <c r="C932" s="5" t="str">
        <f>IFERROR(__xludf.DUMMYFUNCTION("""COMPUTED_VALUE"""),"Lidocaine Hydrochloride, Injection, 20 mg/mL (NDC 55150-164-02)")</f>
        <v>Lidocaine Hydrochloride, Injection, 20 mg/mL (NDC 55150-164-02)</v>
      </c>
      <c r="D932" s="5" t="str">
        <f>IFERROR(__xludf.DUMMYFUNCTION("""COMPUTED_VALUE"""),"Reverified")</f>
        <v>Reverified</v>
      </c>
      <c r="E932" s="13">
        <f>IFERROR(__xludf.DUMMYFUNCTION("""COMPUTED_VALUE"""),46314.0)</f>
        <v>46314</v>
      </c>
      <c r="F932" s="5" t="str">
        <f>IFERROR(__xludf.DUMMYFUNCTION("""COMPUTED_VALUE"""),"Available")</f>
        <v>Available</v>
      </c>
      <c r="G932" s="5" t="str">
        <f>IFERROR(__xludf.DUMMYFUNCTION("""COMPUTED_VALUE"""),"Check wholesalers for inventory")</f>
        <v>Check wholesalers for inventory</v>
      </c>
      <c r="H932" s="5"/>
      <c r="I932" s="5"/>
      <c r="J932" s="5" t="str">
        <f>IFERROR(__xludf.DUMMYFUNCTION("""COMPUTED_VALUE"""),"Anesthesia")</f>
        <v>Anesthesia</v>
      </c>
      <c r="K932" s="5" t="str">
        <f>IFERROR(__xludf.DUMMYFUNCTION("""COMPUTED_VALUE"""),"Current")</f>
        <v>Current</v>
      </c>
      <c r="L932" s="5"/>
      <c r="M932" s="5"/>
      <c r="N932" s="10">
        <f>IFERROR(__xludf.DUMMYFUNCTION("""COMPUTED_VALUE"""),43151.0)</f>
        <v>43151</v>
      </c>
      <c r="O932" s="5">
        <v>2018.0</v>
      </c>
      <c r="P932" s="5" t="str">
        <f>IFERROR(__xludf.DUMMYFUNCTION("""COMPUTED_VALUE"""),"Available")</f>
        <v>Available</v>
      </c>
      <c r="Q932" s="5" t="s">
        <v>135</v>
      </c>
      <c r="R932" s="5" t="s">
        <v>136</v>
      </c>
      <c r="S932" s="11">
        <v>3170.0</v>
      </c>
    </row>
    <row r="933">
      <c r="A933" s="5" t="str">
        <f>IFERROR(__xludf.DUMMYFUNCTION("""COMPUTED_VALUE"""),"Lidocaine Hydrochloride Injection")</f>
        <v>Lidocaine Hydrochloride Injection</v>
      </c>
      <c r="B933" s="5" t="str">
        <f>IFERROR(__xludf.DUMMYFUNCTION("""COMPUTED_VALUE"""),"Eugia US LLC")</f>
        <v>Eugia US LLC</v>
      </c>
      <c r="C933" s="5" t="str">
        <f>IFERROR(__xludf.DUMMYFUNCTION("""COMPUTED_VALUE"""),"Lidocaine Hydrochloride, Injection, 20 mg/1 mL (NDC 55150-165-05)")</f>
        <v>Lidocaine Hydrochloride, Injection, 20 mg/1 mL (NDC 55150-165-05)</v>
      </c>
      <c r="D933" s="5" t="str">
        <f>IFERROR(__xludf.DUMMYFUNCTION("""COMPUTED_VALUE"""),"Revised")</f>
        <v>Revised</v>
      </c>
      <c r="E933" s="13">
        <f>IFERROR(__xludf.DUMMYFUNCTION("""COMPUTED_VALUE"""),46314.0)</f>
        <v>46314</v>
      </c>
      <c r="F933" s="5" t="str">
        <f>IFERROR(__xludf.DUMMYFUNCTION("""COMPUTED_VALUE"""),"Unavailable")</f>
        <v>Unavailable</v>
      </c>
      <c r="G933" s="5" t="str">
        <f>IFERROR(__xludf.DUMMYFUNCTION("""COMPUTED_VALUE"""),"On backorder. Recovery: mid-November 2026; Check wholesalers for inventory")</f>
        <v>On backorder. Recovery: mid-November 2026; Check wholesalers for inventory</v>
      </c>
      <c r="H933" s="5"/>
      <c r="I933" s="5" t="str">
        <f>IFERROR(__xludf.DUMMYFUNCTION("""COMPUTED_VALUE"""),"Demand increase for the drug")</f>
        <v>Demand increase for the drug</v>
      </c>
      <c r="J933" s="5" t="str">
        <f>IFERROR(__xludf.DUMMYFUNCTION("""COMPUTED_VALUE"""),"Anesthesia")</f>
        <v>Anesthesia</v>
      </c>
      <c r="K933" s="5" t="str">
        <f>IFERROR(__xludf.DUMMYFUNCTION("""COMPUTED_VALUE"""),"Current")</f>
        <v>Current</v>
      </c>
      <c r="L933" s="5"/>
      <c r="M933" s="5"/>
      <c r="N933" s="10">
        <f>IFERROR(__xludf.DUMMYFUNCTION("""COMPUTED_VALUE"""),43151.0)</f>
        <v>43151</v>
      </c>
      <c r="O933" s="5">
        <v>2018.0</v>
      </c>
      <c r="P933" s="5" t="str">
        <f>IFERROR(__xludf.DUMMYFUNCTION("""COMPUTED_VALUE"""),"Unavailable")</f>
        <v>Unavailable</v>
      </c>
      <c r="Q933" s="5" t="s">
        <v>134</v>
      </c>
      <c r="R933" s="5" t="s">
        <v>136</v>
      </c>
      <c r="S933" s="11">
        <v>3170.0</v>
      </c>
    </row>
    <row r="934">
      <c r="A934" s="5" t="str">
        <f>IFERROR(__xludf.DUMMYFUNCTION("""COMPUTED_VALUE"""),"Lidocaine Hydrochloride Injection")</f>
        <v>Lidocaine Hydrochloride Injection</v>
      </c>
      <c r="B934" s="5" t="str">
        <f>IFERROR(__xludf.DUMMYFUNCTION("""COMPUTED_VALUE"""),"Eugia US LLC")</f>
        <v>Eugia US LLC</v>
      </c>
      <c r="C934" s="5" t="str">
        <f>IFERROR(__xludf.DUMMYFUNCTION("""COMPUTED_VALUE"""),"Lidocaine Hydrochloride, Injection, 10 mg/mL (NDC 55150-251-10)")</f>
        <v>Lidocaine Hydrochloride, Injection, 10 mg/mL (NDC 55150-251-10)</v>
      </c>
      <c r="D934" s="5" t="str">
        <f>IFERROR(__xludf.DUMMYFUNCTION("""COMPUTED_VALUE"""),"Revised")</f>
        <v>Revised</v>
      </c>
      <c r="E934" s="13">
        <f>IFERROR(__xludf.DUMMYFUNCTION("""COMPUTED_VALUE"""),46314.0)</f>
        <v>46314</v>
      </c>
      <c r="F934" s="5" t="str">
        <f>IFERROR(__xludf.DUMMYFUNCTION("""COMPUTED_VALUE"""),"Available")</f>
        <v>Available</v>
      </c>
      <c r="G934" s="5" t="str">
        <f>IFERROR(__xludf.DUMMYFUNCTION("""COMPUTED_VALUE"""),"Check wholesalers for inventory")</f>
        <v>Check wholesalers for inventory</v>
      </c>
      <c r="H934" s="5"/>
      <c r="I934" s="5"/>
      <c r="J934" s="5" t="str">
        <f>IFERROR(__xludf.DUMMYFUNCTION("""COMPUTED_VALUE"""),"Anesthesia")</f>
        <v>Anesthesia</v>
      </c>
      <c r="K934" s="5" t="str">
        <f>IFERROR(__xludf.DUMMYFUNCTION("""COMPUTED_VALUE"""),"Current")</f>
        <v>Current</v>
      </c>
      <c r="L934" s="5"/>
      <c r="M934" s="5"/>
      <c r="N934" s="10">
        <f>IFERROR(__xludf.DUMMYFUNCTION("""COMPUTED_VALUE"""),43264.0)</f>
        <v>43264</v>
      </c>
      <c r="O934" s="5">
        <v>2018.0</v>
      </c>
      <c r="P934" s="5" t="str">
        <f>IFERROR(__xludf.DUMMYFUNCTION("""COMPUTED_VALUE"""),"Available")</f>
        <v>Available</v>
      </c>
      <c r="Q934" s="5" t="s">
        <v>135</v>
      </c>
      <c r="R934" s="5" t="s">
        <v>136</v>
      </c>
      <c r="S934" s="11">
        <v>3057.0</v>
      </c>
    </row>
    <row r="935">
      <c r="A935" s="5" t="str">
        <f>IFERROR(__xludf.DUMMYFUNCTION("""COMPUTED_VALUE"""),"Lidocaine Hydrochloride Injection")</f>
        <v>Lidocaine Hydrochloride Injection</v>
      </c>
      <c r="B935" s="5" t="str">
        <f>IFERROR(__xludf.DUMMYFUNCTION("""COMPUTED_VALUE"""),"Eugia US LLC")</f>
        <v>Eugia US LLC</v>
      </c>
      <c r="C935" s="5" t="str">
        <f>IFERROR(__xludf.DUMMYFUNCTION("""COMPUTED_VALUE"""),"Lidocaine Hydrochloride, Injection, 10 mg/mL (NDC 55150-252-20)")</f>
        <v>Lidocaine Hydrochloride, Injection, 10 mg/mL (NDC 55150-252-20)</v>
      </c>
      <c r="D935" s="5" t="str">
        <f>IFERROR(__xludf.DUMMYFUNCTION("""COMPUTED_VALUE"""),"Revised")</f>
        <v>Revised</v>
      </c>
      <c r="E935" s="13">
        <f>IFERROR(__xludf.DUMMYFUNCTION("""COMPUTED_VALUE"""),46314.0)</f>
        <v>46314</v>
      </c>
      <c r="F935" s="5" t="str">
        <f>IFERROR(__xludf.DUMMYFUNCTION("""COMPUTED_VALUE"""),"Unavailable")</f>
        <v>Unavailable</v>
      </c>
      <c r="G935" s="5" t="str">
        <f>IFERROR(__xludf.DUMMYFUNCTION("""COMPUTED_VALUE"""),"On backorder. Recovery: late October 2026; Check wholesalers for inventory")</f>
        <v>On backorder. Recovery: late October 2026; Check wholesalers for inventory</v>
      </c>
      <c r="H935" s="5"/>
      <c r="I935" s="5" t="str">
        <f>IFERROR(__xludf.DUMMYFUNCTION("""COMPUTED_VALUE"""),"Demand increase for the drug")</f>
        <v>Demand increase for the drug</v>
      </c>
      <c r="J935" s="5" t="str">
        <f>IFERROR(__xludf.DUMMYFUNCTION("""COMPUTED_VALUE"""),"Anesthesia")</f>
        <v>Anesthesia</v>
      </c>
      <c r="K935" s="5" t="str">
        <f>IFERROR(__xludf.DUMMYFUNCTION("""COMPUTED_VALUE"""),"Current")</f>
        <v>Current</v>
      </c>
      <c r="L935" s="5"/>
      <c r="M935" s="5"/>
      <c r="N935" s="10">
        <f>IFERROR(__xludf.DUMMYFUNCTION("""COMPUTED_VALUE"""),43264.0)</f>
        <v>43264</v>
      </c>
      <c r="O935" s="5">
        <v>2018.0</v>
      </c>
      <c r="P935" s="5" t="str">
        <f>IFERROR(__xludf.DUMMYFUNCTION("""COMPUTED_VALUE"""),"Unavailable")</f>
        <v>Unavailable</v>
      </c>
      <c r="Q935" s="5" t="s">
        <v>134</v>
      </c>
      <c r="R935" s="5" t="s">
        <v>136</v>
      </c>
      <c r="S935" s="11">
        <v>3057.0</v>
      </c>
    </row>
    <row r="936">
      <c r="A936" s="5" t="str">
        <f>IFERROR(__xludf.DUMMYFUNCTION("""COMPUTED_VALUE"""),"Lidocaine Hydrochloride Injection")</f>
        <v>Lidocaine Hydrochloride Injection</v>
      </c>
      <c r="B936" s="5" t="str">
        <f>IFERROR(__xludf.DUMMYFUNCTION("""COMPUTED_VALUE"""),"Eugia US LLC")</f>
        <v>Eugia US LLC</v>
      </c>
      <c r="C936" s="5" t="str">
        <f>IFERROR(__xludf.DUMMYFUNCTION("""COMPUTED_VALUE"""),"Lidocaine Hydrochloride, Injection, 20 mg/mL (NDC 55150-254-10)")</f>
        <v>Lidocaine Hydrochloride, Injection, 20 mg/mL (NDC 55150-254-10)</v>
      </c>
      <c r="D936" s="5" t="str">
        <f>IFERROR(__xludf.DUMMYFUNCTION("""COMPUTED_VALUE"""),"Revised")</f>
        <v>Revised</v>
      </c>
      <c r="E936" s="13">
        <f>IFERROR(__xludf.DUMMYFUNCTION("""COMPUTED_VALUE"""),46314.0)</f>
        <v>46314</v>
      </c>
      <c r="F936" s="5" t="str">
        <f>IFERROR(__xludf.DUMMYFUNCTION("""COMPUTED_VALUE"""),"Unavailable")</f>
        <v>Unavailable</v>
      </c>
      <c r="G936" s="5" t="str">
        <f>IFERROR(__xludf.DUMMYFUNCTION("""COMPUTED_VALUE"""),"On backorder. Recovery: late-November 2026; Check wholesalers for inventory")</f>
        <v>On backorder. Recovery: late-November 2026; Check wholesalers for inventory</v>
      </c>
      <c r="H936" s="5"/>
      <c r="I936" s="5" t="str">
        <f>IFERROR(__xludf.DUMMYFUNCTION("""COMPUTED_VALUE"""),"Demand increase for the drug")</f>
        <v>Demand increase for the drug</v>
      </c>
      <c r="J936" s="5" t="str">
        <f>IFERROR(__xludf.DUMMYFUNCTION("""COMPUTED_VALUE"""),"Anesthesia")</f>
        <v>Anesthesia</v>
      </c>
      <c r="K936" s="5" t="str">
        <f>IFERROR(__xludf.DUMMYFUNCTION("""COMPUTED_VALUE"""),"Current")</f>
        <v>Current</v>
      </c>
      <c r="L936" s="5"/>
      <c r="M936" s="5"/>
      <c r="N936" s="10">
        <f>IFERROR(__xludf.DUMMYFUNCTION("""COMPUTED_VALUE"""),43264.0)</f>
        <v>43264</v>
      </c>
      <c r="O936" s="5">
        <v>2018.0</v>
      </c>
      <c r="P936" s="5" t="str">
        <f>IFERROR(__xludf.DUMMYFUNCTION("""COMPUTED_VALUE"""),"Unavailable")</f>
        <v>Unavailable</v>
      </c>
      <c r="Q936" s="5" t="s">
        <v>134</v>
      </c>
      <c r="R936" s="5" t="s">
        <v>136</v>
      </c>
      <c r="S936" s="11">
        <v>3057.0</v>
      </c>
    </row>
    <row r="937">
      <c r="A937" s="5" t="str">
        <f>IFERROR(__xludf.DUMMYFUNCTION("""COMPUTED_VALUE"""),"Lidocaine Hydrochloride Injection")</f>
        <v>Lidocaine Hydrochloride Injection</v>
      </c>
      <c r="B937" s="5" t="str">
        <f>IFERROR(__xludf.DUMMYFUNCTION("""COMPUTED_VALUE"""),"Eugia US LLC")</f>
        <v>Eugia US LLC</v>
      </c>
      <c r="C937" s="5" t="str">
        <f>IFERROR(__xludf.DUMMYFUNCTION("""COMPUTED_VALUE"""),"Lidocaine Hydrochloride, Injection, 20 mg/mL (NDC 55150-255-20)")</f>
        <v>Lidocaine Hydrochloride, Injection, 20 mg/mL (NDC 55150-255-20)</v>
      </c>
      <c r="D937" s="5" t="str">
        <f>IFERROR(__xludf.DUMMYFUNCTION("""COMPUTED_VALUE"""),"Reverified")</f>
        <v>Reverified</v>
      </c>
      <c r="E937" s="13">
        <f>IFERROR(__xludf.DUMMYFUNCTION("""COMPUTED_VALUE"""),46314.0)</f>
        <v>46314</v>
      </c>
      <c r="F937" s="5" t="str">
        <f>IFERROR(__xludf.DUMMYFUNCTION("""COMPUTED_VALUE"""),"Available")</f>
        <v>Available</v>
      </c>
      <c r="G937" s="5" t="str">
        <f>IFERROR(__xludf.DUMMYFUNCTION("""COMPUTED_VALUE"""),"Check wholesalers for inventory")</f>
        <v>Check wholesalers for inventory</v>
      </c>
      <c r="H937" s="5"/>
      <c r="I937" s="5"/>
      <c r="J937" s="5" t="str">
        <f>IFERROR(__xludf.DUMMYFUNCTION("""COMPUTED_VALUE"""),"Anesthesia")</f>
        <v>Anesthesia</v>
      </c>
      <c r="K937" s="5" t="str">
        <f>IFERROR(__xludf.DUMMYFUNCTION("""COMPUTED_VALUE"""),"Current")</f>
        <v>Current</v>
      </c>
      <c r="L937" s="5"/>
      <c r="M937" s="5"/>
      <c r="N937" s="10">
        <f>IFERROR(__xludf.DUMMYFUNCTION("""COMPUTED_VALUE"""),43264.0)</f>
        <v>43264</v>
      </c>
      <c r="O937" s="5">
        <v>2018.0</v>
      </c>
      <c r="P937" s="5" t="str">
        <f>IFERROR(__xludf.DUMMYFUNCTION("""COMPUTED_VALUE"""),"Available")</f>
        <v>Available</v>
      </c>
      <c r="Q937" s="5" t="s">
        <v>135</v>
      </c>
      <c r="R937" s="5" t="s">
        <v>136</v>
      </c>
      <c r="S937" s="11">
        <v>3057.0</v>
      </c>
    </row>
    <row r="938">
      <c r="A938" s="5" t="str">
        <f>IFERROR(__xludf.DUMMYFUNCTION("""COMPUTED_VALUE"""),"Lidocaine Hydrochloride Injection")</f>
        <v>Lidocaine Hydrochloride Injection</v>
      </c>
      <c r="B938" s="5" t="str">
        <f>IFERROR(__xludf.DUMMYFUNCTION("""COMPUTED_VALUE"""),"Hikma Pharmaceuticals USA, Inc.")</f>
        <v>Hikma Pharmaceuticals USA, Inc.</v>
      </c>
      <c r="C938" s="5" t="str">
        <f>IFERROR(__xludf.DUMMYFUNCTION("""COMPUTED_VALUE"""),"Lidocaine Hydrochloride, Preservative Free, Injection, 10 mg/1 mL (NDC 0143-9595-25)")</f>
        <v>Lidocaine Hydrochloride, Preservative Free, Injection, 10 mg/1 mL (NDC 0143-9595-25)</v>
      </c>
      <c r="D938" s="5" t="str">
        <f>IFERROR(__xludf.DUMMYFUNCTION("""COMPUTED_VALUE"""),"Revised")</f>
        <v>Revised</v>
      </c>
      <c r="E938" s="13">
        <f>IFERROR(__xludf.DUMMYFUNCTION("""COMPUTED_VALUE"""),46309.0)</f>
        <v>46309</v>
      </c>
      <c r="F938" s="5" t="str">
        <f>IFERROR(__xludf.DUMMYFUNCTION("""COMPUTED_VALUE"""),"Unavailable")</f>
        <v>Unavailable</v>
      </c>
      <c r="G938" s="5" t="str">
        <f>IFERROR(__xludf.DUMMYFUNCTION("""COMPUTED_VALUE"""),"Product temporarily on backorder.  Additional lots will be available in the November 2026 timeframe.")</f>
        <v>Product temporarily on backorder.  Additional lots will be available in the November 2026 timeframe.</v>
      </c>
      <c r="H938" s="5"/>
      <c r="I938" s="5" t="str">
        <f>IFERROR(__xludf.DUMMYFUNCTION("""COMPUTED_VALUE"""),"Demand increase for the drug")</f>
        <v>Demand increase for the drug</v>
      </c>
      <c r="J938" s="5" t="str">
        <f>IFERROR(__xludf.DUMMYFUNCTION("""COMPUTED_VALUE"""),"Anesthesia")</f>
        <v>Anesthesia</v>
      </c>
      <c r="K938" s="5" t="str">
        <f>IFERROR(__xludf.DUMMYFUNCTION("""COMPUTED_VALUE"""),"Current")</f>
        <v>Current</v>
      </c>
      <c r="L938" s="5"/>
      <c r="M938" s="5"/>
      <c r="N938" s="10">
        <f>IFERROR(__xludf.DUMMYFUNCTION("""COMPUTED_VALUE"""),43264.0)</f>
        <v>43264</v>
      </c>
      <c r="O938" s="5">
        <v>2018.0</v>
      </c>
      <c r="P938" s="5" t="str">
        <f>IFERROR(__xludf.DUMMYFUNCTION("""COMPUTED_VALUE"""),"Unavailable")</f>
        <v>Unavailable</v>
      </c>
      <c r="Q938" s="5" t="s">
        <v>134</v>
      </c>
      <c r="R938" s="5" t="s">
        <v>136</v>
      </c>
      <c r="S938" s="11">
        <v>3057.0</v>
      </c>
    </row>
    <row r="939">
      <c r="A939" s="5" t="str">
        <f>IFERROR(__xludf.DUMMYFUNCTION("""COMPUTED_VALUE"""),"Lidocaine Hydrochloride Injection")</f>
        <v>Lidocaine Hydrochloride Injection</v>
      </c>
      <c r="B939" s="5" t="str">
        <f>IFERROR(__xludf.DUMMYFUNCTION("""COMPUTED_VALUE"""),"Hikma Pharmaceuticals USA, Inc.")</f>
        <v>Hikma Pharmaceuticals USA, Inc.</v>
      </c>
      <c r="C939" s="5" t="str">
        <f>IFERROR(__xludf.DUMMYFUNCTION("""COMPUTED_VALUE"""),"Lidocaine Hydrochloride, Preservative Free, Injection, 20 mg/1 mL (NDC 0143-9594-25)")</f>
        <v>Lidocaine Hydrochloride, Preservative Free, Injection, 20 mg/1 mL (NDC 0143-9594-25)</v>
      </c>
      <c r="D939" s="5" t="str">
        <f>IFERROR(__xludf.DUMMYFUNCTION("""COMPUTED_VALUE"""),"Reverified")</f>
        <v>Reverified</v>
      </c>
      <c r="E939" s="13">
        <f>IFERROR(__xludf.DUMMYFUNCTION("""COMPUTED_VALUE"""),46309.0)</f>
        <v>46309</v>
      </c>
      <c r="F939" s="5" t="str">
        <f>IFERROR(__xludf.DUMMYFUNCTION("""COMPUTED_VALUE"""),"Available")</f>
        <v>Available</v>
      </c>
      <c r="G939" s="5" t="str">
        <f>IFERROR(__xludf.DUMMYFUNCTION("""COMPUTED_VALUE"""),"Additional lots are scheduled to be manufactured.  Product will be made available as it is released.")</f>
        <v>Additional lots are scheduled to be manufactured.  Product will be made available as it is released.</v>
      </c>
      <c r="H939" s="5"/>
      <c r="I939" s="5"/>
      <c r="J939" s="5" t="str">
        <f>IFERROR(__xludf.DUMMYFUNCTION("""COMPUTED_VALUE"""),"Anesthesia")</f>
        <v>Anesthesia</v>
      </c>
      <c r="K939" s="5" t="str">
        <f>IFERROR(__xludf.DUMMYFUNCTION("""COMPUTED_VALUE"""),"Current")</f>
        <v>Current</v>
      </c>
      <c r="L939" s="5"/>
      <c r="M939" s="5"/>
      <c r="N939" s="10">
        <f>IFERROR(__xludf.DUMMYFUNCTION("""COMPUTED_VALUE"""),43264.0)</f>
        <v>43264</v>
      </c>
      <c r="O939" s="5">
        <v>2018.0</v>
      </c>
      <c r="P939" s="5" t="str">
        <f>IFERROR(__xludf.DUMMYFUNCTION("""COMPUTED_VALUE"""),"Available")</f>
        <v>Available</v>
      </c>
      <c r="Q939" s="5" t="s">
        <v>135</v>
      </c>
      <c r="R939" s="5" t="s">
        <v>136</v>
      </c>
      <c r="S939" s="11">
        <v>3057.0</v>
      </c>
    </row>
    <row r="940">
      <c r="A940" s="5" t="str">
        <f>IFERROR(__xludf.DUMMYFUNCTION("""COMPUTED_VALUE"""),"Lidocaine Hydrochloride Injection")</f>
        <v>Lidocaine Hydrochloride Injection</v>
      </c>
      <c r="B940" s="5" t="str">
        <f>IFERROR(__xludf.DUMMYFUNCTION("""COMPUTED_VALUE"""),"Hikma Pharmaceuticals USA, Inc.")</f>
        <v>Hikma Pharmaceuticals USA, Inc.</v>
      </c>
      <c r="C940" s="5" t="str">
        <f>IFERROR(__xludf.DUMMYFUNCTION("""COMPUTED_VALUE"""),"Lidocaine Hydrochloride, Injection, 10 mg/1 mL (NDC 0143-9577-10)")</f>
        <v>Lidocaine Hydrochloride, Injection, 10 mg/1 mL (NDC 0143-9577-10)</v>
      </c>
      <c r="D940" s="5" t="str">
        <f>IFERROR(__xludf.DUMMYFUNCTION("""COMPUTED_VALUE"""),"Reverified")</f>
        <v>Reverified</v>
      </c>
      <c r="E940" s="13">
        <f>IFERROR(__xludf.DUMMYFUNCTION("""COMPUTED_VALUE"""),46309.0)</f>
        <v>46309</v>
      </c>
      <c r="F940" s="5" t="str">
        <f>IFERROR(__xludf.DUMMYFUNCTION("""COMPUTED_VALUE"""),"Available")</f>
        <v>Available</v>
      </c>
      <c r="G940" s="5" t="str">
        <f>IFERROR(__xludf.DUMMYFUNCTION("""COMPUTED_VALUE"""),"Additional lots are scheduled for manufacturing to meet demand.  Product will be made available as it is released.")</f>
        <v>Additional lots are scheduled for manufacturing to meet demand.  Product will be made available as it is released.</v>
      </c>
      <c r="H940" s="5"/>
      <c r="I940" s="5"/>
      <c r="J940" s="5" t="str">
        <f>IFERROR(__xludf.DUMMYFUNCTION("""COMPUTED_VALUE"""),"Anesthesia")</f>
        <v>Anesthesia</v>
      </c>
      <c r="K940" s="5" t="str">
        <f>IFERROR(__xludf.DUMMYFUNCTION("""COMPUTED_VALUE"""),"Current")</f>
        <v>Current</v>
      </c>
      <c r="L940" s="5"/>
      <c r="M940" s="5"/>
      <c r="N940" s="10">
        <f>IFERROR(__xludf.DUMMYFUNCTION("""COMPUTED_VALUE"""),43264.0)</f>
        <v>43264</v>
      </c>
      <c r="O940" s="5">
        <v>2018.0</v>
      </c>
      <c r="P940" s="5" t="str">
        <f>IFERROR(__xludf.DUMMYFUNCTION("""COMPUTED_VALUE"""),"Available")</f>
        <v>Available</v>
      </c>
      <c r="Q940" s="5" t="s">
        <v>135</v>
      </c>
      <c r="R940" s="5" t="s">
        <v>136</v>
      </c>
      <c r="S940" s="11">
        <v>3057.0</v>
      </c>
    </row>
    <row r="941">
      <c r="A941" s="5" t="str">
        <f>IFERROR(__xludf.DUMMYFUNCTION("""COMPUTED_VALUE"""),"Lidocaine Hydrochloride Injection")</f>
        <v>Lidocaine Hydrochloride Injection</v>
      </c>
      <c r="B941" s="5" t="str">
        <f>IFERROR(__xludf.DUMMYFUNCTION("""COMPUTED_VALUE"""),"Hikma Pharmaceuticals USA, Inc.")</f>
        <v>Hikma Pharmaceuticals USA, Inc.</v>
      </c>
      <c r="C941" s="5" t="str">
        <f>IFERROR(__xludf.DUMMYFUNCTION("""COMPUTED_VALUE"""),"Lidocaine Hydrochloride, Injection, 20 mg/1 mL (NDC 0143-9575-10)")</f>
        <v>Lidocaine Hydrochloride, Injection, 20 mg/1 mL (NDC 0143-9575-10)</v>
      </c>
      <c r="D941" s="5" t="str">
        <f>IFERROR(__xludf.DUMMYFUNCTION("""COMPUTED_VALUE"""),"Reverified")</f>
        <v>Reverified</v>
      </c>
      <c r="E941" s="13">
        <f>IFERROR(__xludf.DUMMYFUNCTION("""COMPUTED_VALUE"""),46309.0)</f>
        <v>46309</v>
      </c>
      <c r="F941" s="5" t="str">
        <f>IFERROR(__xludf.DUMMYFUNCTION("""COMPUTED_VALUE"""),"Available")</f>
        <v>Available</v>
      </c>
      <c r="G941" s="5" t="str">
        <f>IFERROR(__xludf.DUMMYFUNCTION("""COMPUTED_VALUE"""),"Additional lots are scheduled for manufacturing to meet demand.  Product will be made available as it is released.")</f>
        <v>Additional lots are scheduled for manufacturing to meet demand.  Product will be made available as it is released.</v>
      </c>
      <c r="H941" s="5"/>
      <c r="I941" s="5"/>
      <c r="J941" s="5" t="str">
        <f>IFERROR(__xludf.DUMMYFUNCTION("""COMPUTED_VALUE"""),"Anesthesia")</f>
        <v>Anesthesia</v>
      </c>
      <c r="K941" s="5" t="str">
        <f>IFERROR(__xludf.DUMMYFUNCTION("""COMPUTED_VALUE"""),"Current")</f>
        <v>Current</v>
      </c>
      <c r="L941" s="5"/>
      <c r="M941" s="5"/>
      <c r="N941" s="10">
        <f>IFERROR(__xludf.DUMMYFUNCTION("""COMPUTED_VALUE"""),43264.0)</f>
        <v>43264</v>
      </c>
      <c r="O941" s="5">
        <v>2018.0</v>
      </c>
      <c r="P941" s="5" t="str">
        <f>IFERROR(__xludf.DUMMYFUNCTION("""COMPUTED_VALUE"""),"Available")</f>
        <v>Available</v>
      </c>
      <c r="Q941" s="5" t="s">
        <v>135</v>
      </c>
      <c r="R941" s="5" t="s">
        <v>136</v>
      </c>
      <c r="S941" s="11">
        <v>3057.0</v>
      </c>
    </row>
    <row r="942">
      <c r="A942" s="5" t="str">
        <f>IFERROR(__xludf.DUMMYFUNCTION("""COMPUTED_VALUE"""),"Lidocaine Hydrochloride Injection")</f>
        <v>Lidocaine Hydrochloride Injection</v>
      </c>
      <c r="B942" s="5" t="str">
        <f>IFERROR(__xludf.DUMMYFUNCTION("""COMPUTED_VALUE"""),"Spectra Medical Devices, LLC")</f>
        <v>Spectra Medical Devices, LLC</v>
      </c>
      <c r="C942" s="5" t="str">
        <f>IFERROR(__xludf.DUMMYFUNCTION("""COMPUTED_VALUE"""),"Lidocaine Hydrochloride, Injection, 10 mg/1 mL (NDC 65282-1605-1)")</f>
        <v>Lidocaine Hydrochloride, Injection, 10 mg/1 mL (NDC 65282-1605-1)</v>
      </c>
      <c r="D942" s="5" t="str">
        <f>IFERROR(__xludf.DUMMYFUNCTION("""COMPUTED_VALUE"""),"Reverified")</f>
        <v>Reverified</v>
      </c>
      <c r="E942" s="10">
        <f>IFERROR(__xludf.DUMMYFUNCTION("""COMPUTED_VALUE"""),46303.0)</f>
        <v>46303</v>
      </c>
      <c r="F942" s="5" t="str">
        <f>IFERROR(__xludf.DUMMYFUNCTION("""COMPUTED_VALUE"""),"Unavailable")</f>
        <v>Unavailable</v>
      </c>
      <c r="G942" s="5" t="str">
        <f>IFERROR(__xludf.DUMMYFUNCTION("""COMPUTED_VALUE"""),"Estimated recovery: TBD")</f>
        <v>Estimated recovery: TBD</v>
      </c>
      <c r="H942" s="5"/>
      <c r="I942" s="5" t="str">
        <f>IFERROR(__xludf.DUMMYFUNCTION("""COMPUTED_VALUE"""),"Other")</f>
        <v>Other</v>
      </c>
      <c r="J942" s="5" t="str">
        <f>IFERROR(__xludf.DUMMYFUNCTION("""COMPUTED_VALUE"""),"Anesthesia")</f>
        <v>Anesthesia</v>
      </c>
      <c r="K942" s="5" t="str">
        <f>IFERROR(__xludf.DUMMYFUNCTION("""COMPUTED_VALUE"""),"Current")</f>
        <v>Current</v>
      </c>
      <c r="L942" s="5"/>
      <c r="M942" s="5"/>
      <c r="N942" s="10">
        <f>IFERROR(__xludf.DUMMYFUNCTION("""COMPUTED_VALUE"""),43265.0)</f>
        <v>43265</v>
      </c>
      <c r="O942" s="5">
        <v>2018.0</v>
      </c>
      <c r="P942" s="5" t="str">
        <f>IFERROR(__xludf.DUMMYFUNCTION("""COMPUTED_VALUE"""),"Unavailable")</f>
        <v>Unavailable</v>
      </c>
      <c r="Q942" s="5" t="s">
        <v>47</v>
      </c>
      <c r="R942" s="5" t="s">
        <v>136</v>
      </c>
      <c r="S942" s="11">
        <v>3056.0</v>
      </c>
    </row>
    <row r="943">
      <c r="A943" s="5" t="str">
        <f>IFERROR(__xludf.DUMMYFUNCTION("""COMPUTED_VALUE"""),"Lidocaine Hydrochloride Injection")</f>
        <v>Lidocaine Hydrochloride Injection</v>
      </c>
      <c r="B943" s="5" t="str">
        <f>IFERROR(__xludf.DUMMYFUNCTION("""COMPUTED_VALUE"""),"Fresenius Kabi USA, LLC")</f>
        <v>Fresenius Kabi USA, LLC</v>
      </c>
      <c r="C943" s="5" t="str">
        <f>IFERROR(__xludf.DUMMYFUNCTION("""COMPUTED_VALUE"""),"Xylocaine, Injection, 10 mg/1 mL (NDC 63323-492-31)")</f>
        <v>Xylocaine, Injection, 10 mg/1 mL (NDC 63323-492-31)</v>
      </c>
      <c r="D943" s="5" t="str">
        <f>IFERROR(__xludf.DUMMYFUNCTION("""COMPUTED_VALUE"""),"Reverified")</f>
        <v>Reverified</v>
      </c>
      <c r="E943" s="13">
        <f>IFERROR(__xludf.DUMMYFUNCTION("""COMPUTED_VALUE"""),46310.0)</f>
        <v>46310</v>
      </c>
      <c r="F943" s="5" t="str">
        <f>IFERROR(__xludf.DUMMYFUNCTION("""COMPUTED_VALUE"""),"Unavailable")</f>
        <v>Unavailable</v>
      </c>
      <c r="G943" s="5" t="str">
        <f>IFERROR(__xludf.DUMMYFUNCTION("""COMPUTED_VALUE"""),"Estimated recovery: TBD")</f>
        <v>Estimated recovery: TBD</v>
      </c>
      <c r="H943" s="5"/>
      <c r="I943" s="5" t="str">
        <f>IFERROR(__xludf.DUMMYFUNCTION("""COMPUTED_VALUE"""),"Demand increase for the drug")</f>
        <v>Demand increase for the drug</v>
      </c>
      <c r="J943" s="5" t="str">
        <f>IFERROR(__xludf.DUMMYFUNCTION("""COMPUTED_VALUE"""),"Anesthesia; Pediatric")</f>
        <v>Anesthesia; Pediatric</v>
      </c>
      <c r="K943" s="5" t="str">
        <f>IFERROR(__xludf.DUMMYFUNCTION("""COMPUTED_VALUE"""),"Current")</f>
        <v>Current</v>
      </c>
      <c r="L943" s="5"/>
      <c r="M943" s="5"/>
      <c r="N943" s="10">
        <f>IFERROR(__xludf.DUMMYFUNCTION("""COMPUTED_VALUE"""),40961.0)</f>
        <v>40961</v>
      </c>
      <c r="O943" s="5">
        <v>2012.0</v>
      </c>
      <c r="P943" s="5" t="str">
        <f>IFERROR(__xludf.DUMMYFUNCTION("""COMPUTED_VALUE"""),"Unavailable")</f>
        <v>Unavailable</v>
      </c>
      <c r="Q943" s="5" t="s">
        <v>134</v>
      </c>
      <c r="R943" s="5" t="s">
        <v>136</v>
      </c>
      <c r="S943" s="11">
        <v>5360.0</v>
      </c>
    </row>
    <row r="944">
      <c r="A944" s="5" t="str">
        <f>IFERROR(__xludf.DUMMYFUNCTION("""COMPUTED_VALUE"""),"Lidocaine Hydrochloride Injection")</f>
        <v>Lidocaine Hydrochloride Injection</v>
      </c>
      <c r="B944" s="5" t="str">
        <f>IFERROR(__xludf.DUMMYFUNCTION("""COMPUTED_VALUE"""),"Baxter Healthcare")</f>
        <v>Baxter Healthcare</v>
      </c>
      <c r="C944" s="5" t="str">
        <f>IFERROR(__xludf.DUMMYFUNCTION("""COMPUTED_VALUE"""),"Lidocaine Hydrochloride And Dextrose, Injection, 4 mg/1 mL (NDC 0338-0409-03)")</f>
        <v>Lidocaine Hydrochloride And Dextrose, Injection, 4 mg/1 mL (NDC 0338-0409-03)</v>
      </c>
      <c r="D944" s="5" t="str">
        <f>IFERROR(__xludf.DUMMYFUNCTION("""COMPUTED_VALUE"""),"Reverified")</f>
        <v>Reverified</v>
      </c>
      <c r="E944" s="13">
        <f>IFERROR(__xludf.DUMMYFUNCTION("""COMPUTED_VALUE"""),46311.0)</f>
        <v>46311</v>
      </c>
      <c r="F944" s="5" t="str">
        <f>IFERROR(__xludf.DUMMYFUNCTION("""COMPUTED_VALUE"""),"Available")</f>
        <v>Available</v>
      </c>
      <c r="G944" s="5"/>
      <c r="H944" s="5"/>
      <c r="I944" s="5"/>
      <c r="J944" s="5" t="str">
        <f>IFERROR(__xludf.DUMMYFUNCTION("""COMPUTED_VALUE"""),"Cardiovascular")</f>
        <v>Cardiovascular</v>
      </c>
      <c r="K944" s="5" t="str">
        <f>IFERROR(__xludf.DUMMYFUNCTION("""COMPUTED_VALUE"""),"Current")</f>
        <v>Current</v>
      </c>
      <c r="L944" s="5"/>
      <c r="M944" s="5"/>
      <c r="N944" s="13">
        <f>IFERROR(__xludf.DUMMYFUNCTION("""COMPUTED_VALUE"""),43033.0)</f>
        <v>43033</v>
      </c>
      <c r="O944" s="5">
        <v>2017.0</v>
      </c>
      <c r="P944" s="5" t="str">
        <f>IFERROR(__xludf.DUMMYFUNCTION("""COMPUTED_VALUE"""),"Available")</f>
        <v>Available</v>
      </c>
      <c r="Q944" s="5" t="s">
        <v>135</v>
      </c>
      <c r="R944" s="5" t="s">
        <v>136</v>
      </c>
      <c r="S944" s="11">
        <v>3288.0</v>
      </c>
    </row>
    <row r="945">
      <c r="A945" s="5" t="str">
        <f>IFERROR(__xludf.DUMMYFUNCTION("""COMPUTED_VALUE"""),"Lidocaine Hydrochloride Injection")</f>
        <v>Lidocaine Hydrochloride Injection</v>
      </c>
      <c r="B945" s="5" t="str">
        <f>IFERROR(__xludf.DUMMYFUNCTION("""COMPUTED_VALUE"""),"Baxter Healthcare")</f>
        <v>Baxter Healthcare</v>
      </c>
      <c r="C945" s="5" t="str">
        <f>IFERROR(__xludf.DUMMYFUNCTION("""COMPUTED_VALUE"""),"Lidocaine Hydrochloride And Dextrose, Injection, 8 mg/1 mL (NDC 0338-0411-02)")</f>
        <v>Lidocaine Hydrochloride And Dextrose, Injection, 8 mg/1 mL (NDC 0338-0411-02)</v>
      </c>
      <c r="D945" s="5" t="str">
        <f>IFERROR(__xludf.DUMMYFUNCTION("""COMPUTED_VALUE"""),"Reverified")</f>
        <v>Reverified</v>
      </c>
      <c r="E945" s="13">
        <f>IFERROR(__xludf.DUMMYFUNCTION("""COMPUTED_VALUE"""),46311.0)</f>
        <v>46311</v>
      </c>
      <c r="F945" s="5" t="str">
        <f>IFERROR(__xludf.DUMMYFUNCTION("""COMPUTED_VALUE"""),"Available")</f>
        <v>Available</v>
      </c>
      <c r="G945" s="5"/>
      <c r="H945" s="5"/>
      <c r="I945" s="5"/>
      <c r="J945" s="5" t="str">
        <f>IFERROR(__xludf.DUMMYFUNCTION("""COMPUTED_VALUE"""),"Cardiovascular")</f>
        <v>Cardiovascular</v>
      </c>
      <c r="K945" s="5" t="str">
        <f>IFERROR(__xludf.DUMMYFUNCTION("""COMPUTED_VALUE"""),"Current")</f>
        <v>Current</v>
      </c>
      <c r="L945" s="5"/>
      <c r="M945" s="5"/>
      <c r="N945" s="13">
        <f>IFERROR(__xludf.DUMMYFUNCTION("""COMPUTED_VALUE"""),43033.0)</f>
        <v>43033</v>
      </c>
      <c r="O945" s="5">
        <v>2017.0</v>
      </c>
      <c r="P945" s="5" t="str">
        <f>IFERROR(__xludf.DUMMYFUNCTION("""COMPUTED_VALUE"""),"Available")</f>
        <v>Available</v>
      </c>
      <c r="Q945" s="5" t="s">
        <v>135</v>
      </c>
      <c r="R945" s="5" t="s">
        <v>136</v>
      </c>
      <c r="S945" s="11">
        <v>3288.0</v>
      </c>
    </row>
    <row r="946">
      <c r="A946" s="5" t="str">
        <f>IFERROR(__xludf.DUMMYFUNCTION("""COMPUTED_VALUE"""),"Lidocaine Hydrochloride Injection")</f>
        <v>Lidocaine Hydrochloride Injection</v>
      </c>
      <c r="B946" s="5" t="str">
        <f>IFERROR(__xludf.DUMMYFUNCTION("""COMPUTED_VALUE"""),"B. Braun Medical Inc.")</f>
        <v>B. Braun Medical Inc.</v>
      </c>
      <c r="C946" s="5" t="str">
        <f>IFERROR(__xludf.DUMMYFUNCTION("""COMPUTED_VALUE"""),"Lidocaine Hydrochloride And Dextrose, Injection, 5 g/100 mL; .8 g/100 mL (NDC 0264-9598-20)")</f>
        <v>Lidocaine Hydrochloride And Dextrose, Injection, 5 g/100 mL; .8 g/100 mL (NDC 0264-9598-20)</v>
      </c>
      <c r="D946" s="5" t="str">
        <f>IFERROR(__xludf.DUMMYFUNCTION("""COMPUTED_VALUE"""),"Reverified")</f>
        <v>Reverified</v>
      </c>
      <c r="E946" s="13">
        <f>IFERROR(__xludf.DUMMYFUNCTION("""COMPUTED_VALUE"""),46314.0)</f>
        <v>46314</v>
      </c>
      <c r="F946" s="5" t="str">
        <f>IFERROR(__xludf.DUMMYFUNCTION("""COMPUTED_VALUE"""),"Available")</f>
        <v>Available</v>
      </c>
      <c r="G946" s="5"/>
      <c r="H946" s="5"/>
      <c r="I946" s="5"/>
      <c r="J946" s="5" t="str">
        <f>IFERROR(__xludf.DUMMYFUNCTION("""COMPUTED_VALUE"""),"Cardiovascular")</f>
        <v>Cardiovascular</v>
      </c>
      <c r="K946" s="5" t="str">
        <f>IFERROR(__xludf.DUMMYFUNCTION("""COMPUTED_VALUE"""),"Current")</f>
        <v>Current</v>
      </c>
      <c r="L946" s="5"/>
      <c r="M946" s="5"/>
      <c r="N946" s="13">
        <f>IFERROR(__xludf.DUMMYFUNCTION("""COMPUTED_VALUE"""),43033.0)</f>
        <v>43033</v>
      </c>
      <c r="O946" s="5">
        <v>2017.0</v>
      </c>
      <c r="P946" s="5" t="str">
        <f>IFERROR(__xludf.DUMMYFUNCTION("""COMPUTED_VALUE"""),"Available")</f>
        <v>Available</v>
      </c>
      <c r="Q946" s="5" t="s">
        <v>135</v>
      </c>
      <c r="R946" s="5" t="s">
        <v>136</v>
      </c>
      <c r="S946" s="11">
        <v>3288.0</v>
      </c>
    </row>
    <row r="947">
      <c r="A947" s="5" t="str">
        <f>IFERROR(__xludf.DUMMYFUNCTION("""COMPUTED_VALUE"""),"Lidocaine Hydrochloride Injection")</f>
        <v>Lidocaine Hydrochloride Injection</v>
      </c>
      <c r="B947" s="5" t="str">
        <f>IFERROR(__xludf.DUMMYFUNCTION("""COMPUTED_VALUE"""),"B. Braun Medical Inc.")</f>
        <v>B. Braun Medical Inc.</v>
      </c>
      <c r="C947" s="5" t="str">
        <f>IFERROR(__xludf.DUMMYFUNCTION("""COMPUTED_VALUE"""),"Lidocaine Hydrochloride And Dextrose, Injection, 5 g/100 mL; .4 g/100 mL (NDC 0264-9594-20)")</f>
        <v>Lidocaine Hydrochloride And Dextrose, Injection, 5 g/100 mL; .4 g/100 mL (NDC 0264-9594-20)</v>
      </c>
      <c r="D947" s="5" t="str">
        <f>IFERROR(__xludf.DUMMYFUNCTION("""COMPUTED_VALUE"""),"Reverified")</f>
        <v>Reverified</v>
      </c>
      <c r="E947" s="13">
        <f>IFERROR(__xludf.DUMMYFUNCTION("""COMPUTED_VALUE"""),46314.0)</f>
        <v>46314</v>
      </c>
      <c r="F947" s="5" t="str">
        <f>IFERROR(__xludf.DUMMYFUNCTION("""COMPUTED_VALUE"""),"Available")</f>
        <v>Available</v>
      </c>
      <c r="G947" s="5"/>
      <c r="H947" s="5"/>
      <c r="I947" s="5"/>
      <c r="J947" s="5" t="str">
        <f>IFERROR(__xludf.DUMMYFUNCTION("""COMPUTED_VALUE"""),"Cardiovascular")</f>
        <v>Cardiovascular</v>
      </c>
      <c r="K947" s="5" t="str">
        <f>IFERROR(__xludf.DUMMYFUNCTION("""COMPUTED_VALUE"""),"Current")</f>
        <v>Current</v>
      </c>
      <c r="L947" s="5"/>
      <c r="M947" s="5"/>
      <c r="N947" s="13">
        <f>IFERROR(__xludf.DUMMYFUNCTION("""COMPUTED_VALUE"""),43033.0)</f>
        <v>43033</v>
      </c>
      <c r="O947" s="5">
        <v>2017.0</v>
      </c>
      <c r="P947" s="5" t="str">
        <f>IFERROR(__xludf.DUMMYFUNCTION("""COMPUTED_VALUE"""),"Available")</f>
        <v>Available</v>
      </c>
      <c r="Q947" s="5" t="s">
        <v>135</v>
      </c>
      <c r="R947" s="5" t="s">
        <v>136</v>
      </c>
      <c r="S947" s="11">
        <v>3288.0</v>
      </c>
    </row>
    <row r="948">
      <c r="A948" s="5" t="str">
        <f>IFERROR(__xludf.DUMMYFUNCTION("""COMPUTED_VALUE"""),"Lidocaine Hydrochloride Injection")</f>
        <v>Lidocaine Hydrochloride Injection</v>
      </c>
      <c r="B948" s="5" t="str">
        <f>IFERROR(__xludf.DUMMYFUNCTION("""COMPUTED_VALUE"""),"B. Braun Medical Inc.")</f>
        <v>B. Braun Medical Inc.</v>
      </c>
      <c r="C948" s="5" t="str">
        <f>IFERROR(__xludf.DUMMYFUNCTION("""COMPUTED_VALUE"""),"Lidocaine Hydrochloride And Dextrose, Injection, 5 g/100 mL; .4 g/100 mL (NDC 0264-9594-10)")</f>
        <v>Lidocaine Hydrochloride And Dextrose, Injection, 5 g/100 mL; .4 g/100 mL (NDC 0264-9594-10)</v>
      </c>
      <c r="D948" s="5" t="str">
        <f>IFERROR(__xludf.DUMMYFUNCTION("""COMPUTED_VALUE"""),"Reverified")</f>
        <v>Reverified</v>
      </c>
      <c r="E948" s="13">
        <f>IFERROR(__xludf.DUMMYFUNCTION("""COMPUTED_VALUE"""),46314.0)</f>
        <v>46314</v>
      </c>
      <c r="F948" s="5" t="str">
        <f>IFERROR(__xludf.DUMMYFUNCTION("""COMPUTED_VALUE"""),"Available")</f>
        <v>Available</v>
      </c>
      <c r="G948" s="5"/>
      <c r="H948" s="5"/>
      <c r="I948" s="5"/>
      <c r="J948" s="5" t="str">
        <f>IFERROR(__xludf.DUMMYFUNCTION("""COMPUTED_VALUE"""),"Cardiovascular")</f>
        <v>Cardiovascular</v>
      </c>
      <c r="K948" s="5" t="str">
        <f>IFERROR(__xludf.DUMMYFUNCTION("""COMPUTED_VALUE"""),"Current")</f>
        <v>Current</v>
      </c>
      <c r="L948" s="5"/>
      <c r="M948" s="5"/>
      <c r="N948" s="13">
        <f>IFERROR(__xludf.DUMMYFUNCTION("""COMPUTED_VALUE"""),43033.0)</f>
        <v>43033</v>
      </c>
      <c r="O948" s="5">
        <v>2017.0</v>
      </c>
      <c r="P948" s="5" t="str">
        <f>IFERROR(__xludf.DUMMYFUNCTION("""COMPUTED_VALUE"""),"Available")</f>
        <v>Available</v>
      </c>
      <c r="Q948" s="5" t="s">
        <v>135</v>
      </c>
      <c r="R948" s="5" t="s">
        <v>136</v>
      </c>
      <c r="S948" s="11">
        <v>3288.0</v>
      </c>
    </row>
    <row r="949">
      <c r="A949" s="5" t="str">
        <f>IFERROR(__xludf.DUMMYFUNCTION("""COMPUTED_VALUE"""),"Lidocaine Hydrochloride Injection")</f>
        <v>Lidocaine Hydrochloride Injection</v>
      </c>
      <c r="B949" s="5" t="str">
        <f>IFERROR(__xludf.DUMMYFUNCTION("""COMPUTED_VALUE"""),"Fresenius Kabi USA, LLC")</f>
        <v>Fresenius Kabi USA, LLC</v>
      </c>
      <c r="C949" s="5" t="str">
        <f>IFERROR(__xludf.DUMMYFUNCTION("""COMPUTED_VALUE"""),"Xylocaine, Injection, 5 mg/1 mL (NDC 63323-484-57)")</f>
        <v>Xylocaine, Injection, 5 mg/1 mL (NDC 63323-484-57)</v>
      </c>
      <c r="D949" s="5" t="str">
        <f>IFERROR(__xludf.DUMMYFUNCTION("""COMPUTED_VALUE"""),"Reverified")</f>
        <v>Reverified</v>
      </c>
      <c r="E949" s="13">
        <f>IFERROR(__xludf.DUMMYFUNCTION("""COMPUTED_VALUE"""),46310.0)</f>
        <v>46310</v>
      </c>
      <c r="F949" s="5" t="str">
        <f>IFERROR(__xludf.DUMMYFUNCTION("""COMPUTED_VALUE"""),"Unavailable")</f>
        <v>Unavailable</v>
      </c>
      <c r="G949" s="5" t="str">
        <f>IFERROR(__xludf.DUMMYFUNCTION("""COMPUTED_VALUE"""),"Estimated recovery: TBD")</f>
        <v>Estimated recovery: TBD</v>
      </c>
      <c r="H949" s="5"/>
      <c r="I949" s="5" t="str">
        <f>IFERROR(__xludf.DUMMYFUNCTION("""COMPUTED_VALUE"""),"Demand increase for the drug")</f>
        <v>Demand increase for the drug</v>
      </c>
      <c r="J949" s="5" t="str">
        <f>IFERROR(__xludf.DUMMYFUNCTION("""COMPUTED_VALUE"""),"Anesthesia; Pediatric")</f>
        <v>Anesthesia; Pediatric</v>
      </c>
      <c r="K949" s="5" t="str">
        <f>IFERROR(__xludf.DUMMYFUNCTION("""COMPUTED_VALUE"""),"Current")</f>
        <v>Current</v>
      </c>
      <c r="L949" s="5"/>
      <c r="M949" s="5"/>
      <c r="N949" s="10">
        <f>IFERROR(__xludf.DUMMYFUNCTION("""COMPUTED_VALUE"""),40961.0)</f>
        <v>40961</v>
      </c>
      <c r="O949" s="5">
        <v>2012.0</v>
      </c>
      <c r="P949" s="5" t="str">
        <f>IFERROR(__xludf.DUMMYFUNCTION("""COMPUTED_VALUE"""),"Unavailable")</f>
        <v>Unavailable</v>
      </c>
      <c r="Q949" s="5" t="s">
        <v>134</v>
      </c>
      <c r="R949" s="5" t="s">
        <v>136</v>
      </c>
      <c r="S949" s="11">
        <v>5360.0</v>
      </c>
    </row>
    <row r="950">
      <c r="A950" s="5" t="str">
        <f>IFERROR(__xludf.DUMMYFUNCTION("""COMPUTED_VALUE"""),"Lidocaine Hydrochloride Injection")</f>
        <v>Lidocaine Hydrochloride Injection</v>
      </c>
      <c r="B950" s="5" t="str">
        <f>IFERROR(__xludf.DUMMYFUNCTION("""COMPUTED_VALUE"""),"Fresenius Kabi USA, LLC")</f>
        <v>Fresenius Kabi USA, LLC</v>
      </c>
      <c r="C950" s="5" t="str">
        <f>IFERROR(__xludf.DUMMYFUNCTION("""COMPUTED_VALUE"""),"Xylocaine, Injection, 5 mg/1 mL (NDC 63323-491-57)")</f>
        <v>Xylocaine, Injection, 5 mg/1 mL (NDC 63323-491-57)</v>
      </c>
      <c r="D950" s="5" t="str">
        <f>IFERROR(__xludf.DUMMYFUNCTION("""COMPUTED_VALUE"""),"Reverified")</f>
        <v>Reverified</v>
      </c>
      <c r="E950" s="13">
        <f>IFERROR(__xludf.DUMMYFUNCTION("""COMPUTED_VALUE"""),46310.0)</f>
        <v>46310</v>
      </c>
      <c r="F950" s="5" t="str">
        <f>IFERROR(__xludf.DUMMYFUNCTION("""COMPUTED_VALUE"""),"Available")</f>
        <v>Available</v>
      </c>
      <c r="G950" s="5" t="str">
        <f>IFERROR(__xludf.DUMMYFUNCTION("""COMPUTED_VALUE"""),"Check wholesalers for inventory")</f>
        <v>Check wholesalers for inventory</v>
      </c>
      <c r="H950" s="5"/>
      <c r="I950" s="5"/>
      <c r="J950" s="5" t="str">
        <f>IFERROR(__xludf.DUMMYFUNCTION("""COMPUTED_VALUE"""),"Anesthesia; Pediatric")</f>
        <v>Anesthesia; Pediatric</v>
      </c>
      <c r="K950" s="5" t="str">
        <f>IFERROR(__xludf.DUMMYFUNCTION("""COMPUTED_VALUE"""),"Current")</f>
        <v>Current</v>
      </c>
      <c r="L950" s="5"/>
      <c r="M950" s="5"/>
      <c r="N950" s="10">
        <f>IFERROR(__xludf.DUMMYFUNCTION("""COMPUTED_VALUE"""),40961.0)</f>
        <v>40961</v>
      </c>
      <c r="O950" s="5">
        <v>2012.0</v>
      </c>
      <c r="P950" s="5" t="str">
        <f>IFERROR(__xludf.DUMMYFUNCTION("""COMPUTED_VALUE"""),"Available")</f>
        <v>Available</v>
      </c>
      <c r="Q950" s="5" t="s">
        <v>135</v>
      </c>
      <c r="R950" s="5" t="s">
        <v>136</v>
      </c>
      <c r="S950" s="11">
        <v>5360.0</v>
      </c>
    </row>
    <row r="951">
      <c r="A951" s="5" t="str">
        <f>IFERROR(__xludf.DUMMYFUNCTION("""COMPUTED_VALUE"""),"Lidocaine Hydrochloride Injection")</f>
        <v>Lidocaine Hydrochloride Injection</v>
      </c>
      <c r="B951" s="5" t="str">
        <f>IFERROR(__xludf.DUMMYFUNCTION("""COMPUTED_VALUE"""),"Fresenius Kabi USA, LLC")</f>
        <v>Fresenius Kabi USA, LLC</v>
      </c>
      <c r="C951" s="5" t="str">
        <f>IFERROR(__xludf.DUMMYFUNCTION("""COMPUTED_VALUE"""),"Lidocaine Hydrochloride In Plastic Container, Injection, 10 mg/1 mL (NDC 63323-201-02)")</f>
        <v>Lidocaine Hydrochloride In Plastic Container, Injection, 10 mg/1 mL (NDC 63323-201-02)</v>
      </c>
      <c r="D951" s="5" t="str">
        <f>IFERROR(__xludf.DUMMYFUNCTION("""COMPUTED_VALUE"""),"Reverified")</f>
        <v>Reverified</v>
      </c>
      <c r="E951" s="13">
        <f>IFERROR(__xludf.DUMMYFUNCTION("""COMPUTED_VALUE"""),46310.0)</f>
        <v>46310</v>
      </c>
      <c r="F951" s="5" t="str">
        <f>IFERROR(__xludf.DUMMYFUNCTION("""COMPUTED_VALUE"""),"Available")</f>
        <v>Available</v>
      </c>
      <c r="G951" s="5" t="str">
        <f>IFERROR(__xludf.DUMMYFUNCTION("""COMPUTED_VALUE"""),"Check wholesalers for inventory")</f>
        <v>Check wholesalers for inventory</v>
      </c>
      <c r="H951" s="5"/>
      <c r="I951" s="5"/>
      <c r="J951" s="5" t="str">
        <f>IFERROR(__xludf.DUMMYFUNCTION("""COMPUTED_VALUE"""),"Anesthesia; Pediatric")</f>
        <v>Anesthesia; Pediatric</v>
      </c>
      <c r="K951" s="5" t="str">
        <f>IFERROR(__xludf.DUMMYFUNCTION("""COMPUTED_VALUE"""),"Current")</f>
        <v>Current</v>
      </c>
      <c r="L951" s="5"/>
      <c r="M951" s="5"/>
      <c r="N951" s="10">
        <f>IFERROR(__xludf.DUMMYFUNCTION("""COMPUTED_VALUE"""),40961.0)</f>
        <v>40961</v>
      </c>
      <c r="O951" s="5">
        <v>2012.0</v>
      </c>
      <c r="P951" s="5" t="str">
        <f>IFERROR(__xludf.DUMMYFUNCTION("""COMPUTED_VALUE"""),"Available")</f>
        <v>Available</v>
      </c>
      <c r="Q951" s="5" t="s">
        <v>135</v>
      </c>
      <c r="R951" s="5" t="s">
        <v>136</v>
      </c>
      <c r="S951" s="11">
        <v>5360.0</v>
      </c>
    </row>
    <row r="952">
      <c r="A952" s="5" t="str">
        <f>IFERROR(__xludf.DUMMYFUNCTION("""COMPUTED_VALUE"""),"Lidocaine Hydrochloride Injection")</f>
        <v>Lidocaine Hydrochloride Injection</v>
      </c>
      <c r="B952" s="5" t="str">
        <f>IFERROR(__xludf.DUMMYFUNCTION("""COMPUTED_VALUE"""),"Fresenius Kabi USA, LLC")</f>
        <v>Fresenius Kabi USA, LLC</v>
      </c>
      <c r="C952" s="5" t="str">
        <f>IFERROR(__xludf.DUMMYFUNCTION("""COMPUTED_VALUE"""),"Lidocaine Hydrochloride, Injection, 10 mg/1 mL (NDC 63323-201-10)")</f>
        <v>Lidocaine Hydrochloride, Injection, 10 mg/1 mL (NDC 63323-201-10)</v>
      </c>
      <c r="D952" s="5" t="str">
        <f>IFERROR(__xludf.DUMMYFUNCTION("""COMPUTED_VALUE"""),"Reverified")</f>
        <v>Reverified</v>
      </c>
      <c r="E952" s="13">
        <f>IFERROR(__xludf.DUMMYFUNCTION("""COMPUTED_VALUE"""),46310.0)</f>
        <v>46310</v>
      </c>
      <c r="F952" s="5" t="str">
        <f>IFERROR(__xludf.DUMMYFUNCTION("""COMPUTED_VALUE"""),"Unavailable")</f>
        <v>Unavailable</v>
      </c>
      <c r="G952" s="5" t="str">
        <f>IFERROR(__xludf.DUMMYFUNCTION("""COMPUTED_VALUE"""),"Next release October 2026. Check wholesalers for inventory.")</f>
        <v>Next release October 2026. Check wholesalers for inventory.</v>
      </c>
      <c r="H952" s="5"/>
      <c r="I952" s="5" t="str">
        <f>IFERROR(__xludf.DUMMYFUNCTION("""COMPUTED_VALUE"""),"Demand increase for the drug")</f>
        <v>Demand increase for the drug</v>
      </c>
      <c r="J952" s="5" t="str">
        <f>IFERROR(__xludf.DUMMYFUNCTION("""COMPUTED_VALUE"""),"Anesthesia; Pediatric")</f>
        <v>Anesthesia; Pediatric</v>
      </c>
      <c r="K952" s="5" t="str">
        <f>IFERROR(__xludf.DUMMYFUNCTION("""COMPUTED_VALUE"""),"Current")</f>
        <v>Current</v>
      </c>
      <c r="L952" s="5"/>
      <c r="M952" s="5"/>
      <c r="N952" s="10">
        <f>IFERROR(__xludf.DUMMYFUNCTION("""COMPUTED_VALUE"""),40961.0)</f>
        <v>40961</v>
      </c>
      <c r="O952" s="5">
        <v>2012.0</v>
      </c>
      <c r="P952" s="5" t="str">
        <f>IFERROR(__xludf.DUMMYFUNCTION("""COMPUTED_VALUE"""),"Unavailable")</f>
        <v>Unavailable</v>
      </c>
      <c r="Q952" s="5" t="s">
        <v>134</v>
      </c>
      <c r="R952" s="5" t="s">
        <v>136</v>
      </c>
      <c r="S952" s="11">
        <v>5360.0</v>
      </c>
    </row>
    <row r="953">
      <c r="A953" s="5" t="str">
        <f>IFERROR(__xludf.DUMMYFUNCTION("""COMPUTED_VALUE"""),"Lidocaine Hydrochloride Injection")</f>
        <v>Lidocaine Hydrochloride Injection</v>
      </c>
      <c r="B953" s="5" t="str">
        <f>IFERROR(__xludf.DUMMYFUNCTION("""COMPUTED_VALUE"""),"Fresenius Kabi USA, LLC")</f>
        <v>Fresenius Kabi USA, LLC</v>
      </c>
      <c r="C953" s="5" t="str">
        <f>IFERROR(__xludf.DUMMYFUNCTION("""COMPUTED_VALUE"""),"Xylocaine, Injection, 10 mg/1 mL (NDC 63323-485-27)")</f>
        <v>Xylocaine, Injection, 10 mg/1 mL (NDC 63323-485-27)</v>
      </c>
      <c r="D953" s="5" t="str">
        <f>IFERROR(__xludf.DUMMYFUNCTION("""COMPUTED_VALUE"""),"Reverified")</f>
        <v>Reverified</v>
      </c>
      <c r="E953" s="13">
        <f>IFERROR(__xludf.DUMMYFUNCTION("""COMPUTED_VALUE"""),46310.0)</f>
        <v>46310</v>
      </c>
      <c r="F953" s="5" t="str">
        <f>IFERROR(__xludf.DUMMYFUNCTION("""COMPUTED_VALUE"""),"Available")</f>
        <v>Available</v>
      </c>
      <c r="G953" s="5" t="str">
        <f>IFERROR(__xludf.DUMMYFUNCTION("""COMPUTED_VALUE"""),"Check wholesalers for inventory")</f>
        <v>Check wholesalers for inventory</v>
      </c>
      <c r="H953" s="5"/>
      <c r="I953" s="5"/>
      <c r="J953" s="5" t="str">
        <f>IFERROR(__xludf.DUMMYFUNCTION("""COMPUTED_VALUE"""),"Anesthesia; Pediatric")</f>
        <v>Anesthesia; Pediatric</v>
      </c>
      <c r="K953" s="5" t="str">
        <f>IFERROR(__xludf.DUMMYFUNCTION("""COMPUTED_VALUE"""),"Current")</f>
        <v>Current</v>
      </c>
      <c r="L953" s="5"/>
      <c r="M953" s="5"/>
      <c r="N953" s="10">
        <f>IFERROR(__xludf.DUMMYFUNCTION("""COMPUTED_VALUE"""),40961.0)</f>
        <v>40961</v>
      </c>
      <c r="O953" s="5">
        <v>2012.0</v>
      </c>
      <c r="P953" s="5" t="str">
        <f>IFERROR(__xludf.DUMMYFUNCTION("""COMPUTED_VALUE"""),"Available")</f>
        <v>Available</v>
      </c>
      <c r="Q953" s="5" t="s">
        <v>135</v>
      </c>
      <c r="R953" s="5" t="s">
        <v>136</v>
      </c>
      <c r="S953" s="11">
        <v>5360.0</v>
      </c>
    </row>
    <row r="954">
      <c r="A954" s="5" t="str">
        <f>IFERROR(__xludf.DUMMYFUNCTION("""COMPUTED_VALUE"""),"Lidocaine Hydrochloride Injection")</f>
        <v>Lidocaine Hydrochloride Injection</v>
      </c>
      <c r="B954" s="5" t="str">
        <f>IFERROR(__xludf.DUMMYFUNCTION("""COMPUTED_VALUE"""),"Fresenius Kabi USA, LLC")</f>
        <v>Fresenius Kabi USA, LLC</v>
      </c>
      <c r="C954" s="5" t="str">
        <f>IFERROR(__xludf.DUMMYFUNCTION("""COMPUTED_VALUE"""),"Xylocaine, Injection, 10 mg/1 mL (NDC 63323-485-57)")</f>
        <v>Xylocaine, Injection, 10 mg/1 mL (NDC 63323-485-57)</v>
      </c>
      <c r="D954" s="5" t="str">
        <f>IFERROR(__xludf.DUMMYFUNCTION("""COMPUTED_VALUE"""),"Reverified")</f>
        <v>Reverified</v>
      </c>
      <c r="E954" s="13">
        <f>IFERROR(__xludf.DUMMYFUNCTION("""COMPUTED_VALUE"""),46310.0)</f>
        <v>46310</v>
      </c>
      <c r="F954" s="5" t="str">
        <f>IFERROR(__xludf.DUMMYFUNCTION("""COMPUTED_VALUE"""),"Unavailable")</f>
        <v>Unavailable</v>
      </c>
      <c r="G954" s="5" t="str">
        <f>IFERROR(__xludf.DUMMYFUNCTION("""COMPUTED_VALUE"""),"Next release October 2026. Check wholesalers for inventory.")</f>
        <v>Next release October 2026. Check wholesalers for inventory.</v>
      </c>
      <c r="H954" s="5"/>
      <c r="I954" s="5" t="str">
        <f>IFERROR(__xludf.DUMMYFUNCTION("""COMPUTED_VALUE"""),"Demand increase for the drug")</f>
        <v>Demand increase for the drug</v>
      </c>
      <c r="J954" s="5" t="str">
        <f>IFERROR(__xludf.DUMMYFUNCTION("""COMPUTED_VALUE"""),"Anesthesia; Pediatric")</f>
        <v>Anesthesia; Pediatric</v>
      </c>
      <c r="K954" s="5" t="str">
        <f>IFERROR(__xludf.DUMMYFUNCTION("""COMPUTED_VALUE"""),"Current")</f>
        <v>Current</v>
      </c>
      <c r="L954" s="5"/>
      <c r="M954" s="5"/>
      <c r="N954" s="10">
        <f>IFERROR(__xludf.DUMMYFUNCTION("""COMPUTED_VALUE"""),40961.0)</f>
        <v>40961</v>
      </c>
      <c r="O954" s="5">
        <v>2012.0</v>
      </c>
      <c r="P954" s="5" t="str">
        <f>IFERROR(__xludf.DUMMYFUNCTION("""COMPUTED_VALUE"""),"Unavailable")</f>
        <v>Unavailable</v>
      </c>
      <c r="Q954" s="5" t="s">
        <v>134</v>
      </c>
      <c r="R954" s="5" t="s">
        <v>136</v>
      </c>
      <c r="S954" s="11">
        <v>5360.0</v>
      </c>
    </row>
    <row r="955">
      <c r="A955" s="5" t="str">
        <f>IFERROR(__xludf.DUMMYFUNCTION("""COMPUTED_VALUE"""),"Lidocaine Hydrochloride Injection")</f>
        <v>Lidocaine Hydrochloride Injection</v>
      </c>
      <c r="B955" s="5" t="str">
        <f>IFERROR(__xludf.DUMMYFUNCTION("""COMPUTED_VALUE"""),"Fresenius Kabi USA, LLC")</f>
        <v>Fresenius Kabi USA, LLC</v>
      </c>
      <c r="C955" s="5" t="str">
        <f>IFERROR(__xludf.DUMMYFUNCTION("""COMPUTED_VALUE"""),"Xylocaine, Injection, 10 mg/1 mL (NDC 63323-492-27)")</f>
        <v>Xylocaine, Injection, 10 mg/1 mL (NDC 63323-492-27)</v>
      </c>
      <c r="D955" s="5" t="str">
        <f>IFERROR(__xludf.DUMMYFUNCTION("""COMPUTED_VALUE"""),"Reverified")</f>
        <v>Reverified</v>
      </c>
      <c r="E955" s="13">
        <f>IFERROR(__xludf.DUMMYFUNCTION("""COMPUTED_VALUE"""),46310.0)</f>
        <v>46310</v>
      </c>
      <c r="F955" s="5" t="str">
        <f>IFERROR(__xludf.DUMMYFUNCTION("""COMPUTED_VALUE"""),"Available")</f>
        <v>Available</v>
      </c>
      <c r="G955" s="5" t="str">
        <f>IFERROR(__xludf.DUMMYFUNCTION("""COMPUTED_VALUE"""),"Check wholesalers for inventory")</f>
        <v>Check wholesalers for inventory</v>
      </c>
      <c r="H955" s="5"/>
      <c r="I955" s="5"/>
      <c r="J955" s="5" t="str">
        <f>IFERROR(__xludf.DUMMYFUNCTION("""COMPUTED_VALUE"""),"Anesthesia; Pediatric")</f>
        <v>Anesthesia; Pediatric</v>
      </c>
      <c r="K955" s="5" t="str">
        <f>IFERROR(__xludf.DUMMYFUNCTION("""COMPUTED_VALUE"""),"Current")</f>
        <v>Current</v>
      </c>
      <c r="L955" s="5"/>
      <c r="M955" s="5"/>
      <c r="N955" s="10">
        <f>IFERROR(__xludf.DUMMYFUNCTION("""COMPUTED_VALUE"""),40961.0)</f>
        <v>40961</v>
      </c>
      <c r="O955" s="5">
        <v>2012.0</v>
      </c>
      <c r="P955" s="5" t="str">
        <f>IFERROR(__xludf.DUMMYFUNCTION("""COMPUTED_VALUE"""),"Available")</f>
        <v>Available</v>
      </c>
      <c r="Q955" s="5" t="s">
        <v>135</v>
      </c>
      <c r="R955" s="5" t="s">
        <v>136</v>
      </c>
      <c r="S955" s="11">
        <v>5360.0</v>
      </c>
    </row>
    <row r="956">
      <c r="A956" s="5" t="str">
        <f>IFERROR(__xludf.DUMMYFUNCTION("""COMPUTED_VALUE"""),"Lidocaine Hydrochloride Injection")</f>
        <v>Lidocaine Hydrochloride Injection</v>
      </c>
      <c r="B956" s="5" t="str">
        <f>IFERROR(__xludf.DUMMYFUNCTION("""COMPUTED_VALUE"""),"Fresenius Kabi USA, LLC")</f>
        <v>Fresenius Kabi USA, LLC</v>
      </c>
      <c r="C956" s="5" t="str">
        <f>IFERROR(__xludf.DUMMYFUNCTION("""COMPUTED_VALUE"""),"Xylocaine, Injection, 10 mg/1 mL (NDC 63323-492-57)")</f>
        <v>Xylocaine, Injection, 10 mg/1 mL (NDC 63323-492-57)</v>
      </c>
      <c r="D956" s="5" t="str">
        <f>IFERROR(__xludf.DUMMYFUNCTION("""COMPUTED_VALUE"""),"Reverified")</f>
        <v>Reverified</v>
      </c>
      <c r="E956" s="13">
        <f>IFERROR(__xludf.DUMMYFUNCTION("""COMPUTED_VALUE"""),46310.0)</f>
        <v>46310</v>
      </c>
      <c r="F956" s="5" t="str">
        <f>IFERROR(__xludf.DUMMYFUNCTION("""COMPUTED_VALUE"""),"Available")</f>
        <v>Available</v>
      </c>
      <c r="G956" s="5" t="str">
        <f>IFERROR(__xludf.DUMMYFUNCTION("""COMPUTED_VALUE"""),"Check wholesalers for inventory")</f>
        <v>Check wholesalers for inventory</v>
      </c>
      <c r="H956" s="5"/>
      <c r="I956" s="5"/>
      <c r="J956" s="5" t="str">
        <f>IFERROR(__xludf.DUMMYFUNCTION("""COMPUTED_VALUE"""),"Anesthesia; Pediatric")</f>
        <v>Anesthesia; Pediatric</v>
      </c>
      <c r="K956" s="5" t="str">
        <f>IFERROR(__xludf.DUMMYFUNCTION("""COMPUTED_VALUE"""),"Current")</f>
        <v>Current</v>
      </c>
      <c r="L956" s="5"/>
      <c r="M956" s="5"/>
      <c r="N956" s="10">
        <f>IFERROR(__xludf.DUMMYFUNCTION("""COMPUTED_VALUE"""),40961.0)</f>
        <v>40961</v>
      </c>
      <c r="O956" s="5">
        <v>2012.0</v>
      </c>
      <c r="P956" s="5" t="str">
        <f>IFERROR(__xludf.DUMMYFUNCTION("""COMPUTED_VALUE"""),"Available")</f>
        <v>Available</v>
      </c>
      <c r="Q956" s="5" t="s">
        <v>135</v>
      </c>
      <c r="R956" s="5" t="s">
        <v>136</v>
      </c>
      <c r="S956" s="11">
        <v>5360.0</v>
      </c>
    </row>
    <row r="957">
      <c r="A957" s="5" t="str">
        <f>IFERROR(__xludf.DUMMYFUNCTION("""COMPUTED_VALUE"""),"Lidocaine Hydrochloride Injection")</f>
        <v>Lidocaine Hydrochloride Injection</v>
      </c>
      <c r="B957" s="5" t="str">
        <f>IFERROR(__xludf.DUMMYFUNCTION("""COMPUTED_VALUE"""),"Fresenius Kabi USA, LLC")</f>
        <v>Fresenius Kabi USA, LLC</v>
      </c>
      <c r="C957" s="5" t="str">
        <f>IFERROR(__xludf.DUMMYFUNCTION("""COMPUTED_VALUE"""),"Xylocaine, Injection, 10 mg/1 mL (NDC 63323-492-37)")</f>
        <v>Xylocaine, Injection, 10 mg/1 mL (NDC 63323-492-37)</v>
      </c>
      <c r="D957" s="5" t="str">
        <f>IFERROR(__xludf.DUMMYFUNCTION("""COMPUTED_VALUE"""),"Reverified")</f>
        <v>Reverified</v>
      </c>
      <c r="E957" s="13">
        <f>IFERROR(__xludf.DUMMYFUNCTION("""COMPUTED_VALUE"""),46310.0)</f>
        <v>46310</v>
      </c>
      <c r="F957" s="5" t="str">
        <f>IFERROR(__xludf.DUMMYFUNCTION("""COMPUTED_VALUE"""),"Available")</f>
        <v>Available</v>
      </c>
      <c r="G957" s="5" t="str">
        <f>IFERROR(__xludf.DUMMYFUNCTION("""COMPUTED_VALUE"""),"Check wholesalers for inventory")</f>
        <v>Check wholesalers for inventory</v>
      </c>
      <c r="H957" s="5"/>
      <c r="I957" s="5"/>
      <c r="J957" s="5" t="str">
        <f>IFERROR(__xludf.DUMMYFUNCTION("""COMPUTED_VALUE"""),"Anesthesia; Pediatric")</f>
        <v>Anesthesia; Pediatric</v>
      </c>
      <c r="K957" s="5" t="str">
        <f>IFERROR(__xludf.DUMMYFUNCTION("""COMPUTED_VALUE"""),"Current")</f>
        <v>Current</v>
      </c>
      <c r="L957" s="5"/>
      <c r="M957" s="5"/>
      <c r="N957" s="10">
        <f>IFERROR(__xludf.DUMMYFUNCTION("""COMPUTED_VALUE"""),40961.0)</f>
        <v>40961</v>
      </c>
      <c r="O957" s="5">
        <v>2012.0</v>
      </c>
      <c r="P957" s="5" t="str">
        <f>IFERROR(__xludf.DUMMYFUNCTION("""COMPUTED_VALUE"""),"Available")</f>
        <v>Available</v>
      </c>
      <c r="Q957" s="5" t="s">
        <v>135</v>
      </c>
      <c r="R957" s="5" t="s">
        <v>136</v>
      </c>
      <c r="S957" s="11">
        <v>5360.0</v>
      </c>
    </row>
    <row r="958">
      <c r="A958" s="5" t="str">
        <f>IFERROR(__xludf.DUMMYFUNCTION("""COMPUTED_VALUE"""),"Lidocaine Hydrochloride Injection")</f>
        <v>Lidocaine Hydrochloride Injection</v>
      </c>
      <c r="B958" s="5" t="str">
        <f>IFERROR(__xludf.DUMMYFUNCTION("""COMPUTED_VALUE"""),"Hospira, Inc., a Pfizer Company")</f>
        <v>Hospira, Inc., a Pfizer Company</v>
      </c>
      <c r="C958" s="5" t="str">
        <f>IFERROR(__xludf.DUMMYFUNCTION("""COMPUTED_VALUE"""),"Lidocaine Hydrochloride Preservative Free In Plastic Container, Injection, 50 mg/5mL (1%, 10 mg/1 mL) Syringes (NDC 0409-9137-05)")</f>
        <v>Lidocaine Hydrochloride Preservative Free In Plastic Container, Injection, 50 mg/5mL (1%, 10 mg/1 mL) Syringes (NDC 0409-9137-05)</v>
      </c>
      <c r="D958" s="5" t="str">
        <f>IFERROR(__xludf.DUMMYFUNCTION("""COMPUTED_VALUE"""),"Reverified")</f>
        <v>Reverified</v>
      </c>
      <c r="E958" s="13">
        <f>IFERROR(__xludf.DUMMYFUNCTION("""COMPUTED_VALUE"""),46316.0)</f>
        <v>46316</v>
      </c>
      <c r="F958" s="5" t="str">
        <f>IFERROR(__xludf.DUMMYFUNCTION("""COMPUTED_VALUE"""),"Available")</f>
        <v>Available</v>
      </c>
      <c r="G958" s="5"/>
      <c r="H958" s="5"/>
      <c r="I958" s="5"/>
      <c r="J958" s="5" t="str">
        <f>IFERROR(__xludf.DUMMYFUNCTION("""COMPUTED_VALUE"""),"Anesthesia; Pediatric")</f>
        <v>Anesthesia; Pediatric</v>
      </c>
      <c r="K958" s="5" t="str">
        <f>IFERROR(__xludf.DUMMYFUNCTION("""COMPUTED_VALUE"""),"Current")</f>
        <v>Current</v>
      </c>
      <c r="L958" s="5"/>
      <c r="M958" s="5"/>
      <c r="N958" s="10">
        <f>IFERROR(__xludf.DUMMYFUNCTION("""COMPUTED_VALUE"""),40961.0)</f>
        <v>40961</v>
      </c>
      <c r="O958" s="5">
        <v>2012.0</v>
      </c>
      <c r="P958" s="5" t="str">
        <f>IFERROR(__xludf.DUMMYFUNCTION("""COMPUTED_VALUE"""),"Available")</f>
        <v>Available</v>
      </c>
      <c r="Q958" s="5" t="s">
        <v>135</v>
      </c>
      <c r="R958" s="5" t="s">
        <v>136</v>
      </c>
      <c r="S958" s="11">
        <v>5360.0</v>
      </c>
    </row>
    <row r="959">
      <c r="A959" s="5" t="str">
        <f>IFERROR(__xludf.DUMMYFUNCTION("""COMPUTED_VALUE"""),"Lidocaine Hydrochloride Injection")</f>
        <v>Lidocaine Hydrochloride Injection</v>
      </c>
      <c r="B959" s="5" t="str">
        <f>IFERROR(__xludf.DUMMYFUNCTION("""COMPUTED_VALUE"""),"Hospira, Inc., a Pfizer Company")</f>
        <v>Hospira, Inc., a Pfizer Company</v>
      </c>
      <c r="C959" s="5" t="str">
        <f>IFERROR(__xludf.DUMMYFUNCTION("""COMPUTED_VALUE"""),"Lidocaine Hydrochloride Preservative Free, Injection, 20 mg/2 mL (1%; 10 mg/mL) (NDC 0409-4713-32)")</f>
        <v>Lidocaine Hydrochloride Preservative Free, Injection, 20 mg/2 mL (1%; 10 mg/mL) (NDC 0409-4713-32)</v>
      </c>
      <c r="D959" s="5" t="str">
        <f>IFERROR(__xludf.DUMMYFUNCTION("""COMPUTED_VALUE"""),"Revised")</f>
        <v>Revised</v>
      </c>
      <c r="E959" s="13">
        <f>IFERROR(__xludf.DUMMYFUNCTION("""COMPUTED_VALUE"""),46316.0)</f>
        <v>46316</v>
      </c>
      <c r="F959" s="5" t="str">
        <f>IFERROR(__xludf.DUMMYFUNCTION("""COMPUTED_VALUE"""),"Unavailable")</f>
        <v>Unavailable</v>
      </c>
      <c r="G959" s="5" t="str">
        <f>IFERROR(__xludf.DUMMYFUNCTION("""COMPUTED_VALUE"""),"Next Delivery and Estimated Recovery: March 2027; Shortage per Manufacturer: Manufacturing Delay")</f>
        <v>Next Delivery and Estimated Recovery: March 2027; Shortage per Manufacturer: Manufacturing Delay</v>
      </c>
      <c r="H959" s="5"/>
      <c r="I959" s="5" t="str">
        <f>IFERROR(__xludf.DUMMYFUNCTION("""COMPUTED_VALUE"""),"Other")</f>
        <v>Other</v>
      </c>
      <c r="J959" s="5" t="str">
        <f>IFERROR(__xludf.DUMMYFUNCTION("""COMPUTED_VALUE"""),"Anesthesia; Pediatric")</f>
        <v>Anesthesia; Pediatric</v>
      </c>
      <c r="K959" s="5" t="str">
        <f>IFERROR(__xludf.DUMMYFUNCTION("""COMPUTED_VALUE"""),"Current")</f>
        <v>Current</v>
      </c>
      <c r="L959" s="5"/>
      <c r="M959" s="5"/>
      <c r="N959" s="10">
        <f>IFERROR(__xludf.DUMMYFUNCTION("""COMPUTED_VALUE"""),40961.0)</f>
        <v>40961</v>
      </c>
      <c r="O959" s="5">
        <v>2012.0</v>
      </c>
      <c r="P959" s="5" t="str">
        <f>IFERROR(__xludf.DUMMYFUNCTION("""COMPUTED_VALUE"""),"Unavailable")</f>
        <v>Unavailable</v>
      </c>
      <c r="Q959" s="5" t="s">
        <v>47</v>
      </c>
      <c r="R959" s="5" t="s">
        <v>136</v>
      </c>
      <c r="S959" s="11">
        <v>5360.0</v>
      </c>
    </row>
    <row r="960">
      <c r="A960" s="5" t="str">
        <f>IFERROR(__xludf.DUMMYFUNCTION("""COMPUTED_VALUE"""),"Lidocaine Hydrochloride Injection")</f>
        <v>Lidocaine Hydrochloride Injection</v>
      </c>
      <c r="B960" s="5" t="str">
        <f>IFERROR(__xludf.DUMMYFUNCTION("""COMPUTED_VALUE"""),"Hospira, Inc., a Pfizer Company")</f>
        <v>Hospira, Inc., a Pfizer Company</v>
      </c>
      <c r="C960" s="5" t="str">
        <f>IFERROR(__xludf.DUMMYFUNCTION("""COMPUTED_VALUE"""),"Lidocaine Hydrochloride In Plastic Container, Injection, 200 mg/20 mL (1%; 10 mg/mL) (NDC 0409-4276-01)")</f>
        <v>Lidocaine Hydrochloride In Plastic Container, Injection, 200 mg/20 mL (1%; 10 mg/mL) (NDC 0409-4276-01)</v>
      </c>
      <c r="D960" s="5" t="str">
        <f>IFERROR(__xludf.DUMMYFUNCTION("""COMPUTED_VALUE"""),"Reverified")</f>
        <v>Reverified</v>
      </c>
      <c r="E960" s="13">
        <f>IFERROR(__xludf.DUMMYFUNCTION("""COMPUTED_VALUE"""),46316.0)</f>
        <v>46316</v>
      </c>
      <c r="F960" s="5" t="str">
        <f>IFERROR(__xludf.DUMMYFUNCTION("""COMPUTED_VALUE"""),"Available")</f>
        <v>Available</v>
      </c>
      <c r="G960" s="5"/>
      <c r="H960" s="5"/>
      <c r="I960" s="5"/>
      <c r="J960" s="5" t="str">
        <f>IFERROR(__xludf.DUMMYFUNCTION("""COMPUTED_VALUE"""),"Anesthesia; Pediatric")</f>
        <v>Anesthesia; Pediatric</v>
      </c>
      <c r="K960" s="5" t="str">
        <f>IFERROR(__xludf.DUMMYFUNCTION("""COMPUTED_VALUE"""),"Current")</f>
        <v>Current</v>
      </c>
      <c r="L960" s="5"/>
      <c r="M960" s="5"/>
      <c r="N960" s="10">
        <f>IFERROR(__xludf.DUMMYFUNCTION("""COMPUTED_VALUE"""),40961.0)</f>
        <v>40961</v>
      </c>
      <c r="O960" s="5">
        <v>2012.0</v>
      </c>
      <c r="P960" s="5" t="str">
        <f>IFERROR(__xludf.DUMMYFUNCTION("""COMPUTED_VALUE"""),"Available")</f>
        <v>Available</v>
      </c>
      <c r="Q960" s="5" t="s">
        <v>135</v>
      </c>
      <c r="R960" s="5" t="s">
        <v>136</v>
      </c>
      <c r="S960" s="11">
        <v>5360.0</v>
      </c>
    </row>
    <row r="961">
      <c r="A961" s="5" t="str">
        <f>IFERROR(__xludf.DUMMYFUNCTION("""COMPUTED_VALUE"""),"Lidocaine Hydrochloride Injection")</f>
        <v>Lidocaine Hydrochloride Injection</v>
      </c>
      <c r="B961" s="5" t="str">
        <f>IFERROR(__xludf.DUMMYFUNCTION("""COMPUTED_VALUE"""),"Hospira, Inc., a Pfizer Company")</f>
        <v>Hospira, Inc., a Pfizer Company</v>
      </c>
      <c r="C961" s="5" t="str">
        <f>IFERROR(__xludf.DUMMYFUNCTION("""COMPUTED_VALUE"""),"Lidocaine Hydrochloride, Injection, 300 mg/30 mL (1%; 10 mg/mL) (NDC 0409-4279-02)")</f>
        <v>Lidocaine Hydrochloride, Injection, 300 mg/30 mL (1%; 10 mg/mL) (NDC 0409-4279-02)</v>
      </c>
      <c r="D961" s="5" t="str">
        <f>IFERROR(__xludf.DUMMYFUNCTION("""COMPUTED_VALUE"""),"Reverified")</f>
        <v>Reverified</v>
      </c>
      <c r="E961" s="13">
        <f>IFERROR(__xludf.DUMMYFUNCTION("""COMPUTED_VALUE"""),46316.0)</f>
        <v>46316</v>
      </c>
      <c r="F961" s="5" t="str">
        <f>IFERROR(__xludf.DUMMYFUNCTION("""COMPUTED_VALUE"""),"Available")</f>
        <v>Available</v>
      </c>
      <c r="G961" s="5"/>
      <c r="H961" s="5"/>
      <c r="I961" s="5"/>
      <c r="J961" s="5" t="str">
        <f>IFERROR(__xludf.DUMMYFUNCTION("""COMPUTED_VALUE"""),"Anesthesia; Pediatric")</f>
        <v>Anesthesia; Pediatric</v>
      </c>
      <c r="K961" s="5" t="str">
        <f>IFERROR(__xludf.DUMMYFUNCTION("""COMPUTED_VALUE"""),"Current")</f>
        <v>Current</v>
      </c>
      <c r="L961" s="5"/>
      <c r="M961" s="5"/>
      <c r="N961" s="10">
        <f>IFERROR(__xludf.DUMMYFUNCTION("""COMPUTED_VALUE"""),40961.0)</f>
        <v>40961</v>
      </c>
      <c r="O961" s="5">
        <v>2012.0</v>
      </c>
      <c r="P961" s="5" t="str">
        <f>IFERROR(__xludf.DUMMYFUNCTION("""COMPUTED_VALUE"""),"Available")</f>
        <v>Available</v>
      </c>
      <c r="Q961" s="5" t="s">
        <v>135</v>
      </c>
      <c r="R961" s="5" t="s">
        <v>136</v>
      </c>
      <c r="S961" s="11">
        <v>5360.0</v>
      </c>
    </row>
    <row r="962">
      <c r="A962" s="5" t="str">
        <f>IFERROR(__xludf.DUMMYFUNCTION("""COMPUTED_VALUE"""),"Lidocaine Hydrochloride Injection")</f>
        <v>Lidocaine Hydrochloride Injection</v>
      </c>
      <c r="B962" s="5" t="str">
        <f>IFERROR(__xludf.DUMMYFUNCTION("""COMPUTED_VALUE"""),"Hospira, Inc., a Pfizer Company")</f>
        <v>Hospira, Inc., a Pfizer Company</v>
      </c>
      <c r="C962" s="5" t="str">
        <f>IFERROR(__xludf.DUMMYFUNCTION("""COMPUTED_VALUE"""),"Lidocaine Hydrochloride In Plastic Container, Injection, 500 mg/50 mL (1%; 10 mg/mL) (NDC 0409-4276-02)")</f>
        <v>Lidocaine Hydrochloride In Plastic Container, Injection, 500 mg/50 mL (1%; 10 mg/mL) (NDC 0409-4276-02)</v>
      </c>
      <c r="D962" s="5" t="str">
        <f>IFERROR(__xludf.DUMMYFUNCTION("""COMPUTED_VALUE"""),"Reverified")</f>
        <v>Reverified</v>
      </c>
      <c r="E962" s="13">
        <f>IFERROR(__xludf.DUMMYFUNCTION("""COMPUTED_VALUE"""),46316.0)</f>
        <v>46316</v>
      </c>
      <c r="F962" s="5" t="str">
        <f>IFERROR(__xludf.DUMMYFUNCTION("""COMPUTED_VALUE"""),"Available")</f>
        <v>Available</v>
      </c>
      <c r="G962" s="5"/>
      <c r="H962" s="5"/>
      <c r="I962" s="5"/>
      <c r="J962" s="5" t="str">
        <f>IFERROR(__xludf.DUMMYFUNCTION("""COMPUTED_VALUE"""),"Anesthesia; Pediatric")</f>
        <v>Anesthesia; Pediatric</v>
      </c>
      <c r="K962" s="5" t="str">
        <f>IFERROR(__xludf.DUMMYFUNCTION("""COMPUTED_VALUE"""),"Current")</f>
        <v>Current</v>
      </c>
      <c r="L962" s="5"/>
      <c r="M962" s="5"/>
      <c r="N962" s="10">
        <f>IFERROR(__xludf.DUMMYFUNCTION("""COMPUTED_VALUE"""),40961.0)</f>
        <v>40961</v>
      </c>
      <c r="O962" s="5">
        <v>2012.0</v>
      </c>
      <c r="P962" s="5" t="str">
        <f>IFERROR(__xludf.DUMMYFUNCTION("""COMPUTED_VALUE"""),"Available")</f>
        <v>Available</v>
      </c>
      <c r="Q962" s="5" t="s">
        <v>135</v>
      </c>
      <c r="R962" s="5" t="s">
        <v>136</v>
      </c>
      <c r="S962" s="11">
        <v>5360.0</v>
      </c>
    </row>
    <row r="963">
      <c r="A963" s="5" t="str">
        <f>IFERROR(__xludf.DUMMYFUNCTION("""COMPUTED_VALUE"""),"Lidocaine Hydrochloride Injection")</f>
        <v>Lidocaine Hydrochloride Injection</v>
      </c>
      <c r="B963" s="5" t="str">
        <f>IFERROR(__xludf.DUMMYFUNCTION("""COMPUTED_VALUE"""),"Hospira, Inc., a Pfizer Company")</f>
        <v>Hospira, Inc., a Pfizer Company</v>
      </c>
      <c r="C963" s="5" t="str">
        <f>IFERROR(__xludf.DUMMYFUNCTION("""COMPUTED_VALUE"""),"Lidocaine Hydrochloride, Injection, 40 mg/2 mL (2%; 20 mg/mL) (NDC 0409-4282-01)")</f>
        <v>Lidocaine Hydrochloride, Injection, 40 mg/2 mL (2%; 20 mg/mL) (NDC 0409-4282-01)</v>
      </c>
      <c r="D963" s="5" t="str">
        <f>IFERROR(__xludf.DUMMYFUNCTION("""COMPUTED_VALUE"""),"Reverified")</f>
        <v>Reverified</v>
      </c>
      <c r="E963" s="13">
        <f>IFERROR(__xludf.DUMMYFUNCTION("""COMPUTED_VALUE"""),46316.0)</f>
        <v>46316</v>
      </c>
      <c r="F963" s="5" t="str">
        <f>IFERROR(__xludf.DUMMYFUNCTION("""COMPUTED_VALUE"""),"Available")</f>
        <v>Available</v>
      </c>
      <c r="G963" s="5"/>
      <c r="H963" s="5"/>
      <c r="I963" s="5"/>
      <c r="J963" s="5" t="str">
        <f>IFERROR(__xludf.DUMMYFUNCTION("""COMPUTED_VALUE"""),"Anesthesia; Pediatric")</f>
        <v>Anesthesia; Pediatric</v>
      </c>
      <c r="K963" s="5" t="str">
        <f>IFERROR(__xludf.DUMMYFUNCTION("""COMPUTED_VALUE"""),"Current")</f>
        <v>Current</v>
      </c>
      <c r="L963" s="5"/>
      <c r="M963" s="5"/>
      <c r="N963" s="10">
        <f>IFERROR(__xludf.DUMMYFUNCTION("""COMPUTED_VALUE"""),40961.0)</f>
        <v>40961</v>
      </c>
      <c r="O963" s="5">
        <v>2012.0</v>
      </c>
      <c r="P963" s="5" t="str">
        <f>IFERROR(__xludf.DUMMYFUNCTION("""COMPUTED_VALUE"""),"Available")</f>
        <v>Available</v>
      </c>
      <c r="Q963" s="5" t="s">
        <v>135</v>
      </c>
      <c r="R963" s="5" t="s">
        <v>136</v>
      </c>
      <c r="S963" s="11">
        <v>5360.0</v>
      </c>
    </row>
    <row r="964">
      <c r="A964" s="5" t="str">
        <f>IFERROR(__xludf.DUMMYFUNCTION("""COMPUTED_VALUE"""),"Lidocaine Hydrochloride Injection")</f>
        <v>Lidocaine Hydrochloride Injection</v>
      </c>
      <c r="B964" s="5" t="str">
        <f>IFERROR(__xludf.DUMMYFUNCTION("""COMPUTED_VALUE"""),"Hospira, Inc., a Pfizer Company")</f>
        <v>Hospira, Inc., a Pfizer Company</v>
      </c>
      <c r="C964" s="5" t="str">
        <f>IFERROR(__xludf.DUMMYFUNCTION("""COMPUTED_VALUE"""),"Lidocaine Hydrochloride, Injection, 200 mg/10 mL (2%; 20 mg/mL) (NDC 0409-4282-02)")</f>
        <v>Lidocaine Hydrochloride, Injection, 200 mg/10 mL (2%; 20 mg/mL) (NDC 0409-4282-02)</v>
      </c>
      <c r="D964" s="5" t="str">
        <f>IFERROR(__xludf.DUMMYFUNCTION("""COMPUTED_VALUE"""),"Reverified")</f>
        <v>Reverified</v>
      </c>
      <c r="E964" s="13">
        <f>IFERROR(__xludf.DUMMYFUNCTION("""COMPUTED_VALUE"""),46316.0)</f>
        <v>46316</v>
      </c>
      <c r="F964" s="5" t="str">
        <f>IFERROR(__xludf.DUMMYFUNCTION("""COMPUTED_VALUE"""),"Available")</f>
        <v>Available</v>
      </c>
      <c r="G964" s="5"/>
      <c r="H964" s="5"/>
      <c r="I964" s="5"/>
      <c r="J964" s="5" t="str">
        <f>IFERROR(__xludf.DUMMYFUNCTION("""COMPUTED_VALUE"""),"Anesthesia; Pediatric")</f>
        <v>Anesthesia; Pediatric</v>
      </c>
      <c r="K964" s="5" t="str">
        <f>IFERROR(__xludf.DUMMYFUNCTION("""COMPUTED_VALUE"""),"Current")</f>
        <v>Current</v>
      </c>
      <c r="L964" s="5"/>
      <c r="M964" s="5"/>
      <c r="N964" s="10">
        <f>IFERROR(__xludf.DUMMYFUNCTION("""COMPUTED_VALUE"""),40961.0)</f>
        <v>40961</v>
      </c>
      <c r="O964" s="5">
        <v>2012.0</v>
      </c>
      <c r="P964" s="5" t="str">
        <f>IFERROR(__xludf.DUMMYFUNCTION("""COMPUTED_VALUE"""),"Available")</f>
        <v>Available</v>
      </c>
      <c r="Q964" s="5" t="s">
        <v>135</v>
      </c>
      <c r="R964" s="5" t="s">
        <v>136</v>
      </c>
      <c r="S964" s="11">
        <v>5360.0</v>
      </c>
    </row>
    <row r="965">
      <c r="A965" s="5" t="str">
        <f>IFERROR(__xludf.DUMMYFUNCTION("""COMPUTED_VALUE"""),"Lidocaine Hydrochloride Injection")</f>
        <v>Lidocaine Hydrochloride Injection</v>
      </c>
      <c r="B965" s="5" t="str">
        <f>IFERROR(__xludf.DUMMYFUNCTION("""COMPUTED_VALUE"""),"Hospira, Inc., a Pfizer Company")</f>
        <v>Hospira, Inc., a Pfizer Company</v>
      </c>
      <c r="C965" s="5" t="str">
        <f>IFERROR(__xludf.DUMMYFUNCTION("""COMPUTED_VALUE"""),"Lidocaine Hydrochloride, Injection, 100 mg/5 mL (2%; 20 mg/mL) (NDC 0409-2066-05)")</f>
        <v>Lidocaine Hydrochloride, Injection, 100 mg/5 mL (2%; 20 mg/mL) (NDC 0409-2066-05)</v>
      </c>
      <c r="D965" s="5" t="str">
        <f>IFERROR(__xludf.DUMMYFUNCTION("""COMPUTED_VALUE"""),"Reverified")</f>
        <v>Reverified</v>
      </c>
      <c r="E965" s="13">
        <f>IFERROR(__xludf.DUMMYFUNCTION("""COMPUTED_VALUE"""),46316.0)</f>
        <v>46316</v>
      </c>
      <c r="F965" s="5" t="str">
        <f>IFERROR(__xludf.DUMMYFUNCTION("""COMPUTED_VALUE"""),"Available")</f>
        <v>Available</v>
      </c>
      <c r="G965" s="5"/>
      <c r="H965" s="5"/>
      <c r="I965" s="5"/>
      <c r="J965" s="5" t="str">
        <f>IFERROR(__xludf.DUMMYFUNCTION("""COMPUTED_VALUE"""),"Anesthesia; Pediatric")</f>
        <v>Anesthesia; Pediatric</v>
      </c>
      <c r="K965" s="5" t="str">
        <f>IFERROR(__xludf.DUMMYFUNCTION("""COMPUTED_VALUE"""),"Current")</f>
        <v>Current</v>
      </c>
      <c r="L965" s="5"/>
      <c r="M965" s="5"/>
      <c r="N965" s="10">
        <f>IFERROR(__xludf.DUMMYFUNCTION("""COMPUTED_VALUE"""),40961.0)</f>
        <v>40961</v>
      </c>
      <c r="O965" s="5">
        <v>2012.0</v>
      </c>
      <c r="P965" s="5" t="str">
        <f>IFERROR(__xludf.DUMMYFUNCTION("""COMPUTED_VALUE"""),"Available")</f>
        <v>Available</v>
      </c>
      <c r="Q965" s="5" t="s">
        <v>135</v>
      </c>
      <c r="R965" s="5" t="s">
        <v>136</v>
      </c>
      <c r="S965" s="11">
        <v>5360.0</v>
      </c>
    </row>
    <row r="966">
      <c r="A966" s="5" t="str">
        <f>IFERROR(__xludf.DUMMYFUNCTION("""COMPUTED_VALUE"""),"Lidocaine Hydrochloride Injection")</f>
        <v>Lidocaine Hydrochloride Injection</v>
      </c>
      <c r="B966" s="5" t="str">
        <f>IFERROR(__xludf.DUMMYFUNCTION("""COMPUTED_VALUE"""),"Hospira, Inc., a Pfizer Company")</f>
        <v>Hospira, Inc., a Pfizer Company</v>
      </c>
      <c r="C966" s="5" t="str">
        <f>IFERROR(__xludf.DUMMYFUNCTION("""COMPUTED_VALUE"""),"Lidocaine Hydrochloride In Plastic Container, Injection, 400 mg/20 mL (2%; 20 mg/mL) (NDC 0409-4277-01)")</f>
        <v>Lidocaine Hydrochloride In Plastic Container, Injection, 400 mg/20 mL (2%; 20 mg/mL) (NDC 0409-4277-01)</v>
      </c>
      <c r="D966" s="5" t="str">
        <f>IFERROR(__xludf.DUMMYFUNCTION("""COMPUTED_VALUE"""),"Reverified")</f>
        <v>Reverified</v>
      </c>
      <c r="E966" s="13">
        <f>IFERROR(__xludf.DUMMYFUNCTION("""COMPUTED_VALUE"""),46316.0)</f>
        <v>46316</v>
      </c>
      <c r="F966" s="5" t="str">
        <f>IFERROR(__xludf.DUMMYFUNCTION("""COMPUTED_VALUE"""),"Available")</f>
        <v>Available</v>
      </c>
      <c r="G966" s="5"/>
      <c r="H966" s="5"/>
      <c r="I966" s="5"/>
      <c r="J966" s="5" t="str">
        <f>IFERROR(__xludf.DUMMYFUNCTION("""COMPUTED_VALUE"""),"Anesthesia; Pediatric")</f>
        <v>Anesthesia; Pediatric</v>
      </c>
      <c r="K966" s="5" t="str">
        <f>IFERROR(__xludf.DUMMYFUNCTION("""COMPUTED_VALUE"""),"Current")</f>
        <v>Current</v>
      </c>
      <c r="L966" s="5"/>
      <c r="M966" s="5"/>
      <c r="N966" s="10">
        <f>IFERROR(__xludf.DUMMYFUNCTION("""COMPUTED_VALUE"""),40961.0)</f>
        <v>40961</v>
      </c>
      <c r="O966" s="5">
        <v>2012.0</v>
      </c>
      <c r="P966" s="5" t="str">
        <f>IFERROR(__xludf.DUMMYFUNCTION("""COMPUTED_VALUE"""),"Available")</f>
        <v>Available</v>
      </c>
      <c r="Q966" s="5" t="s">
        <v>135</v>
      </c>
      <c r="R966" s="5" t="s">
        <v>136</v>
      </c>
      <c r="S966" s="11">
        <v>5360.0</v>
      </c>
    </row>
    <row r="967">
      <c r="A967" s="5" t="str">
        <f>IFERROR(__xludf.DUMMYFUNCTION("""COMPUTED_VALUE"""),"Lidocaine Hydrochloride Injection")</f>
        <v>Lidocaine Hydrochloride Injection</v>
      </c>
      <c r="B967" s="5" t="str">
        <f>IFERROR(__xludf.DUMMYFUNCTION("""COMPUTED_VALUE"""),"Hospira, Inc., a Pfizer Company")</f>
        <v>Hospira, Inc., a Pfizer Company</v>
      </c>
      <c r="C967" s="5" t="str">
        <f>IFERROR(__xludf.DUMMYFUNCTION("""COMPUTED_VALUE"""),"Lidocaine Hydrochloride In Plastic Container, Injection, 1,000 mg/50 mL (2%; 20 mg/mL) (NDC 0409-4277-02)")</f>
        <v>Lidocaine Hydrochloride In Plastic Container, Injection, 1,000 mg/50 mL (2%; 20 mg/mL) (NDC 0409-4277-02)</v>
      </c>
      <c r="D967" s="5" t="str">
        <f>IFERROR(__xludf.DUMMYFUNCTION("""COMPUTED_VALUE"""),"Reverified")</f>
        <v>Reverified</v>
      </c>
      <c r="E967" s="13">
        <f>IFERROR(__xludf.DUMMYFUNCTION("""COMPUTED_VALUE"""),46316.0)</f>
        <v>46316</v>
      </c>
      <c r="F967" s="5" t="str">
        <f>IFERROR(__xludf.DUMMYFUNCTION("""COMPUTED_VALUE"""),"Available")</f>
        <v>Available</v>
      </c>
      <c r="G967" s="5"/>
      <c r="H967" s="5"/>
      <c r="I967" s="5"/>
      <c r="J967" s="5" t="str">
        <f>IFERROR(__xludf.DUMMYFUNCTION("""COMPUTED_VALUE"""),"Anesthesia; Pediatric")</f>
        <v>Anesthesia; Pediatric</v>
      </c>
      <c r="K967" s="5" t="str">
        <f>IFERROR(__xludf.DUMMYFUNCTION("""COMPUTED_VALUE"""),"Current")</f>
        <v>Current</v>
      </c>
      <c r="L967" s="5"/>
      <c r="M967" s="5"/>
      <c r="N967" s="10">
        <f>IFERROR(__xludf.DUMMYFUNCTION("""COMPUTED_VALUE"""),40961.0)</f>
        <v>40961</v>
      </c>
      <c r="O967" s="5">
        <v>2012.0</v>
      </c>
      <c r="P967" s="5" t="str">
        <f>IFERROR(__xludf.DUMMYFUNCTION("""COMPUTED_VALUE"""),"Available")</f>
        <v>Available</v>
      </c>
      <c r="Q967" s="5" t="s">
        <v>135</v>
      </c>
      <c r="R967" s="5" t="s">
        <v>136</v>
      </c>
      <c r="S967" s="11">
        <v>5360.0</v>
      </c>
    </row>
    <row r="968">
      <c r="A968" s="5" t="str">
        <f>IFERROR(__xludf.DUMMYFUNCTION("""COMPUTED_VALUE"""),"Lidocaine Hydrochloride Injection")</f>
        <v>Lidocaine Hydrochloride Injection</v>
      </c>
      <c r="B968" s="5" t="str">
        <f>IFERROR(__xludf.DUMMYFUNCTION("""COMPUTED_VALUE"""),"Hospira, Inc., a Pfizer Company")</f>
        <v>Hospira, Inc., a Pfizer Company</v>
      </c>
      <c r="C968" s="5" t="str">
        <f>IFERROR(__xludf.DUMMYFUNCTION("""COMPUTED_VALUE"""),"Lidocaine Hydrochloride Preservative Free, Injection, 200 mg/5 mL (4%; 40 mg/mL) (NDC 0409-4283-01)")</f>
        <v>Lidocaine Hydrochloride Preservative Free, Injection, 200 mg/5 mL (4%; 40 mg/mL) (NDC 0409-4283-01)</v>
      </c>
      <c r="D968" s="5" t="str">
        <f>IFERROR(__xludf.DUMMYFUNCTION("""COMPUTED_VALUE"""),"Reverified")</f>
        <v>Reverified</v>
      </c>
      <c r="E968" s="13">
        <f>IFERROR(__xludf.DUMMYFUNCTION("""COMPUTED_VALUE"""),46316.0)</f>
        <v>46316</v>
      </c>
      <c r="F968" s="5" t="str">
        <f>IFERROR(__xludf.DUMMYFUNCTION("""COMPUTED_VALUE"""),"Available")</f>
        <v>Available</v>
      </c>
      <c r="G968" s="5"/>
      <c r="H968" s="5"/>
      <c r="I968" s="5"/>
      <c r="J968" s="5" t="str">
        <f>IFERROR(__xludf.DUMMYFUNCTION("""COMPUTED_VALUE"""),"Anesthesia; Pediatric")</f>
        <v>Anesthesia; Pediatric</v>
      </c>
      <c r="K968" s="5" t="str">
        <f>IFERROR(__xludf.DUMMYFUNCTION("""COMPUTED_VALUE"""),"Current")</f>
        <v>Current</v>
      </c>
      <c r="L968" s="5"/>
      <c r="M968" s="5"/>
      <c r="N968" s="10">
        <f>IFERROR(__xludf.DUMMYFUNCTION("""COMPUTED_VALUE"""),40961.0)</f>
        <v>40961</v>
      </c>
      <c r="O968" s="5">
        <v>2012.0</v>
      </c>
      <c r="P968" s="5" t="str">
        <f>IFERROR(__xludf.DUMMYFUNCTION("""COMPUTED_VALUE"""),"Available")</f>
        <v>Available</v>
      </c>
      <c r="Q968" s="5" t="s">
        <v>135</v>
      </c>
      <c r="R968" s="5" t="s">
        <v>136</v>
      </c>
      <c r="S968" s="11">
        <v>5360.0</v>
      </c>
    </row>
    <row r="969">
      <c r="A969" s="5" t="str">
        <f>IFERROR(__xludf.DUMMYFUNCTION("""COMPUTED_VALUE"""),"Lidocaine Hydrochloride Injection")</f>
        <v>Lidocaine Hydrochloride Injection</v>
      </c>
      <c r="B969" s="5" t="str">
        <f>IFERROR(__xludf.DUMMYFUNCTION("""COMPUTED_VALUE"""),"Hospira, Inc., a Pfizer Company")</f>
        <v>Hospira, Inc., a Pfizer Company</v>
      </c>
      <c r="C969" s="5" t="str">
        <f>IFERROR(__xludf.DUMMYFUNCTION("""COMPUTED_VALUE"""),"Lidocaine Hydrochloride Preservative Free In Plastic Container, Injection, 100 mg/5mL (2%,20 mg/1 mL) Syringes (NDC 0409-1323-05)")</f>
        <v>Lidocaine Hydrochloride Preservative Free In Plastic Container, Injection, 100 mg/5mL (2%,20 mg/1 mL) Syringes (NDC 0409-1323-05)</v>
      </c>
      <c r="D969" s="5" t="str">
        <f>IFERROR(__xludf.DUMMYFUNCTION("""COMPUTED_VALUE"""),"Revised")</f>
        <v>Revised</v>
      </c>
      <c r="E969" s="13">
        <f>IFERROR(__xludf.DUMMYFUNCTION("""COMPUTED_VALUE"""),46316.0)</f>
        <v>46316</v>
      </c>
      <c r="F969" s="5" t="str">
        <f>IFERROR(__xludf.DUMMYFUNCTION("""COMPUTED_VALUE"""),"Limited Availability")</f>
        <v>Limited Availability</v>
      </c>
      <c r="G969" s="5" t="str">
        <f>IFERROR(__xludf.DUMMYFUNCTION("""COMPUTED_VALUE"""),"Limited Supply Available. Next Delivery: January 2027; Estimated Recovery: March 2027; Shortage per Manufacturer: Manufacturing Delay")</f>
        <v>Limited Supply Available. Next Delivery: January 2027; Estimated Recovery: March 2027; Shortage per Manufacturer: Manufacturing Delay</v>
      </c>
      <c r="H969" s="5"/>
      <c r="I969" s="5" t="str">
        <f>IFERROR(__xludf.DUMMYFUNCTION("""COMPUTED_VALUE"""),"Other")</f>
        <v>Other</v>
      </c>
      <c r="J969" s="5" t="str">
        <f>IFERROR(__xludf.DUMMYFUNCTION("""COMPUTED_VALUE"""),"Anesthesia; Pediatric")</f>
        <v>Anesthesia; Pediatric</v>
      </c>
      <c r="K969" s="5" t="str">
        <f>IFERROR(__xludf.DUMMYFUNCTION("""COMPUTED_VALUE"""),"Current")</f>
        <v>Current</v>
      </c>
      <c r="L969" s="5"/>
      <c r="M969" s="5"/>
      <c r="N969" s="10">
        <f>IFERROR(__xludf.DUMMYFUNCTION("""COMPUTED_VALUE"""),40961.0)</f>
        <v>40961</v>
      </c>
      <c r="O969" s="5">
        <v>2012.0</v>
      </c>
      <c r="P969" s="5" t="str">
        <f>IFERROR(__xludf.DUMMYFUNCTION("""COMPUTED_VALUE"""),"Limited Availability")</f>
        <v>Limited Availability</v>
      </c>
      <c r="Q969" s="5" t="s">
        <v>47</v>
      </c>
      <c r="R969" s="5" t="s">
        <v>136</v>
      </c>
      <c r="S969" s="11">
        <v>5360.0</v>
      </c>
    </row>
    <row r="970">
      <c r="A970" s="5" t="str">
        <f>IFERROR(__xludf.DUMMYFUNCTION("""COMPUTED_VALUE"""),"Lidocaine Hydrochloride Injection")</f>
        <v>Lidocaine Hydrochloride Injection</v>
      </c>
      <c r="B970" s="5" t="str">
        <f>IFERROR(__xludf.DUMMYFUNCTION("""COMPUTED_VALUE"""),"Amphastar Pharmaceuticals, Inc.")</f>
        <v>Amphastar Pharmaceuticals, Inc.</v>
      </c>
      <c r="C970" s="5" t="str">
        <f>IFERROR(__xludf.DUMMYFUNCTION("""COMPUTED_VALUE"""),"Lidocaine Hydrochloride, Injection, 20 mg/1 mL (NDC 76329-3390-1)")</f>
        <v>Lidocaine Hydrochloride, Injection, 20 mg/1 mL (NDC 76329-3390-1)</v>
      </c>
      <c r="D970" s="5" t="str">
        <f>IFERROR(__xludf.DUMMYFUNCTION("""COMPUTED_VALUE"""),"Reverified")</f>
        <v>Reverified</v>
      </c>
      <c r="E970" s="13">
        <f>IFERROR(__xludf.DUMMYFUNCTION("""COMPUTED_VALUE"""),46311.0)</f>
        <v>46311</v>
      </c>
      <c r="F970" s="5" t="str">
        <f>IFERROR(__xludf.DUMMYFUNCTION("""COMPUTED_VALUE"""),"Available")</f>
        <v>Available</v>
      </c>
      <c r="G970" s="5"/>
      <c r="H970" s="5"/>
      <c r="I970" s="5"/>
      <c r="J970" s="5" t="str">
        <f>IFERROR(__xludf.DUMMYFUNCTION("""COMPUTED_VALUE"""),"Anesthesia; Pediatric")</f>
        <v>Anesthesia; Pediatric</v>
      </c>
      <c r="K970" s="5" t="str">
        <f>IFERROR(__xludf.DUMMYFUNCTION("""COMPUTED_VALUE"""),"Current")</f>
        <v>Current</v>
      </c>
      <c r="L970" s="5"/>
      <c r="M970" s="5"/>
      <c r="N970" s="10">
        <f>IFERROR(__xludf.DUMMYFUNCTION("""COMPUTED_VALUE"""),40961.0)</f>
        <v>40961</v>
      </c>
      <c r="O970" s="5">
        <v>2012.0</v>
      </c>
      <c r="P970" s="5" t="str">
        <f>IFERROR(__xludf.DUMMYFUNCTION("""COMPUTED_VALUE"""),"Available")</f>
        <v>Available</v>
      </c>
      <c r="Q970" s="5" t="s">
        <v>135</v>
      </c>
      <c r="R970" s="5" t="s">
        <v>136</v>
      </c>
      <c r="S970" s="11">
        <v>5360.0</v>
      </c>
    </row>
    <row r="971">
      <c r="A971" s="5" t="str">
        <f>IFERROR(__xludf.DUMMYFUNCTION("""COMPUTED_VALUE"""),"Lidocaine Hydrochloride Injection")</f>
        <v>Lidocaine Hydrochloride Injection</v>
      </c>
      <c r="B971" s="5" t="str">
        <f>IFERROR(__xludf.DUMMYFUNCTION("""COMPUTED_VALUE"""),"Fresenius Kabi USA, LLC")</f>
        <v>Fresenius Kabi USA, LLC</v>
      </c>
      <c r="C971" s="5" t="str">
        <f>IFERROR(__xludf.DUMMYFUNCTION("""COMPUTED_VALUE"""),"Xylocaine, Injection, 15 mg/1 mL (NDC 63323-493-97)")</f>
        <v>Xylocaine, Injection, 15 mg/1 mL (NDC 63323-493-97)</v>
      </c>
      <c r="D971" s="5" t="str">
        <f>IFERROR(__xludf.DUMMYFUNCTION("""COMPUTED_VALUE"""),"Reverified")</f>
        <v>Reverified</v>
      </c>
      <c r="E971" s="13">
        <f>IFERROR(__xludf.DUMMYFUNCTION("""COMPUTED_VALUE"""),46310.0)</f>
        <v>46310</v>
      </c>
      <c r="F971" s="5" t="str">
        <f>IFERROR(__xludf.DUMMYFUNCTION("""COMPUTED_VALUE"""),"Unavailable")</f>
        <v>Unavailable</v>
      </c>
      <c r="G971" s="5" t="str">
        <f>IFERROR(__xludf.DUMMYFUNCTION("""COMPUTED_VALUE"""),"Estimated recovery: TBD")</f>
        <v>Estimated recovery: TBD</v>
      </c>
      <c r="H971" s="5"/>
      <c r="I971" s="5" t="str">
        <f>IFERROR(__xludf.DUMMYFUNCTION("""COMPUTED_VALUE"""),"Demand increase for the drug")</f>
        <v>Demand increase for the drug</v>
      </c>
      <c r="J971" s="5" t="str">
        <f>IFERROR(__xludf.DUMMYFUNCTION("""COMPUTED_VALUE"""),"Anesthesia; Pediatric")</f>
        <v>Anesthesia; Pediatric</v>
      </c>
      <c r="K971" s="5" t="str">
        <f>IFERROR(__xludf.DUMMYFUNCTION("""COMPUTED_VALUE"""),"Current")</f>
        <v>Current</v>
      </c>
      <c r="L971" s="5"/>
      <c r="M971" s="5"/>
      <c r="N971" s="10">
        <f>IFERROR(__xludf.DUMMYFUNCTION("""COMPUTED_VALUE"""),40961.0)</f>
        <v>40961</v>
      </c>
      <c r="O971" s="5">
        <v>2012.0</v>
      </c>
      <c r="P971" s="5" t="str">
        <f>IFERROR(__xludf.DUMMYFUNCTION("""COMPUTED_VALUE"""),"Unavailable")</f>
        <v>Unavailable</v>
      </c>
      <c r="Q971" s="5" t="s">
        <v>134</v>
      </c>
      <c r="R971" s="5" t="s">
        <v>136</v>
      </c>
      <c r="S971" s="11">
        <v>5360.0</v>
      </c>
    </row>
    <row r="972">
      <c r="A972" s="5" t="str">
        <f>IFERROR(__xludf.DUMMYFUNCTION("""COMPUTED_VALUE"""),"Lidocaine Hydrochloride Injection")</f>
        <v>Lidocaine Hydrochloride Injection</v>
      </c>
      <c r="B972" s="5" t="str">
        <f>IFERROR(__xludf.DUMMYFUNCTION("""COMPUTED_VALUE"""),"Fresenius Kabi USA, LLC")</f>
        <v>Fresenius Kabi USA, LLC</v>
      </c>
      <c r="C972" s="5" t="str">
        <f>IFERROR(__xludf.DUMMYFUNCTION("""COMPUTED_VALUE"""),"Xylocaine, Injection, 15 mg/1 mL (NDC 63323-493-91)")</f>
        <v>Xylocaine, Injection, 15 mg/1 mL (NDC 63323-493-91)</v>
      </c>
      <c r="D972" s="5" t="str">
        <f>IFERROR(__xludf.DUMMYFUNCTION("""COMPUTED_VALUE"""),"Reverified")</f>
        <v>Reverified</v>
      </c>
      <c r="E972" s="13">
        <f>IFERROR(__xludf.DUMMYFUNCTION("""COMPUTED_VALUE"""),46310.0)</f>
        <v>46310</v>
      </c>
      <c r="F972" s="5" t="str">
        <f>IFERROR(__xludf.DUMMYFUNCTION("""COMPUTED_VALUE"""),"Unavailable")</f>
        <v>Unavailable</v>
      </c>
      <c r="G972" s="5" t="str">
        <f>IFERROR(__xludf.DUMMYFUNCTION("""COMPUTED_VALUE"""),"Estimated recovery: TBD")</f>
        <v>Estimated recovery: TBD</v>
      </c>
      <c r="H972" s="5"/>
      <c r="I972" s="5" t="str">
        <f>IFERROR(__xludf.DUMMYFUNCTION("""COMPUTED_VALUE"""),"Demand increase for the drug")</f>
        <v>Demand increase for the drug</v>
      </c>
      <c r="J972" s="5" t="str">
        <f>IFERROR(__xludf.DUMMYFUNCTION("""COMPUTED_VALUE"""),"Anesthesia; Pediatric")</f>
        <v>Anesthesia; Pediatric</v>
      </c>
      <c r="K972" s="5" t="str">
        <f>IFERROR(__xludf.DUMMYFUNCTION("""COMPUTED_VALUE"""),"Current")</f>
        <v>Current</v>
      </c>
      <c r="L972" s="5"/>
      <c r="M972" s="5"/>
      <c r="N972" s="10">
        <f>IFERROR(__xludf.DUMMYFUNCTION("""COMPUTED_VALUE"""),40961.0)</f>
        <v>40961</v>
      </c>
      <c r="O972" s="5">
        <v>2012.0</v>
      </c>
      <c r="P972" s="5" t="str">
        <f>IFERROR(__xludf.DUMMYFUNCTION("""COMPUTED_VALUE"""),"Unavailable")</f>
        <v>Unavailable</v>
      </c>
      <c r="Q972" s="5" t="s">
        <v>134</v>
      </c>
      <c r="R972" s="5" t="s">
        <v>136</v>
      </c>
      <c r="S972" s="11">
        <v>5360.0</v>
      </c>
    </row>
    <row r="973">
      <c r="A973" s="5" t="str">
        <f>IFERROR(__xludf.DUMMYFUNCTION("""COMPUTED_VALUE"""),"Lidocaine Hydrochloride Injection")</f>
        <v>Lidocaine Hydrochloride Injection</v>
      </c>
      <c r="B973" s="5" t="str">
        <f>IFERROR(__xludf.DUMMYFUNCTION("""COMPUTED_VALUE"""),"Fresenius Kabi USA, LLC")</f>
        <v>Fresenius Kabi USA, LLC</v>
      </c>
      <c r="C973" s="5" t="str">
        <f>IFERROR(__xludf.DUMMYFUNCTION("""COMPUTED_VALUE"""),"Lidocaine Hydrochloride, Injection, 20 mg/1 mL (NDC 63323-202-02)")</f>
        <v>Lidocaine Hydrochloride, Injection, 20 mg/1 mL (NDC 63323-202-02)</v>
      </c>
      <c r="D973" s="5" t="str">
        <f>IFERROR(__xludf.DUMMYFUNCTION("""COMPUTED_VALUE"""),"Reverified")</f>
        <v>Reverified</v>
      </c>
      <c r="E973" s="13">
        <f>IFERROR(__xludf.DUMMYFUNCTION("""COMPUTED_VALUE"""),46310.0)</f>
        <v>46310</v>
      </c>
      <c r="F973" s="5" t="str">
        <f>IFERROR(__xludf.DUMMYFUNCTION("""COMPUTED_VALUE"""),"Available")</f>
        <v>Available</v>
      </c>
      <c r="G973" s="5" t="str">
        <f>IFERROR(__xludf.DUMMYFUNCTION("""COMPUTED_VALUE"""),"Check wholesalers for inventory")</f>
        <v>Check wholesalers for inventory</v>
      </c>
      <c r="H973" s="5"/>
      <c r="I973" s="5"/>
      <c r="J973" s="5" t="str">
        <f>IFERROR(__xludf.DUMMYFUNCTION("""COMPUTED_VALUE"""),"Anesthesia; Pediatric")</f>
        <v>Anesthesia; Pediatric</v>
      </c>
      <c r="K973" s="5" t="str">
        <f>IFERROR(__xludf.DUMMYFUNCTION("""COMPUTED_VALUE"""),"Current")</f>
        <v>Current</v>
      </c>
      <c r="L973" s="5"/>
      <c r="M973" s="5"/>
      <c r="N973" s="10">
        <f>IFERROR(__xludf.DUMMYFUNCTION("""COMPUTED_VALUE"""),40961.0)</f>
        <v>40961</v>
      </c>
      <c r="O973" s="5">
        <v>2012.0</v>
      </c>
      <c r="P973" s="5" t="str">
        <f>IFERROR(__xludf.DUMMYFUNCTION("""COMPUTED_VALUE"""),"Available")</f>
        <v>Available</v>
      </c>
      <c r="Q973" s="5" t="s">
        <v>135</v>
      </c>
      <c r="R973" s="5" t="s">
        <v>136</v>
      </c>
      <c r="S973" s="11">
        <v>5360.0</v>
      </c>
    </row>
    <row r="974">
      <c r="A974" s="5" t="str">
        <f>IFERROR(__xludf.DUMMYFUNCTION("""COMPUTED_VALUE"""),"Lidocaine Hydrochloride Injection")</f>
        <v>Lidocaine Hydrochloride Injection</v>
      </c>
      <c r="B974" s="5" t="str">
        <f>IFERROR(__xludf.DUMMYFUNCTION("""COMPUTED_VALUE"""),"Fresenius Kabi USA, LLC")</f>
        <v>Fresenius Kabi USA, LLC</v>
      </c>
      <c r="C974" s="5" t="str">
        <f>IFERROR(__xludf.DUMMYFUNCTION("""COMPUTED_VALUE"""),"Lidocaine Hydrochloride Preservative Free, Injection, 20 mg/1 mL (NDC 63323-208-05)")</f>
        <v>Lidocaine Hydrochloride Preservative Free, Injection, 20 mg/1 mL (NDC 63323-208-05)</v>
      </c>
      <c r="D974" s="5" t="str">
        <f>IFERROR(__xludf.DUMMYFUNCTION("""COMPUTED_VALUE"""),"Reverified")</f>
        <v>Reverified</v>
      </c>
      <c r="E974" s="13">
        <f>IFERROR(__xludf.DUMMYFUNCTION("""COMPUTED_VALUE"""),46310.0)</f>
        <v>46310</v>
      </c>
      <c r="F974" s="5" t="str">
        <f>IFERROR(__xludf.DUMMYFUNCTION("""COMPUTED_VALUE"""),"Unavailable")</f>
        <v>Unavailable</v>
      </c>
      <c r="G974" s="5" t="str">
        <f>IFERROR(__xludf.DUMMYFUNCTION("""COMPUTED_VALUE"""),"Next release November 2026. Check wholesalers for inventory.")</f>
        <v>Next release November 2026. Check wholesalers for inventory.</v>
      </c>
      <c r="H974" s="5"/>
      <c r="I974" s="5" t="str">
        <f>IFERROR(__xludf.DUMMYFUNCTION("""COMPUTED_VALUE"""),"Demand increase for the drug")</f>
        <v>Demand increase for the drug</v>
      </c>
      <c r="J974" s="5" t="str">
        <f>IFERROR(__xludf.DUMMYFUNCTION("""COMPUTED_VALUE"""),"Anesthesia; Pediatric")</f>
        <v>Anesthesia; Pediatric</v>
      </c>
      <c r="K974" s="5" t="str">
        <f>IFERROR(__xludf.DUMMYFUNCTION("""COMPUTED_VALUE"""),"Current")</f>
        <v>Current</v>
      </c>
      <c r="L974" s="5"/>
      <c r="M974" s="5"/>
      <c r="N974" s="10">
        <f>IFERROR(__xludf.DUMMYFUNCTION("""COMPUTED_VALUE"""),40961.0)</f>
        <v>40961</v>
      </c>
      <c r="O974" s="5">
        <v>2012.0</v>
      </c>
      <c r="P974" s="5" t="str">
        <f>IFERROR(__xludf.DUMMYFUNCTION("""COMPUTED_VALUE"""),"Unavailable")</f>
        <v>Unavailable</v>
      </c>
      <c r="Q974" s="5" t="s">
        <v>134</v>
      </c>
      <c r="R974" s="5" t="s">
        <v>136</v>
      </c>
      <c r="S974" s="11">
        <v>5360.0</v>
      </c>
    </row>
    <row r="975">
      <c r="A975" s="5" t="str">
        <f>IFERROR(__xludf.DUMMYFUNCTION("""COMPUTED_VALUE"""),"Lidocaine Hydrochloride Injection")</f>
        <v>Lidocaine Hydrochloride Injection</v>
      </c>
      <c r="B975" s="5" t="str">
        <f>IFERROR(__xludf.DUMMYFUNCTION("""COMPUTED_VALUE"""),"Fresenius Kabi USA, LLC")</f>
        <v>Fresenius Kabi USA, LLC</v>
      </c>
      <c r="C975" s="5" t="str">
        <f>IFERROR(__xludf.DUMMYFUNCTION("""COMPUTED_VALUE"""),"Xylocaine, Injection, 20 mg/1 mL (NDC 63323-486-17)")</f>
        <v>Xylocaine, Injection, 20 mg/1 mL (NDC 63323-486-17)</v>
      </c>
      <c r="D975" s="5" t="str">
        <f>IFERROR(__xludf.DUMMYFUNCTION("""COMPUTED_VALUE"""),"Reverified")</f>
        <v>Reverified</v>
      </c>
      <c r="E975" s="13">
        <f>IFERROR(__xludf.DUMMYFUNCTION("""COMPUTED_VALUE"""),46310.0)</f>
        <v>46310</v>
      </c>
      <c r="F975" s="5" t="str">
        <f>IFERROR(__xludf.DUMMYFUNCTION("""COMPUTED_VALUE"""),"Available")</f>
        <v>Available</v>
      </c>
      <c r="G975" s="5" t="str">
        <f>IFERROR(__xludf.DUMMYFUNCTION("""COMPUTED_VALUE"""),"Check wholesalers for inventory")</f>
        <v>Check wholesalers for inventory</v>
      </c>
      <c r="H975" s="5"/>
      <c r="I975" s="5"/>
      <c r="J975" s="5" t="str">
        <f>IFERROR(__xludf.DUMMYFUNCTION("""COMPUTED_VALUE"""),"Anesthesia; Pediatric")</f>
        <v>Anesthesia; Pediatric</v>
      </c>
      <c r="K975" s="5" t="str">
        <f>IFERROR(__xludf.DUMMYFUNCTION("""COMPUTED_VALUE"""),"Current")</f>
        <v>Current</v>
      </c>
      <c r="L975" s="5"/>
      <c r="M975" s="5"/>
      <c r="N975" s="10">
        <f>IFERROR(__xludf.DUMMYFUNCTION("""COMPUTED_VALUE"""),40961.0)</f>
        <v>40961</v>
      </c>
      <c r="O975" s="5">
        <v>2012.0</v>
      </c>
      <c r="P975" s="5" t="str">
        <f>IFERROR(__xludf.DUMMYFUNCTION("""COMPUTED_VALUE"""),"Available")</f>
        <v>Available</v>
      </c>
      <c r="Q975" s="5" t="s">
        <v>135</v>
      </c>
      <c r="R975" s="5" t="s">
        <v>136</v>
      </c>
      <c r="S975" s="11">
        <v>5360.0</v>
      </c>
    </row>
    <row r="976">
      <c r="A976" s="5" t="str">
        <f>IFERROR(__xludf.DUMMYFUNCTION("""COMPUTED_VALUE"""),"Lidocaine Hydrochloride Injection")</f>
        <v>Lidocaine Hydrochloride Injection</v>
      </c>
      <c r="B976" s="5" t="str">
        <f>IFERROR(__xludf.DUMMYFUNCTION("""COMPUTED_VALUE"""),"Fresenius Kabi USA, LLC")</f>
        <v>Fresenius Kabi USA, LLC</v>
      </c>
      <c r="C976" s="5" t="str">
        <f>IFERROR(__xludf.DUMMYFUNCTION("""COMPUTED_VALUE"""),"Xylocaine, Injection, 20 mg/1 mL (NDC 63323-486-27)")</f>
        <v>Xylocaine, Injection, 20 mg/1 mL (NDC 63323-486-27)</v>
      </c>
      <c r="D976" s="5" t="str">
        <f>IFERROR(__xludf.DUMMYFUNCTION("""COMPUTED_VALUE"""),"Reverified")</f>
        <v>Reverified</v>
      </c>
      <c r="E976" s="13">
        <f>IFERROR(__xludf.DUMMYFUNCTION("""COMPUTED_VALUE"""),46310.0)</f>
        <v>46310</v>
      </c>
      <c r="F976" s="5" t="str">
        <f>IFERROR(__xludf.DUMMYFUNCTION("""COMPUTED_VALUE"""),"Available")</f>
        <v>Available</v>
      </c>
      <c r="G976" s="5" t="str">
        <f>IFERROR(__xludf.DUMMYFUNCTION("""COMPUTED_VALUE"""),"Check wholesalers for inventory")</f>
        <v>Check wholesalers for inventory</v>
      </c>
      <c r="H976" s="5"/>
      <c r="I976" s="5"/>
      <c r="J976" s="5" t="str">
        <f>IFERROR(__xludf.DUMMYFUNCTION("""COMPUTED_VALUE"""),"Anesthesia; Pediatric")</f>
        <v>Anesthesia; Pediatric</v>
      </c>
      <c r="K976" s="5" t="str">
        <f>IFERROR(__xludf.DUMMYFUNCTION("""COMPUTED_VALUE"""),"Current")</f>
        <v>Current</v>
      </c>
      <c r="L976" s="5"/>
      <c r="M976" s="5"/>
      <c r="N976" s="10">
        <f>IFERROR(__xludf.DUMMYFUNCTION("""COMPUTED_VALUE"""),40961.0)</f>
        <v>40961</v>
      </c>
      <c r="O976" s="5">
        <v>2012.0</v>
      </c>
      <c r="P976" s="5" t="str">
        <f>IFERROR(__xludf.DUMMYFUNCTION("""COMPUTED_VALUE"""),"Available")</f>
        <v>Available</v>
      </c>
      <c r="Q976" s="5" t="s">
        <v>135</v>
      </c>
      <c r="R976" s="5" t="s">
        <v>136</v>
      </c>
      <c r="S976" s="11">
        <v>5360.0</v>
      </c>
    </row>
    <row r="977">
      <c r="A977" s="5" t="str">
        <f>IFERROR(__xludf.DUMMYFUNCTION("""COMPUTED_VALUE"""),"Lidocaine Hydrochloride Injection")</f>
        <v>Lidocaine Hydrochloride Injection</v>
      </c>
      <c r="B977" s="5" t="str">
        <f>IFERROR(__xludf.DUMMYFUNCTION("""COMPUTED_VALUE"""),"Fresenius Kabi USA, LLC")</f>
        <v>Fresenius Kabi USA, LLC</v>
      </c>
      <c r="C977" s="5" t="str">
        <f>IFERROR(__xludf.DUMMYFUNCTION("""COMPUTED_VALUE"""),"Xylocaine, Injection, 20 mg/1 mL (NDC 63323-486-57)")</f>
        <v>Xylocaine, Injection, 20 mg/1 mL (NDC 63323-486-57)</v>
      </c>
      <c r="D977" s="5" t="str">
        <f>IFERROR(__xludf.DUMMYFUNCTION("""COMPUTED_VALUE"""),"Revised")</f>
        <v>Revised</v>
      </c>
      <c r="E977" s="13">
        <f>IFERROR(__xludf.DUMMYFUNCTION("""COMPUTED_VALUE"""),46310.0)</f>
        <v>46310</v>
      </c>
      <c r="F977" s="5" t="str">
        <f>IFERROR(__xludf.DUMMYFUNCTION("""COMPUTED_VALUE"""),"Unavailable")</f>
        <v>Unavailable</v>
      </c>
      <c r="G977" s="5" t="str">
        <f>IFERROR(__xludf.DUMMYFUNCTION("""COMPUTED_VALUE"""),"Next release November 2026. Check wholesalers for inventory.")</f>
        <v>Next release November 2026. Check wholesalers for inventory.</v>
      </c>
      <c r="H977" s="5"/>
      <c r="I977" s="5" t="str">
        <f>IFERROR(__xludf.DUMMYFUNCTION("""COMPUTED_VALUE"""),"Other")</f>
        <v>Other</v>
      </c>
      <c r="J977" s="5" t="str">
        <f>IFERROR(__xludf.DUMMYFUNCTION("""COMPUTED_VALUE"""),"Anesthesia; Pediatric")</f>
        <v>Anesthesia; Pediatric</v>
      </c>
      <c r="K977" s="5" t="str">
        <f>IFERROR(__xludf.DUMMYFUNCTION("""COMPUTED_VALUE"""),"Current")</f>
        <v>Current</v>
      </c>
      <c r="L977" s="5"/>
      <c r="M977" s="5"/>
      <c r="N977" s="10">
        <f>IFERROR(__xludf.DUMMYFUNCTION("""COMPUTED_VALUE"""),40961.0)</f>
        <v>40961</v>
      </c>
      <c r="O977" s="5">
        <v>2012.0</v>
      </c>
      <c r="P977" s="5" t="str">
        <f>IFERROR(__xludf.DUMMYFUNCTION("""COMPUTED_VALUE"""),"Unavailable")</f>
        <v>Unavailable</v>
      </c>
      <c r="Q977" s="5" t="s">
        <v>47</v>
      </c>
      <c r="R977" s="5" t="s">
        <v>136</v>
      </c>
      <c r="S977" s="11">
        <v>5360.0</v>
      </c>
    </row>
    <row r="978">
      <c r="A978" s="5" t="str">
        <f>IFERROR(__xludf.DUMMYFUNCTION("""COMPUTED_VALUE"""),"Lidocaine Hydrochloride Injection")</f>
        <v>Lidocaine Hydrochloride Injection</v>
      </c>
      <c r="B978" s="5" t="str">
        <f>IFERROR(__xludf.DUMMYFUNCTION("""COMPUTED_VALUE"""),"Fresenius Kabi USA, LLC")</f>
        <v>Fresenius Kabi USA, LLC</v>
      </c>
      <c r="C978" s="5" t="str">
        <f>IFERROR(__xludf.DUMMYFUNCTION("""COMPUTED_VALUE"""),"Xylocaine, Injection, 20 mg/1 mL (NDC 63323-495-27)")</f>
        <v>Xylocaine, Injection, 20 mg/1 mL (NDC 63323-495-27)</v>
      </c>
      <c r="D978" s="5" t="str">
        <f>IFERROR(__xludf.DUMMYFUNCTION("""COMPUTED_VALUE"""),"Reverified")</f>
        <v>Reverified</v>
      </c>
      <c r="E978" s="13">
        <f>IFERROR(__xludf.DUMMYFUNCTION("""COMPUTED_VALUE"""),46310.0)</f>
        <v>46310</v>
      </c>
      <c r="F978" s="5" t="str">
        <f>IFERROR(__xludf.DUMMYFUNCTION("""COMPUTED_VALUE"""),"Available")</f>
        <v>Available</v>
      </c>
      <c r="G978" s="5" t="str">
        <f>IFERROR(__xludf.DUMMYFUNCTION("""COMPUTED_VALUE"""),"Check wholesalers for inventory")</f>
        <v>Check wholesalers for inventory</v>
      </c>
      <c r="H978" s="5"/>
      <c r="I978" s="5"/>
      <c r="J978" s="5" t="str">
        <f>IFERROR(__xludf.DUMMYFUNCTION("""COMPUTED_VALUE"""),"Anesthesia; Pediatric")</f>
        <v>Anesthesia; Pediatric</v>
      </c>
      <c r="K978" s="5" t="str">
        <f>IFERROR(__xludf.DUMMYFUNCTION("""COMPUTED_VALUE"""),"Current")</f>
        <v>Current</v>
      </c>
      <c r="L978" s="5"/>
      <c r="M978" s="5"/>
      <c r="N978" s="10">
        <f>IFERROR(__xludf.DUMMYFUNCTION("""COMPUTED_VALUE"""),40961.0)</f>
        <v>40961</v>
      </c>
      <c r="O978" s="5">
        <v>2012.0</v>
      </c>
      <c r="P978" s="5" t="str">
        <f>IFERROR(__xludf.DUMMYFUNCTION("""COMPUTED_VALUE"""),"Available")</f>
        <v>Available</v>
      </c>
      <c r="Q978" s="5" t="s">
        <v>135</v>
      </c>
      <c r="R978" s="5" t="s">
        <v>136</v>
      </c>
      <c r="S978" s="11">
        <v>5360.0</v>
      </c>
    </row>
    <row r="979">
      <c r="A979" s="5" t="str">
        <f>IFERROR(__xludf.DUMMYFUNCTION("""COMPUTED_VALUE"""),"Lidocaine Hydrochloride Injection")</f>
        <v>Lidocaine Hydrochloride Injection</v>
      </c>
      <c r="B979" s="5" t="str">
        <f>IFERROR(__xludf.DUMMYFUNCTION("""COMPUTED_VALUE"""),"Fresenius Kabi USA, LLC")</f>
        <v>Fresenius Kabi USA, LLC</v>
      </c>
      <c r="C979" s="5" t="str">
        <f>IFERROR(__xludf.DUMMYFUNCTION("""COMPUTED_VALUE"""),"Xylocaine, Injection, 20 mg/1 mL (NDC 63323-495-07)")</f>
        <v>Xylocaine, Injection, 20 mg/1 mL (NDC 63323-495-07)</v>
      </c>
      <c r="D979" s="5" t="str">
        <f>IFERROR(__xludf.DUMMYFUNCTION("""COMPUTED_VALUE"""),"Reverified")</f>
        <v>Reverified</v>
      </c>
      <c r="E979" s="13">
        <f>IFERROR(__xludf.DUMMYFUNCTION("""COMPUTED_VALUE"""),46310.0)</f>
        <v>46310</v>
      </c>
      <c r="F979" s="5" t="str">
        <f>IFERROR(__xludf.DUMMYFUNCTION("""COMPUTED_VALUE"""),"Available")</f>
        <v>Available</v>
      </c>
      <c r="G979" s="5" t="str">
        <f>IFERROR(__xludf.DUMMYFUNCTION("""COMPUTED_VALUE"""),"Check wholesalers for inventory")</f>
        <v>Check wholesalers for inventory</v>
      </c>
      <c r="H979" s="5"/>
      <c r="I979" s="5"/>
      <c r="J979" s="5" t="str">
        <f>IFERROR(__xludf.DUMMYFUNCTION("""COMPUTED_VALUE"""),"Anesthesia; Pediatric")</f>
        <v>Anesthesia; Pediatric</v>
      </c>
      <c r="K979" s="5" t="str">
        <f>IFERROR(__xludf.DUMMYFUNCTION("""COMPUTED_VALUE"""),"Current")</f>
        <v>Current</v>
      </c>
      <c r="L979" s="5"/>
      <c r="M979" s="5"/>
      <c r="N979" s="10">
        <f>IFERROR(__xludf.DUMMYFUNCTION("""COMPUTED_VALUE"""),40961.0)</f>
        <v>40961</v>
      </c>
      <c r="O979" s="5">
        <v>2012.0</v>
      </c>
      <c r="P979" s="5" t="str">
        <f>IFERROR(__xludf.DUMMYFUNCTION("""COMPUTED_VALUE"""),"Available")</f>
        <v>Available</v>
      </c>
      <c r="Q979" s="5" t="s">
        <v>135</v>
      </c>
      <c r="R979" s="5" t="s">
        <v>136</v>
      </c>
      <c r="S979" s="11">
        <v>5360.0</v>
      </c>
    </row>
    <row r="980">
      <c r="A980" s="5" t="str">
        <f>IFERROR(__xludf.DUMMYFUNCTION("""COMPUTED_VALUE"""),"Lidocaine Hydrochloride Injection")</f>
        <v>Lidocaine Hydrochloride Injection</v>
      </c>
      <c r="B980" s="5" t="str">
        <f>IFERROR(__xludf.DUMMYFUNCTION("""COMPUTED_VALUE"""),"Fresenius Kabi USA, LLC")</f>
        <v>Fresenius Kabi USA, LLC</v>
      </c>
      <c r="C980" s="5" t="str">
        <f>IFERROR(__xludf.DUMMYFUNCTION("""COMPUTED_VALUE"""),"Xylocaine, Injection, 20 mg/1 mL (NDC 63323-496-97)")</f>
        <v>Xylocaine, Injection, 20 mg/1 mL (NDC 63323-496-97)</v>
      </c>
      <c r="D980" s="5" t="str">
        <f>IFERROR(__xludf.DUMMYFUNCTION("""COMPUTED_VALUE"""),"Reverified")</f>
        <v>Reverified</v>
      </c>
      <c r="E980" s="13">
        <f>IFERROR(__xludf.DUMMYFUNCTION("""COMPUTED_VALUE"""),46310.0)</f>
        <v>46310</v>
      </c>
      <c r="F980" s="5" t="str">
        <f>IFERROR(__xludf.DUMMYFUNCTION("""COMPUTED_VALUE"""),"Unavailable")</f>
        <v>Unavailable</v>
      </c>
      <c r="G980" s="5" t="str">
        <f>IFERROR(__xludf.DUMMYFUNCTION("""COMPUTED_VALUE"""),"Estimated recovery: TBD")</f>
        <v>Estimated recovery: TBD</v>
      </c>
      <c r="H980" s="5"/>
      <c r="I980" s="5" t="str">
        <f>IFERROR(__xludf.DUMMYFUNCTION("""COMPUTED_VALUE"""),"Demand increase for the drug")</f>
        <v>Demand increase for the drug</v>
      </c>
      <c r="J980" s="5" t="str">
        <f>IFERROR(__xludf.DUMMYFUNCTION("""COMPUTED_VALUE"""),"Anesthesia; Pediatric")</f>
        <v>Anesthesia; Pediatric</v>
      </c>
      <c r="K980" s="5" t="str">
        <f>IFERROR(__xludf.DUMMYFUNCTION("""COMPUTED_VALUE"""),"Current")</f>
        <v>Current</v>
      </c>
      <c r="L980" s="5"/>
      <c r="M980" s="5"/>
      <c r="N980" s="10">
        <f>IFERROR(__xludf.DUMMYFUNCTION("""COMPUTED_VALUE"""),40961.0)</f>
        <v>40961</v>
      </c>
      <c r="O980" s="5">
        <v>2012.0</v>
      </c>
      <c r="P980" s="5" t="str">
        <f>IFERROR(__xludf.DUMMYFUNCTION("""COMPUTED_VALUE"""),"Unavailable")</f>
        <v>Unavailable</v>
      </c>
      <c r="Q980" s="5" t="s">
        <v>134</v>
      </c>
      <c r="R980" s="5" t="s">
        <v>136</v>
      </c>
      <c r="S980" s="11">
        <v>5360.0</v>
      </c>
    </row>
    <row r="981">
      <c r="A981" s="5" t="str">
        <f>IFERROR(__xludf.DUMMYFUNCTION("""COMPUTED_VALUE"""),"Lidocaine Hydrochloride Injection")</f>
        <v>Lidocaine Hydrochloride Injection</v>
      </c>
      <c r="B981" s="5" t="str">
        <f>IFERROR(__xludf.DUMMYFUNCTION("""COMPUTED_VALUE"""),"Hospira, Inc., a Pfizer Company")</f>
        <v>Hospira, Inc., a Pfizer Company</v>
      </c>
      <c r="C981" s="5" t="str">
        <f>IFERROR(__xludf.DUMMYFUNCTION("""COMPUTED_VALUE"""),"Lidocaine Hydrochloride In Plastic Container, Injection, 250 mg/50 mL (0.5%; 5 mg/mL) (NDC 0409-4275-01)")</f>
        <v>Lidocaine Hydrochloride In Plastic Container, Injection, 250 mg/50 mL (0.5%; 5 mg/mL) (NDC 0409-4275-01)</v>
      </c>
      <c r="D981" s="5" t="str">
        <f>IFERROR(__xludf.DUMMYFUNCTION("""COMPUTED_VALUE"""),"Revised")</f>
        <v>Revised</v>
      </c>
      <c r="E981" s="13">
        <f>IFERROR(__xludf.DUMMYFUNCTION("""COMPUTED_VALUE"""),46316.0)</f>
        <v>46316</v>
      </c>
      <c r="F981" s="5" t="str">
        <f>IFERROR(__xludf.DUMMYFUNCTION("""COMPUTED_VALUE"""),"Unavailable")</f>
        <v>Unavailable</v>
      </c>
      <c r="G981" s="5" t="str">
        <f>IFERROR(__xludf.DUMMYFUNCTION("""COMPUTED_VALUE"""),"Next Delivery and Estimated Recovery: December 2028; Shortage per Manufacturer: Manufacturing Delay")</f>
        <v>Next Delivery and Estimated Recovery: December 2028; Shortage per Manufacturer: Manufacturing Delay</v>
      </c>
      <c r="H981" s="5"/>
      <c r="I981" s="5" t="str">
        <f>IFERROR(__xludf.DUMMYFUNCTION("""COMPUTED_VALUE"""),"Other")</f>
        <v>Other</v>
      </c>
      <c r="J981" s="5" t="str">
        <f>IFERROR(__xludf.DUMMYFUNCTION("""COMPUTED_VALUE"""),"Anesthesia; Pediatric")</f>
        <v>Anesthesia; Pediatric</v>
      </c>
      <c r="K981" s="5" t="str">
        <f>IFERROR(__xludf.DUMMYFUNCTION("""COMPUTED_VALUE"""),"Current")</f>
        <v>Current</v>
      </c>
      <c r="L981" s="5"/>
      <c r="M981" s="5"/>
      <c r="N981" s="10">
        <f>IFERROR(__xludf.DUMMYFUNCTION("""COMPUTED_VALUE"""),40961.0)</f>
        <v>40961</v>
      </c>
      <c r="O981" s="5">
        <v>2012.0</v>
      </c>
      <c r="P981" s="5" t="str">
        <f>IFERROR(__xludf.DUMMYFUNCTION("""COMPUTED_VALUE"""),"Unavailable")</f>
        <v>Unavailable</v>
      </c>
      <c r="Q981" s="5" t="s">
        <v>47</v>
      </c>
      <c r="R981" s="5" t="s">
        <v>136</v>
      </c>
      <c r="S981" s="11">
        <v>5360.0</v>
      </c>
    </row>
    <row r="982">
      <c r="A982" s="5" t="str">
        <f>IFERROR(__xludf.DUMMYFUNCTION("""COMPUTED_VALUE"""),"Lidocaine Hydrochloride Injection")</f>
        <v>Lidocaine Hydrochloride Injection</v>
      </c>
      <c r="B982" s="5" t="str">
        <f>IFERROR(__xludf.DUMMYFUNCTION("""COMPUTED_VALUE"""),"Hospira, Inc., a Pfizer Company")</f>
        <v>Hospira, Inc., a Pfizer Company</v>
      </c>
      <c r="C982" s="5" t="str">
        <f>IFERROR(__xludf.DUMMYFUNCTION("""COMPUTED_VALUE"""),"Lidocaine Hydrochloride, Injection, 250 mg/50 mL (0.5%; 5 mg/mL) (NDC 0409-4278-01)")</f>
        <v>Lidocaine Hydrochloride, Injection, 250 mg/50 mL (0.5%; 5 mg/mL) (NDC 0409-4278-01)</v>
      </c>
      <c r="D982" s="5" t="str">
        <f>IFERROR(__xludf.DUMMYFUNCTION("""COMPUTED_VALUE"""),"Reverified")</f>
        <v>Reverified</v>
      </c>
      <c r="E982" s="13">
        <f>IFERROR(__xludf.DUMMYFUNCTION("""COMPUTED_VALUE"""),46316.0)</f>
        <v>46316</v>
      </c>
      <c r="F982" s="5" t="str">
        <f>IFERROR(__xludf.DUMMYFUNCTION("""COMPUTED_VALUE"""),"Available")</f>
        <v>Available</v>
      </c>
      <c r="G982" s="5"/>
      <c r="H982" s="5"/>
      <c r="I982" s="5"/>
      <c r="J982" s="5" t="str">
        <f>IFERROR(__xludf.DUMMYFUNCTION("""COMPUTED_VALUE"""),"Anesthesia; Pediatric")</f>
        <v>Anesthesia; Pediatric</v>
      </c>
      <c r="K982" s="5" t="str">
        <f>IFERROR(__xludf.DUMMYFUNCTION("""COMPUTED_VALUE"""),"Current")</f>
        <v>Current</v>
      </c>
      <c r="L982" s="5"/>
      <c r="M982" s="5"/>
      <c r="N982" s="10">
        <f>IFERROR(__xludf.DUMMYFUNCTION("""COMPUTED_VALUE"""),40961.0)</f>
        <v>40961</v>
      </c>
      <c r="O982" s="5">
        <v>2012.0</v>
      </c>
      <c r="P982" s="5" t="str">
        <f>IFERROR(__xludf.DUMMYFUNCTION("""COMPUTED_VALUE"""),"Available")</f>
        <v>Available</v>
      </c>
      <c r="Q982" s="5" t="s">
        <v>135</v>
      </c>
      <c r="R982" s="5" t="s">
        <v>136</v>
      </c>
      <c r="S982" s="11">
        <v>5360.0</v>
      </c>
    </row>
    <row r="983">
      <c r="A983" s="5" t="str">
        <f>IFERROR(__xludf.DUMMYFUNCTION("""COMPUTED_VALUE"""),"Lidocaine Hydrochloride Injection")</f>
        <v>Lidocaine Hydrochloride Injection</v>
      </c>
      <c r="B983" s="5" t="str">
        <f>IFERROR(__xludf.DUMMYFUNCTION("""COMPUTED_VALUE"""),"Hospira, Inc., a Pfizer Company")</f>
        <v>Hospira, Inc., a Pfizer Company</v>
      </c>
      <c r="C983" s="5" t="str">
        <f>IFERROR(__xludf.DUMMYFUNCTION("""COMPUTED_VALUE"""),"Lidocaine Hydrochloride Preservative Free, Injection, 50 mg/5 mL (1%; 10 mg/mL) (NDC 0409-4713-02)")</f>
        <v>Lidocaine Hydrochloride Preservative Free, Injection, 50 mg/5 mL (1%; 10 mg/mL) (NDC 0409-4713-02)</v>
      </c>
      <c r="D983" s="5" t="str">
        <f>IFERROR(__xludf.DUMMYFUNCTION("""COMPUTED_VALUE"""),"Reverified")</f>
        <v>Reverified</v>
      </c>
      <c r="E983" s="13">
        <f>IFERROR(__xludf.DUMMYFUNCTION("""COMPUTED_VALUE"""),46316.0)</f>
        <v>46316</v>
      </c>
      <c r="F983" s="5" t="str">
        <f>IFERROR(__xludf.DUMMYFUNCTION("""COMPUTED_VALUE"""),"Available")</f>
        <v>Available</v>
      </c>
      <c r="G983" s="5"/>
      <c r="H983" s="5"/>
      <c r="I983" s="5"/>
      <c r="J983" s="5" t="str">
        <f>IFERROR(__xludf.DUMMYFUNCTION("""COMPUTED_VALUE"""),"Anesthesia; Pediatric")</f>
        <v>Anesthesia; Pediatric</v>
      </c>
      <c r="K983" s="5" t="str">
        <f>IFERROR(__xludf.DUMMYFUNCTION("""COMPUTED_VALUE"""),"Current")</f>
        <v>Current</v>
      </c>
      <c r="L983" s="5"/>
      <c r="M983" s="5"/>
      <c r="N983" s="10">
        <f>IFERROR(__xludf.DUMMYFUNCTION("""COMPUTED_VALUE"""),40961.0)</f>
        <v>40961</v>
      </c>
      <c r="O983" s="5">
        <v>2012.0</v>
      </c>
      <c r="P983" s="5" t="str">
        <f>IFERROR(__xludf.DUMMYFUNCTION("""COMPUTED_VALUE"""),"Available")</f>
        <v>Available</v>
      </c>
      <c r="Q983" s="5" t="s">
        <v>135</v>
      </c>
      <c r="R983" s="5" t="s">
        <v>136</v>
      </c>
      <c r="S983" s="11">
        <v>5360.0</v>
      </c>
    </row>
    <row r="984">
      <c r="A984" s="5" t="str">
        <f>IFERROR(__xludf.DUMMYFUNCTION("""COMPUTED_VALUE"""),"Lidocaine Hydrochloride Injection")</f>
        <v>Lidocaine Hydrochloride Injection</v>
      </c>
      <c r="B984" s="5" t="str">
        <f>IFERROR(__xludf.DUMMYFUNCTION("""COMPUTED_VALUE"""),"Eugia US LLC")</f>
        <v>Eugia US LLC</v>
      </c>
      <c r="C984" s="5" t="str">
        <f>IFERROR(__xludf.DUMMYFUNCTION("""COMPUTED_VALUE"""),"Lidocaine Hydrochloride, Injection, 20 mg/mL (NDC 55150-256-50)")</f>
        <v>Lidocaine Hydrochloride, Injection, 20 mg/mL (NDC 55150-256-50)</v>
      </c>
      <c r="D984" s="5" t="str">
        <f>IFERROR(__xludf.DUMMYFUNCTION("""COMPUTED_VALUE"""),"Reverified")</f>
        <v>Reverified</v>
      </c>
      <c r="E984" s="13">
        <f>IFERROR(__xludf.DUMMYFUNCTION("""COMPUTED_VALUE"""),46314.0)</f>
        <v>46314</v>
      </c>
      <c r="F984" s="5" t="str">
        <f>IFERROR(__xludf.DUMMYFUNCTION("""COMPUTED_VALUE"""),"Unavailable")</f>
        <v>Unavailable</v>
      </c>
      <c r="G984" s="5" t="str">
        <f>IFERROR(__xludf.DUMMYFUNCTION("""COMPUTED_VALUE"""),"On backorder. Recovery: TBD. Check wholesalers for inventory")</f>
        <v>On backorder. Recovery: TBD. Check wholesalers for inventory</v>
      </c>
      <c r="H984" s="5"/>
      <c r="I984" s="5" t="str">
        <f>IFERROR(__xludf.DUMMYFUNCTION("""COMPUTED_VALUE"""),"Demand increase for the drug")</f>
        <v>Demand increase for the drug</v>
      </c>
      <c r="J984" s="5" t="str">
        <f>IFERROR(__xludf.DUMMYFUNCTION("""COMPUTED_VALUE"""),"Anesthesia")</f>
        <v>Anesthesia</v>
      </c>
      <c r="K984" s="5" t="str">
        <f>IFERROR(__xludf.DUMMYFUNCTION("""COMPUTED_VALUE"""),"Current")</f>
        <v>Current</v>
      </c>
      <c r="L984" s="5"/>
      <c r="M984" s="5"/>
      <c r="N984" s="10">
        <f>IFERROR(__xludf.DUMMYFUNCTION("""COMPUTED_VALUE"""),43264.0)</f>
        <v>43264</v>
      </c>
      <c r="O984" s="5">
        <v>2018.0</v>
      </c>
      <c r="P984" s="5" t="str">
        <f>IFERROR(__xludf.DUMMYFUNCTION("""COMPUTED_VALUE"""),"Unavailable")</f>
        <v>Unavailable</v>
      </c>
      <c r="Q984" s="5" t="s">
        <v>134</v>
      </c>
      <c r="R984" s="5" t="s">
        <v>136</v>
      </c>
      <c r="S984" s="11">
        <v>3057.0</v>
      </c>
    </row>
    <row r="985">
      <c r="A985" s="5" t="str">
        <f>IFERROR(__xludf.DUMMYFUNCTION("""COMPUTED_VALUE"""),"Lidocaine Hydrochloride Injection")</f>
        <v>Lidocaine Hydrochloride Injection</v>
      </c>
      <c r="B985" s="5" t="str">
        <f>IFERROR(__xludf.DUMMYFUNCTION("""COMPUTED_VALUE"""),"Huons Co., Ltd. (South Korea)")</f>
        <v>Huons Co., Ltd. (South Korea)</v>
      </c>
      <c r="C985" s="5" t="str">
        <f>IFERROR(__xludf.DUMMYFUNCTION("""COMPUTED_VALUE"""),"Lidocaine Hydrochloride, Injection, 10 mg/1 mL (NDC 73293-0001-2)")</f>
        <v>Lidocaine Hydrochloride, Injection, 10 mg/1 mL (NDC 73293-0001-2)</v>
      </c>
      <c r="D985" s="5" t="str">
        <f>IFERROR(__xludf.DUMMYFUNCTION("""COMPUTED_VALUE"""),"Reverified")</f>
        <v>Reverified</v>
      </c>
      <c r="E985" s="10">
        <f>IFERROR(__xludf.DUMMYFUNCTION("""COMPUTED_VALUE"""),46233.0)</f>
        <v>46233</v>
      </c>
      <c r="F985" s="5" t="str">
        <f>IFERROR(__xludf.DUMMYFUNCTION("""COMPUTED_VALUE"""),"Unavailable")</f>
        <v>Unavailable</v>
      </c>
      <c r="G985" s="5" t="str">
        <f>IFERROR(__xludf.DUMMYFUNCTION("""COMPUTED_VALUE"""),"Estimated recovery: TBD")</f>
        <v>Estimated recovery: TBD</v>
      </c>
      <c r="H985" s="5"/>
      <c r="I985" s="5" t="str">
        <f>IFERROR(__xludf.DUMMYFUNCTION("""COMPUTED_VALUE"""),"Demand increase for the drug")</f>
        <v>Demand increase for the drug</v>
      </c>
      <c r="J985" s="5" t="str">
        <f>IFERROR(__xludf.DUMMYFUNCTION("""COMPUTED_VALUE"""),"Anesthesia")</f>
        <v>Anesthesia</v>
      </c>
      <c r="K985" s="5" t="str">
        <f>IFERROR(__xludf.DUMMYFUNCTION("""COMPUTED_VALUE"""),"Current")</f>
        <v>Current</v>
      </c>
      <c r="L985" s="5"/>
      <c r="M985" s="5"/>
      <c r="N985" s="10">
        <f>IFERROR(__xludf.DUMMYFUNCTION("""COMPUTED_VALUE"""),43295.0)</f>
        <v>43295</v>
      </c>
      <c r="O985" s="5">
        <v>2018.0</v>
      </c>
      <c r="P985" s="5" t="str">
        <f>IFERROR(__xludf.DUMMYFUNCTION("""COMPUTED_VALUE"""),"Unavailable")</f>
        <v>Unavailable</v>
      </c>
      <c r="Q985" s="5" t="s">
        <v>134</v>
      </c>
      <c r="R985" s="5" t="s">
        <v>136</v>
      </c>
      <c r="S985" s="11">
        <v>3026.0</v>
      </c>
    </row>
    <row r="986">
      <c r="A986" s="5" t="str">
        <f>IFERROR(__xludf.DUMMYFUNCTION("""COMPUTED_VALUE"""),"Lincomycin Hydrochloride Injection")</f>
        <v>Lincomycin Hydrochloride Injection</v>
      </c>
      <c r="B986" s="5" t="str">
        <f>IFERROR(__xludf.DUMMYFUNCTION("""COMPUTED_VALUE"""),"XGen Pharmaceuticals DJB, Inc.")</f>
        <v>XGen Pharmaceuticals DJB, Inc.</v>
      </c>
      <c r="C986" s="5" t="str">
        <f>IFERROR(__xludf.DUMMYFUNCTION("""COMPUTED_VALUE"""),"Lincomycin Hydrochloride, Injection, 600 mg/2 mL vial x 10 count (NDC 39822-0350-2)")</f>
        <v>Lincomycin Hydrochloride, Injection, 600 mg/2 mL vial x 10 count (NDC 39822-0350-2)</v>
      </c>
      <c r="D986" s="5" t="str">
        <f>IFERROR(__xludf.DUMMYFUNCTION("""COMPUTED_VALUE"""),"New")</f>
        <v>New</v>
      </c>
      <c r="E986" s="10">
        <f>IFERROR(__xludf.DUMMYFUNCTION("""COMPUTED_VALUE"""),46107.0)</f>
        <v>46107</v>
      </c>
      <c r="F986" s="5"/>
      <c r="G986" s="5" t="str">
        <f>IFERROR(__xludf.DUMMYFUNCTION("""COMPUTED_VALUE"""),"A business decision was made to discontinue manufacture of the drug.")</f>
        <v>A business decision was made to discontinue manufacture of the drug.</v>
      </c>
      <c r="H986" s="5"/>
      <c r="I986" s="5"/>
      <c r="J986" s="5" t="str">
        <f>IFERROR(__xludf.DUMMYFUNCTION("""COMPUTED_VALUE"""),"Anti-Infective")</f>
        <v>Anti-Infective</v>
      </c>
      <c r="K986" s="5" t="str">
        <f>IFERROR(__xludf.DUMMYFUNCTION("""COMPUTED_VALUE"""),"To Be Discontinued")</f>
        <v>To Be Discontinued</v>
      </c>
      <c r="L986" s="5"/>
      <c r="M986" s="10">
        <f>IFERROR(__xludf.DUMMYFUNCTION("""COMPUTED_VALUE"""),46107.0)</f>
        <v>46107</v>
      </c>
      <c r="N986" s="10">
        <f>IFERROR(__xludf.DUMMYFUNCTION("""COMPUTED_VALUE"""),46107.0)</f>
        <v>46107</v>
      </c>
      <c r="O986" s="5">
        <v>2026.0</v>
      </c>
      <c r="P986" s="5" t="str">
        <f>IFERROR(__xludf.DUMMYFUNCTION("""COMPUTED_VALUE"""),"Not stated")</f>
        <v>Not stated</v>
      </c>
      <c r="Q986" s="5" t="s">
        <v>135</v>
      </c>
      <c r="R986" s="5" t="s">
        <v>136</v>
      </c>
      <c r="S986" s="11">
        <v>214.0</v>
      </c>
    </row>
    <row r="987">
      <c r="A987" s="5" t="str">
        <f>IFERROR(__xludf.DUMMYFUNCTION("""COMPUTED_VALUE"""),"Lincomycin Hydrochloride Injection")</f>
        <v>Lincomycin Hydrochloride Injection</v>
      </c>
      <c r="B987" s="5" t="str">
        <f>IFERROR(__xludf.DUMMYFUNCTION("""COMPUTED_VALUE"""),"XGen Pharmaceuticals DJB, Inc.")</f>
        <v>XGen Pharmaceuticals DJB, Inc.</v>
      </c>
      <c r="C987" s="5" t="str">
        <f>IFERROR(__xludf.DUMMYFUNCTION("""COMPUTED_VALUE"""),"Lincomycin Hydrochloride, Injection, 3 grams/10 mL vial x 10 count (NDC 39822-0355-6)")</f>
        <v>Lincomycin Hydrochloride, Injection, 3 grams/10 mL vial x 10 count (NDC 39822-0355-6)</v>
      </c>
      <c r="D987" s="5" t="str">
        <f>IFERROR(__xludf.DUMMYFUNCTION("""COMPUTED_VALUE"""),"New")</f>
        <v>New</v>
      </c>
      <c r="E987" s="10">
        <f>IFERROR(__xludf.DUMMYFUNCTION("""COMPUTED_VALUE"""),46107.0)</f>
        <v>46107</v>
      </c>
      <c r="F987" s="5"/>
      <c r="G987" s="5" t="str">
        <f>IFERROR(__xludf.DUMMYFUNCTION("""COMPUTED_VALUE"""),"A business decision was made to discontinue manufacture of the drug.")</f>
        <v>A business decision was made to discontinue manufacture of the drug.</v>
      </c>
      <c r="H987" s="5"/>
      <c r="I987" s="5"/>
      <c r="J987" s="5" t="str">
        <f>IFERROR(__xludf.DUMMYFUNCTION("""COMPUTED_VALUE"""),"Anti-Infective")</f>
        <v>Anti-Infective</v>
      </c>
      <c r="K987" s="5" t="str">
        <f>IFERROR(__xludf.DUMMYFUNCTION("""COMPUTED_VALUE"""),"To Be Discontinued")</f>
        <v>To Be Discontinued</v>
      </c>
      <c r="L987" s="5"/>
      <c r="M987" s="10">
        <f>IFERROR(__xludf.DUMMYFUNCTION("""COMPUTED_VALUE"""),46107.0)</f>
        <v>46107</v>
      </c>
      <c r="N987" s="10">
        <f>IFERROR(__xludf.DUMMYFUNCTION("""COMPUTED_VALUE"""),46107.0)</f>
        <v>46107</v>
      </c>
      <c r="O987" s="5">
        <v>2026.0</v>
      </c>
      <c r="P987" s="5" t="str">
        <f>IFERROR(__xludf.DUMMYFUNCTION("""COMPUTED_VALUE"""),"Not stated")</f>
        <v>Not stated</v>
      </c>
      <c r="Q987" s="5" t="s">
        <v>135</v>
      </c>
      <c r="R987" s="5" t="s">
        <v>136</v>
      </c>
      <c r="S987" s="11">
        <v>214.0</v>
      </c>
    </row>
    <row r="988">
      <c r="A988" s="5" t="str">
        <f>IFERROR(__xludf.DUMMYFUNCTION("""COMPUTED_VALUE"""),"Lincomycin Hydrochloride Injection")</f>
        <v>Lincomycin Hydrochloride Injection</v>
      </c>
      <c r="B988" s="5" t="str">
        <f>IFERROR(__xludf.DUMMYFUNCTION("""COMPUTED_VALUE"""),"Pfizer Inc.")</f>
        <v>Pfizer Inc.</v>
      </c>
      <c r="C988" s="5" t="str">
        <f>IFERROR(__xludf.DUMMYFUNCTION("""COMPUTED_VALUE"""),"Lincocin, Injection, 2 mL multiple dose vial (NDC 0009-0104-04)")</f>
        <v>Lincocin, Injection, 2 mL multiple dose vial (NDC 0009-0104-04)</v>
      </c>
      <c r="D988" s="5" t="str">
        <f>IFERROR(__xludf.DUMMYFUNCTION("""COMPUTED_VALUE"""),"New")</f>
        <v>New</v>
      </c>
      <c r="E988" s="10">
        <f>IFERROR(__xludf.DUMMYFUNCTION("""COMPUTED_VALUE"""),46078.0)</f>
        <v>46078</v>
      </c>
      <c r="F988" s="5"/>
      <c r="G988" s="5" t="str">
        <f>IFERROR(__xludf.DUMMYFUNCTION("""COMPUTED_VALUE"""),"Discontinuation of the manufacture of the drug")</f>
        <v>Discontinuation of the manufacture of the drug</v>
      </c>
      <c r="H988" s="5"/>
      <c r="I988" s="5"/>
      <c r="J988" s="5" t="str">
        <f>IFERROR(__xludf.DUMMYFUNCTION("""COMPUTED_VALUE"""),"Anti-Infective")</f>
        <v>Anti-Infective</v>
      </c>
      <c r="K988" s="5" t="str">
        <f>IFERROR(__xludf.DUMMYFUNCTION("""COMPUTED_VALUE"""),"To Be Discontinued")</f>
        <v>To Be Discontinued</v>
      </c>
      <c r="L988" s="5"/>
      <c r="M988" s="10">
        <f>IFERROR(__xludf.DUMMYFUNCTION("""COMPUTED_VALUE"""),46078.0)</f>
        <v>46078</v>
      </c>
      <c r="N988" s="10">
        <f>IFERROR(__xludf.DUMMYFUNCTION("""COMPUTED_VALUE"""),46078.0)</f>
        <v>46078</v>
      </c>
      <c r="O988" s="5">
        <v>2026.0</v>
      </c>
      <c r="P988" s="5" t="str">
        <f>IFERROR(__xludf.DUMMYFUNCTION("""COMPUTED_VALUE"""),"Not stated")</f>
        <v>Not stated</v>
      </c>
      <c r="Q988" s="5" t="s">
        <v>135</v>
      </c>
      <c r="R988" s="5" t="s">
        <v>136</v>
      </c>
      <c r="S988" s="11">
        <v>243.0</v>
      </c>
    </row>
    <row r="989">
      <c r="A989" s="5" t="str">
        <f>IFERROR(__xludf.DUMMYFUNCTION("""COMPUTED_VALUE"""),"Liraglutide Injection")</f>
        <v>Liraglutide Injection</v>
      </c>
      <c r="B989" s="5" t="str">
        <f>IFERROR(__xludf.DUMMYFUNCTION("""COMPUTED_VALUE"""),"Hikma Pharmaceuticals USA, Inc.")</f>
        <v>Hikma Pharmaceuticals USA, Inc.</v>
      </c>
      <c r="C989" s="5" t="str">
        <f>IFERROR(__xludf.DUMMYFUNCTION("""COMPUTED_VALUE"""),"Liraglutide, Injection, 6 mg/1 mL (NDC 0143-9144-03)")</f>
        <v>Liraglutide, Injection, 6 mg/1 mL (NDC 0143-9144-03)</v>
      </c>
      <c r="D989" s="5" t="str">
        <f>IFERROR(__xludf.DUMMYFUNCTION("""COMPUTED_VALUE"""),"Reverified")</f>
        <v>Reverified</v>
      </c>
      <c r="E989" s="13">
        <f>IFERROR(__xludf.DUMMYFUNCTION("""COMPUTED_VALUE"""),46309.0)</f>
        <v>46309</v>
      </c>
      <c r="F989" s="5" t="str">
        <f>IFERROR(__xludf.DUMMYFUNCTION("""COMPUTED_VALUE"""),"Available")</f>
        <v>Available</v>
      </c>
      <c r="G989" s="5"/>
      <c r="H989" s="5"/>
      <c r="I989" s="5"/>
      <c r="J989" s="5" t="str">
        <f>IFERROR(__xludf.DUMMYFUNCTION("""COMPUTED_VALUE"""),"Endocrinology/Metabolism")</f>
        <v>Endocrinology/Metabolism</v>
      </c>
      <c r="K989" s="5" t="str">
        <f>IFERROR(__xludf.DUMMYFUNCTION("""COMPUTED_VALUE"""),"Current")</f>
        <v>Current</v>
      </c>
      <c r="L989" s="5"/>
      <c r="M989" s="5"/>
      <c r="N989" s="10">
        <f>IFERROR(__xludf.DUMMYFUNCTION("""COMPUTED_VALUE"""),45125.0)</f>
        <v>45125</v>
      </c>
      <c r="O989" s="5">
        <v>2023.0</v>
      </c>
      <c r="P989" s="5" t="str">
        <f>IFERROR(__xludf.DUMMYFUNCTION("""COMPUTED_VALUE"""),"Available")</f>
        <v>Available</v>
      </c>
      <c r="Q989" s="5" t="s">
        <v>135</v>
      </c>
      <c r="R989" s="5" t="s">
        <v>136</v>
      </c>
      <c r="S989" s="11">
        <v>1196.0</v>
      </c>
    </row>
    <row r="990">
      <c r="A990" s="5" t="str">
        <f>IFERROR(__xludf.DUMMYFUNCTION("""COMPUTED_VALUE"""),"Liraglutide Injection")</f>
        <v>Liraglutide Injection</v>
      </c>
      <c r="B990" s="5" t="str">
        <f>IFERROR(__xludf.DUMMYFUNCTION("""COMPUTED_VALUE"""),"Hikma Pharmaceuticals USA, Inc.")</f>
        <v>Hikma Pharmaceuticals USA, Inc.</v>
      </c>
      <c r="C990" s="5" t="str">
        <f>IFERROR(__xludf.DUMMYFUNCTION("""COMPUTED_VALUE"""),"Liraglutide, Injection, 6 mg/1 mL (NDC 0143-9144-02)")</f>
        <v>Liraglutide, Injection, 6 mg/1 mL (NDC 0143-9144-02)</v>
      </c>
      <c r="D990" s="5" t="str">
        <f>IFERROR(__xludf.DUMMYFUNCTION("""COMPUTED_VALUE"""),"Reverified")</f>
        <v>Reverified</v>
      </c>
      <c r="E990" s="13">
        <f>IFERROR(__xludf.DUMMYFUNCTION("""COMPUTED_VALUE"""),46309.0)</f>
        <v>46309</v>
      </c>
      <c r="F990" s="5" t="str">
        <f>IFERROR(__xludf.DUMMYFUNCTION("""COMPUTED_VALUE"""),"Available")</f>
        <v>Available</v>
      </c>
      <c r="G990" s="5"/>
      <c r="H990" s="5"/>
      <c r="I990" s="5"/>
      <c r="J990" s="5" t="str">
        <f>IFERROR(__xludf.DUMMYFUNCTION("""COMPUTED_VALUE"""),"Endocrinology/Metabolism")</f>
        <v>Endocrinology/Metabolism</v>
      </c>
      <c r="K990" s="5" t="str">
        <f>IFERROR(__xludf.DUMMYFUNCTION("""COMPUTED_VALUE"""),"Current")</f>
        <v>Current</v>
      </c>
      <c r="L990" s="5"/>
      <c r="M990" s="5"/>
      <c r="N990" s="10">
        <f>IFERROR(__xludf.DUMMYFUNCTION("""COMPUTED_VALUE"""),45125.0)</f>
        <v>45125</v>
      </c>
      <c r="O990" s="5">
        <v>2023.0</v>
      </c>
      <c r="P990" s="5" t="str">
        <f>IFERROR(__xludf.DUMMYFUNCTION("""COMPUTED_VALUE"""),"Available")</f>
        <v>Available</v>
      </c>
      <c r="Q990" s="5" t="s">
        <v>135</v>
      </c>
      <c r="R990" s="5" t="s">
        <v>136</v>
      </c>
      <c r="S990" s="11">
        <v>1196.0</v>
      </c>
    </row>
    <row r="991">
      <c r="A991" s="5" t="str">
        <f>IFERROR(__xludf.DUMMYFUNCTION("""COMPUTED_VALUE"""),"Liraglutide Injection")</f>
        <v>Liraglutide Injection</v>
      </c>
      <c r="B991" s="5" t="str">
        <f>IFERROR(__xludf.DUMMYFUNCTION("""COMPUTED_VALUE"""),"Meitheal Pharmaceuticals, Inc.")</f>
        <v>Meitheal Pharmaceuticals, Inc.</v>
      </c>
      <c r="C991" s="5" t="str">
        <f>IFERROR(__xludf.DUMMYFUNCTION("""COMPUTED_VALUE"""),"Liraglutide, Injection, 6 mg/1 mL (NDC 71288-563-84)")</f>
        <v>Liraglutide, Injection, 6 mg/1 mL (NDC 71288-563-84)</v>
      </c>
      <c r="D991" s="5" t="str">
        <f>IFERROR(__xludf.DUMMYFUNCTION("""COMPUTED_VALUE"""),"Revised")</f>
        <v>Revised</v>
      </c>
      <c r="E991" s="10">
        <f>IFERROR(__xludf.DUMMYFUNCTION("""COMPUTED_VALUE"""),46261.0)</f>
        <v>46261</v>
      </c>
      <c r="F991" s="5" t="str">
        <f>IFERROR(__xludf.DUMMYFUNCTION("""COMPUTED_VALUE"""),"Available")</f>
        <v>Available</v>
      </c>
      <c r="G991" s="5"/>
      <c r="H991" s="5"/>
      <c r="I991" s="5"/>
      <c r="J991" s="5" t="str">
        <f>IFERROR(__xludf.DUMMYFUNCTION("""COMPUTED_VALUE"""),"Endocrinology/Metabolism")</f>
        <v>Endocrinology/Metabolism</v>
      </c>
      <c r="K991" s="5" t="str">
        <f>IFERROR(__xludf.DUMMYFUNCTION("""COMPUTED_VALUE"""),"Current")</f>
        <v>Current</v>
      </c>
      <c r="L991" s="5"/>
      <c r="M991" s="5"/>
      <c r="N991" s="10">
        <f>IFERROR(__xludf.DUMMYFUNCTION("""COMPUTED_VALUE"""),45125.0)</f>
        <v>45125</v>
      </c>
      <c r="O991" s="5">
        <v>2023.0</v>
      </c>
      <c r="P991" s="5" t="str">
        <f>IFERROR(__xludf.DUMMYFUNCTION("""COMPUTED_VALUE"""),"Available")</f>
        <v>Available</v>
      </c>
      <c r="Q991" s="5" t="s">
        <v>135</v>
      </c>
      <c r="R991" s="5" t="s">
        <v>136</v>
      </c>
      <c r="S991" s="11">
        <v>1196.0</v>
      </c>
    </row>
    <row r="992">
      <c r="A992" s="5" t="str">
        <f>IFERROR(__xludf.DUMMYFUNCTION("""COMPUTED_VALUE"""),"Liraglutide Injection")</f>
        <v>Liraglutide Injection</v>
      </c>
      <c r="B992" s="5" t="str">
        <f>IFERROR(__xludf.DUMMYFUNCTION("""COMPUTED_VALUE"""),"Meitheal Pharmaceuticals, Inc.")</f>
        <v>Meitheal Pharmaceuticals, Inc.</v>
      </c>
      <c r="C992" s="5" t="str">
        <f>IFERROR(__xludf.DUMMYFUNCTION("""COMPUTED_VALUE"""),"Liraglutide, Injection, 6 mg/1 mL (NDC 71288-563-85)")</f>
        <v>Liraglutide, Injection, 6 mg/1 mL (NDC 71288-563-85)</v>
      </c>
      <c r="D992" s="5" t="str">
        <f>IFERROR(__xludf.DUMMYFUNCTION("""COMPUTED_VALUE"""),"Revised")</f>
        <v>Revised</v>
      </c>
      <c r="E992" s="10">
        <f>IFERROR(__xludf.DUMMYFUNCTION("""COMPUTED_VALUE"""),46261.0)</f>
        <v>46261</v>
      </c>
      <c r="F992" s="5" t="str">
        <f>IFERROR(__xludf.DUMMYFUNCTION("""COMPUTED_VALUE"""),"Available")</f>
        <v>Available</v>
      </c>
      <c r="G992" s="5"/>
      <c r="H992" s="5"/>
      <c r="I992" s="5"/>
      <c r="J992" s="5" t="str">
        <f>IFERROR(__xludf.DUMMYFUNCTION("""COMPUTED_VALUE"""),"Endocrinology/Metabolism")</f>
        <v>Endocrinology/Metabolism</v>
      </c>
      <c r="K992" s="5" t="str">
        <f>IFERROR(__xludf.DUMMYFUNCTION("""COMPUTED_VALUE"""),"Current")</f>
        <v>Current</v>
      </c>
      <c r="L992" s="5"/>
      <c r="M992" s="5"/>
      <c r="N992" s="10">
        <f>IFERROR(__xludf.DUMMYFUNCTION("""COMPUTED_VALUE"""),45125.0)</f>
        <v>45125</v>
      </c>
      <c r="O992" s="5">
        <v>2023.0</v>
      </c>
      <c r="P992" s="5" t="str">
        <f>IFERROR(__xludf.DUMMYFUNCTION("""COMPUTED_VALUE"""),"Available")</f>
        <v>Available</v>
      </c>
      <c r="Q992" s="5" t="s">
        <v>135</v>
      </c>
      <c r="R992" s="5" t="s">
        <v>136</v>
      </c>
      <c r="S992" s="11">
        <v>1196.0</v>
      </c>
    </row>
    <row r="993">
      <c r="A993" s="5" t="str">
        <f>IFERROR(__xludf.DUMMYFUNCTION("""COMPUTED_VALUE"""),"Liraglutide Injection")</f>
        <v>Liraglutide Injection</v>
      </c>
      <c r="B993" s="5" t="str">
        <f>IFERROR(__xludf.DUMMYFUNCTION("""COMPUTED_VALUE"""),"Novo Nordisk, Inc.")</f>
        <v>Novo Nordisk, Inc.</v>
      </c>
      <c r="C993" s="5" t="str">
        <f>IFERROR(__xludf.DUMMYFUNCTION("""COMPUTED_VALUE"""),"Saxenda, Injection, 6 mg/1 mL (NDC 0169-2800-15)")</f>
        <v>Saxenda, Injection, 6 mg/1 mL (NDC 0169-2800-15)</v>
      </c>
      <c r="D993" s="5" t="str">
        <f>IFERROR(__xludf.DUMMYFUNCTION("""COMPUTED_VALUE"""),"Reverified")</f>
        <v>Reverified</v>
      </c>
      <c r="E993" s="10">
        <f>IFERROR(__xludf.DUMMYFUNCTION("""COMPUTED_VALUE"""),46287.0)</f>
        <v>46287</v>
      </c>
      <c r="F993" s="5" t="str">
        <f>IFERROR(__xludf.DUMMYFUNCTION("""COMPUTED_VALUE"""),"Limited Availability")</f>
        <v>Limited Availability</v>
      </c>
      <c r="G993" s="5" t="str">
        <f>IFERROR(__xludf.DUMMYFUNCTION("""COMPUTED_VALUE"""),"Product will be available until discontinuation in January 2027")</f>
        <v>Product will be available until discontinuation in January 2027</v>
      </c>
      <c r="H993" s="5"/>
      <c r="I993" s="5" t="str">
        <f>IFERROR(__xludf.DUMMYFUNCTION("""COMPUTED_VALUE"""),"Discontinuation of the manufacture of the drug")</f>
        <v>Discontinuation of the manufacture of the drug</v>
      </c>
      <c r="J993" s="5" t="str">
        <f>IFERROR(__xludf.DUMMYFUNCTION("""COMPUTED_VALUE"""),"Endocrinology/Metabolism")</f>
        <v>Endocrinology/Metabolism</v>
      </c>
      <c r="K993" s="5" t="str">
        <f>IFERROR(__xludf.DUMMYFUNCTION("""COMPUTED_VALUE"""),"Current")</f>
        <v>Current</v>
      </c>
      <c r="L993" s="5"/>
      <c r="M993" s="5"/>
      <c r="N993" s="10">
        <f>IFERROR(__xludf.DUMMYFUNCTION("""COMPUTED_VALUE"""),45125.0)</f>
        <v>45125</v>
      </c>
      <c r="O993" s="5">
        <v>2023.0</v>
      </c>
      <c r="P993" s="5" t="str">
        <f>IFERROR(__xludf.DUMMYFUNCTION("""COMPUTED_VALUE"""),"Limited Availability")</f>
        <v>Limited Availability</v>
      </c>
      <c r="Q993" s="5" t="s">
        <v>33</v>
      </c>
      <c r="R993" s="5" t="s">
        <v>434</v>
      </c>
      <c r="S993" s="11">
        <v>1196.0</v>
      </c>
    </row>
    <row r="994">
      <c r="A994" s="5" t="str">
        <f>IFERROR(__xludf.DUMMYFUNCTION("""COMPUTED_VALUE"""),"Liraglutide Injection")</f>
        <v>Liraglutide Injection</v>
      </c>
      <c r="B994" s="5" t="str">
        <f>IFERROR(__xludf.DUMMYFUNCTION("""COMPUTED_VALUE"""),"Novo Nordisk, Inc.")</f>
        <v>Novo Nordisk, Inc.</v>
      </c>
      <c r="C994" s="5" t="str">
        <f>IFERROR(__xludf.DUMMYFUNCTION("""COMPUTED_VALUE"""),"Liraglutide, Injection, 6 mg/1 mL (NDC 0480-3667-20)")</f>
        <v>Liraglutide, Injection, 6 mg/1 mL (NDC 0480-3667-20)</v>
      </c>
      <c r="D994" s="5" t="str">
        <f>IFERROR(__xludf.DUMMYFUNCTION("""COMPUTED_VALUE"""),"Reverified")</f>
        <v>Reverified</v>
      </c>
      <c r="E994" s="10">
        <f>IFERROR(__xludf.DUMMYFUNCTION("""COMPUTED_VALUE"""),46287.0)</f>
        <v>46287</v>
      </c>
      <c r="F994" s="5" t="str">
        <f>IFERROR(__xludf.DUMMYFUNCTION("""COMPUTED_VALUE"""),"Available")</f>
        <v>Available</v>
      </c>
      <c r="G994" s="5" t="str">
        <f>IFERROR(__xludf.DUMMYFUNCTION("""COMPUTED_VALUE"""),"Distributed by Teva")</f>
        <v>Distributed by Teva</v>
      </c>
      <c r="H994" s="5"/>
      <c r="I994" s="5"/>
      <c r="J994" s="5" t="str">
        <f>IFERROR(__xludf.DUMMYFUNCTION("""COMPUTED_VALUE"""),"Endocrinology/Metabolism")</f>
        <v>Endocrinology/Metabolism</v>
      </c>
      <c r="K994" s="5" t="str">
        <f>IFERROR(__xludf.DUMMYFUNCTION("""COMPUTED_VALUE"""),"Current")</f>
        <v>Current</v>
      </c>
      <c r="L994" s="5"/>
      <c r="M994" s="5"/>
      <c r="N994" s="10">
        <f>IFERROR(__xludf.DUMMYFUNCTION("""COMPUTED_VALUE"""),45125.0)</f>
        <v>45125</v>
      </c>
      <c r="O994" s="5">
        <v>2023.0</v>
      </c>
      <c r="P994" s="5" t="str">
        <f>IFERROR(__xludf.DUMMYFUNCTION("""COMPUTED_VALUE"""),"Available")</f>
        <v>Available</v>
      </c>
      <c r="Q994" s="5" t="s">
        <v>135</v>
      </c>
      <c r="R994" s="5" t="s">
        <v>136</v>
      </c>
      <c r="S994" s="11">
        <v>1196.0</v>
      </c>
    </row>
    <row r="995">
      <c r="A995" s="5" t="str">
        <f>IFERROR(__xludf.DUMMYFUNCTION("""COMPUTED_VALUE"""),"Liraglutide Injection")</f>
        <v>Liraglutide Injection</v>
      </c>
      <c r="B995" s="5" t="str">
        <f>IFERROR(__xludf.DUMMYFUNCTION("""COMPUTED_VALUE"""),"Novo Nordisk, Inc.")</f>
        <v>Novo Nordisk, Inc.</v>
      </c>
      <c r="C995" s="5" t="str">
        <f>IFERROR(__xludf.DUMMYFUNCTION("""COMPUTED_VALUE"""),"Liraglutide, Injection, 6 mg/1 mL (NDC 0480-3667-22)")</f>
        <v>Liraglutide, Injection, 6 mg/1 mL (NDC 0480-3667-22)</v>
      </c>
      <c r="D995" s="5" t="str">
        <f>IFERROR(__xludf.DUMMYFUNCTION("""COMPUTED_VALUE"""),"Reverified")</f>
        <v>Reverified</v>
      </c>
      <c r="E995" s="10">
        <f>IFERROR(__xludf.DUMMYFUNCTION("""COMPUTED_VALUE"""),46287.0)</f>
        <v>46287</v>
      </c>
      <c r="F995" s="5" t="str">
        <f>IFERROR(__xludf.DUMMYFUNCTION("""COMPUTED_VALUE"""),"Available")</f>
        <v>Available</v>
      </c>
      <c r="G995" s="5" t="str">
        <f>IFERROR(__xludf.DUMMYFUNCTION("""COMPUTED_VALUE"""),"Distributed by Teva")</f>
        <v>Distributed by Teva</v>
      </c>
      <c r="H995" s="5"/>
      <c r="I995" s="5"/>
      <c r="J995" s="5" t="str">
        <f>IFERROR(__xludf.DUMMYFUNCTION("""COMPUTED_VALUE"""),"Endocrinology/Metabolism")</f>
        <v>Endocrinology/Metabolism</v>
      </c>
      <c r="K995" s="5" t="str">
        <f>IFERROR(__xludf.DUMMYFUNCTION("""COMPUTED_VALUE"""),"Current")</f>
        <v>Current</v>
      </c>
      <c r="L995" s="5"/>
      <c r="M995" s="5"/>
      <c r="N995" s="10">
        <f>IFERROR(__xludf.DUMMYFUNCTION("""COMPUTED_VALUE"""),45125.0)</f>
        <v>45125</v>
      </c>
      <c r="O995" s="5">
        <v>2023.0</v>
      </c>
      <c r="P995" s="5" t="str">
        <f>IFERROR(__xludf.DUMMYFUNCTION("""COMPUTED_VALUE"""),"Available")</f>
        <v>Available</v>
      </c>
      <c r="Q995" s="5" t="s">
        <v>135</v>
      </c>
      <c r="R995" s="5" t="s">
        <v>136</v>
      </c>
      <c r="S995" s="11">
        <v>1196.0</v>
      </c>
    </row>
    <row r="996">
      <c r="A996" s="5" t="str">
        <f>IFERROR(__xludf.DUMMYFUNCTION("""COMPUTED_VALUE"""),"Liraglutide Injection")</f>
        <v>Liraglutide Injection</v>
      </c>
      <c r="B996" s="5" t="str">
        <f>IFERROR(__xludf.DUMMYFUNCTION("""COMPUTED_VALUE"""),"Novo Nordisk, Inc.")</f>
        <v>Novo Nordisk, Inc.</v>
      </c>
      <c r="C996" s="5" t="str">
        <f>IFERROR(__xludf.DUMMYFUNCTION("""COMPUTED_VALUE"""),"Victoza, Injection, 6 mg/1 mL (NDC 0169-4060-12)")</f>
        <v>Victoza, Injection, 6 mg/1 mL (NDC 0169-4060-12)</v>
      </c>
      <c r="D996" s="5" t="str">
        <f>IFERROR(__xludf.DUMMYFUNCTION("""COMPUTED_VALUE"""),"Reverified")</f>
        <v>Reverified</v>
      </c>
      <c r="E996" s="10">
        <f>IFERROR(__xludf.DUMMYFUNCTION("""COMPUTED_VALUE"""),46287.0)</f>
        <v>46287</v>
      </c>
      <c r="F996" s="5" t="str">
        <f>IFERROR(__xludf.DUMMYFUNCTION("""COMPUTED_VALUE"""),"Limited Availability")</f>
        <v>Limited Availability</v>
      </c>
      <c r="G996" s="5" t="str">
        <f>IFERROR(__xludf.DUMMYFUNCTION("""COMPUTED_VALUE"""),"Estimated shortage duration: TBD")</f>
        <v>Estimated shortage duration: TBD</v>
      </c>
      <c r="H996" s="5"/>
      <c r="I996" s="5" t="str">
        <f>IFERROR(__xludf.DUMMYFUNCTION("""COMPUTED_VALUE"""),"Delay in shipping of the drug")</f>
        <v>Delay in shipping of the drug</v>
      </c>
      <c r="J996" s="5" t="str">
        <f>IFERROR(__xludf.DUMMYFUNCTION("""COMPUTED_VALUE"""),"Endocrinology/Metabolism")</f>
        <v>Endocrinology/Metabolism</v>
      </c>
      <c r="K996" s="5" t="str">
        <f>IFERROR(__xludf.DUMMYFUNCTION("""COMPUTED_VALUE"""),"Current")</f>
        <v>Current</v>
      </c>
      <c r="L996" s="5"/>
      <c r="M996" s="5"/>
      <c r="N996" s="10">
        <f>IFERROR(__xludf.DUMMYFUNCTION("""COMPUTED_VALUE"""),45125.0)</f>
        <v>45125</v>
      </c>
      <c r="O996" s="5">
        <v>2023.0</v>
      </c>
      <c r="P996" s="5" t="str">
        <f>IFERROR(__xludf.DUMMYFUNCTION("""COMPUTED_VALUE"""),"Limited Availability")</f>
        <v>Limited Availability</v>
      </c>
      <c r="Q996" s="5" t="s">
        <v>562</v>
      </c>
      <c r="R996" s="5" t="s">
        <v>136</v>
      </c>
      <c r="S996" s="11">
        <v>1196.0</v>
      </c>
    </row>
    <row r="997">
      <c r="A997" s="5" t="str">
        <f>IFERROR(__xludf.DUMMYFUNCTION("""COMPUTED_VALUE"""),"Liraglutide Injection")</f>
        <v>Liraglutide Injection</v>
      </c>
      <c r="B997" s="5" t="str">
        <f>IFERROR(__xludf.DUMMYFUNCTION("""COMPUTED_VALUE"""),"Novo Nordisk, Inc.")</f>
        <v>Novo Nordisk, Inc.</v>
      </c>
      <c r="C997" s="5" t="str">
        <f>IFERROR(__xludf.DUMMYFUNCTION("""COMPUTED_VALUE"""),"Victoza, Injection, 6 mg/1 mL (NDC 0169-4060-13)")</f>
        <v>Victoza, Injection, 6 mg/1 mL (NDC 0169-4060-13)</v>
      </c>
      <c r="D997" s="5" t="str">
        <f>IFERROR(__xludf.DUMMYFUNCTION("""COMPUTED_VALUE"""),"Reverified")</f>
        <v>Reverified</v>
      </c>
      <c r="E997" s="10">
        <f>IFERROR(__xludf.DUMMYFUNCTION("""COMPUTED_VALUE"""),46287.0)</f>
        <v>46287</v>
      </c>
      <c r="F997" s="5" t="str">
        <f>IFERROR(__xludf.DUMMYFUNCTION("""COMPUTED_VALUE"""),"Limited Availability")</f>
        <v>Limited Availability</v>
      </c>
      <c r="G997" s="5" t="str">
        <f>IFERROR(__xludf.DUMMYFUNCTION("""COMPUTED_VALUE"""),"Estimated shortage duration: TBD")</f>
        <v>Estimated shortage duration: TBD</v>
      </c>
      <c r="H997" s="5"/>
      <c r="I997" s="5" t="str">
        <f>IFERROR(__xludf.DUMMYFUNCTION("""COMPUTED_VALUE"""),"Delay in shipping of the drug")</f>
        <v>Delay in shipping of the drug</v>
      </c>
      <c r="J997" s="5" t="str">
        <f>IFERROR(__xludf.DUMMYFUNCTION("""COMPUTED_VALUE"""),"Endocrinology/Metabolism")</f>
        <v>Endocrinology/Metabolism</v>
      </c>
      <c r="K997" s="5" t="str">
        <f>IFERROR(__xludf.DUMMYFUNCTION("""COMPUTED_VALUE"""),"Current")</f>
        <v>Current</v>
      </c>
      <c r="L997" s="5"/>
      <c r="M997" s="5"/>
      <c r="N997" s="10">
        <f>IFERROR(__xludf.DUMMYFUNCTION("""COMPUTED_VALUE"""),45125.0)</f>
        <v>45125</v>
      </c>
      <c r="O997" s="5">
        <v>2023.0</v>
      </c>
      <c r="P997" s="5" t="str">
        <f>IFERROR(__xludf.DUMMYFUNCTION("""COMPUTED_VALUE"""),"Limited Availability")</f>
        <v>Limited Availability</v>
      </c>
      <c r="Q997" s="5" t="s">
        <v>562</v>
      </c>
      <c r="R997" s="5" t="s">
        <v>136</v>
      </c>
      <c r="S997" s="11">
        <v>1196.0</v>
      </c>
    </row>
    <row r="998">
      <c r="A998" s="5" t="str">
        <f>IFERROR(__xludf.DUMMYFUNCTION("""COMPUTED_VALUE"""),"Liraglutide Injection")</f>
        <v>Liraglutide Injection</v>
      </c>
      <c r="B998" s="5" t="str">
        <f>IFERROR(__xludf.DUMMYFUNCTION("""COMPUTED_VALUE"""),"Novo Nordisk, Inc.")</f>
        <v>Novo Nordisk, Inc.</v>
      </c>
      <c r="C998" s="5" t="str">
        <f>IFERROR(__xludf.DUMMYFUNCTION("""COMPUTED_VALUE"""),"Saxenda, Injection, 6 mg/1 mL (NDC 0169-2800-15)")</f>
        <v>Saxenda, Injection, 6 mg/1 mL (NDC 0169-2800-15)</v>
      </c>
      <c r="D998" s="5" t="str">
        <f>IFERROR(__xludf.DUMMYFUNCTION("""COMPUTED_VALUE"""),"New")</f>
        <v>New</v>
      </c>
      <c r="E998" s="10">
        <f>IFERROR(__xludf.DUMMYFUNCTION("""COMPUTED_VALUE"""),46259.0)</f>
        <v>46259</v>
      </c>
      <c r="F998" s="5"/>
      <c r="G998" s="5" t="str">
        <f>IFERROR(__xludf.DUMMYFUNCTION("""COMPUTED_VALUE"""),"Product will be available until discontinuation in January 2027; Discontinuation of the manufacture of the drug")</f>
        <v>Product will be available until discontinuation in January 2027; Discontinuation of the manufacture of the drug</v>
      </c>
      <c r="H998" s="5"/>
      <c r="I998" s="5"/>
      <c r="J998" s="5" t="str">
        <f>IFERROR(__xludf.DUMMYFUNCTION("""COMPUTED_VALUE"""),"Endocrinology/Metabolism")</f>
        <v>Endocrinology/Metabolism</v>
      </c>
      <c r="K998" s="5" t="str">
        <f>IFERROR(__xludf.DUMMYFUNCTION("""COMPUTED_VALUE"""),"To Be Discontinued")</f>
        <v>To Be Discontinued</v>
      </c>
      <c r="L998" s="5"/>
      <c r="M998" s="10">
        <f>IFERROR(__xludf.DUMMYFUNCTION("""COMPUTED_VALUE"""),46259.0)</f>
        <v>46259</v>
      </c>
      <c r="N998" s="10">
        <f>IFERROR(__xludf.DUMMYFUNCTION("""COMPUTED_VALUE"""),46259.0)</f>
        <v>46259</v>
      </c>
      <c r="O998" s="5">
        <v>2026.0</v>
      </c>
      <c r="P998" s="5" t="str">
        <f>IFERROR(__xludf.DUMMYFUNCTION("""COMPUTED_VALUE"""),"Not stated")</f>
        <v>Not stated</v>
      </c>
      <c r="Q998" s="5" t="s">
        <v>135</v>
      </c>
      <c r="R998" s="5" t="s">
        <v>434</v>
      </c>
      <c r="S998" s="11">
        <v>62.0</v>
      </c>
    </row>
    <row r="999">
      <c r="A999" s="5" t="str">
        <f>IFERROR(__xludf.DUMMYFUNCTION("""COMPUTED_VALUE"""),"Liraglutide Injection")</f>
        <v>Liraglutide Injection</v>
      </c>
      <c r="B999" s="5" t="str">
        <f>IFERROR(__xludf.DUMMYFUNCTION("""COMPUTED_VALUE"""),"Teva Pharmaceuticals USA, Inc.")</f>
        <v>Teva Pharmaceuticals USA, Inc.</v>
      </c>
      <c r="C999" s="5" t="str">
        <f>IFERROR(__xludf.DUMMYFUNCTION("""COMPUTED_VALUE"""),"Liraglutide, Injection, 6 mg/1 mL (NDC 0480-7250-46)")</f>
        <v>Liraglutide, Injection, 6 mg/1 mL (NDC 0480-7250-46)</v>
      </c>
      <c r="D999" s="5" t="str">
        <f>IFERROR(__xludf.DUMMYFUNCTION("""COMPUTED_VALUE"""),"New")</f>
        <v>New</v>
      </c>
      <c r="E999" s="10">
        <f>IFERROR(__xludf.DUMMYFUNCTION("""COMPUTED_VALUE"""),46156.0)</f>
        <v>46156</v>
      </c>
      <c r="F999" s="5"/>
      <c r="G999" s="5" t="str">
        <f>IFERROR(__xludf.DUMMYFUNCTION("""COMPUTED_VALUE"""),"Discontinuation of the manufacture of the drug")</f>
        <v>Discontinuation of the manufacture of the drug</v>
      </c>
      <c r="H999" s="5"/>
      <c r="I999" s="5"/>
      <c r="J999" s="5" t="str">
        <f>IFERROR(__xludf.DUMMYFUNCTION("""COMPUTED_VALUE"""),"Endocrinology/Metabolism")</f>
        <v>Endocrinology/Metabolism</v>
      </c>
      <c r="K999" s="5" t="str">
        <f>IFERROR(__xludf.DUMMYFUNCTION("""COMPUTED_VALUE"""),"To Be Discontinued")</f>
        <v>To Be Discontinued</v>
      </c>
      <c r="L999" s="5"/>
      <c r="M999" s="10">
        <f>IFERROR(__xludf.DUMMYFUNCTION("""COMPUTED_VALUE"""),46156.0)</f>
        <v>46156</v>
      </c>
      <c r="N999" s="10">
        <f>IFERROR(__xludf.DUMMYFUNCTION("""COMPUTED_VALUE"""),46156.0)</f>
        <v>46156</v>
      </c>
      <c r="O999" s="5">
        <v>2026.0</v>
      </c>
      <c r="P999" s="5" t="str">
        <f>IFERROR(__xludf.DUMMYFUNCTION("""COMPUTED_VALUE"""),"Not stated")</f>
        <v>Not stated</v>
      </c>
      <c r="Q999" s="5" t="s">
        <v>135</v>
      </c>
      <c r="R999" s="5" t="s">
        <v>136</v>
      </c>
      <c r="S999" s="11">
        <v>165.0</v>
      </c>
    </row>
    <row r="1000">
      <c r="A1000" s="5" t="str">
        <f>IFERROR(__xludf.DUMMYFUNCTION("""COMPUTED_VALUE"""),"Lisdexamfetamine Dimesylate Capsule")</f>
        <v>Lisdexamfetamine Dimesylate Capsule</v>
      </c>
      <c r="B1000" s="5" t="str">
        <f>IFERROR(__xludf.DUMMYFUNCTION("""COMPUTED_VALUE"""),"Rhodes Pharmaceuticals L.P.")</f>
        <v>Rhodes Pharmaceuticals L.P.</v>
      </c>
      <c r="C1000" s="5" t="str">
        <f>IFERROR(__xludf.DUMMYFUNCTION("""COMPUTED_VALUE"""),"Lisdexamfetamine Dimesylate, Capsule, 10 mg (NDC 42858-161-01)")</f>
        <v>Lisdexamfetamine Dimesylate, Capsule, 10 mg (NDC 42858-161-01)</v>
      </c>
      <c r="D1000" s="5" t="str">
        <f>IFERROR(__xludf.DUMMYFUNCTION("""COMPUTED_VALUE"""),"Revised")</f>
        <v>Revised</v>
      </c>
      <c r="E1000" s="10">
        <f>IFERROR(__xludf.DUMMYFUNCTION("""COMPUTED_VALUE"""),46197.0)</f>
        <v>46197</v>
      </c>
      <c r="F1000" s="5" t="str">
        <f>IFERROR(__xludf.DUMMYFUNCTION("""COMPUTED_VALUE"""),"Available")</f>
        <v>Available</v>
      </c>
      <c r="G1000" s="5"/>
      <c r="H1000" s="5"/>
      <c r="I1000" s="5"/>
      <c r="J1000" s="5" t="str">
        <f>IFERROR(__xludf.DUMMYFUNCTION("""COMPUTED_VALUE"""),"Psychiatry")</f>
        <v>Psychiatry</v>
      </c>
      <c r="K1000" s="5" t="str">
        <f>IFERROR(__xludf.DUMMYFUNCTION("""COMPUTED_VALUE"""),"Current")</f>
        <v>Current</v>
      </c>
      <c r="L1000" s="5"/>
      <c r="M1000" s="5"/>
      <c r="N1000" s="10">
        <f>IFERROR(__xludf.DUMMYFUNCTION("""COMPUTED_VALUE"""),45121.0)</f>
        <v>45121</v>
      </c>
      <c r="O1000" s="5">
        <v>2023.0</v>
      </c>
      <c r="P1000" s="5" t="str">
        <f>IFERROR(__xludf.DUMMYFUNCTION("""COMPUTED_VALUE"""),"Available")</f>
        <v>Available</v>
      </c>
      <c r="Q1000" s="5" t="s">
        <v>135</v>
      </c>
      <c r="R1000" s="5" t="s">
        <v>136</v>
      </c>
      <c r="S1000" s="11">
        <v>1200.0</v>
      </c>
    </row>
    <row r="1001">
      <c r="A1001" s="5" t="str">
        <f>IFERROR(__xludf.DUMMYFUNCTION("""COMPUTED_VALUE"""),"Lisdexamfetamine Dimesylate Capsule")</f>
        <v>Lisdexamfetamine Dimesylate Capsule</v>
      </c>
      <c r="B1001" s="5" t="str">
        <f>IFERROR(__xludf.DUMMYFUNCTION("""COMPUTED_VALUE"""),"Rhodes Pharmaceuticals L.P.")</f>
        <v>Rhodes Pharmaceuticals L.P.</v>
      </c>
      <c r="C1001" s="5" t="str">
        <f>IFERROR(__xludf.DUMMYFUNCTION("""COMPUTED_VALUE"""),"Lisdexamfetamine Dimesylate, Capsule, 20 mg (NDC 42858-162-01)")</f>
        <v>Lisdexamfetamine Dimesylate, Capsule, 20 mg (NDC 42858-162-01)</v>
      </c>
      <c r="D1001" s="5" t="str">
        <f>IFERROR(__xludf.DUMMYFUNCTION("""COMPUTED_VALUE"""),"Revised")</f>
        <v>Revised</v>
      </c>
      <c r="E1001" s="10">
        <f>IFERROR(__xludf.DUMMYFUNCTION("""COMPUTED_VALUE"""),46197.0)</f>
        <v>46197</v>
      </c>
      <c r="F1001" s="5" t="str">
        <f>IFERROR(__xludf.DUMMYFUNCTION("""COMPUTED_VALUE"""),"Limited Availability")</f>
        <v>Limited Availability</v>
      </c>
      <c r="G1001" s="5" t="str">
        <f>IFERROR(__xludf.DUMMYFUNCTION("""COMPUTED_VALUE"""),"Estimated recovery: TBD")</f>
        <v>Estimated recovery: TBD</v>
      </c>
      <c r="H1001" s="5"/>
      <c r="I1001" s="5" t="str">
        <f>IFERROR(__xludf.DUMMYFUNCTION("""COMPUTED_VALUE"""),"Shortage of an active ingredient")</f>
        <v>Shortage of an active ingredient</v>
      </c>
      <c r="J1001" s="5" t="str">
        <f>IFERROR(__xludf.DUMMYFUNCTION("""COMPUTED_VALUE"""),"Psychiatry")</f>
        <v>Psychiatry</v>
      </c>
      <c r="K1001" s="5" t="str">
        <f>IFERROR(__xludf.DUMMYFUNCTION("""COMPUTED_VALUE"""),"Current")</f>
        <v>Current</v>
      </c>
      <c r="L1001" s="5"/>
      <c r="M1001" s="5"/>
      <c r="N1001" s="10">
        <f>IFERROR(__xludf.DUMMYFUNCTION("""COMPUTED_VALUE"""),45121.0)</f>
        <v>45121</v>
      </c>
      <c r="O1001" s="5">
        <v>2023.0</v>
      </c>
      <c r="P1001" s="5" t="str">
        <f>IFERROR(__xludf.DUMMYFUNCTION("""COMPUTED_VALUE"""),"Limited Availability")</f>
        <v>Limited Availability</v>
      </c>
      <c r="Q1001" s="5" t="s">
        <v>122</v>
      </c>
      <c r="R1001" s="5" t="s">
        <v>136</v>
      </c>
      <c r="S1001" s="11">
        <v>1200.0</v>
      </c>
    </row>
    <row r="1002">
      <c r="A1002" s="5" t="str">
        <f>IFERROR(__xludf.DUMMYFUNCTION("""COMPUTED_VALUE"""),"Lisdexamfetamine Dimesylate Capsule")</f>
        <v>Lisdexamfetamine Dimesylate Capsule</v>
      </c>
      <c r="B1002" s="5" t="str">
        <f>IFERROR(__xludf.DUMMYFUNCTION("""COMPUTED_VALUE"""),"Rhodes Pharmaceuticals L.P.")</f>
        <v>Rhodes Pharmaceuticals L.P.</v>
      </c>
      <c r="C1002" s="5" t="str">
        <f>IFERROR(__xludf.DUMMYFUNCTION("""COMPUTED_VALUE"""),"Lisdexamfetamine Dimesylate, Capsule, 30 mg (NDC 42858-163-01)")</f>
        <v>Lisdexamfetamine Dimesylate, Capsule, 30 mg (NDC 42858-163-01)</v>
      </c>
      <c r="D1002" s="5" t="str">
        <f>IFERROR(__xludf.DUMMYFUNCTION("""COMPUTED_VALUE"""),"Revised")</f>
        <v>Revised</v>
      </c>
      <c r="E1002" s="10">
        <f>IFERROR(__xludf.DUMMYFUNCTION("""COMPUTED_VALUE"""),46197.0)</f>
        <v>46197</v>
      </c>
      <c r="F1002" s="5" t="str">
        <f>IFERROR(__xludf.DUMMYFUNCTION("""COMPUTED_VALUE"""),"Limited Availability")</f>
        <v>Limited Availability</v>
      </c>
      <c r="G1002" s="5" t="str">
        <f>IFERROR(__xludf.DUMMYFUNCTION("""COMPUTED_VALUE"""),"Estimated recovery: TBD")</f>
        <v>Estimated recovery: TBD</v>
      </c>
      <c r="H1002" s="5"/>
      <c r="I1002" s="5" t="str">
        <f>IFERROR(__xludf.DUMMYFUNCTION("""COMPUTED_VALUE"""),"Shortage of an active ingredient")</f>
        <v>Shortage of an active ingredient</v>
      </c>
      <c r="J1002" s="5" t="str">
        <f>IFERROR(__xludf.DUMMYFUNCTION("""COMPUTED_VALUE"""),"Psychiatry")</f>
        <v>Psychiatry</v>
      </c>
      <c r="K1002" s="5" t="str">
        <f>IFERROR(__xludf.DUMMYFUNCTION("""COMPUTED_VALUE"""),"Current")</f>
        <v>Current</v>
      </c>
      <c r="L1002" s="5"/>
      <c r="M1002" s="5"/>
      <c r="N1002" s="10">
        <f>IFERROR(__xludf.DUMMYFUNCTION("""COMPUTED_VALUE"""),45121.0)</f>
        <v>45121</v>
      </c>
      <c r="O1002" s="5">
        <v>2023.0</v>
      </c>
      <c r="P1002" s="5" t="str">
        <f>IFERROR(__xludf.DUMMYFUNCTION("""COMPUTED_VALUE"""),"Limited Availability")</f>
        <v>Limited Availability</v>
      </c>
      <c r="Q1002" s="5" t="s">
        <v>122</v>
      </c>
      <c r="R1002" s="5" t="s">
        <v>136</v>
      </c>
      <c r="S1002" s="11">
        <v>1200.0</v>
      </c>
    </row>
    <row r="1003">
      <c r="A1003" s="5" t="str">
        <f>IFERROR(__xludf.DUMMYFUNCTION("""COMPUTED_VALUE"""),"Lisdexamfetamine Dimesylate Capsule")</f>
        <v>Lisdexamfetamine Dimesylate Capsule</v>
      </c>
      <c r="B1003" s="5" t="str">
        <f>IFERROR(__xludf.DUMMYFUNCTION("""COMPUTED_VALUE"""),"Rhodes Pharmaceuticals L.P.")</f>
        <v>Rhodes Pharmaceuticals L.P.</v>
      </c>
      <c r="C1003" s="5" t="str">
        <f>IFERROR(__xludf.DUMMYFUNCTION("""COMPUTED_VALUE"""),"Lisdexamfetamine Dimesylate, Capsule, 40 mg (NDC 42858-164-01)")</f>
        <v>Lisdexamfetamine Dimesylate, Capsule, 40 mg (NDC 42858-164-01)</v>
      </c>
      <c r="D1003" s="5" t="str">
        <f>IFERROR(__xludf.DUMMYFUNCTION("""COMPUTED_VALUE"""),"Revised")</f>
        <v>Revised</v>
      </c>
      <c r="E1003" s="10">
        <f>IFERROR(__xludf.DUMMYFUNCTION("""COMPUTED_VALUE"""),46197.0)</f>
        <v>46197</v>
      </c>
      <c r="F1003" s="5" t="str">
        <f>IFERROR(__xludf.DUMMYFUNCTION("""COMPUTED_VALUE"""),"Limited Availability")</f>
        <v>Limited Availability</v>
      </c>
      <c r="G1003" s="5" t="str">
        <f>IFERROR(__xludf.DUMMYFUNCTION("""COMPUTED_VALUE"""),"Estimated recovery: TBD")</f>
        <v>Estimated recovery: TBD</v>
      </c>
      <c r="H1003" s="5"/>
      <c r="I1003" s="5" t="str">
        <f>IFERROR(__xludf.DUMMYFUNCTION("""COMPUTED_VALUE"""),"Shortage of an active ingredient")</f>
        <v>Shortage of an active ingredient</v>
      </c>
      <c r="J1003" s="5" t="str">
        <f>IFERROR(__xludf.DUMMYFUNCTION("""COMPUTED_VALUE"""),"Psychiatry")</f>
        <v>Psychiatry</v>
      </c>
      <c r="K1003" s="5" t="str">
        <f>IFERROR(__xludf.DUMMYFUNCTION("""COMPUTED_VALUE"""),"Current")</f>
        <v>Current</v>
      </c>
      <c r="L1003" s="5"/>
      <c r="M1003" s="5"/>
      <c r="N1003" s="10">
        <f>IFERROR(__xludf.DUMMYFUNCTION("""COMPUTED_VALUE"""),45121.0)</f>
        <v>45121</v>
      </c>
      <c r="O1003" s="5">
        <v>2023.0</v>
      </c>
      <c r="P1003" s="5" t="str">
        <f>IFERROR(__xludf.DUMMYFUNCTION("""COMPUTED_VALUE"""),"Limited Availability")</f>
        <v>Limited Availability</v>
      </c>
      <c r="Q1003" s="5" t="s">
        <v>122</v>
      </c>
      <c r="R1003" s="5" t="s">
        <v>136</v>
      </c>
      <c r="S1003" s="11">
        <v>1200.0</v>
      </c>
    </row>
    <row r="1004">
      <c r="A1004" s="5" t="str">
        <f>IFERROR(__xludf.DUMMYFUNCTION("""COMPUTED_VALUE"""),"Lisdexamfetamine Dimesylate Capsule")</f>
        <v>Lisdexamfetamine Dimesylate Capsule</v>
      </c>
      <c r="B1004" s="5" t="str">
        <f>IFERROR(__xludf.DUMMYFUNCTION("""COMPUTED_VALUE"""),"Rhodes Pharmaceuticals L.P.")</f>
        <v>Rhodes Pharmaceuticals L.P.</v>
      </c>
      <c r="C1004" s="5" t="str">
        <f>IFERROR(__xludf.DUMMYFUNCTION("""COMPUTED_VALUE"""),"Lisdexamfetamine Dimesylate, Capsule, 60 mg (NDC 42858-166-01)")</f>
        <v>Lisdexamfetamine Dimesylate, Capsule, 60 mg (NDC 42858-166-01)</v>
      </c>
      <c r="D1004" s="5" t="str">
        <f>IFERROR(__xludf.DUMMYFUNCTION("""COMPUTED_VALUE"""),"Revised")</f>
        <v>Revised</v>
      </c>
      <c r="E1004" s="10">
        <f>IFERROR(__xludf.DUMMYFUNCTION("""COMPUTED_VALUE"""),46197.0)</f>
        <v>46197</v>
      </c>
      <c r="F1004" s="5" t="str">
        <f>IFERROR(__xludf.DUMMYFUNCTION("""COMPUTED_VALUE"""),"Available")</f>
        <v>Available</v>
      </c>
      <c r="G1004" s="5"/>
      <c r="H1004" s="5"/>
      <c r="I1004" s="5"/>
      <c r="J1004" s="5" t="str">
        <f>IFERROR(__xludf.DUMMYFUNCTION("""COMPUTED_VALUE"""),"Psychiatry")</f>
        <v>Psychiatry</v>
      </c>
      <c r="K1004" s="5" t="str">
        <f>IFERROR(__xludf.DUMMYFUNCTION("""COMPUTED_VALUE"""),"Current")</f>
        <v>Current</v>
      </c>
      <c r="L1004" s="5"/>
      <c r="M1004" s="5"/>
      <c r="N1004" s="10">
        <f>IFERROR(__xludf.DUMMYFUNCTION("""COMPUTED_VALUE"""),45121.0)</f>
        <v>45121</v>
      </c>
      <c r="O1004" s="5">
        <v>2023.0</v>
      </c>
      <c r="P1004" s="5" t="str">
        <f>IFERROR(__xludf.DUMMYFUNCTION("""COMPUTED_VALUE"""),"Available")</f>
        <v>Available</v>
      </c>
      <c r="Q1004" s="5" t="s">
        <v>135</v>
      </c>
      <c r="R1004" s="5" t="s">
        <v>136</v>
      </c>
      <c r="S1004" s="11">
        <v>1200.0</v>
      </c>
    </row>
    <row r="1005">
      <c r="A1005" s="5" t="str">
        <f>IFERROR(__xludf.DUMMYFUNCTION("""COMPUTED_VALUE"""),"Lisdexamfetamine Dimesylate Capsule")</f>
        <v>Lisdexamfetamine Dimesylate Capsule</v>
      </c>
      <c r="B1005" s="5" t="str">
        <f>IFERROR(__xludf.DUMMYFUNCTION("""COMPUTED_VALUE"""),"Rhodes Pharmaceuticals L.P.")</f>
        <v>Rhodes Pharmaceuticals L.P.</v>
      </c>
      <c r="C1005" s="5" t="str">
        <f>IFERROR(__xludf.DUMMYFUNCTION("""COMPUTED_VALUE"""),"Lisdexamfetamine Dimesylate, Capsule, 50 mg (NDC 42858-165-01)")</f>
        <v>Lisdexamfetamine Dimesylate, Capsule, 50 mg (NDC 42858-165-01)</v>
      </c>
      <c r="D1005" s="5" t="str">
        <f>IFERROR(__xludf.DUMMYFUNCTION("""COMPUTED_VALUE"""),"Revised")</f>
        <v>Revised</v>
      </c>
      <c r="E1005" s="10">
        <f>IFERROR(__xludf.DUMMYFUNCTION("""COMPUTED_VALUE"""),46197.0)</f>
        <v>46197</v>
      </c>
      <c r="F1005" s="5" t="str">
        <f>IFERROR(__xludf.DUMMYFUNCTION("""COMPUTED_VALUE"""),"Limited Availability")</f>
        <v>Limited Availability</v>
      </c>
      <c r="G1005" s="5" t="str">
        <f>IFERROR(__xludf.DUMMYFUNCTION("""COMPUTED_VALUE"""),"Estimated recovery: TBD")</f>
        <v>Estimated recovery: TBD</v>
      </c>
      <c r="H1005" s="5"/>
      <c r="I1005" s="5" t="str">
        <f>IFERROR(__xludf.DUMMYFUNCTION("""COMPUTED_VALUE"""),"Shortage of an active ingredient")</f>
        <v>Shortage of an active ingredient</v>
      </c>
      <c r="J1005" s="5" t="str">
        <f>IFERROR(__xludf.DUMMYFUNCTION("""COMPUTED_VALUE"""),"Psychiatry")</f>
        <v>Psychiatry</v>
      </c>
      <c r="K1005" s="5" t="str">
        <f>IFERROR(__xludf.DUMMYFUNCTION("""COMPUTED_VALUE"""),"Current")</f>
        <v>Current</v>
      </c>
      <c r="L1005" s="5"/>
      <c r="M1005" s="5"/>
      <c r="N1005" s="10">
        <f>IFERROR(__xludf.DUMMYFUNCTION("""COMPUTED_VALUE"""),45121.0)</f>
        <v>45121</v>
      </c>
      <c r="O1005" s="5">
        <v>2023.0</v>
      </c>
      <c r="P1005" s="5" t="str">
        <f>IFERROR(__xludf.DUMMYFUNCTION("""COMPUTED_VALUE"""),"Limited Availability")</f>
        <v>Limited Availability</v>
      </c>
      <c r="Q1005" s="5" t="s">
        <v>122</v>
      </c>
      <c r="R1005" s="5" t="s">
        <v>136</v>
      </c>
      <c r="S1005" s="11">
        <v>1200.0</v>
      </c>
    </row>
    <row r="1006">
      <c r="A1006" s="5" t="str">
        <f>IFERROR(__xludf.DUMMYFUNCTION("""COMPUTED_VALUE"""),"Lisdexamfetamine Dimesylate Capsule")</f>
        <v>Lisdexamfetamine Dimesylate Capsule</v>
      </c>
      <c r="B1006" s="5" t="str">
        <f>IFERROR(__xludf.DUMMYFUNCTION("""COMPUTED_VALUE"""),"Rhodes Pharmaceuticals L.P.")</f>
        <v>Rhodes Pharmaceuticals L.P.</v>
      </c>
      <c r="C1006" s="5" t="str">
        <f>IFERROR(__xludf.DUMMYFUNCTION("""COMPUTED_VALUE"""),"Lisdexamfetamine Dimesylate, Capsule, 70 mg (NDC 42858-167-01)")</f>
        <v>Lisdexamfetamine Dimesylate, Capsule, 70 mg (NDC 42858-167-01)</v>
      </c>
      <c r="D1006" s="5" t="str">
        <f>IFERROR(__xludf.DUMMYFUNCTION("""COMPUTED_VALUE"""),"Revised")</f>
        <v>Revised</v>
      </c>
      <c r="E1006" s="10">
        <f>IFERROR(__xludf.DUMMYFUNCTION("""COMPUTED_VALUE"""),46197.0)</f>
        <v>46197</v>
      </c>
      <c r="F1006" s="5" t="str">
        <f>IFERROR(__xludf.DUMMYFUNCTION("""COMPUTED_VALUE"""),"Limited Availability")</f>
        <v>Limited Availability</v>
      </c>
      <c r="G1006" s="5" t="str">
        <f>IFERROR(__xludf.DUMMYFUNCTION("""COMPUTED_VALUE"""),"Estimated recovery: TBD")</f>
        <v>Estimated recovery: TBD</v>
      </c>
      <c r="H1006" s="5"/>
      <c r="I1006" s="5" t="str">
        <f>IFERROR(__xludf.DUMMYFUNCTION("""COMPUTED_VALUE"""),"Shortage of an active ingredient")</f>
        <v>Shortage of an active ingredient</v>
      </c>
      <c r="J1006" s="5" t="str">
        <f>IFERROR(__xludf.DUMMYFUNCTION("""COMPUTED_VALUE"""),"Psychiatry")</f>
        <v>Psychiatry</v>
      </c>
      <c r="K1006" s="5" t="str">
        <f>IFERROR(__xludf.DUMMYFUNCTION("""COMPUTED_VALUE"""),"Current")</f>
        <v>Current</v>
      </c>
      <c r="L1006" s="5"/>
      <c r="M1006" s="5"/>
      <c r="N1006" s="10">
        <f>IFERROR(__xludf.DUMMYFUNCTION("""COMPUTED_VALUE"""),45302.0)</f>
        <v>45302</v>
      </c>
      <c r="O1006" s="5">
        <v>2024.0</v>
      </c>
      <c r="P1006" s="5" t="str">
        <f>IFERROR(__xludf.DUMMYFUNCTION("""COMPUTED_VALUE"""),"Limited Availability")</f>
        <v>Limited Availability</v>
      </c>
      <c r="Q1006" s="5" t="s">
        <v>122</v>
      </c>
      <c r="R1006" s="5" t="s">
        <v>136</v>
      </c>
      <c r="S1006" s="11">
        <v>1019.0</v>
      </c>
    </row>
    <row r="1007">
      <c r="A1007" s="5" t="str">
        <f>IFERROR(__xludf.DUMMYFUNCTION("""COMPUTED_VALUE"""),"Lisdexamfetamine Dimesylate Capsule")</f>
        <v>Lisdexamfetamine Dimesylate Capsule</v>
      </c>
      <c r="B1007" s="5" t="str">
        <f>IFERROR(__xludf.DUMMYFUNCTION("""COMPUTED_VALUE"""),"Alvogen")</f>
        <v>Alvogen</v>
      </c>
      <c r="C1007" s="5" t="str">
        <f>IFERROR(__xludf.DUMMYFUNCTION("""COMPUTED_VALUE"""),"Lisdexamfetamine Dimesylate, Capsule, 10 mg (NDC 47781-562-01)")</f>
        <v>Lisdexamfetamine Dimesylate, Capsule, 10 mg (NDC 47781-562-01)</v>
      </c>
      <c r="D1007" s="5" t="str">
        <f>IFERROR(__xludf.DUMMYFUNCTION("""COMPUTED_VALUE"""),"Reverified")</f>
        <v>Reverified</v>
      </c>
      <c r="E1007" s="13">
        <f>IFERROR(__xludf.DUMMYFUNCTION("""COMPUTED_VALUE"""),46311.0)</f>
        <v>46311</v>
      </c>
      <c r="F1007" s="5" t="str">
        <f>IFERROR(__xludf.DUMMYFUNCTION("""COMPUTED_VALUE"""),"Available")</f>
        <v>Available</v>
      </c>
      <c r="G1007" s="5"/>
      <c r="H1007" s="5"/>
      <c r="I1007" s="5"/>
      <c r="J1007" s="5" t="str">
        <f>IFERROR(__xludf.DUMMYFUNCTION("""COMPUTED_VALUE"""),"Psychiatry")</f>
        <v>Psychiatry</v>
      </c>
      <c r="K1007" s="5" t="str">
        <f>IFERROR(__xludf.DUMMYFUNCTION("""COMPUTED_VALUE"""),"Current")</f>
        <v>Current</v>
      </c>
      <c r="L1007" s="5"/>
      <c r="M1007" s="5"/>
      <c r="N1007" s="10">
        <f>IFERROR(__xludf.DUMMYFUNCTION("""COMPUTED_VALUE"""),45121.0)</f>
        <v>45121</v>
      </c>
      <c r="O1007" s="5">
        <v>2023.0</v>
      </c>
      <c r="P1007" s="5" t="str">
        <f>IFERROR(__xludf.DUMMYFUNCTION("""COMPUTED_VALUE"""),"Available")</f>
        <v>Available</v>
      </c>
      <c r="Q1007" s="5" t="s">
        <v>135</v>
      </c>
      <c r="R1007" s="5" t="s">
        <v>136</v>
      </c>
      <c r="S1007" s="11">
        <v>1200.0</v>
      </c>
    </row>
    <row r="1008">
      <c r="A1008" s="5" t="str">
        <f>IFERROR(__xludf.DUMMYFUNCTION("""COMPUTED_VALUE"""),"Lisdexamfetamine Dimesylate Capsule")</f>
        <v>Lisdexamfetamine Dimesylate Capsule</v>
      </c>
      <c r="B1008" s="5" t="str">
        <f>IFERROR(__xludf.DUMMYFUNCTION("""COMPUTED_VALUE"""),"Alvogen")</f>
        <v>Alvogen</v>
      </c>
      <c r="C1008" s="5" t="str">
        <f>IFERROR(__xludf.DUMMYFUNCTION("""COMPUTED_VALUE"""),"Lisdexamfetamine Dimesylate, Capsule, 20 mg (NDC 47781-563-01)")</f>
        <v>Lisdexamfetamine Dimesylate, Capsule, 20 mg (NDC 47781-563-01)</v>
      </c>
      <c r="D1008" s="5" t="str">
        <f>IFERROR(__xludf.DUMMYFUNCTION("""COMPUTED_VALUE"""),"Reverified")</f>
        <v>Reverified</v>
      </c>
      <c r="E1008" s="13">
        <f>IFERROR(__xludf.DUMMYFUNCTION("""COMPUTED_VALUE"""),46311.0)</f>
        <v>46311</v>
      </c>
      <c r="F1008" s="5" t="str">
        <f>IFERROR(__xludf.DUMMYFUNCTION("""COMPUTED_VALUE"""),"Available")</f>
        <v>Available</v>
      </c>
      <c r="G1008" s="5"/>
      <c r="H1008" s="5"/>
      <c r="I1008" s="5"/>
      <c r="J1008" s="5" t="str">
        <f>IFERROR(__xludf.DUMMYFUNCTION("""COMPUTED_VALUE"""),"Psychiatry")</f>
        <v>Psychiatry</v>
      </c>
      <c r="K1008" s="5" t="str">
        <f>IFERROR(__xludf.DUMMYFUNCTION("""COMPUTED_VALUE"""),"Current")</f>
        <v>Current</v>
      </c>
      <c r="L1008" s="5"/>
      <c r="M1008" s="5"/>
      <c r="N1008" s="10">
        <f>IFERROR(__xludf.DUMMYFUNCTION("""COMPUTED_VALUE"""),45121.0)</f>
        <v>45121</v>
      </c>
      <c r="O1008" s="5">
        <v>2023.0</v>
      </c>
      <c r="P1008" s="5" t="str">
        <f>IFERROR(__xludf.DUMMYFUNCTION("""COMPUTED_VALUE"""),"Available")</f>
        <v>Available</v>
      </c>
      <c r="Q1008" s="5" t="s">
        <v>135</v>
      </c>
      <c r="R1008" s="5" t="s">
        <v>136</v>
      </c>
      <c r="S1008" s="11">
        <v>1200.0</v>
      </c>
    </row>
    <row r="1009">
      <c r="A1009" s="5" t="str">
        <f>IFERROR(__xludf.DUMMYFUNCTION("""COMPUTED_VALUE"""),"Lisdexamfetamine Dimesylate Capsule")</f>
        <v>Lisdexamfetamine Dimesylate Capsule</v>
      </c>
      <c r="B1009" s="5" t="str">
        <f>IFERROR(__xludf.DUMMYFUNCTION("""COMPUTED_VALUE"""),"Alvogen")</f>
        <v>Alvogen</v>
      </c>
      <c r="C1009" s="5" t="str">
        <f>IFERROR(__xludf.DUMMYFUNCTION("""COMPUTED_VALUE"""),"Lisdexamfetamine Dimesylate, Capsule, 30 mg (NDC 47781-564-01)")</f>
        <v>Lisdexamfetamine Dimesylate, Capsule, 30 mg (NDC 47781-564-01)</v>
      </c>
      <c r="D1009" s="5" t="str">
        <f>IFERROR(__xludf.DUMMYFUNCTION("""COMPUTED_VALUE"""),"Reverified")</f>
        <v>Reverified</v>
      </c>
      <c r="E1009" s="13">
        <f>IFERROR(__xludf.DUMMYFUNCTION("""COMPUTED_VALUE"""),46311.0)</f>
        <v>46311</v>
      </c>
      <c r="F1009" s="5" t="str">
        <f>IFERROR(__xludf.DUMMYFUNCTION("""COMPUTED_VALUE"""),"Available")</f>
        <v>Available</v>
      </c>
      <c r="G1009" s="5"/>
      <c r="H1009" s="5"/>
      <c r="I1009" s="5"/>
      <c r="J1009" s="5" t="str">
        <f>IFERROR(__xludf.DUMMYFUNCTION("""COMPUTED_VALUE"""),"Psychiatry")</f>
        <v>Psychiatry</v>
      </c>
      <c r="K1009" s="5" t="str">
        <f>IFERROR(__xludf.DUMMYFUNCTION("""COMPUTED_VALUE"""),"Current")</f>
        <v>Current</v>
      </c>
      <c r="L1009" s="5"/>
      <c r="M1009" s="5"/>
      <c r="N1009" s="10">
        <f>IFERROR(__xludf.DUMMYFUNCTION("""COMPUTED_VALUE"""),45121.0)</f>
        <v>45121</v>
      </c>
      <c r="O1009" s="5">
        <v>2023.0</v>
      </c>
      <c r="P1009" s="5" t="str">
        <f>IFERROR(__xludf.DUMMYFUNCTION("""COMPUTED_VALUE"""),"Available")</f>
        <v>Available</v>
      </c>
      <c r="Q1009" s="5" t="s">
        <v>135</v>
      </c>
      <c r="R1009" s="5" t="s">
        <v>136</v>
      </c>
      <c r="S1009" s="11">
        <v>1200.0</v>
      </c>
    </row>
    <row r="1010">
      <c r="A1010" s="5" t="str">
        <f>IFERROR(__xludf.DUMMYFUNCTION("""COMPUTED_VALUE"""),"Lisdexamfetamine Dimesylate Capsule")</f>
        <v>Lisdexamfetamine Dimesylate Capsule</v>
      </c>
      <c r="B1010" s="5" t="str">
        <f>IFERROR(__xludf.DUMMYFUNCTION("""COMPUTED_VALUE"""),"Alvogen")</f>
        <v>Alvogen</v>
      </c>
      <c r="C1010" s="5" t="str">
        <f>IFERROR(__xludf.DUMMYFUNCTION("""COMPUTED_VALUE"""),"Lisdexamfetamine Dimesylate, Capsule, 40 mg (NDC 47781-565-01)")</f>
        <v>Lisdexamfetamine Dimesylate, Capsule, 40 mg (NDC 47781-565-01)</v>
      </c>
      <c r="D1010" s="5" t="str">
        <f>IFERROR(__xludf.DUMMYFUNCTION("""COMPUTED_VALUE"""),"Reverified")</f>
        <v>Reverified</v>
      </c>
      <c r="E1010" s="13">
        <f>IFERROR(__xludf.DUMMYFUNCTION("""COMPUTED_VALUE"""),46311.0)</f>
        <v>46311</v>
      </c>
      <c r="F1010" s="5" t="str">
        <f>IFERROR(__xludf.DUMMYFUNCTION("""COMPUTED_VALUE"""),"Available")</f>
        <v>Available</v>
      </c>
      <c r="G1010" s="5"/>
      <c r="H1010" s="5"/>
      <c r="I1010" s="5"/>
      <c r="J1010" s="5" t="str">
        <f>IFERROR(__xludf.DUMMYFUNCTION("""COMPUTED_VALUE"""),"Psychiatry")</f>
        <v>Psychiatry</v>
      </c>
      <c r="K1010" s="5" t="str">
        <f>IFERROR(__xludf.DUMMYFUNCTION("""COMPUTED_VALUE"""),"Current")</f>
        <v>Current</v>
      </c>
      <c r="L1010" s="5"/>
      <c r="M1010" s="5"/>
      <c r="N1010" s="10">
        <f>IFERROR(__xludf.DUMMYFUNCTION("""COMPUTED_VALUE"""),45121.0)</f>
        <v>45121</v>
      </c>
      <c r="O1010" s="5">
        <v>2023.0</v>
      </c>
      <c r="P1010" s="5" t="str">
        <f>IFERROR(__xludf.DUMMYFUNCTION("""COMPUTED_VALUE"""),"Available")</f>
        <v>Available</v>
      </c>
      <c r="Q1010" s="5" t="s">
        <v>135</v>
      </c>
      <c r="R1010" s="5" t="s">
        <v>136</v>
      </c>
      <c r="S1010" s="11">
        <v>1200.0</v>
      </c>
    </row>
    <row r="1011">
      <c r="A1011" s="5" t="str">
        <f>IFERROR(__xludf.DUMMYFUNCTION("""COMPUTED_VALUE"""),"Lisdexamfetamine Dimesylate Capsule")</f>
        <v>Lisdexamfetamine Dimesylate Capsule</v>
      </c>
      <c r="B1011" s="5" t="str">
        <f>IFERROR(__xludf.DUMMYFUNCTION("""COMPUTED_VALUE"""),"Alvogen")</f>
        <v>Alvogen</v>
      </c>
      <c r="C1011" s="5" t="str">
        <f>IFERROR(__xludf.DUMMYFUNCTION("""COMPUTED_VALUE"""),"Lisdexamfetamine Dimesylate, Capsule, 50 mg (NDC 47781-566-01)")</f>
        <v>Lisdexamfetamine Dimesylate, Capsule, 50 mg (NDC 47781-566-01)</v>
      </c>
      <c r="D1011" s="5" t="str">
        <f>IFERROR(__xludf.DUMMYFUNCTION("""COMPUTED_VALUE"""),"Reverified")</f>
        <v>Reverified</v>
      </c>
      <c r="E1011" s="13">
        <f>IFERROR(__xludf.DUMMYFUNCTION("""COMPUTED_VALUE"""),46311.0)</f>
        <v>46311</v>
      </c>
      <c r="F1011" s="5" t="str">
        <f>IFERROR(__xludf.DUMMYFUNCTION("""COMPUTED_VALUE"""),"Available")</f>
        <v>Available</v>
      </c>
      <c r="G1011" s="5"/>
      <c r="H1011" s="5"/>
      <c r="I1011" s="5"/>
      <c r="J1011" s="5" t="str">
        <f>IFERROR(__xludf.DUMMYFUNCTION("""COMPUTED_VALUE"""),"Psychiatry")</f>
        <v>Psychiatry</v>
      </c>
      <c r="K1011" s="5" t="str">
        <f>IFERROR(__xludf.DUMMYFUNCTION("""COMPUTED_VALUE"""),"Current")</f>
        <v>Current</v>
      </c>
      <c r="L1011" s="5"/>
      <c r="M1011" s="5"/>
      <c r="N1011" s="10">
        <f>IFERROR(__xludf.DUMMYFUNCTION("""COMPUTED_VALUE"""),45121.0)</f>
        <v>45121</v>
      </c>
      <c r="O1011" s="5">
        <v>2023.0</v>
      </c>
      <c r="P1011" s="5" t="str">
        <f>IFERROR(__xludf.DUMMYFUNCTION("""COMPUTED_VALUE"""),"Available")</f>
        <v>Available</v>
      </c>
      <c r="Q1011" s="5" t="s">
        <v>135</v>
      </c>
      <c r="R1011" s="5" t="s">
        <v>136</v>
      </c>
      <c r="S1011" s="11">
        <v>1200.0</v>
      </c>
    </row>
    <row r="1012">
      <c r="A1012" s="5" t="str">
        <f>IFERROR(__xludf.DUMMYFUNCTION("""COMPUTED_VALUE"""),"Lisdexamfetamine Dimesylate Capsule")</f>
        <v>Lisdexamfetamine Dimesylate Capsule</v>
      </c>
      <c r="B1012" s="5" t="str">
        <f>IFERROR(__xludf.DUMMYFUNCTION("""COMPUTED_VALUE"""),"Alvogen")</f>
        <v>Alvogen</v>
      </c>
      <c r="C1012" s="5" t="str">
        <f>IFERROR(__xludf.DUMMYFUNCTION("""COMPUTED_VALUE"""),"Lisdexamfetamine Dimesylate, Capsule, 60 mg (NDC 47781-567-01)")</f>
        <v>Lisdexamfetamine Dimesylate, Capsule, 60 mg (NDC 47781-567-01)</v>
      </c>
      <c r="D1012" s="5" t="str">
        <f>IFERROR(__xludf.DUMMYFUNCTION("""COMPUTED_VALUE"""),"Reverified")</f>
        <v>Reverified</v>
      </c>
      <c r="E1012" s="13">
        <f>IFERROR(__xludf.DUMMYFUNCTION("""COMPUTED_VALUE"""),46311.0)</f>
        <v>46311</v>
      </c>
      <c r="F1012" s="5" t="str">
        <f>IFERROR(__xludf.DUMMYFUNCTION("""COMPUTED_VALUE"""),"Available")</f>
        <v>Available</v>
      </c>
      <c r="G1012" s="5"/>
      <c r="H1012" s="5"/>
      <c r="I1012" s="5"/>
      <c r="J1012" s="5" t="str">
        <f>IFERROR(__xludf.DUMMYFUNCTION("""COMPUTED_VALUE"""),"Psychiatry")</f>
        <v>Psychiatry</v>
      </c>
      <c r="K1012" s="5" t="str">
        <f>IFERROR(__xludf.DUMMYFUNCTION("""COMPUTED_VALUE"""),"Current")</f>
        <v>Current</v>
      </c>
      <c r="L1012" s="5"/>
      <c r="M1012" s="5"/>
      <c r="N1012" s="10">
        <f>IFERROR(__xludf.DUMMYFUNCTION("""COMPUTED_VALUE"""),45121.0)</f>
        <v>45121</v>
      </c>
      <c r="O1012" s="5">
        <v>2023.0</v>
      </c>
      <c r="P1012" s="5" t="str">
        <f>IFERROR(__xludf.DUMMYFUNCTION("""COMPUTED_VALUE"""),"Available")</f>
        <v>Available</v>
      </c>
      <c r="Q1012" s="5" t="s">
        <v>135</v>
      </c>
      <c r="R1012" s="5" t="s">
        <v>136</v>
      </c>
      <c r="S1012" s="11">
        <v>1200.0</v>
      </c>
    </row>
    <row r="1013">
      <c r="A1013" s="5" t="str">
        <f>IFERROR(__xludf.DUMMYFUNCTION("""COMPUTED_VALUE"""),"Lisdexamfetamine Dimesylate Capsule")</f>
        <v>Lisdexamfetamine Dimesylate Capsule</v>
      </c>
      <c r="B1013" s="5" t="str">
        <f>IFERROR(__xludf.DUMMYFUNCTION("""COMPUTED_VALUE"""),"Alvogen")</f>
        <v>Alvogen</v>
      </c>
      <c r="C1013" s="5" t="str">
        <f>IFERROR(__xludf.DUMMYFUNCTION("""COMPUTED_VALUE"""),"Lisdexamfetamine Dimesylate, Capsule, 70 mg (NDC 47781-568-01)")</f>
        <v>Lisdexamfetamine Dimesylate, Capsule, 70 mg (NDC 47781-568-01)</v>
      </c>
      <c r="D1013" s="5" t="str">
        <f>IFERROR(__xludf.DUMMYFUNCTION("""COMPUTED_VALUE"""),"Reverified")</f>
        <v>Reverified</v>
      </c>
      <c r="E1013" s="13">
        <f>IFERROR(__xludf.DUMMYFUNCTION("""COMPUTED_VALUE"""),46311.0)</f>
        <v>46311</v>
      </c>
      <c r="F1013" s="5" t="str">
        <f>IFERROR(__xludf.DUMMYFUNCTION("""COMPUTED_VALUE"""),"Available")</f>
        <v>Available</v>
      </c>
      <c r="G1013" s="5"/>
      <c r="H1013" s="5"/>
      <c r="I1013" s="5"/>
      <c r="J1013" s="5" t="str">
        <f>IFERROR(__xludf.DUMMYFUNCTION("""COMPUTED_VALUE"""),"Psychiatry")</f>
        <v>Psychiatry</v>
      </c>
      <c r="K1013" s="5" t="str">
        <f>IFERROR(__xludf.DUMMYFUNCTION("""COMPUTED_VALUE"""),"Current")</f>
        <v>Current</v>
      </c>
      <c r="L1013" s="5"/>
      <c r="M1013" s="5"/>
      <c r="N1013" s="10">
        <f>IFERROR(__xludf.DUMMYFUNCTION("""COMPUTED_VALUE"""),45121.0)</f>
        <v>45121</v>
      </c>
      <c r="O1013" s="5">
        <v>2023.0</v>
      </c>
      <c r="P1013" s="5" t="str">
        <f>IFERROR(__xludf.DUMMYFUNCTION("""COMPUTED_VALUE"""),"Available")</f>
        <v>Available</v>
      </c>
      <c r="Q1013" s="5" t="s">
        <v>135</v>
      </c>
      <c r="R1013" s="5" t="s">
        <v>136</v>
      </c>
      <c r="S1013" s="11">
        <v>1200.0</v>
      </c>
    </row>
    <row r="1014">
      <c r="A1014" s="5" t="str">
        <f>IFERROR(__xludf.DUMMYFUNCTION("""COMPUTED_VALUE"""),"Lisdexamfetamine Dimesylate Capsule")</f>
        <v>Lisdexamfetamine Dimesylate Capsule</v>
      </c>
      <c r="B1014" s="5" t="str">
        <f>IFERROR(__xludf.DUMMYFUNCTION("""COMPUTED_VALUE"""),"Apotex Corp.")</f>
        <v>Apotex Corp.</v>
      </c>
      <c r="C1014" s="5" t="str">
        <f>IFERROR(__xludf.DUMMYFUNCTION("""COMPUTED_VALUE"""),"Lisdexamfetamine Dimesylate, Capsule, 10 mg (NDC 60505-4739-1)")</f>
        <v>Lisdexamfetamine Dimesylate, Capsule, 10 mg (NDC 60505-4739-1)</v>
      </c>
      <c r="D1014" s="5" t="str">
        <f>IFERROR(__xludf.DUMMYFUNCTION("""COMPUTED_VALUE"""),"Reverified")</f>
        <v>Reverified</v>
      </c>
      <c r="E1014" s="13">
        <f>IFERROR(__xludf.DUMMYFUNCTION("""COMPUTED_VALUE"""),46310.0)</f>
        <v>46310</v>
      </c>
      <c r="F1014" s="5" t="str">
        <f>IFERROR(__xludf.DUMMYFUNCTION("""COMPUTED_VALUE"""),"Available")</f>
        <v>Available</v>
      </c>
      <c r="G1014" s="5"/>
      <c r="H1014" s="5"/>
      <c r="I1014" s="5"/>
      <c r="J1014" s="5" t="str">
        <f>IFERROR(__xludf.DUMMYFUNCTION("""COMPUTED_VALUE"""),"Psychiatry")</f>
        <v>Psychiatry</v>
      </c>
      <c r="K1014" s="5" t="str">
        <f>IFERROR(__xludf.DUMMYFUNCTION("""COMPUTED_VALUE"""),"Current")</f>
        <v>Current</v>
      </c>
      <c r="L1014" s="5"/>
      <c r="M1014" s="5"/>
      <c r="N1014" s="10">
        <f>IFERROR(__xludf.DUMMYFUNCTION("""COMPUTED_VALUE"""),45231.0)</f>
        <v>45231</v>
      </c>
      <c r="O1014" s="5">
        <v>2023.0</v>
      </c>
      <c r="P1014" s="5" t="str">
        <f>IFERROR(__xludf.DUMMYFUNCTION("""COMPUTED_VALUE"""),"Available")</f>
        <v>Available</v>
      </c>
      <c r="Q1014" s="5" t="s">
        <v>135</v>
      </c>
      <c r="R1014" s="5" t="s">
        <v>136</v>
      </c>
      <c r="S1014" s="11">
        <v>1090.0</v>
      </c>
    </row>
    <row r="1015">
      <c r="A1015" s="5" t="str">
        <f>IFERROR(__xludf.DUMMYFUNCTION("""COMPUTED_VALUE"""),"Lisdexamfetamine Dimesylate Capsule")</f>
        <v>Lisdexamfetamine Dimesylate Capsule</v>
      </c>
      <c r="B1015" s="5" t="str">
        <f>IFERROR(__xludf.DUMMYFUNCTION("""COMPUTED_VALUE"""),"Apotex Corp.")</f>
        <v>Apotex Corp.</v>
      </c>
      <c r="C1015" s="5" t="str">
        <f>IFERROR(__xludf.DUMMYFUNCTION("""COMPUTED_VALUE"""),"Lisdexamfetamine Dimesylate, Capsule, 20 mg (NDC 60505-4740-1)")</f>
        <v>Lisdexamfetamine Dimesylate, Capsule, 20 mg (NDC 60505-4740-1)</v>
      </c>
      <c r="D1015" s="5" t="str">
        <f>IFERROR(__xludf.DUMMYFUNCTION("""COMPUTED_VALUE"""),"Revised")</f>
        <v>Revised</v>
      </c>
      <c r="E1015" s="13">
        <f>IFERROR(__xludf.DUMMYFUNCTION("""COMPUTED_VALUE"""),46310.0)</f>
        <v>46310</v>
      </c>
      <c r="F1015" s="5" t="str">
        <f>IFERROR(__xludf.DUMMYFUNCTION("""COMPUTED_VALUE"""),"Available")</f>
        <v>Available</v>
      </c>
      <c r="G1015" s="5"/>
      <c r="H1015" s="5"/>
      <c r="I1015" s="5"/>
      <c r="J1015" s="5" t="str">
        <f>IFERROR(__xludf.DUMMYFUNCTION("""COMPUTED_VALUE"""),"Psychiatry")</f>
        <v>Psychiatry</v>
      </c>
      <c r="K1015" s="5" t="str">
        <f>IFERROR(__xludf.DUMMYFUNCTION("""COMPUTED_VALUE"""),"Current")</f>
        <v>Current</v>
      </c>
      <c r="L1015" s="5"/>
      <c r="M1015" s="5"/>
      <c r="N1015" s="10">
        <f>IFERROR(__xludf.DUMMYFUNCTION("""COMPUTED_VALUE"""),45231.0)</f>
        <v>45231</v>
      </c>
      <c r="O1015" s="5">
        <v>2023.0</v>
      </c>
      <c r="P1015" s="5" t="str">
        <f>IFERROR(__xludf.DUMMYFUNCTION("""COMPUTED_VALUE"""),"Available")</f>
        <v>Available</v>
      </c>
      <c r="Q1015" s="5" t="s">
        <v>135</v>
      </c>
      <c r="R1015" s="5" t="s">
        <v>136</v>
      </c>
      <c r="S1015" s="11">
        <v>1090.0</v>
      </c>
    </row>
    <row r="1016">
      <c r="A1016" s="5" t="str">
        <f>IFERROR(__xludf.DUMMYFUNCTION("""COMPUTED_VALUE"""),"Lisdexamfetamine Dimesylate Capsule")</f>
        <v>Lisdexamfetamine Dimesylate Capsule</v>
      </c>
      <c r="B1016" s="5" t="str">
        <f>IFERROR(__xludf.DUMMYFUNCTION("""COMPUTED_VALUE"""),"Apotex Corp.")</f>
        <v>Apotex Corp.</v>
      </c>
      <c r="C1016" s="5" t="str">
        <f>IFERROR(__xludf.DUMMYFUNCTION("""COMPUTED_VALUE"""),"Lisdexamfetamine Dimesylate, Capsule, 30 mg (NDC 60505-4741-1)")</f>
        <v>Lisdexamfetamine Dimesylate, Capsule, 30 mg (NDC 60505-4741-1)</v>
      </c>
      <c r="D1016" s="5" t="str">
        <f>IFERROR(__xludf.DUMMYFUNCTION("""COMPUTED_VALUE"""),"Reverified")</f>
        <v>Reverified</v>
      </c>
      <c r="E1016" s="13">
        <f>IFERROR(__xludf.DUMMYFUNCTION("""COMPUTED_VALUE"""),46310.0)</f>
        <v>46310</v>
      </c>
      <c r="F1016" s="5" t="str">
        <f>IFERROR(__xludf.DUMMYFUNCTION("""COMPUTED_VALUE"""),"Available")</f>
        <v>Available</v>
      </c>
      <c r="G1016" s="5"/>
      <c r="H1016" s="5"/>
      <c r="I1016" s="5"/>
      <c r="J1016" s="5" t="str">
        <f>IFERROR(__xludf.DUMMYFUNCTION("""COMPUTED_VALUE"""),"Psychiatry")</f>
        <v>Psychiatry</v>
      </c>
      <c r="K1016" s="5" t="str">
        <f>IFERROR(__xludf.DUMMYFUNCTION("""COMPUTED_VALUE"""),"Current")</f>
        <v>Current</v>
      </c>
      <c r="L1016" s="5"/>
      <c r="M1016" s="5"/>
      <c r="N1016" s="10">
        <f>IFERROR(__xludf.DUMMYFUNCTION("""COMPUTED_VALUE"""),45231.0)</f>
        <v>45231</v>
      </c>
      <c r="O1016" s="5">
        <v>2023.0</v>
      </c>
      <c r="P1016" s="5" t="str">
        <f>IFERROR(__xludf.DUMMYFUNCTION("""COMPUTED_VALUE"""),"Available")</f>
        <v>Available</v>
      </c>
      <c r="Q1016" s="5" t="s">
        <v>135</v>
      </c>
      <c r="R1016" s="5" t="s">
        <v>136</v>
      </c>
      <c r="S1016" s="11">
        <v>1090.0</v>
      </c>
    </row>
    <row r="1017">
      <c r="A1017" s="5" t="str">
        <f>IFERROR(__xludf.DUMMYFUNCTION("""COMPUTED_VALUE"""),"Lisdexamfetamine Dimesylate Capsule")</f>
        <v>Lisdexamfetamine Dimesylate Capsule</v>
      </c>
      <c r="B1017" s="5" t="str">
        <f>IFERROR(__xludf.DUMMYFUNCTION("""COMPUTED_VALUE"""),"Apotex Corp.")</f>
        <v>Apotex Corp.</v>
      </c>
      <c r="C1017" s="5" t="str">
        <f>IFERROR(__xludf.DUMMYFUNCTION("""COMPUTED_VALUE"""),"Lisdexamfetamine Dimesylate, Capsule, 40 mg (NDC 60505-4742-1)")</f>
        <v>Lisdexamfetamine Dimesylate, Capsule, 40 mg (NDC 60505-4742-1)</v>
      </c>
      <c r="D1017" s="5" t="str">
        <f>IFERROR(__xludf.DUMMYFUNCTION("""COMPUTED_VALUE"""),"Reverified")</f>
        <v>Reverified</v>
      </c>
      <c r="E1017" s="13">
        <f>IFERROR(__xludf.DUMMYFUNCTION("""COMPUTED_VALUE"""),46310.0)</f>
        <v>46310</v>
      </c>
      <c r="F1017" s="5" t="str">
        <f>IFERROR(__xludf.DUMMYFUNCTION("""COMPUTED_VALUE"""),"Available")</f>
        <v>Available</v>
      </c>
      <c r="G1017" s="5"/>
      <c r="H1017" s="5"/>
      <c r="I1017" s="5"/>
      <c r="J1017" s="5" t="str">
        <f>IFERROR(__xludf.DUMMYFUNCTION("""COMPUTED_VALUE"""),"Psychiatry")</f>
        <v>Psychiatry</v>
      </c>
      <c r="K1017" s="5" t="str">
        <f>IFERROR(__xludf.DUMMYFUNCTION("""COMPUTED_VALUE"""),"Current")</f>
        <v>Current</v>
      </c>
      <c r="L1017" s="5"/>
      <c r="M1017" s="5"/>
      <c r="N1017" s="10">
        <f>IFERROR(__xludf.DUMMYFUNCTION("""COMPUTED_VALUE"""),45231.0)</f>
        <v>45231</v>
      </c>
      <c r="O1017" s="5">
        <v>2023.0</v>
      </c>
      <c r="P1017" s="5" t="str">
        <f>IFERROR(__xludf.DUMMYFUNCTION("""COMPUTED_VALUE"""),"Available")</f>
        <v>Available</v>
      </c>
      <c r="Q1017" s="5" t="s">
        <v>135</v>
      </c>
      <c r="R1017" s="5" t="s">
        <v>136</v>
      </c>
      <c r="S1017" s="11">
        <v>1090.0</v>
      </c>
    </row>
    <row r="1018">
      <c r="A1018" s="5" t="str">
        <f>IFERROR(__xludf.DUMMYFUNCTION("""COMPUTED_VALUE"""),"Lisdexamfetamine Dimesylate Capsule")</f>
        <v>Lisdexamfetamine Dimesylate Capsule</v>
      </c>
      <c r="B1018" s="5" t="str">
        <f>IFERROR(__xludf.DUMMYFUNCTION("""COMPUTED_VALUE"""),"Apotex Corp.")</f>
        <v>Apotex Corp.</v>
      </c>
      <c r="C1018" s="5" t="str">
        <f>IFERROR(__xludf.DUMMYFUNCTION("""COMPUTED_VALUE"""),"Lisdexamfetamine Dimesylate, Capsule, 50 mg (NDC 60505-4743-1)")</f>
        <v>Lisdexamfetamine Dimesylate, Capsule, 50 mg (NDC 60505-4743-1)</v>
      </c>
      <c r="D1018" s="5" t="str">
        <f>IFERROR(__xludf.DUMMYFUNCTION("""COMPUTED_VALUE"""),"Reverified")</f>
        <v>Reverified</v>
      </c>
      <c r="E1018" s="13">
        <f>IFERROR(__xludf.DUMMYFUNCTION("""COMPUTED_VALUE"""),46310.0)</f>
        <v>46310</v>
      </c>
      <c r="F1018" s="5" t="str">
        <f>IFERROR(__xludf.DUMMYFUNCTION("""COMPUTED_VALUE"""),"Available")</f>
        <v>Available</v>
      </c>
      <c r="G1018" s="5"/>
      <c r="H1018" s="5"/>
      <c r="I1018" s="5"/>
      <c r="J1018" s="5" t="str">
        <f>IFERROR(__xludf.DUMMYFUNCTION("""COMPUTED_VALUE"""),"Psychiatry")</f>
        <v>Psychiatry</v>
      </c>
      <c r="K1018" s="5" t="str">
        <f>IFERROR(__xludf.DUMMYFUNCTION("""COMPUTED_VALUE"""),"Current")</f>
        <v>Current</v>
      </c>
      <c r="L1018" s="5"/>
      <c r="M1018" s="5"/>
      <c r="N1018" s="10">
        <f>IFERROR(__xludf.DUMMYFUNCTION("""COMPUTED_VALUE"""),45231.0)</f>
        <v>45231</v>
      </c>
      <c r="O1018" s="5">
        <v>2023.0</v>
      </c>
      <c r="P1018" s="5" t="str">
        <f>IFERROR(__xludf.DUMMYFUNCTION("""COMPUTED_VALUE"""),"Available")</f>
        <v>Available</v>
      </c>
      <c r="Q1018" s="5" t="s">
        <v>135</v>
      </c>
      <c r="R1018" s="5" t="s">
        <v>136</v>
      </c>
      <c r="S1018" s="11">
        <v>1090.0</v>
      </c>
    </row>
    <row r="1019">
      <c r="A1019" s="5" t="str">
        <f>IFERROR(__xludf.DUMMYFUNCTION("""COMPUTED_VALUE"""),"Lisdexamfetamine Dimesylate Capsule")</f>
        <v>Lisdexamfetamine Dimesylate Capsule</v>
      </c>
      <c r="B1019" s="5" t="str">
        <f>IFERROR(__xludf.DUMMYFUNCTION("""COMPUTED_VALUE"""),"Apotex Corp.")</f>
        <v>Apotex Corp.</v>
      </c>
      <c r="C1019" s="5" t="str">
        <f>IFERROR(__xludf.DUMMYFUNCTION("""COMPUTED_VALUE"""),"Lisdexamfetamine Dimesylate, Capsule, 60 mg (NDC 60505-4744-1)")</f>
        <v>Lisdexamfetamine Dimesylate, Capsule, 60 mg (NDC 60505-4744-1)</v>
      </c>
      <c r="D1019" s="5" t="str">
        <f>IFERROR(__xludf.DUMMYFUNCTION("""COMPUTED_VALUE"""),"Reverified")</f>
        <v>Reverified</v>
      </c>
      <c r="E1019" s="13">
        <f>IFERROR(__xludf.DUMMYFUNCTION("""COMPUTED_VALUE"""),46310.0)</f>
        <v>46310</v>
      </c>
      <c r="F1019" s="5" t="str">
        <f>IFERROR(__xludf.DUMMYFUNCTION("""COMPUTED_VALUE"""),"Available")</f>
        <v>Available</v>
      </c>
      <c r="G1019" s="5"/>
      <c r="H1019" s="5"/>
      <c r="I1019" s="5"/>
      <c r="J1019" s="5" t="str">
        <f>IFERROR(__xludf.DUMMYFUNCTION("""COMPUTED_VALUE"""),"Psychiatry")</f>
        <v>Psychiatry</v>
      </c>
      <c r="K1019" s="5" t="str">
        <f>IFERROR(__xludf.DUMMYFUNCTION("""COMPUTED_VALUE"""),"Current")</f>
        <v>Current</v>
      </c>
      <c r="L1019" s="5"/>
      <c r="M1019" s="5"/>
      <c r="N1019" s="10">
        <f>IFERROR(__xludf.DUMMYFUNCTION("""COMPUTED_VALUE"""),45231.0)</f>
        <v>45231</v>
      </c>
      <c r="O1019" s="5">
        <v>2023.0</v>
      </c>
      <c r="P1019" s="5" t="str">
        <f>IFERROR(__xludf.DUMMYFUNCTION("""COMPUTED_VALUE"""),"Available")</f>
        <v>Available</v>
      </c>
      <c r="Q1019" s="5" t="s">
        <v>135</v>
      </c>
      <c r="R1019" s="5" t="s">
        <v>136</v>
      </c>
      <c r="S1019" s="11">
        <v>1090.0</v>
      </c>
    </row>
    <row r="1020">
      <c r="A1020" s="5" t="str">
        <f>IFERROR(__xludf.DUMMYFUNCTION("""COMPUTED_VALUE"""),"Lisdexamfetamine Dimesylate Capsule")</f>
        <v>Lisdexamfetamine Dimesylate Capsule</v>
      </c>
      <c r="B1020" s="5" t="str">
        <f>IFERROR(__xludf.DUMMYFUNCTION("""COMPUTED_VALUE"""),"Apotex Corp.")</f>
        <v>Apotex Corp.</v>
      </c>
      <c r="C1020" s="5" t="str">
        <f>IFERROR(__xludf.DUMMYFUNCTION("""COMPUTED_VALUE"""),"Lisdexamfetamine Dimesylate, Capsule, 70 mg (NDC 60505-4745-1)")</f>
        <v>Lisdexamfetamine Dimesylate, Capsule, 70 mg (NDC 60505-4745-1)</v>
      </c>
      <c r="D1020" s="5" t="str">
        <f>IFERROR(__xludf.DUMMYFUNCTION("""COMPUTED_VALUE"""),"Reverified")</f>
        <v>Reverified</v>
      </c>
      <c r="E1020" s="13">
        <f>IFERROR(__xludf.DUMMYFUNCTION("""COMPUTED_VALUE"""),46310.0)</f>
        <v>46310</v>
      </c>
      <c r="F1020" s="5" t="str">
        <f>IFERROR(__xludf.DUMMYFUNCTION("""COMPUTED_VALUE"""),"Available")</f>
        <v>Available</v>
      </c>
      <c r="G1020" s="5"/>
      <c r="H1020" s="5"/>
      <c r="I1020" s="5"/>
      <c r="J1020" s="5" t="str">
        <f>IFERROR(__xludf.DUMMYFUNCTION("""COMPUTED_VALUE"""),"Psychiatry")</f>
        <v>Psychiatry</v>
      </c>
      <c r="K1020" s="5" t="str">
        <f>IFERROR(__xludf.DUMMYFUNCTION("""COMPUTED_VALUE"""),"Current")</f>
        <v>Current</v>
      </c>
      <c r="L1020" s="5"/>
      <c r="M1020" s="5"/>
      <c r="N1020" s="10">
        <f>IFERROR(__xludf.DUMMYFUNCTION("""COMPUTED_VALUE"""),45231.0)</f>
        <v>45231</v>
      </c>
      <c r="O1020" s="5">
        <v>2023.0</v>
      </c>
      <c r="P1020" s="5" t="str">
        <f>IFERROR(__xludf.DUMMYFUNCTION("""COMPUTED_VALUE"""),"Available")</f>
        <v>Available</v>
      </c>
      <c r="Q1020" s="5" t="s">
        <v>135</v>
      </c>
      <c r="R1020" s="5" t="s">
        <v>136</v>
      </c>
      <c r="S1020" s="11">
        <v>1090.0</v>
      </c>
    </row>
    <row r="1021">
      <c r="A1021" s="5" t="str">
        <f>IFERROR(__xludf.DUMMYFUNCTION("""COMPUTED_VALUE"""),"Lisdexamfetamine Dimesylate Capsule")</f>
        <v>Lisdexamfetamine Dimesylate Capsule</v>
      </c>
      <c r="B1021" s="5" t="str">
        <f>IFERROR(__xludf.DUMMYFUNCTION("""COMPUTED_VALUE"""),"Mylan Pharmaceuticals Inc., a Viatris Company")</f>
        <v>Mylan Pharmaceuticals Inc., a Viatris Company</v>
      </c>
      <c r="C1021" s="5" t="str">
        <f>IFERROR(__xludf.DUMMYFUNCTION("""COMPUTED_VALUE"""),"Lisdexamfetamine Dimesylate, Capsule, 10 mg (NDC 0378-6854-77)")</f>
        <v>Lisdexamfetamine Dimesylate, Capsule, 10 mg (NDC 0378-6854-77)</v>
      </c>
      <c r="D1021" s="5" t="str">
        <f>IFERROR(__xludf.DUMMYFUNCTION("""COMPUTED_VALUE"""),"Reverified")</f>
        <v>Reverified</v>
      </c>
      <c r="E1021" s="13">
        <f>IFERROR(__xludf.DUMMYFUNCTION("""COMPUTED_VALUE"""),46314.0)</f>
        <v>46314</v>
      </c>
      <c r="F1021" s="5" t="str">
        <f>IFERROR(__xludf.DUMMYFUNCTION("""COMPUTED_VALUE"""),"Available")</f>
        <v>Available</v>
      </c>
      <c r="G1021" s="5"/>
      <c r="H1021" s="5"/>
      <c r="I1021" s="5"/>
      <c r="J1021" s="5" t="str">
        <f>IFERROR(__xludf.DUMMYFUNCTION("""COMPUTED_VALUE"""),"Psychiatry")</f>
        <v>Psychiatry</v>
      </c>
      <c r="K1021" s="5" t="str">
        <f>IFERROR(__xludf.DUMMYFUNCTION("""COMPUTED_VALUE"""),"Current")</f>
        <v>Current</v>
      </c>
      <c r="L1021" s="5"/>
      <c r="M1021" s="5"/>
      <c r="N1021" s="10">
        <f>IFERROR(__xludf.DUMMYFUNCTION("""COMPUTED_VALUE"""),45121.0)</f>
        <v>45121</v>
      </c>
      <c r="O1021" s="5">
        <v>2023.0</v>
      </c>
      <c r="P1021" s="5" t="str">
        <f>IFERROR(__xludf.DUMMYFUNCTION("""COMPUTED_VALUE"""),"Available")</f>
        <v>Available</v>
      </c>
      <c r="Q1021" s="5" t="s">
        <v>135</v>
      </c>
      <c r="R1021" s="5" t="s">
        <v>136</v>
      </c>
      <c r="S1021" s="11">
        <v>1200.0</v>
      </c>
    </row>
    <row r="1022">
      <c r="A1022" s="5" t="str">
        <f>IFERROR(__xludf.DUMMYFUNCTION("""COMPUTED_VALUE"""),"Lisdexamfetamine Dimesylate Capsule")</f>
        <v>Lisdexamfetamine Dimesylate Capsule</v>
      </c>
      <c r="B1022" s="5" t="str">
        <f>IFERROR(__xludf.DUMMYFUNCTION("""COMPUTED_VALUE"""),"Mylan Pharmaceuticals Inc., a Viatris Company")</f>
        <v>Mylan Pharmaceuticals Inc., a Viatris Company</v>
      </c>
      <c r="C1022" s="5" t="str">
        <f>IFERROR(__xludf.DUMMYFUNCTION("""COMPUTED_VALUE"""),"Lisdexamfetamine Dimesylate, Capsule, 20 mg (NDC 0378-6855-77)")</f>
        <v>Lisdexamfetamine Dimesylate, Capsule, 20 mg (NDC 0378-6855-77)</v>
      </c>
      <c r="D1022" s="5" t="str">
        <f>IFERROR(__xludf.DUMMYFUNCTION("""COMPUTED_VALUE"""),"Reverified")</f>
        <v>Reverified</v>
      </c>
      <c r="E1022" s="13">
        <f>IFERROR(__xludf.DUMMYFUNCTION("""COMPUTED_VALUE"""),46314.0)</f>
        <v>46314</v>
      </c>
      <c r="F1022" s="5" t="str">
        <f>IFERROR(__xludf.DUMMYFUNCTION("""COMPUTED_VALUE"""),"Available")</f>
        <v>Available</v>
      </c>
      <c r="G1022" s="5"/>
      <c r="H1022" s="5"/>
      <c r="I1022" s="5"/>
      <c r="J1022" s="5" t="str">
        <f>IFERROR(__xludf.DUMMYFUNCTION("""COMPUTED_VALUE"""),"Psychiatry")</f>
        <v>Psychiatry</v>
      </c>
      <c r="K1022" s="5" t="str">
        <f>IFERROR(__xludf.DUMMYFUNCTION("""COMPUTED_VALUE"""),"Current")</f>
        <v>Current</v>
      </c>
      <c r="L1022" s="5"/>
      <c r="M1022" s="5"/>
      <c r="N1022" s="10">
        <f>IFERROR(__xludf.DUMMYFUNCTION("""COMPUTED_VALUE"""),45121.0)</f>
        <v>45121</v>
      </c>
      <c r="O1022" s="5">
        <v>2023.0</v>
      </c>
      <c r="P1022" s="5" t="str">
        <f>IFERROR(__xludf.DUMMYFUNCTION("""COMPUTED_VALUE"""),"Available")</f>
        <v>Available</v>
      </c>
      <c r="Q1022" s="5" t="s">
        <v>135</v>
      </c>
      <c r="R1022" s="5" t="s">
        <v>136</v>
      </c>
      <c r="S1022" s="11">
        <v>1200.0</v>
      </c>
    </row>
    <row r="1023">
      <c r="A1023" s="5" t="str">
        <f>IFERROR(__xludf.DUMMYFUNCTION("""COMPUTED_VALUE"""),"Lisdexamfetamine Dimesylate Capsule")</f>
        <v>Lisdexamfetamine Dimesylate Capsule</v>
      </c>
      <c r="B1023" s="5" t="str">
        <f>IFERROR(__xludf.DUMMYFUNCTION("""COMPUTED_VALUE"""),"Mylan Pharmaceuticals Inc., a Viatris Company")</f>
        <v>Mylan Pharmaceuticals Inc., a Viatris Company</v>
      </c>
      <c r="C1023" s="5" t="str">
        <f>IFERROR(__xludf.DUMMYFUNCTION("""COMPUTED_VALUE"""),"Lisdexamfetamine Dimesylate, Capsule, 30 mg (NDC 0378-6856-77)")</f>
        <v>Lisdexamfetamine Dimesylate, Capsule, 30 mg (NDC 0378-6856-77)</v>
      </c>
      <c r="D1023" s="5" t="str">
        <f>IFERROR(__xludf.DUMMYFUNCTION("""COMPUTED_VALUE"""),"Reverified")</f>
        <v>Reverified</v>
      </c>
      <c r="E1023" s="13">
        <f>IFERROR(__xludf.DUMMYFUNCTION("""COMPUTED_VALUE"""),46314.0)</f>
        <v>46314</v>
      </c>
      <c r="F1023" s="5" t="str">
        <f>IFERROR(__xludf.DUMMYFUNCTION("""COMPUTED_VALUE"""),"Available")</f>
        <v>Available</v>
      </c>
      <c r="G1023" s="5"/>
      <c r="H1023" s="5"/>
      <c r="I1023" s="5"/>
      <c r="J1023" s="5" t="str">
        <f>IFERROR(__xludf.DUMMYFUNCTION("""COMPUTED_VALUE"""),"Psychiatry")</f>
        <v>Psychiatry</v>
      </c>
      <c r="K1023" s="5" t="str">
        <f>IFERROR(__xludf.DUMMYFUNCTION("""COMPUTED_VALUE"""),"Current")</f>
        <v>Current</v>
      </c>
      <c r="L1023" s="5"/>
      <c r="M1023" s="5"/>
      <c r="N1023" s="10">
        <f>IFERROR(__xludf.DUMMYFUNCTION("""COMPUTED_VALUE"""),45121.0)</f>
        <v>45121</v>
      </c>
      <c r="O1023" s="5">
        <v>2023.0</v>
      </c>
      <c r="P1023" s="5" t="str">
        <f>IFERROR(__xludf.DUMMYFUNCTION("""COMPUTED_VALUE"""),"Available")</f>
        <v>Available</v>
      </c>
      <c r="Q1023" s="5" t="s">
        <v>135</v>
      </c>
      <c r="R1023" s="5" t="s">
        <v>136</v>
      </c>
      <c r="S1023" s="11">
        <v>1200.0</v>
      </c>
    </row>
    <row r="1024">
      <c r="A1024" s="5" t="str">
        <f>IFERROR(__xludf.DUMMYFUNCTION("""COMPUTED_VALUE"""),"Lisdexamfetamine Dimesylate Capsule")</f>
        <v>Lisdexamfetamine Dimesylate Capsule</v>
      </c>
      <c r="B1024" s="5" t="str">
        <f>IFERROR(__xludf.DUMMYFUNCTION("""COMPUTED_VALUE"""),"Mylan Pharmaceuticals Inc., a Viatris Company")</f>
        <v>Mylan Pharmaceuticals Inc., a Viatris Company</v>
      </c>
      <c r="C1024" s="5" t="str">
        <f>IFERROR(__xludf.DUMMYFUNCTION("""COMPUTED_VALUE"""),"Lisdexamfetamine Dimesylate, Capsule, 40 mg (NDC 0378-6857-77)")</f>
        <v>Lisdexamfetamine Dimesylate, Capsule, 40 mg (NDC 0378-6857-77)</v>
      </c>
      <c r="D1024" s="5" t="str">
        <f>IFERROR(__xludf.DUMMYFUNCTION("""COMPUTED_VALUE"""),"Reverified")</f>
        <v>Reverified</v>
      </c>
      <c r="E1024" s="13">
        <f>IFERROR(__xludf.DUMMYFUNCTION("""COMPUTED_VALUE"""),46314.0)</f>
        <v>46314</v>
      </c>
      <c r="F1024" s="5" t="str">
        <f>IFERROR(__xludf.DUMMYFUNCTION("""COMPUTED_VALUE"""),"Available")</f>
        <v>Available</v>
      </c>
      <c r="G1024" s="5"/>
      <c r="H1024" s="5"/>
      <c r="I1024" s="5"/>
      <c r="J1024" s="5" t="str">
        <f>IFERROR(__xludf.DUMMYFUNCTION("""COMPUTED_VALUE"""),"Psychiatry")</f>
        <v>Psychiatry</v>
      </c>
      <c r="K1024" s="5" t="str">
        <f>IFERROR(__xludf.DUMMYFUNCTION("""COMPUTED_VALUE"""),"Current")</f>
        <v>Current</v>
      </c>
      <c r="L1024" s="5"/>
      <c r="M1024" s="5"/>
      <c r="N1024" s="10">
        <f>IFERROR(__xludf.DUMMYFUNCTION("""COMPUTED_VALUE"""),45121.0)</f>
        <v>45121</v>
      </c>
      <c r="O1024" s="5">
        <v>2023.0</v>
      </c>
      <c r="P1024" s="5" t="str">
        <f>IFERROR(__xludf.DUMMYFUNCTION("""COMPUTED_VALUE"""),"Available")</f>
        <v>Available</v>
      </c>
      <c r="Q1024" s="5" t="s">
        <v>135</v>
      </c>
      <c r="R1024" s="5" t="s">
        <v>136</v>
      </c>
      <c r="S1024" s="11">
        <v>1200.0</v>
      </c>
    </row>
    <row r="1025">
      <c r="A1025" s="5" t="str">
        <f>IFERROR(__xludf.DUMMYFUNCTION("""COMPUTED_VALUE"""),"Lisdexamfetamine Dimesylate Capsule")</f>
        <v>Lisdexamfetamine Dimesylate Capsule</v>
      </c>
      <c r="B1025" s="5" t="str">
        <f>IFERROR(__xludf.DUMMYFUNCTION("""COMPUTED_VALUE"""),"Mylan Pharmaceuticals Inc., a Viatris Company")</f>
        <v>Mylan Pharmaceuticals Inc., a Viatris Company</v>
      </c>
      <c r="C1025" s="5" t="str">
        <f>IFERROR(__xludf.DUMMYFUNCTION("""COMPUTED_VALUE"""),"Lisdexamfetamine Dimesylate, Capsule, 50 mg (NDC 0378-6858-77)")</f>
        <v>Lisdexamfetamine Dimesylate, Capsule, 50 mg (NDC 0378-6858-77)</v>
      </c>
      <c r="D1025" s="5" t="str">
        <f>IFERROR(__xludf.DUMMYFUNCTION("""COMPUTED_VALUE"""),"Reverified")</f>
        <v>Reverified</v>
      </c>
      <c r="E1025" s="13">
        <f>IFERROR(__xludf.DUMMYFUNCTION("""COMPUTED_VALUE"""),46314.0)</f>
        <v>46314</v>
      </c>
      <c r="F1025" s="5" t="str">
        <f>IFERROR(__xludf.DUMMYFUNCTION("""COMPUTED_VALUE"""),"Available")</f>
        <v>Available</v>
      </c>
      <c r="G1025" s="5"/>
      <c r="H1025" s="5"/>
      <c r="I1025" s="5"/>
      <c r="J1025" s="5" t="str">
        <f>IFERROR(__xludf.DUMMYFUNCTION("""COMPUTED_VALUE"""),"Psychiatry")</f>
        <v>Psychiatry</v>
      </c>
      <c r="K1025" s="5" t="str">
        <f>IFERROR(__xludf.DUMMYFUNCTION("""COMPUTED_VALUE"""),"Current")</f>
        <v>Current</v>
      </c>
      <c r="L1025" s="5"/>
      <c r="M1025" s="5"/>
      <c r="N1025" s="10">
        <f>IFERROR(__xludf.DUMMYFUNCTION("""COMPUTED_VALUE"""),45121.0)</f>
        <v>45121</v>
      </c>
      <c r="O1025" s="5">
        <v>2023.0</v>
      </c>
      <c r="P1025" s="5" t="str">
        <f>IFERROR(__xludf.DUMMYFUNCTION("""COMPUTED_VALUE"""),"Available")</f>
        <v>Available</v>
      </c>
      <c r="Q1025" s="5" t="s">
        <v>135</v>
      </c>
      <c r="R1025" s="5" t="s">
        <v>136</v>
      </c>
      <c r="S1025" s="11">
        <v>1200.0</v>
      </c>
    </row>
    <row r="1026">
      <c r="A1026" s="5" t="str">
        <f>IFERROR(__xludf.DUMMYFUNCTION("""COMPUTED_VALUE"""),"Lisdexamfetamine Dimesylate Capsule")</f>
        <v>Lisdexamfetamine Dimesylate Capsule</v>
      </c>
      <c r="B1026" s="5" t="str">
        <f>IFERROR(__xludf.DUMMYFUNCTION("""COMPUTED_VALUE"""),"Mylan Pharmaceuticals Inc., a Viatris Company")</f>
        <v>Mylan Pharmaceuticals Inc., a Viatris Company</v>
      </c>
      <c r="C1026" s="5" t="str">
        <f>IFERROR(__xludf.DUMMYFUNCTION("""COMPUTED_VALUE"""),"Lisdexamfetamine Dimesylate, Capsule, 60 mg (NDC 0378-6859-77)")</f>
        <v>Lisdexamfetamine Dimesylate, Capsule, 60 mg (NDC 0378-6859-77)</v>
      </c>
      <c r="D1026" s="5" t="str">
        <f>IFERROR(__xludf.DUMMYFUNCTION("""COMPUTED_VALUE"""),"Reverified")</f>
        <v>Reverified</v>
      </c>
      <c r="E1026" s="13">
        <f>IFERROR(__xludf.DUMMYFUNCTION("""COMPUTED_VALUE"""),46314.0)</f>
        <v>46314</v>
      </c>
      <c r="F1026" s="5" t="str">
        <f>IFERROR(__xludf.DUMMYFUNCTION("""COMPUTED_VALUE"""),"Available")</f>
        <v>Available</v>
      </c>
      <c r="G1026" s="5"/>
      <c r="H1026" s="5"/>
      <c r="I1026" s="5"/>
      <c r="J1026" s="5" t="str">
        <f>IFERROR(__xludf.DUMMYFUNCTION("""COMPUTED_VALUE"""),"Psychiatry")</f>
        <v>Psychiatry</v>
      </c>
      <c r="K1026" s="5" t="str">
        <f>IFERROR(__xludf.DUMMYFUNCTION("""COMPUTED_VALUE"""),"Current")</f>
        <v>Current</v>
      </c>
      <c r="L1026" s="5"/>
      <c r="M1026" s="5"/>
      <c r="N1026" s="10">
        <f>IFERROR(__xludf.DUMMYFUNCTION("""COMPUTED_VALUE"""),45121.0)</f>
        <v>45121</v>
      </c>
      <c r="O1026" s="5">
        <v>2023.0</v>
      </c>
      <c r="P1026" s="5" t="str">
        <f>IFERROR(__xludf.DUMMYFUNCTION("""COMPUTED_VALUE"""),"Available")</f>
        <v>Available</v>
      </c>
      <c r="Q1026" s="5" t="s">
        <v>135</v>
      </c>
      <c r="R1026" s="5" t="s">
        <v>136</v>
      </c>
      <c r="S1026" s="11">
        <v>1200.0</v>
      </c>
    </row>
    <row r="1027">
      <c r="A1027" s="5" t="str">
        <f>IFERROR(__xludf.DUMMYFUNCTION("""COMPUTED_VALUE"""),"Lisdexamfetamine Dimesylate Capsule")</f>
        <v>Lisdexamfetamine Dimesylate Capsule</v>
      </c>
      <c r="B1027" s="5" t="str">
        <f>IFERROR(__xludf.DUMMYFUNCTION("""COMPUTED_VALUE"""),"Mylan Pharmaceuticals Inc., a Viatris Company")</f>
        <v>Mylan Pharmaceuticals Inc., a Viatris Company</v>
      </c>
      <c r="C1027" s="5" t="str">
        <f>IFERROR(__xludf.DUMMYFUNCTION("""COMPUTED_VALUE"""),"Lisdexamfetamine Dimesylate, Capsule, 70 mg (NDC 0378-6860-77)")</f>
        <v>Lisdexamfetamine Dimesylate, Capsule, 70 mg (NDC 0378-6860-77)</v>
      </c>
      <c r="D1027" s="5" t="str">
        <f>IFERROR(__xludf.DUMMYFUNCTION("""COMPUTED_VALUE"""),"Reverified")</f>
        <v>Reverified</v>
      </c>
      <c r="E1027" s="13">
        <f>IFERROR(__xludf.DUMMYFUNCTION("""COMPUTED_VALUE"""),46314.0)</f>
        <v>46314</v>
      </c>
      <c r="F1027" s="5" t="str">
        <f>IFERROR(__xludf.DUMMYFUNCTION("""COMPUTED_VALUE"""),"Available")</f>
        <v>Available</v>
      </c>
      <c r="G1027" s="5"/>
      <c r="H1027" s="5"/>
      <c r="I1027" s="5"/>
      <c r="J1027" s="5" t="str">
        <f>IFERROR(__xludf.DUMMYFUNCTION("""COMPUTED_VALUE"""),"Psychiatry")</f>
        <v>Psychiatry</v>
      </c>
      <c r="K1027" s="5" t="str">
        <f>IFERROR(__xludf.DUMMYFUNCTION("""COMPUTED_VALUE"""),"Current")</f>
        <v>Current</v>
      </c>
      <c r="L1027" s="5"/>
      <c r="M1027" s="5"/>
      <c r="N1027" s="10">
        <f>IFERROR(__xludf.DUMMYFUNCTION("""COMPUTED_VALUE"""),45121.0)</f>
        <v>45121</v>
      </c>
      <c r="O1027" s="5">
        <v>2023.0</v>
      </c>
      <c r="P1027" s="5" t="str">
        <f>IFERROR(__xludf.DUMMYFUNCTION("""COMPUTED_VALUE"""),"Available")</f>
        <v>Available</v>
      </c>
      <c r="Q1027" s="5" t="s">
        <v>135</v>
      </c>
      <c r="R1027" s="5" t="s">
        <v>136</v>
      </c>
      <c r="S1027" s="11">
        <v>1200.0</v>
      </c>
    </row>
    <row r="1028">
      <c r="A1028" s="5" t="str">
        <f>IFERROR(__xludf.DUMMYFUNCTION("""COMPUTED_VALUE"""),"Lisdexamfetamine Dimesylate Capsule")</f>
        <v>Lisdexamfetamine Dimesylate Capsule</v>
      </c>
      <c r="B1028" s="5" t="str">
        <f>IFERROR(__xludf.DUMMYFUNCTION("""COMPUTED_VALUE"""),"Sun Pharmaceutical Industries, Inc.")</f>
        <v>Sun Pharmaceutical Industries, Inc.</v>
      </c>
      <c r="C1028" s="5" t="str">
        <f>IFERROR(__xludf.DUMMYFUNCTION("""COMPUTED_VALUE"""),"Lisdexamfetamine Dimesylate, Capsule, 10 mg (NDC 57664-046-88)")</f>
        <v>Lisdexamfetamine Dimesylate, Capsule, 10 mg (NDC 57664-046-88)</v>
      </c>
      <c r="D1028" s="5" t="str">
        <f>IFERROR(__xludf.DUMMYFUNCTION("""COMPUTED_VALUE"""),"Reverified")</f>
        <v>Reverified</v>
      </c>
      <c r="E1028" s="13">
        <f>IFERROR(__xludf.DUMMYFUNCTION("""COMPUTED_VALUE"""),46314.0)</f>
        <v>46314</v>
      </c>
      <c r="F1028" s="5" t="str">
        <f>IFERROR(__xludf.DUMMYFUNCTION("""COMPUTED_VALUE"""),"Limited Availability")</f>
        <v>Limited Availability</v>
      </c>
      <c r="G1028" s="5" t="str">
        <f>IFERROR(__xludf.DUMMYFUNCTION("""COMPUTED_VALUE"""),"Estimated Recovery: TBD")</f>
        <v>Estimated Recovery: TBD</v>
      </c>
      <c r="H1028" s="5"/>
      <c r="I1028" s="5" t="str">
        <f>IFERROR(__xludf.DUMMYFUNCTION("""COMPUTED_VALUE"""),"Other")</f>
        <v>Other</v>
      </c>
      <c r="J1028" s="5" t="str">
        <f>IFERROR(__xludf.DUMMYFUNCTION("""COMPUTED_VALUE"""),"Psychiatry")</f>
        <v>Psychiatry</v>
      </c>
      <c r="K1028" s="5" t="str">
        <f>IFERROR(__xludf.DUMMYFUNCTION("""COMPUTED_VALUE"""),"Current")</f>
        <v>Current</v>
      </c>
      <c r="L1028" s="5"/>
      <c r="M1028" s="5"/>
      <c r="N1028" s="10">
        <f>IFERROR(__xludf.DUMMYFUNCTION("""COMPUTED_VALUE"""),45121.0)</f>
        <v>45121</v>
      </c>
      <c r="O1028" s="5">
        <v>2023.0</v>
      </c>
      <c r="P1028" s="5" t="str">
        <f>IFERROR(__xludf.DUMMYFUNCTION("""COMPUTED_VALUE"""),"Limited Availability")</f>
        <v>Limited Availability</v>
      </c>
      <c r="Q1028" s="5" t="s">
        <v>47</v>
      </c>
      <c r="R1028" s="5" t="s">
        <v>136</v>
      </c>
      <c r="S1028" s="11">
        <v>1200.0</v>
      </c>
    </row>
    <row r="1029">
      <c r="A1029" s="5" t="str">
        <f>IFERROR(__xludf.DUMMYFUNCTION("""COMPUTED_VALUE"""),"Lisdexamfetamine Dimesylate Capsule")</f>
        <v>Lisdexamfetamine Dimesylate Capsule</v>
      </c>
      <c r="B1029" s="5" t="str">
        <f>IFERROR(__xludf.DUMMYFUNCTION("""COMPUTED_VALUE"""),"Sun Pharmaceutical Industries, Inc.")</f>
        <v>Sun Pharmaceutical Industries, Inc.</v>
      </c>
      <c r="C1029" s="5" t="str">
        <f>IFERROR(__xludf.DUMMYFUNCTION("""COMPUTED_VALUE"""),"Lisdexamfetamine Dimesylate, Capsule, 20 mg (NDC 57664-047-88)")</f>
        <v>Lisdexamfetamine Dimesylate, Capsule, 20 mg (NDC 57664-047-88)</v>
      </c>
      <c r="D1029" s="5" t="str">
        <f>IFERROR(__xludf.DUMMYFUNCTION("""COMPUTED_VALUE"""),"Reverified")</f>
        <v>Reverified</v>
      </c>
      <c r="E1029" s="13">
        <f>IFERROR(__xludf.DUMMYFUNCTION("""COMPUTED_VALUE"""),46314.0)</f>
        <v>46314</v>
      </c>
      <c r="F1029" s="5" t="str">
        <f>IFERROR(__xludf.DUMMYFUNCTION("""COMPUTED_VALUE"""),"Limited Availability")</f>
        <v>Limited Availability</v>
      </c>
      <c r="G1029" s="5" t="str">
        <f>IFERROR(__xludf.DUMMYFUNCTION("""COMPUTED_VALUE"""),"Estimated Recovery: TBD")</f>
        <v>Estimated Recovery: TBD</v>
      </c>
      <c r="H1029" s="5"/>
      <c r="I1029" s="5" t="str">
        <f>IFERROR(__xludf.DUMMYFUNCTION("""COMPUTED_VALUE"""),"Other")</f>
        <v>Other</v>
      </c>
      <c r="J1029" s="5" t="str">
        <f>IFERROR(__xludf.DUMMYFUNCTION("""COMPUTED_VALUE"""),"Psychiatry")</f>
        <v>Psychiatry</v>
      </c>
      <c r="K1029" s="5" t="str">
        <f>IFERROR(__xludf.DUMMYFUNCTION("""COMPUTED_VALUE"""),"Current")</f>
        <v>Current</v>
      </c>
      <c r="L1029" s="5"/>
      <c r="M1029" s="5"/>
      <c r="N1029" s="10">
        <f>IFERROR(__xludf.DUMMYFUNCTION("""COMPUTED_VALUE"""),45121.0)</f>
        <v>45121</v>
      </c>
      <c r="O1029" s="5">
        <v>2023.0</v>
      </c>
      <c r="P1029" s="5" t="str">
        <f>IFERROR(__xludf.DUMMYFUNCTION("""COMPUTED_VALUE"""),"Limited Availability")</f>
        <v>Limited Availability</v>
      </c>
      <c r="Q1029" s="5" t="s">
        <v>47</v>
      </c>
      <c r="R1029" s="5" t="s">
        <v>136</v>
      </c>
      <c r="S1029" s="11">
        <v>1200.0</v>
      </c>
    </row>
    <row r="1030">
      <c r="A1030" s="5" t="str">
        <f>IFERROR(__xludf.DUMMYFUNCTION("""COMPUTED_VALUE"""),"Lisdexamfetamine Dimesylate Capsule")</f>
        <v>Lisdexamfetamine Dimesylate Capsule</v>
      </c>
      <c r="B1030" s="5" t="str">
        <f>IFERROR(__xludf.DUMMYFUNCTION("""COMPUTED_VALUE"""),"Sun Pharmaceutical Industries, Inc.")</f>
        <v>Sun Pharmaceutical Industries, Inc.</v>
      </c>
      <c r="C1030" s="5" t="str">
        <f>IFERROR(__xludf.DUMMYFUNCTION("""COMPUTED_VALUE"""),"Lisdexamfetamine Dimesylate, Capsule, 30 mg (NDC 57664-048-88)")</f>
        <v>Lisdexamfetamine Dimesylate, Capsule, 30 mg (NDC 57664-048-88)</v>
      </c>
      <c r="D1030" s="5" t="str">
        <f>IFERROR(__xludf.DUMMYFUNCTION("""COMPUTED_VALUE"""),"Reverified")</f>
        <v>Reverified</v>
      </c>
      <c r="E1030" s="13">
        <f>IFERROR(__xludf.DUMMYFUNCTION("""COMPUTED_VALUE"""),46314.0)</f>
        <v>46314</v>
      </c>
      <c r="F1030" s="5" t="str">
        <f>IFERROR(__xludf.DUMMYFUNCTION("""COMPUTED_VALUE"""),"Limited Availability")</f>
        <v>Limited Availability</v>
      </c>
      <c r="G1030" s="5" t="str">
        <f>IFERROR(__xludf.DUMMYFUNCTION("""COMPUTED_VALUE"""),"Estimated Recovery: TBD")</f>
        <v>Estimated Recovery: TBD</v>
      </c>
      <c r="H1030" s="5"/>
      <c r="I1030" s="5" t="str">
        <f>IFERROR(__xludf.DUMMYFUNCTION("""COMPUTED_VALUE"""),"Other")</f>
        <v>Other</v>
      </c>
      <c r="J1030" s="5" t="str">
        <f>IFERROR(__xludf.DUMMYFUNCTION("""COMPUTED_VALUE"""),"Psychiatry")</f>
        <v>Psychiatry</v>
      </c>
      <c r="K1030" s="5" t="str">
        <f>IFERROR(__xludf.DUMMYFUNCTION("""COMPUTED_VALUE"""),"Current")</f>
        <v>Current</v>
      </c>
      <c r="L1030" s="5"/>
      <c r="M1030" s="5"/>
      <c r="N1030" s="10">
        <f>IFERROR(__xludf.DUMMYFUNCTION("""COMPUTED_VALUE"""),45121.0)</f>
        <v>45121</v>
      </c>
      <c r="O1030" s="5">
        <v>2023.0</v>
      </c>
      <c r="P1030" s="5" t="str">
        <f>IFERROR(__xludf.DUMMYFUNCTION("""COMPUTED_VALUE"""),"Limited Availability")</f>
        <v>Limited Availability</v>
      </c>
      <c r="Q1030" s="5" t="s">
        <v>47</v>
      </c>
      <c r="R1030" s="5" t="s">
        <v>136</v>
      </c>
      <c r="S1030" s="11">
        <v>1200.0</v>
      </c>
    </row>
    <row r="1031">
      <c r="A1031" s="5" t="str">
        <f>IFERROR(__xludf.DUMMYFUNCTION("""COMPUTED_VALUE"""),"Lisdexamfetamine Dimesylate Capsule")</f>
        <v>Lisdexamfetamine Dimesylate Capsule</v>
      </c>
      <c r="B1031" s="5" t="str">
        <f>IFERROR(__xludf.DUMMYFUNCTION("""COMPUTED_VALUE"""),"Sun Pharmaceutical Industries, Inc.")</f>
        <v>Sun Pharmaceutical Industries, Inc.</v>
      </c>
      <c r="C1031" s="5" t="str">
        <f>IFERROR(__xludf.DUMMYFUNCTION("""COMPUTED_VALUE"""),"Lisdexamfetamine Dimesylate, Capsule, 40 mg (NDC 57664-049-88)")</f>
        <v>Lisdexamfetamine Dimesylate, Capsule, 40 mg (NDC 57664-049-88)</v>
      </c>
      <c r="D1031" s="5" t="str">
        <f>IFERROR(__xludf.DUMMYFUNCTION("""COMPUTED_VALUE"""),"Reverified")</f>
        <v>Reverified</v>
      </c>
      <c r="E1031" s="13">
        <f>IFERROR(__xludf.DUMMYFUNCTION("""COMPUTED_VALUE"""),46314.0)</f>
        <v>46314</v>
      </c>
      <c r="F1031" s="5" t="str">
        <f>IFERROR(__xludf.DUMMYFUNCTION("""COMPUTED_VALUE"""),"Limited Availability")</f>
        <v>Limited Availability</v>
      </c>
      <c r="G1031" s="5" t="str">
        <f>IFERROR(__xludf.DUMMYFUNCTION("""COMPUTED_VALUE"""),"Estimated Recovery: TBD")</f>
        <v>Estimated Recovery: TBD</v>
      </c>
      <c r="H1031" s="5"/>
      <c r="I1031" s="5" t="str">
        <f>IFERROR(__xludf.DUMMYFUNCTION("""COMPUTED_VALUE"""),"Other")</f>
        <v>Other</v>
      </c>
      <c r="J1031" s="5" t="str">
        <f>IFERROR(__xludf.DUMMYFUNCTION("""COMPUTED_VALUE"""),"Psychiatry")</f>
        <v>Psychiatry</v>
      </c>
      <c r="K1031" s="5" t="str">
        <f>IFERROR(__xludf.DUMMYFUNCTION("""COMPUTED_VALUE"""),"Current")</f>
        <v>Current</v>
      </c>
      <c r="L1031" s="5"/>
      <c r="M1031" s="5"/>
      <c r="N1031" s="10">
        <f>IFERROR(__xludf.DUMMYFUNCTION("""COMPUTED_VALUE"""),45121.0)</f>
        <v>45121</v>
      </c>
      <c r="O1031" s="5">
        <v>2023.0</v>
      </c>
      <c r="P1031" s="5" t="str">
        <f>IFERROR(__xludf.DUMMYFUNCTION("""COMPUTED_VALUE"""),"Limited Availability")</f>
        <v>Limited Availability</v>
      </c>
      <c r="Q1031" s="5" t="s">
        <v>47</v>
      </c>
      <c r="R1031" s="5" t="s">
        <v>136</v>
      </c>
      <c r="S1031" s="11">
        <v>1200.0</v>
      </c>
    </row>
    <row r="1032">
      <c r="A1032" s="5" t="str">
        <f>IFERROR(__xludf.DUMMYFUNCTION("""COMPUTED_VALUE"""),"Lisdexamfetamine Dimesylate Capsule")</f>
        <v>Lisdexamfetamine Dimesylate Capsule</v>
      </c>
      <c r="B1032" s="5" t="str">
        <f>IFERROR(__xludf.DUMMYFUNCTION("""COMPUTED_VALUE"""),"Sun Pharmaceutical Industries, Inc.")</f>
        <v>Sun Pharmaceutical Industries, Inc.</v>
      </c>
      <c r="C1032" s="5" t="str">
        <f>IFERROR(__xludf.DUMMYFUNCTION("""COMPUTED_VALUE"""),"Lisdexamfetamine Dimesylate, Capsule, 50 mg (NDC 57664-050-88)")</f>
        <v>Lisdexamfetamine Dimesylate, Capsule, 50 mg (NDC 57664-050-88)</v>
      </c>
      <c r="D1032" s="5" t="str">
        <f>IFERROR(__xludf.DUMMYFUNCTION("""COMPUTED_VALUE"""),"Reverified")</f>
        <v>Reverified</v>
      </c>
      <c r="E1032" s="13">
        <f>IFERROR(__xludf.DUMMYFUNCTION("""COMPUTED_VALUE"""),46314.0)</f>
        <v>46314</v>
      </c>
      <c r="F1032" s="5" t="str">
        <f>IFERROR(__xludf.DUMMYFUNCTION("""COMPUTED_VALUE"""),"Limited Availability")</f>
        <v>Limited Availability</v>
      </c>
      <c r="G1032" s="5" t="str">
        <f>IFERROR(__xludf.DUMMYFUNCTION("""COMPUTED_VALUE"""),"Estimated Recovery: TBD")</f>
        <v>Estimated Recovery: TBD</v>
      </c>
      <c r="H1032" s="5"/>
      <c r="I1032" s="5" t="str">
        <f>IFERROR(__xludf.DUMMYFUNCTION("""COMPUTED_VALUE"""),"Other")</f>
        <v>Other</v>
      </c>
      <c r="J1032" s="5" t="str">
        <f>IFERROR(__xludf.DUMMYFUNCTION("""COMPUTED_VALUE"""),"Psychiatry")</f>
        <v>Psychiatry</v>
      </c>
      <c r="K1032" s="5" t="str">
        <f>IFERROR(__xludf.DUMMYFUNCTION("""COMPUTED_VALUE"""),"Current")</f>
        <v>Current</v>
      </c>
      <c r="L1032" s="5"/>
      <c r="M1032" s="5"/>
      <c r="N1032" s="10">
        <f>IFERROR(__xludf.DUMMYFUNCTION("""COMPUTED_VALUE"""),45121.0)</f>
        <v>45121</v>
      </c>
      <c r="O1032" s="5">
        <v>2023.0</v>
      </c>
      <c r="P1032" s="5" t="str">
        <f>IFERROR(__xludf.DUMMYFUNCTION("""COMPUTED_VALUE"""),"Limited Availability")</f>
        <v>Limited Availability</v>
      </c>
      <c r="Q1032" s="5" t="s">
        <v>47</v>
      </c>
      <c r="R1032" s="5" t="s">
        <v>136</v>
      </c>
      <c r="S1032" s="11">
        <v>1200.0</v>
      </c>
    </row>
    <row r="1033">
      <c r="A1033" s="5" t="str">
        <f>IFERROR(__xludf.DUMMYFUNCTION("""COMPUTED_VALUE"""),"Lisdexamfetamine Dimesylate Capsule")</f>
        <v>Lisdexamfetamine Dimesylate Capsule</v>
      </c>
      <c r="B1033" s="5" t="str">
        <f>IFERROR(__xludf.DUMMYFUNCTION("""COMPUTED_VALUE"""),"Sun Pharmaceutical Industries, Inc.")</f>
        <v>Sun Pharmaceutical Industries, Inc.</v>
      </c>
      <c r="C1033" s="5" t="str">
        <f>IFERROR(__xludf.DUMMYFUNCTION("""COMPUTED_VALUE"""),"Lisdexamfetamine Dimesylate, Capsule, 60 mg (NDC 57664-051-88)")</f>
        <v>Lisdexamfetamine Dimesylate, Capsule, 60 mg (NDC 57664-051-88)</v>
      </c>
      <c r="D1033" s="5" t="str">
        <f>IFERROR(__xludf.DUMMYFUNCTION("""COMPUTED_VALUE"""),"Reverified")</f>
        <v>Reverified</v>
      </c>
      <c r="E1033" s="13">
        <f>IFERROR(__xludf.DUMMYFUNCTION("""COMPUTED_VALUE"""),46314.0)</f>
        <v>46314</v>
      </c>
      <c r="F1033" s="5" t="str">
        <f>IFERROR(__xludf.DUMMYFUNCTION("""COMPUTED_VALUE"""),"Limited Availability")</f>
        <v>Limited Availability</v>
      </c>
      <c r="G1033" s="5" t="str">
        <f>IFERROR(__xludf.DUMMYFUNCTION("""COMPUTED_VALUE"""),"Estimated Recovery: TBD")</f>
        <v>Estimated Recovery: TBD</v>
      </c>
      <c r="H1033" s="5"/>
      <c r="I1033" s="5" t="str">
        <f>IFERROR(__xludf.DUMMYFUNCTION("""COMPUTED_VALUE"""),"Other")</f>
        <v>Other</v>
      </c>
      <c r="J1033" s="5" t="str">
        <f>IFERROR(__xludf.DUMMYFUNCTION("""COMPUTED_VALUE"""),"Psychiatry")</f>
        <v>Psychiatry</v>
      </c>
      <c r="K1033" s="5" t="str">
        <f>IFERROR(__xludf.DUMMYFUNCTION("""COMPUTED_VALUE"""),"Current")</f>
        <v>Current</v>
      </c>
      <c r="L1033" s="5"/>
      <c r="M1033" s="5"/>
      <c r="N1033" s="10">
        <f>IFERROR(__xludf.DUMMYFUNCTION("""COMPUTED_VALUE"""),45121.0)</f>
        <v>45121</v>
      </c>
      <c r="O1033" s="5">
        <v>2023.0</v>
      </c>
      <c r="P1033" s="5" t="str">
        <f>IFERROR(__xludf.DUMMYFUNCTION("""COMPUTED_VALUE"""),"Limited Availability")</f>
        <v>Limited Availability</v>
      </c>
      <c r="Q1033" s="5" t="s">
        <v>47</v>
      </c>
      <c r="R1033" s="5" t="s">
        <v>136</v>
      </c>
      <c r="S1033" s="11">
        <v>1200.0</v>
      </c>
    </row>
    <row r="1034">
      <c r="A1034" s="5" t="str">
        <f>IFERROR(__xludf.DUMMYFUNCTION("""COMPUTED_VALUE"""),"Lisdexamfetamine Dimesylate Capsule")</f>
        <v>Lisdexamfetamine Dimesylate Capsule</v>
      </c>
      <c r="B1034" s="5" t="str">
        <f>IFERROR(__xludf.DUMMYFUNCTION("""COMPUTED_VALUE"""),"Sun Pharmaceutical Industries, Inc.")</f>
        <v>Sun Pharmaceutical Industries, Inc.</v>
      </c>
      <c r="C1034" s="5" t="str">
        <f>IFERROR(__xludf.DUMMYFUNCTION("""COMPUTED_VALUE"""),"Lisdexamfetamine Dimesylate, Capsule, 70 mg (NDC 57664-052-88)")</f>
        <v>Lisdexamfetamine Dimesylate, Capsule, 70 mg (NDC 57664-052-88)</v>
      </c>
      <c r="D1034" s="5" t="str">
        <f>IFERROR(__xludf.DUMMYFUNCTION("""COMPUTED_VALUE"""),"Reverified")</f>
        <v>Reverified</v>
      </c>
      <c r="E1034" s="13">
        <f>IFERROR(__xludf.DUMMYFUNCTION("""COMPUTED_VALUE"""),46314.0)</f>
        <v>46314</v>
      </c>
      <c r="F1034" s="5" t="str">
        <f>IFERROR(__xludf.DUMMYFUNCTION("""COMPUTED_VALUE"""),"Limited Availability")</f>
        <v>Limited Availability</v>
      </c>
      <c r="G1034" s="5" t="str">
        <f>IFERROR(__xludf.DUMMYFUNCTION("""COMPUTED_VALUE"""),"Estimated Recovery: TBD")</f>
        <v>Estimated Recovery: TBD</v>
      </c>
      <c r="H1034" s="5"/>
      <c r="I1034" s="5" t="str">
        <f>IFERROR(__xludf.DUMMYFUNCTION("""COMPUTED_VALUE"""),"Other")</f>
        <v>Other</v>
      </c>
      <c r="J1034" s="5" t="str">
        <f>IFERROR(__xludf.DUMMYFUNCTION("""COMPUTED_VALUE"""),"Psychiatry")</f>
        <v>Psychiatry</v>
      </c>
      <c r="K1034" s="5" t="str">
        <f>IFERROR(__xludf.DUMMYFUNCTION("""COMPUTED_VALUE"""),"Current")</f>
        <v>Current</v>
      </c>
      <c r="L1034" s="5"/>
      <c r="M1034" s="5"/>
      <c r="N1034" s="10">
        <f>IFERROR(__xludf.DUMMYFUNCTION("""COMPUTED_VALUE"""),45121.0)</f>
        <v>45121</v>
      </c>
      <c r="O1034" s="5">
        <v>2023.0</v>
      </c>
      <c r="P1034" s="5" t="str">
        <f>IFERROR(__xludf.DUMMYFUNCTION("""COMPUTED_VALUE"""),"Limited Availability")</f>
        <v>Limited Availability</v>
      </c>
      <c r="Q1034" s="5" t="s">
        <v>47</v>
      </c>
      <c r="R1034" s="5" t="s">
        <v>136</v>
      </c>
      <c r="S1034" s="11">
        <v>1200.0</v>
      </c>
    </row>
    <row r="1035">
      <c r="A1035" s="5" t="str">
        <f>IFERROR(__xludf.DUMMYFUNCTION("""COMPUTED_VALUE"""),"Lisdexamfetamine Dimesylate Capsule")</f>
        <v>Lisdexamfetamine Dimesylate Capsule</v>
      </c>
      <c r="B1035" s="5" t="str">
        <f>IFERROR(__xludf.DUMMYFUNCTION("""COMPUTED_VALUE"""),"SpecGx LLC")</f>
        <v>SpecGx LLC</v>
      </c>
      <c r="C1035" s="5" t="str">
        <f>IFERROR(__xludf.DUMMYFUNCTION("""COMPUTED_VALUE"""),"Lisdexamfetamine Dimesylate, Capsule, 10 mg (NDC 0406-5111-01)")</f>
        <v>Lisdexamfetamine Dimesylate, Capsule, 10 mg (NDC 0406-5111-01)</v>
      </c>
      <c r="D1035" s="5" t="str">
        <f>IFERROR(__xludf.DUMMYFUNCTION("""COMPUTED_VALUE"""),"Reverified")</f>
        <v>Reverified</v>
      </c>
      <c r="E1035" s="10">
        <f>IFERROR(__xludf.DUMMYFUNCTION("""COMPUTED_VALUE"""),46254.0)</f>
        <v>46254</v>
      </c>
      <c r="F1035" s="5" t="str">
        <f>IFERROR(__xludf.DUMMYFUNCTION("""COMPUTED_VALUE"""),"Available")</f>
        <v>Available</v>
      </c>
      <c r="G1035" s="5"/>
      <c r="H1035" s="5"/>
      <c r="I1035" s="5"/>
      <c r="J1035" s="5" t="str">
        <f>IFERROR(__xludf.DUMMYFUNCTION("""COMPUTED_VALUE"""),"Psychiatry")</f>
        <v>Psychiatry</v>
      </c>
      <c r="K1035" s="5" t="str">
        <f>IFERROR(__xludf.DUMMYFUNCTION("""COMPUTED_VALUE"""),"Current")</f>
        <v>Current</v>
      </c>
      <c r="L1035" s="5"/>
      <c r="M1035" s="5"/>
      <c r="N1035" s="10">
        <f>IFERROR(__xludf.DUMMYFUNCTION("""COMPUTED_VALUE"""),45121.0)</f>
        <v>45121</v>
      </c>
      <c r="O1035" s="5">
        <v>2023.0</v>
      </c>
      <c r="P1035" s="5" t="str">
        <f>IFERROR(__xludf.DUMMYFUNCTION("""COMPUTED_VALUE"""),"Available")</f>
        <v>Available</v>
      </c>
      <c r="Q1035" s="5" t="s">
        <v>135</v>
      </c>
      <c r="R1035" s="5" t="s">
        <v>136</v>
      </c>
      <c r="S1035" s="11">
        <v>1200.0</v>
      </c>
    </row>
    <row r="1036">
      <c r="A1036" s="5" t="str">
        <f>IFERROR(__xludf.DUMMYFUNCTION("""COMPUTED_VALUE"""),"Lisdexamfetamine Dimesylate Capsule")</f>
        <v>Lisdexamfetamine Dimesylate Capsule</v>
      </c>
      <c r="B1036" s="5" t="str">
        <f>IFERROR(__xludf.DUMMYFUNCTION("""COMPUTED_VALUE"""),"SpecGx LLC")</f>
        <v>SpecGx LLC</v>
      </c>
      <c r="C1036" s="5" t="str">
        <f>IFERROR(__xludf.DUMMYFUNCTION("""COMPUTED_VALUE"""),"Lisdexamfetamine Dimesylate, Capsule, 20 mg (NDC 0406-5112-01)")</f>
        <v>Lisdexamfetamine Dimesylate, Capsule, 20 mg (NDC 0406-5112-01)</v>
      </c>
      <c r="D1036" s="5" t="str">
        <f>IFERROR(__xludf.DUMMYFUNCTION("""COMPUTED_VALUE"""),"Reverified")</f>
        <v>Reverified</v>
      </c>
      <c r="E1036" s="10">
        <f>IFERROR(__xludf.DUMMYFUNCTION("""COMPUTED_VALUE"""),46254.0)</f>
        <v>46254</v>
      </c>
      <c r="F1036" s="5" t="str">
        <f>IFERROR(__xludf.DUMMYFUNCTION("""COMPUTED_VALUE"""),"Available")</f>
        <v>Available</v>
      </c>
      <c r="G1036" s="5"/>
      <c r="H1036" s="5"/>
      <c r="I1036" s="5"/>
      <c r="J1036" s="5" t="str">
        <f>IFERROR(__xludf.DUMMYFUNCTION("""COMPUTED_VALUE"""),"Psychiatry")</f>
        <v>Psychiatry</v>
      </c>
      <c r="K1036" s="5" t="str">
        <f>IFERROR(__xludf.DUMMYFUNCTION("""COMPUTED_VALUE"""),"Current")</f>
        <v>Current</v>
      </c>
      <c r="L1036" s="5"/>
      <c r="M1036" s="5"/>
      <c r="N1036" s="10">
        <f>IFERROR(__xludf.DUMMYFUNCTION("""COMPUTED_VALUE"""),45121.0)</f>
        <v>45121</v>
      </c>
      <c r="O1036" s="5">
        <v>2023.0</v>
      </c>
      <c r="P1036" s="5" t="str">
        <f>IFERROR(__xludf.DUMMYFUNCTION("""COMPUTED_VALUE"""),"Available")</f>
        <v>Available</v>
      </c>
      <c r="Q1036" s="5" t="s">
        <v>135</v>
      </c>
      <c r="R1036" s="5" t="s">
        <v>136</v>
      </c>
      <c r="S1036" s="11">
        <v>1200.0</v>
      </c>
    </row>
    <row r="1037">
      <c r="A1037" s="5" t="str">
        <f>IFERROR(__xludf.DUMMYFUNCTION("""COMPUTED_VALUE"""),"Lisdexamfetamine Dimesylate Capsule")</f>
        <v>Lisdexamfetamine Dimesylate Capsule</v>
      </c>
      <c r="B1037" s="5" t="str">
        <f>IFERROR(__xludf.DUMMYFUNCTION("""COMPUTED_VALUE"""),"SpecGx LLC")</f>
        <v>SpecGx LLC</v>
      </c>
      <c r="C1037" s="5" t="str">
        <f>IFERROR(__xludf.DUMMYFUNCTION("""COMPUTED_VALUE"""),"Lisdexamfetamine Dimesylate, Capsule, 30 mg (NDC 0406-5113-01)")</f>
        <v>Lisdexamfetamine Dimesylate, Capsule, 30 mg (NDC 0406-5113-01)</v>
      </c>
      <c r="D1037" s="5" t="str">
        <f>IFERROR(__xludf.DUMMYFUNCTION("""COMPUTED_VALUE"""),"Reverified")</f>
        <v>Reverified</v>
      </c>
      <c r="E1037" s="10">
        <f>IFERROR(__xludf.DUMMYFUNCTION("""COMPUTED_VALUE"""),46254.0)</f>
        <v>46254</v>
      </c>
      <c r="F1037" s="5" t="str">
        <f>IFERROR(__xludf.DUMMYFUNCTION("""COMPUTED_VALUE"""),"Available")</f>
        <v>Available</v>
      </c>
      <c r="G1037" s="5"/>
      <c r="H1037" s="5"/>
      <c r="I1037" s="5"/>
      <c r="J1037" s="5" t="str">
        <f>IFERROR(__xludf.DUMMYFUNCTION("""COMPUTED_VALUE"""),"Psychiatry")</f>
        <v>Psychiatry</v>
      </c>
      <c r="K1037" s="5" t="str">
        <f>IFERROR(__xludf.DUMMYFUNCTION("""COMPUTED_VALUE"""),"Current")</f>
        <v>Current</v>
      </c>
      <c r="L1037" s="5"/>
      <c r="M1037" s="5"/>
      <c r="N1037" s="10">
        <f>IFERROR(__xludf.DUMMYFUNCTION("""COMPUTED_VALUE"""),45121.0)</f>
        <v>45121</v>
      </c>
      <c r="O1037" s="5">
        <v>2023.0</v>
      </c>
      <c r="P1037" s="5" t="str">
        <f>IFERROR(__xludf.DUMMYFUNCTION("""COMPUTED_VALUE"""),"Available")</f>
        <v>Available</v>
      </c>
      <c r="Q1037" s="5" t="s">
        <v>135</v>
      </c>
      <c r="R1037" s="5" t="s">
        <v>136</v>
      </c>
      <c r="S1037" s="11">
        <v>1200.0</v>
      </c>
    </row>
    <row r="1038">
      <c r="A1038" s="5" t="str">
        <f>IFERROR(__xludf.DUMMYFUNCTION("""COMPUTED_VALUE"""),"Lisdexamfetamine Dimesylate Capsule")</f>
        <v>Lisdexamfetamine Dimesylate Capsule</v>
      </c>
      <c r="B1038" s="5" t="str">
        <f>IFERROR(__xludf.DUMMYFUNCTION("""COMPUTED_VALUE"""),"SpecGx LLC")</f>
        <v>SpecGx LLC</v>
      </c>
      <c r="C1038" s="5" t="str">
        <f>IFERROR(__xludf.DUMMYFUNCTION("""COMPUTED_VALUE"""),"Lisdexamfetamine Dimesylate, Capsule, 40 mg (NDC 0406-5114-01)")</f>
        <v>Lisdexamfetamine Dimesylate, Capsule, 40 mg (NDC 0406-5114-01)</v>
      </c>
      <c r="D1038" s="5" t="str">
        <f>IFERROR(__xludf.DUMMYFUNCTION("""COMPUTED_VALUE"""),"Reverified")</f>
        <v>Reverified</v>
      </c>
      <c r="E1038" s="10">
        <f>IFERROR(__xludf.DUMMYFUNCTION("""COMPUTED_VALUE"""),46254.0)</f>
        <v>46254</v>
      </c>
      <c r="F1038" s="5" t="str">
        <f>IFERROR(__xludf.DUMMYFUNCTION("""COMPUTED_VALUE"""),"Available")</f>
        <v>Available</v>
      </c>
      <c r="G1038" s="5"/>
      <c r="H1038" s="5"/>
      <c r="I1038" s="5"/>
      <c r="J1038" s="5" t="str">
        <f>IFERROR(__xludf.DUMMYFUNCTION("""COMPUTED_VALUE"""),"Psychiatry")</f>
        <v>Psychiatry</v>
      </c>
      <c r="K1038" s="5" t="str">
        <f>IFERROR(__xludf.DUMMYFUNCTION("""COMPUTED_VALUE"""),"Current")</f>
        <v>Current</v>
      </c>
      <c r="L1038" s="5"/>
      <c r="M1038" s="5"/>
      <c r="N1038" s="10">
        <f>IFERROR(__xludf.DUMMYFUNCTION("""COMPUTED_VALUE"""),45121.0)</f>
        <v>45121</v>
      </c>
      <c r="O1038" s="5">
        <v>2023.0</v>
      </c>
      <c r="P1038" s="5" t="str">
        <f>IFERROR(__xludf.DUMMYFUNCTION("""COMPUTED_VALUE"""),"Available")</f>
        <v>Available</v>
      </c>
      <c r="Q1038" s="5" t="s">
        <v>135</v>
      </c>
      <c r="R1038" s="5" t="s">
        <v>136</v>
      </c>
      <c r="S1038" s="11">
        <v>1200.0</v>
      </c>
    </row>
    <row r="1039">
      <c r="A1039" s="5" t="str">
        <f>IFERROR(__xludf.DUMMYFUNCTION("""COMPUTED_VALUE"""),"Lisdexamfetamine Dimesylate Capsule")</f>
        <v>Lisdexamfetamine Dimesylate Capsule</v>
      </c>
      <c r="B1039" s="5" t="str">
        <f>IFERROR(__xludf.DUMMYFUNCTION("""COMPUTED_VALUE"""),"SpecGx LLC")</f>
        <v>SpecGx LLC</v>
      </c>
      <c r="C1039" s="5" t="str">
        <f>IFERROR(__xludf.DUMMYFUNCTION("""COMPUTED_VALUE"""),"Lisdexamfetamine Dimesylate, Capsule, 50 mg (NDC 0406-5115-01)")</f>
        <v>Lisdexamfetamine Dimesylate, Capsule, 50 mg (NDC 0406-5115-01)</v>
      </c>
      <c r="D1039" s="5" t="str">
        <f>IFERROR(__xludf.DUMMYFUNCTION("""COMPUTED_VALUE"""),"Reverified")</f>
        <v>Reverified</v>
      </c>
      <c r="E1039" s="10">
        <f>IFERROR(__xludf.DUMMYFUNCTION("""COMPUTED_VALUE"""),46254.0)</f>
        <v>46254</v>
      </c>
      <c r="F1039" s="5" t="str">
        <f>IFERROR(__xludf.DUMMYFUNCTION("""COMPUTED_VALUE"""),"Available")</f>
        <v>Available</v>
      </c>
      <c r="G1039" s="5"/>
      <c r="H1039" s="5"/>
      <c r="I1039" s="5"/>
      <c r="J1039" s="5" t="str">
        <f>IFERROR(__xludf.DUMMYFUNCTION("""COMPUTED_VALUE"""),"Psychiatry")</f>
        <v>Psychiatry</v>
      </c>
      <c r="K1039" s="5" t="str">
        <f>IFERROR(__xludf.DUMMYFUNCTION("""COMPUTED_VALUE"""),"Current")</f>
        <v>Current</v>
      </c>
      <c r="L1039" s="5"/>
      <c r="M1039" s="5"/>
      <c r="N1039" s="10">
        <f>IFERROR(__xludf.DUMMYFUNCTION("""COMPUTED_VALUE"""),45121.0)</f>
        <v>45121</v>
      </c>
      <c r="O1039" s="5">
        <v>2023.0</v>
      </c>
      <c r="P1039" s="5" t="str">
        <f>IFERROR(__xludf.DUMMYFUNCTION("""COMPUTED_VALUE"""),"Available")</f>
        <v>Available</v>
      </c>
      <c r="Q1039" s="5" t="s">
        <v>135</v>
      </c>
      <c r="R1039" s="5" t="s">
        <v>136</v>
      </c>
      <c r="S1039" s="11">
        <v>1200.0</v>
      </c>
    </row>
    <row r="1040">
      <c r="A1040" s="5" t="str">
        <f>IFERROR(__xludf.DUMMYFUNCTION("""COMPUTED_VALUE"""),"Lisdexamfetamine Dimesylate Capsule")</f>
        <v>Lisdexamfetamine Dimesylate Capsule</v>
      </c>
      <c r="B1040" s="5" t="str">
        <f>IFERROR(__xludf.DUMMYFUNCTION("""COMPUTED_VALUE"""),"SpecGx LLC")</f>
        <v>SpecGx LLC</v>
      </c>
      <c r="C1040" s="5" t="str">
        <f>IFERROR(__xludf.DUMMYFUNCTION("""COMPUTED_VALUE"""),"Lisdexamfetamine Dimesylate, Capsule, 60 mg (NDC 0406-5116-01)")</f>
        <v>Lisdexamfetamine Dimesylate, Capsule, 60 mg (NDC 0406-5116-01)</v>
      </c>
      <c r="D1040" s="5" t="str">
        <f>IFERROR(__xludf.DUMMYFUNCTION("""COMPUTED_VALUE"""),"Reverified")</f>
        <v>Reverified</v>
      </c>
      <c r="E1040" s="10">
        <f>IFERROR(__xludf.DUMMYFUNCTION("""COMPUTED_VALUE"""),46254.0)</f>
        <v>46254</v>
      </c>
      <c r="F1040" s="5" t="str">
        <f>IFERROR(__xludf.DUMMYFUNCTION("""COMPUTED_VALUE"""),"Available")</f>
        <v>Available</v>
      </c>
      <c r="G1040" s="5"/>
      <c r="H1040" s="5"/>
      <c r="I1040" s="5"/>
      <c r="J1040" s="5" t="str">
        <f>IFERROR(__xludf.DUMMYFUNCTION("""COMPUTED_VALUE"""),"Psychiatry")</f>
        <v>Psychiatry</v>
      </c>
      <c r="K1040" s="5" t="str">
        <f>IFERROR(__xludf.DUMMYFUNCTION("""COMPUTED_VALUE"""),"Current")</f>
        <v>Current</v>
      </c>
      <c r="L1040" s="5"/>
      <c r="M1040" s="5"/>
      <c r="N1040" s="10">
        <f>IFERROR(__xludf.DUMMYFUNCTION("""COMPUTED_VALUE"""),45121.0)</f>
        <v>45121</v>
      </c>
      <c r="O1040" s="5">
        <v>2023.0</v>
      </c>
      <c r="P1040" s="5" t="str">
        <f>IFERROR(__xludf.DUMMYFUNCTION("""COMPUTED_VALUE"""),"Available")</f>
        <v>Available</v>
      </c>
      <c r="Q1040" s="5" t="s">
        <v>135</v>
      </c>
      <c r="R1040" s="5" t="s">
        <v>136</v>
      </c>
      <c r="S1040" s="11">
        <v>1200.0</v>
      </c>
    </row>
    <row r="1041">
      <c r="A1041" s="5" t="str">
        <f>IFERROR(__xludf.DUMMYFUNCTION("""COMPUTED_VALUE"""),"Lisdexamfetamine Dimesylate Capsule")</f>
        <v>Lisdexamfetamine Dimesylate Capsule</v>
      </c>
      <c r="B1041" s="5" t="str">
        <f>IFERROR(__xludf.DUMMYFUNCTION("""COMPUTED_VALUE"""),"SpecGx LLC")</f>
        <v>SpecGx LLC</v>
      </c>
      <c r="C1041" s="5" t="str">
        <f>IFERROR(__xludf.DUMMYFUNCTION("""COMPUTED_VALUE"""),"Lisdexamfetamine Dimesylate, Capsule, 70 mg (NDC 0406-5117-01)")</f>
        <v>Lisdexamfetamine Dimesylate, Capsule, 70 mg (NDC 0406-5117-01)</v>
      </c>
      <c r="D1041" s="5" t="str">
        <f>IFERROR(__xludf.DUMMYFUNCTION("""COMPUTED_VALUE"""),"Reverified")</f>
        <v>Reverified</v>
      </c>
      <c r="E1041" s="10">
        <f>IFERROR(__xludf.DUMMYFUNCTION("""COMPUTED_VALUE"""),46254.0)</f>
        <v>46254</v>
      </c>
      <c r="F1041" s="5" t="str">
        <f>IFERROR(__xludf.DUMMYFUNCTION("""COMPUTED_VALUE"""),"Available")</f>
        <v>Available</v>
      </c>
      <c r="G1041" s="5"/>
      <c r="H1041" s="5"/>
      <c r="I1041" s="5"/>
      <c r="J1041" s="5" t="str">
        <f>IFERROR(__xludf.DUMMYFUNCTION("""COMPUTED_VALUE"""),"Psychiatry")</f>
        <v>Psychiatry</v>
      </c>
      <c r="K1041" s="5" t="str">
        <f>IFERROR(__xludf.DUMMYFUNCTION("""COMPUTED_VALUE"""),"Current")</f>
        <v>Current</v>
      </c>
      <c r="L1041" s="5"/>
      <c r="M1041" s="5"/>
      <c r="N1041" s="10">
        <f>IFERROR(__xludf.DUMMYFUNCTION("""COMPUTED_VALUE"""),45121.0)</f>
        <v>45121</v>
      </c>
      <c r="O1041" s="5">
        <v>2023.0</v>
      </c>
      <c r="P1041" s="5" t="str">
        <f>IFERROR(__xludf.DUMMYFUNCTION("""COMPUTED_VALUE"""),"Available")</f>
        <v>Available</v>
      </c>
      <c r="Q1041" s="5" t="s">
        <v>135</v>
      </c>
      <c r="R1041" s="5" t="s">
        <v>136</v>
      </c>
      <c r="S1041" s="11">
        <v>1200.0</v>
      </c>
    </row>
    <row r="1042">
      <c r="A1042" s="5" t="str">
        <f>IFERROR(__xludf.DUMMYFUNCTION("""COMPUTED_VALUE"""),"Lisdexamfetamine Dimesylate Capsule")</f>
        <v>Lisdexamfetamine Dimesylate Capsule</v>
      </c>
      <c r="B1042" s="5" t="str">
        <f>IFERROR(__xludf.DUMMYFUNCTION("""COMPUTED_VALUE"""),"Hikma Pharmaceuticals USA, Inc.")</f>
        <v>Hikma Pharmaceuticals USA, Inc.</v>
      </c>
      <c r="C1042" s="5" t="str">
        <f>IFERROR(__xludf.DUMMYFUNCTION("""COMPUTED_VALUE"""),"Lisdexamfetamine Dimesylate, Capsule, 20 mg (NDC 0054-0370-25)")</f>
        <v>Lisdexamfetamine Dimesylate, Capsule, 20 mg (NDC 0054-0370-25)</v>
      </c>
      <c r="D1042" s="5" t="str">
        <f>IFERROR(__xludf.DUMMYFUNCTION("""COMPUTED_VALUE"""),"Reverified")</f>
        <v>Reverified</v>
      </c>
      <c r="E1042" s="13">
        <f>IFERROR(__xludf.DUMMYFUNCTION("""COMPUTED_VALUE"""),46309.0)</f>
        <v>46309</v>
      </c>
      <c r="F1042" s="5" t="str">
        <f>IFERROR(__xludf.DUMMYFUNCTION("""COMPUTED_VALUE"""),"Limited Availability")</f>
        <v>Limited Availability</v>
      </c>
      <c r="G1042" s="5" t="str">
        <f>IFERROR(__xludf.DUMMYFUNCTION("""COMPUTED_VALUE"""),"Available on allocation")</f>
        <v>Available on allocation</v>
      </c>
      <c r="H1042" s="5"/>
      <c r="I1042" s="5" t="str">
        <f>IFERROR(__xludf.DUMMYFUNCTION("""COMPUTED_VALUE"""),"Shortage of an active ingredient")</f>
        <v>Shortage of an active ingredient</v>
      </c>
      <c r="J1042" s="5" t="str">
        <f>IFERROR(__xludf.DUMMYFUNCTION("""COMPUTED_VALUE"""),"Psychiatry")</f>
        <v>Psychiatry</v>
      </c>
      <c r="K1042" s="5" t="str">
        <f>IFERROR(__xludf.DUMMYFUNCTION("""COMPUTED_VALUE"""),"Current")</f>
        <v>Current</v>
      </c>
      <c r="L1042" s="5"/>
      <c r="M1042" s="5"/>
      <c r="N1042" s="10">
        <f>IFERROR(__xludf.DUMMYFUNCTION("""COMPUTED_VALUE"""),45121.0)</f>
        <v>45121</v>
      </c>
      <c r="O1042" s="5">
        <v>2023.0</v>
      </c>
      <c r="P1042" s="5" t="str">
        <f>IFERROR(__xludf.DUMMYFUNCTION("""COMPUTED_VALUE"""),"Limited Availability")</f>
        <v>Limited Availability</v>
      </c>
      <c r="Q1042" s="5" t="s">
        <v>122</v>
      </c>
      <c r="R1042" s="5" t="s">
        <v>136</v>
      </c>
      <c r="S1042" s="11">
        <v>1200.0</v>
      </c>
    </row>
    <row r="1043">
      <c r="A1043" s="5" t="str">
        <f>IFERROR(__xludf.DUMMYFUNCTION("""COMPUTED_VALUE"""),"Lisdexamfetamine Dimesylate Capsule")</f>
        <v>Lisdexamfetamine Dimesylate Capsule</v>
      </c>
      <c r="B1043" s="5" t="str">
        <f>IFERROR(__xludf.DUMMYFUNCTION("""COMPUTED_VALUE"""),"Hikma Pharmaceuticals USA, Inc.")</f>
        <v>Hikma Pharmaceuticals USA, Inc.</v>
      </c>
      <c r="C1043" s="5" t="str">
        <f>IFERROR(__xludf.DUMMYFUNCTION("""COMPUTED_VALUE"""),"Lisdexamfetamine Dimesylate, Capsule, 30 mg (NDC 0054-0371-25)")</f>
        <v>Lisdexamfetamine Dimesylate, Capsule, 30 mg (NDC 0054-0371-25)</v>
      </c>
      <c r="D1043" s="5" t="str">
        <f>IFERROR(__xludf.DUMMYFUNCTION("""COMPUTED_VALUE"""),"Reverified")</f>
        <v>Reverified</v>
      </c>
      <c r="E1043" s="13">
        <f>IFERROR(__xludf.DUMMYFUNCTION("""COMPUTED_VALUE"""),46309.0)</f>
        <v>46309</v>
      </c>
      <c r="F1043" s="5" t="str">
        <f>IFERROR(__xludf.DUMMYFUNCTION("""COMPUTED_VALUE"""),"Limited Availability")</f>
        <v>Limited Availability</v>
      </c>
      <c r="G1043" s="5" t="str">
        <f>IFERROR(__xludf.DUMMYFUNCTION("""COMPUTED_VALUE"""),"Available on allocation")</f>
        <v>Available on allocation</v>
      </c>
      <c r="H1043" s="5"/>
      <c r="I1043" s="5" t="str">
        <f>IFERROR(__xludf.DUMMYFUNCTION("""COMPUTED_VALUE"""),"Shortage of an active ingredient")</f>
        <v>Shortage of an active ingredient</v>
      </c>
      <c r="J1043" s="5" t="str">
        <f>IFERROR(__xludf.DUMMYFUNCTION("""COMPUTED_VALUE"""),"Psychiatry")</f>
        <v>Psychiatry</v>
      </c>
      <c r="K1043" s="5" t="str">
        <f>IFERROR(__xludf.DUMMYFUNCTION("""COMPUTED_VALUE"""),"Current")</f>
        <v>Current</v>
      </c>
      <c r="L1043" s="5"/>
      <c r="M1043" s="5"/>
      <c r="N1043" s="10">
        <f>IFERROR(__xludf.DUMMYFUNCTION("""COMPUTED_VALUE"""),45121.0)</f>
        <v>45121</v>
      </c>
      <c r="O1043" s="5">
        <v>2023.0</v>
      </c>
      <c r="P1043" s="5" t="str">
        <f>IFERROR(__xludf.DUMMYFUNCTION("""COMPUTED_VALUE"""),"Limited Availability")</f>
        <v>Limited Availability</v>
      </c>
      <c r="Q1043" s="5" t="s">
        <v>122</v>
      </c>
      <c r="R1043" s="5" t="s">
        <v>136</v>
      </c>
      <c r="S1043" s="11">
        <v>1200.0</v>
      </c>
    </row>
    <row r="1044">
      <c r="A1044" s="5" t="str">
        <f>IFERROR(__xludf.DUMMYFUNCTION("""COMPUTED_VALUE"""),"Lisdexamfetamine Dimesylate Capsule")</f>
        <v>Lisdexamfetamine Dimesylate Capsule</v>
      </c>
      <c r="B1044" s="5" t="str">
        <f>IFERROR(__xludf.DUMMYFUNCTION("""COMPUTED_VALUE"""),"Hikma Pharmaceuticals USA, Inc.")</f>
        <v>Hikma Pharmaceuticals USA, Inc.</v>
      </c>
      <c r="C1044" s="5" t="str">
        <f>IFERROR(__xludf.DUMMYFUNCTION("""COMPUTED_VALUE"""),"Lisdexamfetamine Dimesylate, Capsule, 40 mg (NDC 0054-0372-25)")</f>
        <v>Lisdexamfetamine Dimesylate, Capsule, 40 mg (NDC 0054-0372-25)</v>
      </c>
      <c r="D1044" s="5" t="str">
        <f>IFERROR(__xludf.DUMMYFUNCTION("""COMPUTED_VALUE"""),"Reverified")</f>
        <v>Reverified</v>
      </c>
      <c r="E1044" s="13">
        <f>IFERROR(__xludf.DUMMYFUNCTION("""COMPUTED_VALUE"""),46309.0)</f>
        <v>46309</v>
      </c>
      <c r="F1044" s="5" t="str">
        <f>IFERROR(__xludf.DUMMYFUNCTION("""COMPUTED_VALUE"""),"Limited Availability")</f>
        <v>Limited Availability</v>
      </c>
      <c r="G1044" s="5" t="str">
        <f>IFERROR(__xludf.DUMMYFUNCTION("""COMPUTED_VALUE"""),"Available on allocation")</f>
        <v>Available on allocation</v>
      </c>
      <c r="H1044" s="5"/>
      <c r="I1044" s="5" t="str">
        <f>IFERROR(__xludf.DUMMYFUNCTION("""COMPUTED_VALUE"""),"Shortage of an active ingredient")</f>
        <v>Shortage of an active ingredient</v>
      </c>
      <c r="J1044" s="5" t="str">
        <f>IFERROR(__xludf.DUMMYFUNCTION("""COMPUTED_VALUE"""),"Psychiatry")</f>
        <v>Psychiatry</v>
      </c>
      <c r="K1044" s="5" t="str">
        <f>IFERROR(__xludf.DUMMYFUNCTION("""COMPUTED_VALUE"""),"Current")</f>
        <v>Current</v>
      </c>
      <c r="L1044" s="5"/>
      <c r="M1044" s="5"/>
      <c r="N1044" s="10">
        <f>IFERROR(__xludf.DUMMYFUNCTION("""COMPUTED_VALUE"""),45121.0)</f>
        <v>45121</v>
      </c>
      <c r="O1044" s="5">
        <v>2023.0</v>
      </c>
      <c r="P1044" s="5" t="str">
        <f>IFERROR(__xludf.DUMMYFUNCTION("""COMPUTED_VALUE"""),"Limited Availability")</f>
        <v>Limited Availability</v>
      </c>
      <c r="Q1044" s="5" t="s">
        <v>122</v>
      </c>
      <c r="R1044" s="5" t="s">
        <v>136</v>
      </c>
      <c r="S1044" s="11">
        <v>1200.0</v>
      </c>
    </row>
    <row r="1045">
      <c r="A1045" s="5" t="str">
        <f>IFERROR(__xludf.DUMMYFUNCTION("""COMPUTED_VALUE"""),"Lisdexamfetamine Dimesylate Capsule")</f>
        <v>Lisdexamfetamine Dimesylate Capsule</v>
      </c>
      <c r="B1045" s="5" t="str">
        <f>IFERROR(__xludf.DUMMYFUNCTION("""COMPUTED_VALUE"""),"Hikma Pharmaceuticals USA, Inc.")</f>
        <v>Hikma Pharmaceuticals USA, Inc.</v>
      </c>
      <c r="C1045" s="5" t="str">
        <f>IFERROR(__xludf.DUMMYFUNCTION("""COMPUTED_VALUE"""),"Lisdexamfetamine Dimesylate, Capsule, 50 mg (NDC 0054-0373-25)")</f>
        <v>Lisdexamfetamine Dimesylate, Capsule, 50 mg (NDC 0054-0373-25)</v>
      </c>
      <c r="D1045" s="5" t="str">
        <f>IFERROR(__xludf.DUMMYFUNCTION("""COMPUTED_VALUE"""),"Reverified")</f>
        <v>Reverified</v>
      </c>
      <c r="E1045" s="13">
        <f>IFERROR(__xludf.DUMMYFUNCTION("""COMPUTED_VALUE"""),46309.0)</f>
        <v>46309</v>
      </c>
      <c r="F1045" s="5" t="str">
        <f>IFERROR(__xludf.DUMMYFUNCTION("""COMPUTED_VALUE"""),"Limited Availability")</f>
        <v>Limited Availability</v>
      </c>
      <c r="G1045" s="5" t="str">
        <f>IFERROR(__xludf.DUMMYFUNCTION("""COMPUTED_VALUE"""),"Available on allocation")</f>
        <v>Available on allocation</v>
      </c>
      <c r="H1045" s="5"/>
      <c r="I1045" s="5" t="str">
        <f>IFERROR(__xludf.DUMMYFUNCTION("""COMPUTED_VALUE"""),"Shortage of an active ingredient")</f>
        <v>Shortage of an active ingredient</v>
      </c>
      <c r="J1045" s="5" t="str">
        <f>IFERROR(__xludf.DUMMYFUNCTION("""COMPUTED_VALUE"""),"Psychiatry")</f>
        <v>Psychiatry</v>
      </c>
      <c r="K1045" s="5" t="str">
        <f>IFERROR(__xludf.DUMMYFUNCTION("""COMPUTED_VALUE"""),"Current")</f>
        <v>Current</v>
      </c>
      <c r="L1045" s="5"/>
      <c r="M1045" s="5"/>
      <c r="N1045" s="10">
        <f>IFERROR(__xludf.DUMMYFUNCTION("""COMPUTED_VALUE"""),45121.0)</f>
        <v>45121</v>
      </c>
      <c r="O1045" s="5">
        <v>2023.0</v>
      </c>
      <c r="P1045" s="5" t="str">
        <f>IFERROR(__xludf.DUMMYFUNCTION("""COMPUTED_VALUE"""),"Limited Availability")</f>
        <v>Limited Availability</v>
      </c>
      <c r="Q1045" s="5" t="s">
        <v>122</v>
      </c>
      <c r="R1045" s="5" t="s">
        <v>136</v>
      </c>
      <c r="S1045" s="11">
        <v>1200.0</v>
      </c>
    </row>
    <row r="1046">
      <c r="A1046" s="5" t="str">
        <f>IFERROR(__xludf.DUMMYFUNCTION("""COMPUTED_VALUE"""),"Lisdexamfetamine Dimesylate Capsule")</f>
        <v>Lisdexamfetamine Dimesylate Capsule</v>
      </c>
      <c r="B1046" s="5" t="str">
        <f>IFERROR(__xludf.DUMMYFUNCTION("""COMPUTED_VALUE"""),"Hikma Pharmaceuticals USA, Inc.")</f>
        <v>Hikma Pharmaceuticals USA, Inc.</v>
      </c>
      <c r="C1046" s="5" t="str">
        <f>IFERROR(__xludf.DUMMYFUNCTION("""COMPUTED_VALUE"""),"Lisdexamfetamine Dimesylate, Capsule, 60 mg (NDC 0054-0374-25)")</f>
        <v>Lisdexamfetamine Dimesylate, Capsule, 60 mg (NDC 0054-0374-25)</v>
      </c>
      <c r="D1046" s="5" t="str">
        <f>IFERROR(__xludf.DUMMYFUNCTION("""COMPUTED_VALUE"""),"Reverified")</f>
        <v>Reverified</v>
      </c>
      <c r="E1046" s="13">
        <f>IFERROR(__xludf.DUMMYFUNCTION("""COMPUTED_VALUE"""),46309.0)</f>
        <v>46309</v>
      </c>
      <c r="F1046" s="5" t="str">
        <f>IFERROR(__xludf.DUMMYFUNCTION("""COMPUTED_VALUE"""),"Limited Availability")</f>
        <v>Limited Availability</v>
      </c>
      <c r="G1046" s="5" t="str">
        <f>IFERROR(__xludf.DUMMYFUNCTION("""COMPUTED_VALUE"""),"Available on allocation")</f>
        <v>Available on allocation</v>
      </c>
      <c r="H1046" s="5"/>
      <c r="I1046" s="5" t="str">
        <f>IFERROR(__xludf.DUMMYFUNCTION("""COMPUTED_VALUE"""),"Shortage of an active ingredient")</f>
        <v>Shortage of an active ingredient</v>
      </c>
      <c r="J1046" s="5" t="str">
        <f>IFERROR(__xludf.DUMMYFUNCTION("""COMPUTED_VALUE"""),"Psychiatry")</f>
        <v>Psychiatry</v>
      </c>
      <c r="K1046" s="5" t="str">
        <f>IFERROR(__xludf.DUMMYFUNCTION("""COMPUTED_VALUE"""),"Current")</f>
        <v>Current</v>
      </c>
      <c r="L1046" s="5"/>
      <c r="M1046" s="5"/>
      <c r="N1046" s="10">
        <f>IFERROR(__xludf.DUMMYFUNCTION("""COMPUTED_VALUE"""),45121.0)</f>
        <v>45121</v>
      </c>
      <c r="O1046" s="5">
        <v>2023.0</v>
      </c>
      <c r="P1046" s="5" t="str">
        <f>IFERROR(__xludf.DUMMYFUNCTION("""COMPUTED_VALUE"""),"Limited Availability")</f>
        <v>Limited Availability</v>
      </c>
      <c r="Q1046" s="5" t="s">
        <v>122</v>
      </c>
      <c r="R1046" s="5" t="s">
        <v>136</v>
      </c>
      <c r="S1046" s="11">
        <v>1200.0</v>
      </c>
    </row>
    <row r="1047">
      <c r="A1047" s="5" t="str">
        <f>IFERROR(__xludf.DUMMYFUNCTION("""COMPUTED_VALUE"""),"Lisdexamfetamine Dimesylate Capsule")</f>
        <v>Lisdexamfetamine Dimesylate Capsule</v>
      </c>
      <c r="B1047" s="5" t="str">
        <f>IFERROR(__xludf.DUMMYFUNCTION("""COMPUTED_VALUE"""),"Hikma Pharmaceuticals USA, Inc.")</f>
        <v>Hikma Pharmaceuticals USA, Inc.</v>
      </c>
      <c r="C1047" s="5" t="str">
        <f>IFERROR(__xludf.DUMMYFUNCTION("""COMPUTED_VALUE"""),"Lisdexamfetamine Dimesylate, Capsule, 70 mg (NDC 0054-0375-25)")</f>
        <v>Lisdexamfetamine Dimesylate, Capsule, 70 mg (NDC 0054-0375-25)</v>
      </c>
      <c r="D1047" s="5" t="str">
        <f>IFERROR(__xludf.DUMMYFUNCTION("""COMPUTED_VALUE"""),"Reverified")</f>
        <v>Reverified</v>
      </c>
      <c r="E1047" s="13">
        <f>IFERROR(__xludf.DUMMYFUNCTION("""COMPUTED_VALUE"""),46309.0)</f>
        <v>46309</v>
      </c>
      <c r="F1047" s="5" t="str">
        <f>IFERROR(__xludf.DUMMYFUNCTION("""COMPUTED_VALUE"""),"Limited Availability")</f>
        <v>Limited Availability</v>
      </c>
      <c r="G1047" s="5" t="str">
        <f>IFERROR(__xludf.DUMMYFUNCTION("""COMPUTED_VALUE"""),"Available on allocation")</f>
        <v>Available on allocation</v>
      </c>
      <c r="H1047" s="5"/>
      <c r="I1047" s="5" t="str">
        <f>IFERROR(__xludf.DUMMYFUNCTION("""COMPUTED_VALUE"""),"Shortage of an active ingredient")</f>
        <v>Shortage of an active ingredient</v>
      </c>
      <c r="J1047" s="5" t="str">
        <f>IFERROR(__xludf.DUMMYFUNCTION("""COMPUTED_VALUE"""),"Psychiatry")</f>
        <v>Psychiatry</v>
      </c>
      <c r="K1047" s="5" t="str">
        <f>IFERROR(__xludf.DUMMYFUNCTION("""COMPUTED_VALUE"""),"Current")</f>
        <v>Current</v>
      </c>
      <c r="L1047" s="5"/>
      <c r="M1047" s="5"/>
      <c r="N1047" s="10">
        <f>IFERROR(__xludf.DUMMYFUNCTION("""COMPUTED_VALUE"""),45121.0)</f>
        <v>45121</v>
      </c>
      <c r="O1047" s="5">
        <v>2023.0</v>
      </c>
      <c r="P1047" s="5" t="str">
        <f>IFERROR(__xludf.DUMMYFUNCTION("""COMPUTED_VALUE"""),"Limited Availability")</f>
        <v>Limited Availability</v>
      </c>
      <c r="Q1047" s="5" t="s">
        <v>122</v>
      </c>
      <c r="R1047" s="5" t="s">
        <v>136</v>
      </c>
      <c r="S1047" s="11">
        <v>1200.0</v>
      </c>
    </row>
    <row r="1048">
      <c r="A1048" s="5" t="str">
        <f>IFERROR(__xludf.DUMMYFUNCTION("""COMPUTED_VALUE"""),"Lisdexamfetamine Dimesylate Capsule")</f>
        <v>Lisdexamfetamine Dimesylate Capsule</v>
      </c>
      <c r="B1048" s="5" t="str">
        <f>IFERROR(__xludf.DUMMYFUNCTION("""COMPUTED_VALUE"""),"Lannett Company, Inc.")</f>
        <v>Lannett Company, Inc.</v>
      </c>
      <c r="C1048" s="5" t="str">
        <f>IFERROR(__xludf.DUMMYFUNCTION("""COMPUTED_VALUE"""),"Lisdexamfetamine Dimesylate, Capsule, 10 mg (NDC 0527-4661-37)")</f>
        <v>Lisdexamfetamine Dimesylate, Capsule, 10 mg (NDC 0527-4661-37)</v>
      </c>
      <c r="D1048" s="5" t="str">
        <f>IFERROR(__xludf.DUMMYFUNCTION("""COMPUTED_VALUE"""),"Reverified")</f>
        <v>Reverified</v>
      </c>
      <c r="E1048" s="13">
        <f>IFERROR(__xludf.DUMMYFUNCTION("""COMPUTED_VALUE"""),46310.0)</f>
        <v>46310</v>
      </c>
      <c r="F1048" s="5" t="str">
        <f>IFERROR(__xludf.DUMMYFUNCTION("""COMPUTED_VALUE"""),"Available")</f>
        <v>Available</v>
      </c>
      <c r="G1048" s="5"/>
      <c r="H1048" s="5"/>
      <c r="I1048" s="5"/>
      <c r="J1048" s="5" t="str">
        <f>IFERROR(__xludf.DUMMYFUNCTION("""COMPUTED_VALUE"""),"Psychiatry")</f>
        <v>Psychiatry</v>
      </c>
      <c r="K1048" s="5" t="str">
        <f>IFERROR(__xludf.DUMMYFUNCTION("""COMPUTED_VALUE"""),"Current")</f>
        <v>Current</v>
      </c>
      <c r="L1048" s="5"/>
      <c r="M1048" s="5"/>
      <c r="N1048" s="10">
        <f>IFERROR(__xludf.DUMMYFUNCTION("""COMPUTED_VALUE"""),45121.0)</f>
        <v>45121</v>
      </c>
      <c r="O1048" s="5">
        <v>2023.0</v>
      </c>
      <c r="P1048" s="5" t="str">
        <f>IFERROR(__xludf.DUMMYFUNCTION("""COMPUTED_VALUE"""),"Available")</f>
        <v>Available</v>
      </c>
      <c r="Q1048" s="5" t="s">
        <v>135</v>
      </c>
      <c r="R1048" s="5" t="s">
        <v>136</v>
      </c>
      <c r="S1048" s="11">
        <v>1200.0</v>
      </c>
    </row>
    <row r="1049">
      <c r="A1049" s="5" t="str">
        <f>IFERROR(__xludf.DUMMYFUNCTION("""COMPUTED_VALUE"""),"Lisdexamfetamine Dimesylate Capsule")</f>
        <v>Lisdexamfetamine Dimesylate Capsule</v>
      </c>
      <c r="B1049" s="5" t="str">
        <f>IFERROR(__xludf.DUMMYFUNCTION("""COMPUTED_VALUE"""),"Lannett Company, Inc.")</f>
        <v>Lannett Company, Inc.</v>
      </c>
      <c r="C1049" s="5" t="str">
        <f>IFERROR(__xludf.DUMMYFUNCTION("""COMPUTED_VALUE"""),"Lisdexamfetamine Dimesylate, Capsule, 20 mg (NDC 0527-4662-37)")</f>
        <v>Lisdexamfetamine Dimesylate, Capsule, 20 mg (NDC 0527-4662-37)</v>
      </c>
      <c r="D1049" s="5" t="str">
        <f>IFERROR(__xludf.DUMMYFUNCTION("""COMPUTED_VALUE"""),"Revised")</f>
        <v>Revised</v>
      </c>
      <c r="E1049" s="13">
        <f>IFERROR(__xludf.DUMMYFUNCTION("""COMPUTED_VALUE"""),46310.0)</f>
        <v>46310</v>
      </c>
      <c r="F1049" s="5" t="str">
        <f>IFERROR(__xludf.DUMMYFUNCTION("""COMPUTED_VALUE"""),"Limited Availability")</f>
        <v>Limited Availability</v>
      </c>
      <c r="G1049" s="5" t="str">
        <f>IFERROR(__xludf.DUMMYFUNCTION("""COMPUTED_VALUE"""),"Estimated recovery: October 2026")</f>
        <v>Estimated recovery: October 2026</v>
      </c>
      <c r="H1049" s="5"/>
      <c r="I1049" s="5" t="str">
        <f>IFERROR(__xludf.DUMMYFUNCTION("""COMPUTED_VALUE"""),"Other")</f>
        <v>Other</v>
      </c>
      <c r="J1049" s="5" t="str">
        <f>IFERROR(__xludf.DUMMYFUNCTION("""COMPUTED_VALUE"""),"Psychiatry")</f>
        <v>Psychiatry</v>
      </c>
      <c r="K1049" s="5" t="str">
        <f>IFERROR(__xludf.DUMMYFUNCTION("""COMPUTED_VALUE"""),"Current")</f>
        <v>Current</v>
      </c>
      <c r="L1049" s="5"/>
      <c r="M1049" s="5"/>
      <c r="N1049" s="10">
        <f>IFERROR(__xludf.DUMMYFUNCTION("""COMPUTED_VALUE"""),45121.0)</f>
        <v>45121</v>
      </c>
      <c r="O1049" s="5">
        <v>2023.0</v>
      </c>
      <c r="P1049" s="5" t="str">
        <f>IFERROR(__xludf.DUMMYFUNCTION("""COMPUTED_VALUE"""),"Limited Availability")</f>
        <v>Limited Availability</v>
      </c>
      <c r="Q1049" s="5" t="s">
        <v>47</v>
      </c>
      <c r="R1049" s="5" t="s">
        <v>136</v>
      </c>
      <c r="S1049" s="11">
        <v>1200.0</v>
      </c>
    </row>
    <row r="1050">
      <c r="A1050" s="5" t="str">
        <f>IFERROR(__xludf.DUMMYFUNCTION("""COMPUTED_VALUE"""),"Lisdexamfetamine Dimesylate Capsule")</f>
        <v>Lisdexamfetamine Dimesylate Capsule</v>
      </c>
      <c r="B1050" s="5" t="str">
        <f>IFERROR(__xludf.DUMMYFUNCTION("""COMPUTED_VALUE"""),"Lannett Company, Inc.")</f>
        <v>Lannett Company, Inc.</v>
      </c>
      <c r="C1050" s="5" t="str">
        <f>IFERROR(__xludf.DUMMYFUNCTION("""COMPUTED_VALUE"""),"Lisdexamfetamine Dimesylate, Capsule, 30 mg (NDC 0527-4663-37)")</f>
        <v>Lisdexamfetamine Dimesylate, Capsule, 30 mg (NDC 0527-4663-37)</v>
      </c>
      <c r="D1050" s="5" t="str">
        <f>IFERROR(__xludf.DUMMYFUNCTION("""COMPUTED_VALUE"""),"Revised")</f>
        <v>Revised</v>
      </c>
      <c r="E1050" s="13">
        <f>IFERROR(__xludf.DUMMYFUNCTION("""COMPUTED_VALUE"""),46310.0)</f>
        <v>46310</v>
      </c>
      <c r="F1050" s="5" t="str">
        <f>IFERROR(__xludf.DUMMYFUNCTION("""COMPUTED_VALUE"""),"Limited Availability")</f>
        <v>Limited Availability</v>
      </c>
      <c r="G1050" s="5" t="str">
        <f>IFERROR(__xludf.DUMMYFUNCTION("""COMPUTED_VALUE"""),"Estimated recovery: October 2026")</f>
        <v>Estimated recovery: October 2026</v>
      </c>
      <c r="H1050" s="5"/>
      <c r="I1050" s="5" t="str">
        <f>IFERROR(__xludf.DUMMYFUNCTION("""COMPUTED_VALUE"""),"Other")</f>
        <v>Other</v>
      </c>
      <c r="J1050" s="5" t="str">
        <f>IFERROR(__xludf.DUMMYFUNCTION("""COMPUTED_VALUE"""),"Psychiatry")</f>
        <v>Psychiatry</v>
      </c>
      <c r="K1050" s="5" t="str">
        <f>IFERROR(__xludf.DUMMYFUNCTION("""COMPUTED_VALUE"""),"Current")</f>
        <v>Current</v>
      </c>
      <c r="L1050" s="5"/>
      <c r="M1050" s="5"/>
      <c r="N1050" s="10">
        <f>IFERROR(__xludf.DUMMYFUNCTION("""COMPUTED_VALUE"""),45121.0)</f>
        <v>45121</v>
      </c>
      <c r="O1050" s="5">
        <v>2023.0</v>
      </c>
      <c r="P1050" s="5" t="str">
        <f>IFERROR(__xludf.DUMMYFUNCTION("""COMPUTED_VALUE"""),"Limited Availability")</f>
        <v>Limited Availability</v>
      </c>
      <c r="Q1050" s="5" t="s">
        <v>47</v>
      </c>
      <c r="R1050" s="5" t="s">
        <v>136</v>
      </c>
      <c r="S1050" s="11">
        <v>1200.0</v>
      </c>
    </row>
    <row r="1051">
      <c r="A1051" s="5" t="str">
        <f>IFERROR(__xludf.DUMMYFUNCTION("""COMPUTED_VALUE"""),"Lisdexamfetamine Dimesylate Capsule")</f>
        <v>Lisdexamfetamine Dimesylate Capsule</v>
      </c>
      <c r="B1051" s="5" t="str">
        <f>IFERROR(__xludf.DUMMYFUNCTION("""COMPUTED_VALUE"""),"Lannett Company, Inc.")</f>
        <v>Lannett Company, Inc.</v>
      </c>
      <c r="C1051" s="5" t="str">
        <f>IFERROR(__xludf.DUMMYFUNCTION("""COMPUTED_VALUE"""),"Lisdexamfetamine Dimesylate, Capsule, 40 mg (NDC 0527-4664-37)")</f>
        <v>Lisdexamfetamine Dimesylate, Capsule, 40 mg (NDC 0527-4664-37)</v>
      </c>
      <c r="D1051" s="5" t="str">
        <f>IFERROR(__xludf.DUMMYFUNCTION("""COMPUTED_VALUE"""),"Revised")</f>
        <v>Revised</v>
      </c>
      <c r="E1051" s="13">
        <f>IFERROR(__xludf.DUMMYFUNCTION("""COMPUTED_VALUE"""),46310.0)</f>
        <v>46310</v>
      </c>
      <c r="F1051" s="5" t="str">
        <f>IFERROR(__xludf.DUMMYFUNCTION("""COMPUTED_VALUE"""),"Limited Availability")</f>
        <v>Limited Availability</v>
      </c>
      <c r="G1051" s="5" t="str">
        <f>IFERROR(__xludf.DUMMYFUNCTION("""COMPUTED_VALUE"""),"Estimated recovery: October 2026")</f>
        <v>Estimated recovery: October 2026</v>
      </c>
      <c r="H1051" s="5"/>
      <c r="I1051" s="5" t="str">
        <f>IFERROR(__xludf.DUMMYFUNCTION("""COMPUTED_VALUE"""),"Other")</f>
        <v>Other</v>
      </c>
      <c r="J1051" s="5" t="str">
        <f>IFERROR(__xludf.DUMMYFUNCTION("""COMPUTED_VALUE"""),"Psychiatry")</f>
        <v>Psychiatry</v>
      </c>
      <c r="K1051" s="5" t="str">
        <f>IFERROR(__xludf.DUMMYFUNCTION("""COMPUTED_VALUE"""),"Current")</f>
        <v>Current</v>
      </c>
      <c r="L1051" s="5"/>
      <c r="M1051" s="5"/>
      <c r="N1051" s="10">
        <f>IFERROR(__xludf.DUMMYFUNCTION("""COMPUTED_VALUE"""),45121.0)</f>
        <v>45121</v>
      </c>
      <c r="O1051" s="5">
        <v>2023.0</v>
      </c>
      <c r="P1051" s="5" t="str">
        <f>IFERROR(__xludf.DUMMYFUNCTION("""COMPUTED_VALUE"""),"Limited Availability")</f>
        <v>Limited Availability</v>
      </c>
      <c r="Q1051" s="5" t="s">
        <v>47</v>
      </c>
      <c r="R1051" s="5" t="s">
        <v>136</v>
      </c>
      <c r="S1051" s="11">
        <v>1200.0</v>
      </c>
    </row>
    <row r="1052">
      <c r="A1052" s="5" t="str">
        <f>IFERROR(__xludf.DUMMYFUNCTION("""COMPUTED_VALUE"""),"Lisdexamfetamine Dimesylate Capsule")</f>
        <v>Lisdexamfetamine Dimesylate Capsule</v>
      </c>
      <c r="B1052" s="5" t="str">
        <f>IFERROR(__xludf.DUMMYFUNCTION("""COMPUTED_VALUE"""),"Lannett Company, Inc.")</f>
        <v>Lannett Company, Inc.</v>
      </c>
      <c r="C1052" s="5" t="str">
        <f>IFERROR(__xludf.DUMMYFUNCTION("""COMPUTED_VALUE"""),"Lisdexamfetamine Dimesylate, Capsule, 50 mg (NDC 0527-4665-37)")</f>
        <v>Lisdexamfetamine Dimesylate, Capsule, 50 mg (NDC 0527-4665-37)</v>
      </c>
      <c r="D1052" s="5" t="str">
        <f>IFERROR(__xludf.DUMMYFUNCTION("""COMPUTED_VALUE"""),"Reverified")</f>
        <v>Reverified</v>
      </c>
      <c r="E1052" s="13">
        <f>IFERROR(__xludf.DUMMYFUNCTION("""COMPUTED_VALUE"""),46310.0)</f>
        <v>46310</v>
      </c>
      <c r="F1052" s="5" t="str">
        <f>IFERROR(__xludf.DUMMYFUNCTION("""COMPUTED_VALUE"""),"Available")</f>
        <v>Available</v>
      </c>
      <c r="G1052" s="5"/>
      <c r="H1052" s="5"/>
      <c r="I1052" s="5"/>
      <c r="J1052" s="5" t="str">
        <f>IFERROR(__xludf.DUMMYFUNCTION("""COMPUTED_VALUE"""),"Psychiatry")</f>
        <v>Psychiatry</v>
      </c>
      <c r="K1052" s="5" t="str">
        <f>IFERROR(__xludf.DUMMYFUNCTION("""COMPUTED_VALUE"""),"Current")</f>
        <v>Current</v>
      </c>
      <c r="L1052" s="5"/>
      <c r="M1052" s="5"/>
      <c r="N1052" s="10">
        <f>IFERROR(__xludf.DUMMYFUNCTION("""COMPUTED_VALUE"""),45121.0)</f>
        <v>45121</v>
      </c>
      <c r="O1052" s="5">
        <v>2023.0</v>
      </c>
      <c r="P1052" s="5" t="str">
        <f>IFERROR(__xludf.DUMMYFUNCTION("""COMPUTED_VALUE"""),"Available")</f>
        <v>Available</v>
      </c>
      <c r="Q1052" s="5" t="s">
        <v>135</v>
      </c>
      <c r="R1052" s="5" t="s">
        <v>136</v>
      </c>
      <c r="S1052" s="11">
        <v>1200.0</v>
      </c>
    </row>
    <row r="1053">
      <c r="A1053" s="5" t="str">
        <f>IFERROR(__xludf.DUMMYFUNCTION("""COMPUTED_VALUE"""),"Lisdexamfetamine Dimesylate Capsule")</f>
        <v>Lisdexamfetamine Dimesylate Capsule</v>
      </c>
      <c r="B1053" s="5" t="str">
        <f>IFERROR(__xludf.DUMMYFUNCTION("""COMPUTED_VALUE"""),"Lannett Company, Inc.")</f>
        <v>Lannett Company, Inc.</v>
      </c>
      <c r="C1053" s="5" t="str">
        <f>IFERROR(__xludf.DUMMYFUNCTION("""COMPUTED_VALUE"""),"Lisdexamfetamine Dimesylate, Capsule, 60 mg (NDC 0527-4666-37)")</f>
        <v>Lisdexamfetamine Dimesylate, Capsule, 60 mg (NDC 0527-4666-37)</v>
      </c>
      <c r="D1053" s="5" t="str">
        <f>IFERROR(__xludf.DUMMYFUNCTION("""COMPUTED_VALUE"""),"Reverified")</f>
        <v>Reverified</v>
      </c>
      <c r="E1053" s="13">
        <f>IFERROR(__xludf.DUMMYFUNCTION("""COMPUTED_VALUE"""),46310.0)</f>
        <v>46310</v>
      </c>
      <c r="F1053" s="5" t="str">
        <f>IFERROR(__xludf.DUMMYFUNCTION("""COMPUTED_VALUE"""),"Available")</f>
        <v>Available</v>
      </c>
      <c r="G1053" s="5"/>
      <c r="H1053" s="5"/>
      <c r="I1053" s="5"/>
      <c r="J1053" s="5" t="str">
        <f>IFERROR(__xludf.DUMMYFUNCTION("""COMPUTED_VALUE"""),"Psychiatry")</f>
        <v>Psychiatry</v>
      </c>
      <c r="K1053" s="5" t="str">
        <f>IFERROR(__xludf.DUMMYFUNCTION("""COMPUTED_VALUE"""),"Current")</f>
        <v>Current</v>
      </c>
      <c r="L1053" s="5"/>
      <c r="M1053" s="5"/>
      <c r="N1053" s="10">
        <f>IFERROR(__xludf.DUMMYFUNCTION("""COMPUTED_VALUE"""),45189.0)</f>
        <v>45189</v>
      </c>
      <c r="O1053" s="5">
        <v>2023.0</v>
      </c>
      <c r="P1053" s="5" t="str">
        <f>IFERROR(__xludf.DUMMYFUNCTION("""COMPUTED_VALUE"""),"Available")</f>
        <v>Available</v>
      </c>
      <c r="Q1053" s="5" t="s">
        <v>135</v>
      </c>
      <c r="R1053" s="5" t="s">
        <v>136</v>
      </c>
      <c r="S1053" s="11">
        <v>1132.0</v>
      </c>
    </row>
    <row r="1054">
      <c r="A1054" s="5" t="str">
        <f>IFERROR(__xludf.DUMMYFUNCTION("""COMPUTED_VALUE"""),"Lisdexamfetamine Dimesylate Capsule")</f>
        <v>Lisdexamfetamine Dimesylate Capsule</v>
      </c>
      <c r="B1054" s="5" t="str">
        <f>IFERROR(__xludf.DUMMYFUNCTION("""COMPUTED_VALUE"""),"Lannett Company, Inc.")</f>
        <v>Lannett Company, Inc.</v>
      </c>
      <c r="C1054" s="5" t="str">
        <f>IFERROR(__xludf.DUMMYFUNCTION("""COMPUTED_VALUE"""),"Lisdexamfetamine Dimesylate, Capsule, 70 mg (NDC 0527-4667-37)")</f>
        <v>Lisdexamfetamine Dimesylate, Capsule, 70 mg (NDC 0527-4667-37)</v>
      </c>
      <c r="D1054" s="5" t="str">
        <f>IFERROR(__xludf.DUMMYFUNCTION("""COMPUTED_VALUE"""),"Reverified")</f>
        <v>Reverified</v>
      </c>
      <c r="E1054" s="13">
        <f>IFERROR(__xludf.DUMMYFUNCTION("""COMPUTED_VALUE"""),46310.0)</f>
        <v>46310</v>
      </c>
      <c r="F1054" s="5" t="str">
        <f>IFERROR(__xludf.DUMMYFUNCTION("""COMPUTED_VALUE"""),"Available")</f>
        <v>Available</v>
      </c>
      <c r="G1054" s="5"/>
      <c r="H1054" s="5"/>
      <c r="I1054" s="5"/>
      <c r="J1054" s="5" t="str">
        <f>IFERROR(__xludf.DUMMYFUNCTION("""COMPUTED_VALUE"""),"Psychiatry")</f>
        <v>Psychiatry</v>
      </c>
      <c r="K1054" s="5" t="str">
        <f>IFERROR(__xludf.DUMMYFUNCTION("""COMPUTED_VALUE"""),"Current")</f>
        <v>Current</v>
      </c>
      <c r="L1054" s="5"/>
      <c r="M1054" s="5"/>
      <c r="N1054" s="10">
        <f>IFERROR(__xludf.DUMMYFUNCTION("""COMPUTED_VALUE"""),45121.0)</f>
        <v>45121</v>
      </c>
      <c r="O1054" s="5">
        <v>2023.0</v>
      </c>
      <c r="P1054" s="5" t="str">
        <f>IFERROR(__xludf.DUMMYFUNCTION("""COMPUTED_VALUE"""),"Available")</f>
        <v>Available</v>
      </c>
      <c r="Q1054" s="5" t="s">
        <v>135</v>
      </c>
      <c r="R1054" s="5" t="s">
        <v>136</v>
      </c>
      <c r="S1054" s="11">
        <v>1200.0</v>
      </c>
    </row>
    <row r="1055">
      <c r="A1055" s="5" t="str">
        <f>IFERROR(__xludf.DUMMYFUNCTION("""COMPUTED_VALUE"""),"Lisdexamfetamine Dimesylate Capsule")</f>
        <v>Lisdexamfetamine Dimesylate Capsule</v>
      </c>
      <c r="B1055" s="5" t="str">
        <f>IFERROR(__xludf.DUMMYFUNCTION("""COMPUTED_VALUE"""),"Amneal Pharmaceuticals")</f>
        <v>Amneal Pharmaceuticals</v>
      </c>
      <c r="C1055" s="5" t="str">
        <f>IFERROR(__xludf.DUMMYFUNCTION("""COMPUTED_VALUE"""),"Lisdexamfetamine Dimesylate, Capsule, 20 mg (NDC 65162-023-09)")</f>
        <v>Lisdexamfetamine Dimesylate, Capsule, 20 mg (NDC 65162-023-09)</v>
      </c>
      <c r="D1055" s="5" t="str">
        <f>IFERROR(__xludf.DUMMYFUNCTION("""COMPUTED_VALUE"""),"Reverified")</f>
        <v>Reverified</v>
      </c>
      <c r="E1055" s="10">
        <f>IFERROR(__xludf.DUMMYFUNCTION("""COMPUTED_VALUE"""),46301.0)</f>
        <v>46301</v>
      </c>
      <c r="F1055" s="5" t="str">
        <f>IFERROR(__xludf.DUMMYFUNCTION("""COMPUTED_VALUE"""),"Available")</f>
        <v>Available</v>
      </c>
      <c r="G1055" s="5"/>
      <c r="H1055" s="5"/>
      <c r="I1055" s="5"/>
      <c r="J1055" s="5" t="str">
        <f>IFERROR(__xludf.DUMMYFUNCTION("""COMPUTED_VALUE"""),"Psychiatry")</f>
        <v>Psychiatry</v>
      </c>
      <c r="K1055" s="5" t="str">
        <f>IFERROR(__xludf.DUMMYFUNCTION("""COMPUTED_VALUE"""),"Current")</f>
        <v>Current</v>
      </c>
      <c r="L1055" s="5"/>
      <c r="M1055" s="5"/>
      <c r="N1055" s="10">
        <f>IFERROR(__xludf.DUMMYFUNCTION("""COMPUTED_VALUE"""),45121.0)</f>
        <v>45121</v>
      </c>
      <c r="O1055" s="5">
        <v>2023.0</v>
      </c>
      <c r="P1055" s="5" t="str">
        <f>IFERROR(__xludf.DUMMYFUNCTION("""COMPUTED_VALUE"""),"Available")</f>
        <v>Available</v>
      </c>
      <c r="Q1055" s="5" t="s">
        <v>135</v>
      </c>
      <c r="R1055" s="5" t="s">
        <v>136</v>
      </c>
      <c r="S1055" s="11">
        <v>1200.0</v>
      </c>
    </row>
    <row r="1056">
      <c r="A1056" s="5" t="str">
        <f>IFERROR(__xludf.DUMMYFUNCTION("""COMPUTED_VALUE"""),"Lisdexamfetamine Dimesylate Capsule")</f>
        <v>Lisdexamfetamine Dimesylate Capsule</v>
      </c>
      <c r="B1056" s="5" t="str">
        <f>IFERROR(__xludf.DUMMYFUNCTION("""COMPUTED_VALUE"""),"Amneal Pharmaceuticals")</f>
        <v>Amneal Pharmaceuticals</v>
      </c>
      <c r="C1056" s="5" t="str">
        <f>IFERROR(__xludf.DUMMYFUNCTION("""COMPUTED_VALUE"""),"Lisdexamfetamine Dimesylate, Capsule, 30 mg (NDC 65162-024-09)")</f>
        <v>Lisdexamfetamine Dimesylate, Capsule, 30 mg (NDC 65162-024-09)</v>
      </c>
      <c r="D1056" s="5" t="str">
        <f>IFERROR(__xludf.DUMMYFUNCTION("""COMPUTED_VALUE"""),"Reverified")</f>
        <v>Reverified</v>
      </c>
      <c r="E1056" s="10">
        <f>IFERROR(__xludf.DUMMYFUNCTION("""COMPUTED_VALUE"""),46301.0)</f>
        <v>46301</v>
      </c>
      <c r="F1056" s="5" t="str">
        <f>IFERROR(__xludf.DUMMYFUNCTION("""COMPUTED_VALUE"""),"Available")</f>
        <v>Available</v>
      </c>
      <c r="G1056" s="5"/>
      <c r="H1056" s="5"/>
      <c r="I1056" s="5"/>
      <c r="J1056" s="5" t="str">
        <f>IFERROR(__xludf.DUMMYFUNCTION("""COMPUTED_VALUE"""),"Psychiatry")</f>
        <v>Psychiatry</v>
      </c>
      <c r="K1056" s="5" t="str">
        <f>IFERROR(__xludf.DUMMYFUNCTION("""COMPUTED_VALUE"""),"Current")</f>
        <v>Current</v>
      </c>
      <c r="L1056" s="5"/>
      <c r="M1056" s="5"/>
      <c r="N1056" s="10">
        <f>IFERROR(__xludf.DUMMYFUNCTION("""COMPUTED_VALUE"""),45121.0)</f>
        <v>45121</v>
      </c>
      <c r="O1056" s="5">
        <v>2023.0</v>
      </c>
      <c r="P1056" s="5" t="str">
        <f>IFERROR(__xludf.DUMMYFUNCTION("""COMPUTED_VALUE"""),"Available")</f>
        <v>Available</v>
      </c>
      <c r="Q1056" s="5" t="s">
        <v>135</v>
      </c>
      <c r="R1056" s="5" t="s">
        <v>136</v>
      </c>
      <c r="S1056" s="11">
        <v>1200.0</v>
      </c>
    </row>
    <row r="1057">
      <c r="A1057" s="5" t="str">
        <f>IFERROR(__xludf.DUMMYFUNCTION("""COMPUTED_VALUE"""),"Lisdexamfetamine Dimesylate Capsule")</f>
        <v>Lisdexamfetamine Dimesylate Capsule</v>
      </c>
      <c r="B1057" s="5" t="str">
        <f>IFERROR(__xludf.DUMMYFUNCTION("""COMPUTED_VALUE"""),"Amneal Pharmaceuticals")</f>
        <v>Amneal Pharmaceuticals</v>
      </c>
      <c r="C1057" s="5" t="str">
        <f>IFERROR(__xludf.DUMMYFUNCTION("""COMPUTED_VALUE"""),"Lisdexamfetamine Dimesylate, Capsule, 40 mg (NDC 65162-025-09)")</f>
        <v>Lisdexamfetamine Dimesylate, Capsule, 40 mg (NDC 65162-025-09)</v>
      </c>
      <c r="D1057" s="5" t="str">
        <f>IFERROR(__xludf.DUMMYFUNCTION("""COMPUTED_VALUE"""),"Reverified")</f>
        <v>Reverified</v>
      </c>
      <c r="E1057" s="10">
        <f>IFERROR(__xludf.DUMMYFUNCTION("""COMPUTED_VALUE"""),46301.0)</f>
        <v>46301</v>
      </c>
      <c r="F1057" s="5" t="str">
        <f>IFERROR(__xludf.DUMMYFUNCTION("""COMPUTED_VALUE"""),"Available")</f>
        <v>Available</v>
      </c>
      <c r="G1057" s="5"/>
      <c r="H1057" s="5"/>
      <c r="I1057" s="5"/>
      <c r="J1057" s="5" t="str">
        <f>IFERROR(__xludf.DUMMYFUNCTION("""COMPUTED_VALUE"""),"Psychiatry")</f>
        <v>Psychiatry</v>
      </c>
      <c r="K1057" s="5" t="str">
        <f>IFERROR(__xludf.DUMMYFUNCTION("""COMPUTED_VALUE"""),"Current")</f>
        <v>Current</v>
      </c>
      <c r="L1057" s="5"/>
      <c r="M1057" s="5"/>
      <c r="N1057" s="10">
        <f>IFERROR(__xludf.DUMMYFUNCTION("""COMPUTED_VALUE"""),45121.0)</f>
        <v>45121</v>
      </c>
      <c r="O1057" s="5">
        <v>2023.0</v>
      </c>
      <c r="P1057" s="5" t="str">
        <f>IFERROR(__xludf.DUMMYFUNCTION("""COMPUTED_VALUE"""),"Available")</f>
        <v>Available</v>
      </c>
      <c r="Q1057" s="5" t="s">
        <v>135</v>
      </c>
      <c r="R1057" s="5" t="s">
        <v>136</v>
      </c>
      <c r="S1057" s="11">
        <v>1200.0</v>
      </c>
    </row>
    <row r="1058">
      <c r="A1058" s="5" t="str">
        <f>IFERROR(__xludf.DUMMYFUNCTION("""COMPUTED_VALUE"""),"Lisdexamfetamine Dimesylate Capsule")</f>
        <v>Lisdexamfetamine Dimesylate Capsule</v>
      </c>
      <c r="B1058" s="5" t="str">
        <f>IFERROR(__xludf.DUMMYFUNCTION("""COMPUTED_VALUE"""),"Amneal Pharmaceuticals")</f>
        <v>Amneal Pharmaceuticals</v>
      </c>
      <c r="C1058" s="5" t="str">
        <f>IFERROR(__xludf.DUMMYFUNCTION("""COMPUTED_VALUE"""),"Lisdexamfetamine Dimesylate, Capsule, 50 mg (NDC 65162-026-09)")</f>
        <v>Lisdexamfetamine Dimesylate, Capsule, 50 mg (NDC 65162-026-09)</v>
      </c>
      <c r="D1058" s="5" t="str">
        <f>IFERROR(__xludf.DUMMYFUNCTION("""COMPUTED_VALUE"""),"Reverified")</f>
        <v>Reverified</v>
      </c>
      <c r="E1058" s="10">
        <f>IFERROR(__xludf.DUMMYFUNCTION("""COMPUTED_VALUE"""),46301.0)</f>
        <v>46301</v>
      </c>
      <c r="F1058" s="5" t="str">
        <f>IFERROR(__xludf.DUMMYFUNCTION("""COMPUTED_VALUE"""),"Available")</f>
        <v>Available</v>
      </c>
      <c r="G1058" s="5"/>
      <c r="H1058" s="5"/>
      <c r="I1058" s="5"/>
      <c r="J1058" s="5" t="str">
        <f>IFERROR(__xludf.DUMMYFUNCTION("""COMPUTED_VALUE"""),"Psychiatry")</f>
        <v>Psychiatry</v>
      </c>
      <c r="K1058" s="5" t="str">
        <f>IFERROR(__xludf.DUMMYFUNCTION("""COMPUTED_VALUE"""),"Current")</f>
        <v>Current</v>
      </c>
      <c r="L1058" s="5"/>
      <c r="M1058" s="5"/>
      <c r="N1058" s="10">
        <f>IFERROR(__xludf.DUMMYFUNCTION("""COMPUTED_VALUE"""),45121.0)</f>
        <v>45121</v>
      </c>
      <c r="O1058" s="5">
        <v>2023.0</v>
      </c>
      <c r="P1058" s="5" t="str">
        <f>IFERROR(__xludf.DUMMYFUNCTION("""COMPUTED_VALUE"""),"Available")</f>
        <v>Available</v>
      </c>
      <c r="Q1058" s="5" t="s">
        <v>135</v>
      </c>
      <c r="R1058" s="5" t="s">
        <v>136</v>
      </c>
      <c r="S1058" s="11">
        <v>1200.0</v>
      </c>
    </row>
    <row r="1059">
      <c r="A1059" s="5" t="str">
        <f>IFERROR(__xludf.DUMMYFUNCTION("""COMPUTED_VALUE"""),"Lisdexamfetamine Dimesylate Capsule")</f>
        <v>Lisdexamfetamine Dimesylate Capsule</v>
      </c>
      <c r="B1059" s="5" t="str">
        <f>IFERROR(__xludf.DUMMYFUNCTION("""COMPUTED_VALUE"""),"Amneal Pharmaceuticals")</f>
        <v>Amneal Pharmaceuticals</v>
      </c>
      <c r="C1059" s="5" t="str">
        <f>IFERROR(__xludf.DUMMYFUNCTION("""COMPUTED_VALUE"""),"Lisdexamfetamine Dimesylate, Capsule, 60 mg (NDC 65162-027-09)")</f>
        <v>Lisdexamfetamine Dimesylate, Capsule, 60 mg (NDC 65162-027-09)</v>
      </c>
      <c r="D1059" s="5" t="str">
        <f>IFERROR(__xludf.DUMMYFUNCTION("""COMPUTED_VALUE"""),"Reverified")</f>
        <v>Reverified</v>
      </c>
      <c r="E1059" s="10">
        <f>IFERROR(__xludf.DUMMYFUNCTION("""COMPUTED_VALUE"""),46301.0)</f>
        <v>46301</v>
      </c>
      <c r="F1059" s="5" t="str">
        <f>IFERROR(__xludf.DUMMYFUNCTION("""COMPUTED_VALUE"""),"Available")</f>
        <v>Available</v>
      </c>
      <c r="G1059" s="5"/>
      <c r="H1059" s="5"/>
      <c r="I1059" s="5"/>
      <c r="J1059" s="5" t="str">
        <f>IFERROR(__xludf.DUMMYFUNCTION("""COMPUTED_VALUE"""),"Psychiatry")</f>
        <v>Psychiatry</v>
      </c>
      <c r="K1059" s="5" t="str">
        <f>IFERROR(__xludf.DUMMYFUNCTION("""COMPUTED_VALUE"""),"Current")</f>
        <v>Current</v>
      </c>
      <c r="L1059" s="5"/>
      <c r="M1059" s="5"/>
      <c r="N1059" s="10">
        <f>IFERROR(__xludf.DUMMYFUNCTION("""COMPUTED_VALUE"""),45121.0)</f>
        <v>45121</v>
      </c>
      <c r="O1059" s="5">
        <v>2023.0</v>
      </c>
      <c r="P1059" s="5" t="str">
        <f>IFERROR(__xludf.DUMMYFUNCTION("""COMPUTED_VALUE"""),"Available")</f>
        <v>Available</v>
      </c>
      <c r="Q1059" s="5" t="s">
        <v>135</v>
      </c>
      <c r="R1059" s="5" t="s">
        <v>136</v>
      </c>
      <c r="S1059" s="11">
        <v>1200.0</v>
      </c>
    </row>
    <row r="1060">
      <c r="A1060" s="5" t="str">
        <f>IFERROR(__xludf.DUMMYFUNCTION("""COMPUTED_VALUE"""),"Lisdexamfetamine Dimesylate Capsule")</f>
        <v>Lisdexamfetamine Dimesylate Capsule</v>
      </c>
      <c r="B1060" s="5" t="str">
        <f>IFERROR(__xludf.DUMMYFUNCTION("""COMPUTED_VALUE"""),"Amneal Pharmaceuticals")</f>
        <v>Amneal Pharmaceuticals</v>
      </c>
      <c r="C1060" s="5" t="str">
        <f>IFERROR(__xludf.DUMMYFUNCTION("""COMPUTED_VALUE"""),"Lisdexamfetamine Dimesylate, Capsule, 70 mg (NDC 65162-028-09)")</f>
        <v>Lisdexamfetamine Dimesylate, Capsule, 70 mg (NDC 65162-028-09)</v>
      </c>
      <c r="D1060" s="5" t="str">
        <f>IFERROR(__xludf.DUMMYFUNCTION("""COMPUTED_VALUE"""),"Reverified")</f>
        <v>Reverified</v>
      </c>
      <c r="E1060" s="10">
        <f>IFERROR(__xludf.DUMMYFUNCTION("""COMPUTED_VALUE"""),46301.0)</f>
        <v>46301</v>
      </c>
      <c r="F1060" s="5" t="str">
        <f>IFERROR(__xludf.DUMMYFUNCTION("""COMPUTED_VALUE"""),"Available")</f>
        <v>Available</v>
      </c>
      <c r="G1060" s="5"/>
      <c r="H1060" s="5"/>
      <c r="I1060" s="5"/>
      <c r="J1060" s="5" t="str">
        <f>IFERROR(__xludf.DUMMYFUNCTION("""COMPUTED_VALUE"""),"Psychiatry")</f>
        <v>Psychiatry</v>
      </c>
      <c r="K1060" s="5" t="str">
        <f>IFERROR(__xludf.DUMMYFUNCTION("""COMPUTED_VALUE"""),"Current")</f>
        <v>Current</v>
      </c>
      <c r="L1060" s="5"/>
      <c r="M1060" s="5"/>
      <c r="N1060" s="10">
        <f>IFERROR(__xludf.DUMMYFUNCTION("""COMPUTED_VALUE"""),45121.0)</f>
        <v>45121</v>
      </c>
      <c r="O1060" s="5">
        <v>2023.0</v>
      </c>
      <c r="P1060" s="5" t="str">
        <f>IFERROR(__xludf.DUMMYFUNCTION("""COMPUTED_VALUE"""),"Available")</f>
        <v>Available</v>
      </c>
      <c r="Q1060" s="5" t="s">
        <v>135</v>
      </c>
      <c r="R1060" s="5" t="s">
        <v>136</v>
      </c>
      <c r="S1060" s="11">
        <v>1200.0</v>
      </c>
    </row>
    <row r="1061">
      <c r="A1061" s="5" t="str">
        <f>IFERROR(__xludf.DUMMYFUNCTION("""COMPUTED_VALUE"""),"Lisdexamfetamine Dimesylate Capsule")</f>
        <v>Lisdexamfetamine Dimesylate Capsule</v>
      </c>
      <c r="B1061" s="5" t="str">
        <f>IFERROR(__xludf.DUMMYFUNCTION("""COMPUTED_VALUE"""),"Solco Healthcare US, LLC")</f>
        <v>Solco Healthcare US, LLC</v>
      </c>
      <c r="C1061" s="5" t="str">
        <f>IFERROR(__xludf.DUMMYFUNCTION("""COMPUTED_VALUE"""),"Lisdexamfetamine Dimesylate, Capsule, 10 mg (NDC 43547-602-10)")</f>
        <v>Lisdexamfetamine Dimesylate, Capsule, 10 mg (NDC 43547-602-10)</v>
      </c>
      <c r="D1061" s="5" t="str">
        <f>IFERROR(__xludf.DUMMYFUNCTION("""COMPUTED_VALUE"""),"Reverified")</f>
        <v>Reverified</v>
      </c>
      <c r="E1061" s="10">
        <f>IFERROR(__xludf.DUMMYFUNCTION("""COMPUTED_VALUE"""),46202.0)</f>
        <v>46202</v>
      </c>
      <c r="F1061" s="5" t="str">
        <f>IFERROR(__xludf.DUMMYFUNCTION("""COMPUTED_VALUE"""),"Limited Availability")</f>
        <v>Limited Availability</v>
      </c>
      <c r="G1061" s="5" t="str">
        <f>IFERROR(__xludf.DUMMYFUNCTION("""COMPUTED_VALUE"""),"On allocation")</f>
        <v>On allocation</v>
      </c>
      <c r="H1061" s="5"/>
      <c r="I1061" s="5" t="str">
        <f>IFERROR(__xludf.DUMMYFUNCTION("""COMPUTED_VALUE"""),"Shortage of an active ingredient")</f>
        <v>Shortage of an active ingredient</v>
      </c>
      <c r="J1061" s="5" t="str">
        <f>IFERROR(__xludf.DUMMYFUNCTION("""COMPUTED_VALUE"""),"Psychiatry")</f>
        <v>Psychiatry</v>
      </c>
      <c r="K1061" s="5" t="str">
        <f>IFERROR(__xludf.DUMMYFUNCTION("""COMPUTED_VALUE"""),"Current")</f>
        <v>Current</v>
      </c>
      <c r="L1061" s="5"/>
      <c r="M1061" s="5"/>
      <c r="N1061" s="10">
        <f>IFERROR(__xludf.DUMMYFUNCTION("""COMPUTED_VALUE"""),45121.0)</f>
        <v>45121</v>
      </c>
      <c r="O1061" s="5">
        <v>2023.0</v>
      </c>
      <c r="P1061" s="5" t="str">
        <f>IFERROR(__xludf.DUMMYFUNCTION("""COMPUTED_VALUE"""),"Limited Availability")</f>
        <v>Limited Availability</v>
      </c>
      <c r="Q1061" s="5" t="s">
        <v>122</v>
      </c>
      <c r="R1061" s="5" t="s">
        <v>136</v>
      </c>
      <c r="S1061" s="11">
        <v>1200.0</v>
      </c>
    </row>
    <row r="1062">
      <c r="A1062" s="5" t="str">
        <f>IFERROR(__xludf.DUMMYFUNCTION("""COMPUTED_VALUE"""),"Lisdexamfetamine Dimesylate Capsule")</f>
        <v>Lisdexamfetamine Dimesylate Capsule</v>
      </c>
      <c r="B1062" s="5" t="str">
        <f>IFERROR(__xludf.DUMMYFUNCTION("""COMPUTED_VALUE"""),"Solco Healthcare US, LLC")</f>
        <v>Solco Healthcare US, LLC</v>
      </c>
      <c r="C1062" s="5" t="str">
        <f>IFERROR(__xludf.DUMMYFUNCTION("""COMPUTED_VALUE"""),"Lisdexamfetamine Dimesylate, Capsule, 20 mg (NDC 43547-603-10)")</f>
        <v>Lisdexamfetamine Dimesylate, Capsule, 20 mg (NDC 43547-603-10)</v>
      </c>
      <c r="D1062" s="5" t="str">
        <f>IFERROR(__xludf.DUMMYFUNCTION("""COMPUTED_VALUE"""),"Reverified")</f>
        <v>Reverified</v>
      </c>
      <c r="E1062" s="10">
        <f>IFERROR(__xludf.DUMMYFUNCTION("""COMPUTED_VALUE"""),46202.0)</f>
        <v>46202</v>
      </c>
      <c r="F1062" s="5" t="str">
        <f>IFERROR(__xludf.DUMMYFUNCTION("""COMPUTED_VALUE"""),"Limited Availability")</f>
        <v>Limited Availability</v>
      </c>
      <c r="G1062" s="5" t="str">
        <f>IFERROR(__xludf.DUMMYFUNCTION("""COMPUTED_VALUE"""),"On allocation")</f>
        <v>On allocation</v>
      </c>
      <c r="H1062" s="5"/>
      <c r="I1062" s="5" t="str">
        <f>IFERROR(__xludf.DUMMYFUNCTION("""COMPUTED_VALUE"""),"Shortage of an active ingredient")</f>
        <v>Shortage of an active ingredient</v>
      </c>
      <c r="J1062" s="5" t="str">
        <f>IFERROR(__xludf.DUMMYFUNCTION("""COMPUTED_VALUE"""),"Psychiatry")</f>
        <v>Psychiatry</v>
      </c>
      <c r="K1062" s="5" t="str">
        <f>IFERROR(__xludf.DUMMYFUNCTION("""COMPUTED_VALUE"""),"Current")</f>
        <v>Current</v>
      </c>
      <c r="L1062" s="5"/>
      <c r="M1062" s="5"/>
      <c r="N1062" s="10">
        <f>IFERROR(__xludf.DUMMYFUNCTION("""COMPUTED_VALUE"""),45121.0)</f>
        <v>45121</v>
      </c>
      <c r="O1062" s="5">
        <v>2023.0</v>
      </c>
      <c r="P1062" s="5" t="str">
        <f>IFERROR(__xludf.DUMMYFUNCTION("""COMPUTED_VALUE"""),"Limited Availability")</f>
        <v>Limited Availability</v>
      </c>
      <c r="Q1062" s="5" t="s">
        <v>122</v>
      </c>
      <c r="R1062" s="5" t="s">
        <v>136</v>
      </c>
      <c r="S1062" s="11">
        <v>1200.0</v>
      </c>
    </row>
    <row r="1063">
      <c r="A1063" s="5" t="str">
        <f>IFERROR(__xludf.DUMMYFUNCTION("""COMPUTED_VALUE"""),"Lisdexamfetamine Dimesylate Capsule")</f>
        <v>Lisdexamfetamine Dimesylate Capsule</v>
      </c>
      <c r="B1063" s="5" t="str">
        <f>IFERROR(__xludf.DUMMYFUNCTION("""COMPUTED_VALUE"""),"Solco Healthcare US, LLC")</f>
        <v>Solco Healthcare US, LLC</v>
      </c>
      <c r="C1063" s="5" t="str">
        <f>IFERROR(__xludf.DUMMYFUNCTION("""COMPUTED_VALUE"""),"Lisdexamfetamine Dimesylate, Capsule, 30 mg (NDC 43547-604-10)")</f>
        <v>Lisdexamfetamine Dimesylate, Capsule, 30 mg (NDC 43547-604-10)</v>
      </c>
      <c r="D1063" s="5" t="str">
        <f>IFERROR(__xludf.DUMMYFUNCTION("""COMPUTED_VALUE"""),"Reverified")</f>
        <v>Reverified</v>
      </c>
      <c r="E1063" s="10">
        <f>IFERROR(__xludf.DUMMYFUNCTION("""COMPUTED_VALUE"""),46202.0)</f>
        <v>46202</v>
      </c>
      <c r="F1063" s="5" t="str">
        <f>IFERROR(__xludf.DUMMYFUNCTION("""COMPUTED_VALUE"""),"Limited Availability")</f>
        <v>Limited Availability</v>
      </c>
      <c r="G1063" s="5" t="str">
        <f>IFERROR(__xludf.DUMMYFUNCTION("""COMPUTED_VALUE"""),"On allocation")</f>
        <v>On allocation</v>
      </c>
      <c r="H1063" s="5"/>
      <c r="I1063" s="5" t="str">
        <f>IFERROR(__xludf.DUMMYFUNCTION("""COMPUTED_VALUE"""),"Shortage of an active ingredient")</f>
        <v>Shortage of an active ingredient</v>
      </c>
      <c r="J1063" s="5" t="str">
        <f>IFERROR(__xludf.DUMMYFUNCTION("""COMPUTED_VALUE"""),"Psychiatry")</f>
        <v>Psychiatry</v>
      </c>
      <c r="K1063" s="5" t="str">
        <f>IFERROR(__xludf.DUMMYFUNCTION("""COMPUTED_VALUE"""),"Current")</f>
        <v>Current</v>
      </c>
      <c r="L1063" s="5"/>
      <c r="M1063" s="5"/>
      <c r="N1063" s="10">
        <f>IFERROR(__xludf.DUMMYFUNCTION("""COMPUTED_VALUE"""),45121.0)</f>
        <v>45121</v>
      </c>
      <c r="O1063" s="5">
        <v>2023.0</v>
      </c>
      <c r="P1063" s="5" t="str">
        <f>IFERROR(__xludf.DUMMYFUNCTION("""COMPUTED_VALUE"""),"Limited Availability")</f>
        <v>Limited Availability</v>
      </c>
      <c r="Q1063" s="5" t="s">
        <v>122</v>
      </c>
      <c r="R1063" s="5" t="s">
        <v>136</v>
      </c>
      <c r="S1063" s="11">
        <v>1200.0</v>
      </c>
    </row>
    <row r="1064">
      <c r="A1064" s="5" t="str">
        <f>IFERROR(__xludf.DUMMYFUNCTION("""COMPUTED_VALUE"""),"Lisdexamfetamine Dimesylate Capsule")</f>
        <v>Lisdexamfetamine Dimesylate Capsule</v>
      </c>
      <c r="B1064" s="5" t="str">
        <f>IFERROR(__xludf.DUMMYFUNCTION("""COMPUTED_VALUE"""),"Solco Healthcare US, LLC")</f>
        <v>Solco Healthcare US, LLC</v>
      </c>
      <c r="C1064" s="5" t="str">
        <f>IFERROR(__xludf.DUMMYFUNCTION("""COMPUTED_VALUE"""),"Lisdexamfetamine Dimesylate, Capsule, 40 mg (NDC 43547-605-10)")</f>
        <v>Lisdexamfetamine Dimesylate, Capsule, 40 mg (NDC 43547-605-10)</v>
      </c>
      <c r="D1064" s="5" t="str">
        <f>IFERROR(__xludf.DUMMYFUNCTION("""COMPUTED_VALUE"""),"Reverified")</f>
        <v>Reverified</v>
      </c>
      <c r="E1064" s="10">
        <f>IFERROR(__xludf.DUMMYFUNCTION("""COMPUTED_VALUE"""),46202.0)</f>
        <v>46202</v>
      </c>
      <c r="F1064" s="5" t="str">
        <f>IFERROR(__xludf.DUMMYFUNCTION("""COMPUTED_VALUE"""),"Limited Availability")</f>
        <v>Limited Availability</v>
      </c>
      <c r="G1064" s="5" t="str">
        <f>IFERROR(__xludf.DUMMYFUNCTION("""COMPUTED_VALUE"""),"On allocation")</f>
        <v>On allocation</v>
      </c>
      <c r="H1064" s="5"/>
      <c r="I1064" s="5" t="str">
        <f>IFERROR(__xludf.DUMMYFUNCTION("""COMPUTED_VALUE"""),"Shortage of an active ingredient")</f>
        <v>Shortage of an active ingredient</v>
      </c>
      <c r="J1064" s="5" t="str">
        <f>IFERROR(__xludf.DUMMYFUNCTION("""COMPUTED_VALUE"""),"Psychiatry")</f>
        <v>Psychiatry</v>
      </c>
      <c r="K1064" s="5" t="str">
        <f>IFERROR(__xludf.DUMMYFUNCTION("""COMPUTED_VALUE"""),"Current")</f>
        <v>Current</v>
      </c>
      <c r="L1064" s="5"/>
      <c r="M1064" s="5"/>
      <c r="N1064" s="10">
        <f>IFERROR(__xludf.DUMMYFUNCTION("""COMPUTED_VALUE"""),45121.0)</f>
        <v>45121</v>
      </c>
      <c r="O1064" s="5">
        <v>2023.0</v>
      </c>
      <c r="P1064" s="5" t="str">
        <f>IFERROR(__xludf.DUMMYFUNCTION("""COMPUTED_VALUE"""),"Limited Availability")</f>
        <v>Limited Availability</v>
      </c>
      <c r="Q1064" s="5" t="s">
        <v>122</v>
      </c>
      <c r="R1064" s="5" t="s">
        <v>136</v>
      </c>
      <c r="S1064" s="11">
        <v>1200.0</v>
      </c>
    </row>
    <row r="1065">
      <c r="A1065" s="5" t="str">
        <f>IFERROR(__xludf.DUMMYFUNCTION("""COMPUTED_VALUE"""),"Lisdexamfetamine Dimesylate Capsule")</f>
        <v>Lisdexamfetamine Dimesylate Capsule</v>
      </c>
      <c r="B1065" s="5" t="str">
        <f>IFERROR(__xludf.DUMMYFUNCTION("""COMPUTED_VALUE"""),"Solco Healthcare US, LLC")</f>
        <v>Solco Healthcare US, LLC</v>
      </c>
      <c r="C1065" s="5" t="str">
        <f>IFERROR(__xludf.DUMMYFUNCTION("""COMPUTED_VALUE"""),"Lisdexamfetamine Dimesylate, Capsule, 50 mg (NDC 43547-606-10)")</f>
        <v>Lisdexamfetamine Dimesylate, Capsule, 50 mg (NDC 43547-606-10)</v>
      </c>
      <c r="D1065" s="5" t="str">
        <f>IFERROR(__xludf.DUMMYFUNCTION("""COMPUTED_VALUE"""),"Reverified")</f>
        <v>Reverified</v>
      </c>
      <c r="E1065" s="10">
        <f>IFERROR(__xludf.DUMMYFUNCTION("""COMPUTED_VALUE"""),46202.0)</f>
        <v>46202</v>
      </c>
      <c r="F1065" s="5" t="str">
        <f>IFERROR(__xludf.DUMMYFUNCTION("""COMPUTED_VALUE"""),"Limited Availability")</f>
        <v>Limited Availability</v>
      </c>
      <c r="G1065" s="5" t="str">
        <f>IFERROR(__xludf.DUMMYFUNCTION("""COMPUTED_VALUE"""),"On allocation")</f>
        <v>On allocation</v>
      </c>
      <c r="H1065" s="5"/>
      <c r="I1065" s="5" t="str">
        <f>IFERROR(__xludf.DUMMYFUNCTION("""COMPUTED_VALUE"""),"Shortage of an active ingredient")</f>
        <v>Shortage of an active ingredient</v>
      </c>
      <c r="J1065" s="5" t="str">
        <f>IFERROR(__xludf.DUMMYFUNCTION("""COMPUTED_VALUE"""),"Psychiatry")</f>
        <v>Psychiatry</v>
      </c>
      <c r="K1065" s="5" t="str">
        <f>IFERROR(__xludf.DUMMYFUNCTION("""COMPUTED_VALUE"""),"Current")</f>
        <v>Current</v>
      </c>
      <c r="L1065" s="5"/>
      <c r="M1065" s="5"/>
      <c r="N1065" s="10">
        <f>IFERROR(__xludf.DUMMYFUNCTION("""COMPUTED_VALUE"""),45121.0)</f>
        <v>45121</v>
      </c>
      <c r="O1065" s="5">
        <v>2023.0</v>
      </c>
      <c r="P1065" s="5" t="str">
        <f>IFERROR(__xludf.DUMMYFUNCTION("""COMPUTED_VALUE"""),"Limited Availability")</f>
        <v>Limited Availability</v>
      </c>
      <c r="Q1065" s="5" t="s">
        <v>122</v>
      </c>
      <c r="R1065" s="5" t="s">
        <v>136</v>
      </c>
      <c r="S1065" s="11">
        <v>1200.0</v>
      </c>
    </row>
    <row r="1066">
      <c r="A1066" s="5" t="str">
        <f>IFERROR(__xludf.DUMMYFUNCTION("""COMPUTED_VALUE"""),"Lisdexamfetamine Dimesylate Capsule")</f>
        <v>Lisdexamfetamine Dimesylate Capsule</v>
      </c>
      <c r="B1066" s="5" t="str">
        <f>IFERROR(__xludf.DUMMYFUNCTION("""COMPUTED_VALUE"""),"Solco Healthcare US, LLC")</f>
        <v>Solco Healthcare US, LLC</v>
      </c>
      <c r="C1066" s="5" t="str">
        <f>IFERROR(__xludf.DUMMYFUNCTION("""COMPUTED_VALUE"""),"Lisdexamfetamine Dimesylate, Capsule, 60 mg (NDC 43547-607-10)")</f>
        <v>Lisdexamfetamine Dimesylate, Capsule, 60 mg (NDC 43547-607-10)</v>
      </c>
      <c r="D1066" s="5" t="str">
        <f>IFERROR(__xludf.DUMMYFUNCTION("""COMPUTED_VALUE"""),"Reverified")</f>
        <v>Reverified</v>
      </c>
      <c r="E1066" s="10">
        <f>IFERROR(__xludf.DUMMYFUNCTION("""COMPUTED_VALUE"""),46202.0)</f>
        <v>46202</v>
      </c>
      <c r="F1066" s="5" t="str">
        <f>IFERROR(__xludf.DUMMYFUNCTION("""COMPUTED_VALUE"""),"Limited Availability")</f>
        <v>Limited Availability</v>
      </c>
      <c r="G1066" s="5" t="str">
        <f>IFERROR(__xludf.DUMMYFUNCTION("""COMPUTED_VALUE"""),"On allocation")</f>
        <v>On allocation</v>
      </c>
      <c r="H1066" s="5"/>
      <c r="I1066" s="5" t="str">
        <f>IFERROR(__xludf.DUMMYFUNCTION("""COMPUTED_VALUE"""),"Shortage of an active ingredient")</f>
        <v>Shortage of an active ingredient</v>
      </c>
      <c r="J1066" s="5" t="str">
        <f>IFERROR(__xludf.DUMMYFUNCTION("""COMPUTED_VALUE"""),"Psychiatry")</f>
        <v>Psychiatry</v>
      </c>
      <c r="K1066" s="5" t="str">
        <f>IFERROR(__xludf.DUMMYFUNCTION("""COMPUTED_VALUE"""),"Current")</f>
        <v>Current</v>
      </c>
      <c r="L1066" s="5"/>
      <c r="M1066" s="5"/>
      <c r="N1066" s="10">
        <f>IFERROR(__xludf.DUMMYFUNCTION("""COMPUTED_VALUE"""),45121.0)</f>
        <v>45121</v>
      </c>
      <c r="O1066" s="5">
        <v>2023.0</v>
      </c>
      <c r="P1066" s="5" t="str">
        <f>IFERROR(__xludf.DUMMYFUNCTION("""COMPUTED_VALUE"""),"Limited Availability")</f>
        <v>Limited Availability</v>
      </c>
      <c r="Q1066" s="5" t="s">
        <v>122</v>
      </c>
      <c r="R1066" s="5" t="s">
        <v>136</v>
      </c>
      <c r="S1066" s="11">
        <v>1200.0</v>
      </c>
    </row>
    <row r="1067">
      <c r="A1067" s="5" t="str">
        <f>IFERROR(__xludf.DUMMYFUNCTION("""COMPUTED_VALUE"""),"Lisdexamfetamine Dimesylate Capsule")</f>
        <v>Lisdexamfetamine Dimesylate Capsule</v>
      </c>
      <c r="B1067" s="5" t="str">
        <f>IFERROR(__xludf.DUMMYFUNCTION("""COMPUTED_VALUE"""),"Solco Healthcare US, LLC")</f>
        <v>Solco Healthcare US, LLC</v>
      </c>
      <c r="C1067" s="5" t="str">
        <f>IFERROR(__xludf.DUMMYFUNCTION("""COMPUTED_VALUE"""),"Lisdexamfetamine Dimesylate, Capsule, 70 mg (NDC 43547-608-10)")</f>
        <v>Lisdexamfetamine Dimesylate, Capsule, 70 mg (NDC 43547-608-10)</v>
      </c>
      <c r="D1067" s="5" t="str">
        <f>IFERROR(__xludf.DUMMYFUNCTION("""COMPUTED_VALUE"""),"Reverified")</f>
        <v>Reverified</v>
      </c>
      <c r="E1067" s="10">
        <f>IFERROR(__xludf.DUMMYFUNCTION("""COMPUTED_VALUE"""),46202.0)</f>
        <v>46202</v>
      </c>
      <c r="F1067" s="5" t="str">
        <f>IFERROR(__xludf.DUMMYFUNCTION("""COMPUTED_VALUE"""),"Limited Availability")</f>
        <v>Limited Availability</v>
      </c>
      <c r="G1067" s="5" t="str">
        <f>IFERROR(__xludf.DUMMYFUNCTION("""COMPUTED_VALUE"""),"On allocation")</f>
        <v>On allocation</v>
      </c>
      <c r="H1067" s="5"/>
      <c r="I1067" s="5" t="str">
        <f>IFERROR(__xludf.DUMMYFUNCTION("""COMPUTED_VALUE"""),"Shortage of an active ingredient")</f>
        <v>Shortage of an active ingredient</v>
      </c>
      <c r="J1067" s="5" t="str">
        <f>IFERROR(__xludf.DUMMYFUNCTION("""COMPUTED_VALUE"""),"Psychiatry")</f>
        <v>Psychiatry</v>
      </c>
      <c r="K1067" s="5" t="str">
        <f>IFERROR(__xludf.DUMMYFUNCTION("""COMPUTED_VALUE"""),"Current")</f>
        <v>Current</v>
      </c>
      <c r="L1067" s="5"/>
      <c r="M1067" s="5"/>
      <c r="N1067" s="10">
        <f>IFERROR(__xludf.DUMMYFUNCTION("""COMPUTED_VALUE"""),45121.0)</f>
        <v>45121</v>
      </c>
      <c r="O1067" s="5">
        <v>2023.0</v>
      </c>
      <c r="P1067" s="5" t="str">
        <f>IFERROR(__xludf.DUMMYFUNCTION("""COMPUTED_VALUE"""),"Limited Availability")</f>
        <v>Limited Availability</v>
      </c>
      <c r="Q1067" s="5" t="s">
        <v>122</v>
      </c>
      <c r="R1067" s="5" t="s">
        <v>136</v>
      </c>
      <c r="S1067" s="11">
        <v>1200.0</v>
      </c>
    </row>
    <row r="1068">
      <c r="A1068" s="5" t="str">
        <f>IFERROR(__xludf.DUMMYFUNCTION("""COMPUTED_VALUE"""),"Lisdexamfetamine Dimesylate Capsule")</f>
        <v>Lisdexamfetamine Dimesylate Capsule</v>
      </c>
      <c r="B1068" s="5" t="str">
        <f>IFERROR(__xludf.DUMMYFUNCTION("""COMPUTED_VALUE"""),"Takeda Pharmaceuticals USA Inc.")</f>
        <v>Takeda Pharmaceuticals USA Inc.</v>
      </c>
      <c r="C1068" s="5" t="str">
        <f>IFERROR(__xludf.DUMMYFUNCTION("""COMPUTED_VALUE"""),"Vyvanse, Capsule, 10 mg (NDC 59417-101-10)")</f>
        <v>Vyvanse, Capsule, 10 mg (NDC 59417-101-10)</v>
      </c>
      <c r="D1068" s="5" t="str">
        <f>IFERROR(__xludf.DUMMYFUNCTION("""COMPUTED_VALUE"""),"Reverified")</f>
        <v>Reverified</v>
      </c>
      <c r="E1068" s="13">
        <f>IFERROR(__xludf.DUMMYFUNCTION("""COMPUTED_VALUE"""),46310.0)</f>
        <v>46310</v>
      </c>
      <c r="F1068" s="5" t="str">
        <f>IFERROR(__xludf.DUMMYFUNCTION("""COMPUTED_VALUE"""),"Available")</f>
        <v>Available</v>
      </c>
      <c r="G1068" s="5"/>
      <c r="H1068" s="5"/>
      <c r="I1068" s="5"/>
      <c r="J1068" s="5" t="str">
        <f>IFERROR(__xludf.DUMMYFUNCTION("""COMPUTED_VALUE"""),"Psychiatry")</f>
        <v>Psychiatry</v>
      </c>
      <c r="K1068" s="5" t="str">
        <f>IFERROR(__xludf.DUMMYFUNCTION("""COMPUTED_VALUE"""),"Current")</f>
        <v>Current</v>
      </c>
      <c r="L1068" s="5"/>
      <c r="M1068" s="5"/>
      <c r="N1068" s="10">
        <f>IFERROR(__xludf.DUMMYFUNCTION("""COMPUTED_VALUE"""),45121.0)</f>
        <v>45121</v>
      </c>
      <c r="O1068" s="5">
        <v>2023.0</v>
      </c>
      <c r="P1068" s="5" t="str">
        <f>IFERROR(__xludf.DUMMYFUNCTION("""COMPUTED_VALUE"""),"Available")</f>
        <v>Available</v>
      </c>
      <c r="Q1068" s="5" t="s">
        <v>135</v>
      </c>
      <c r="R1068" s="5" t="s">
        <v>136</v>
      </c>
      <c r="S1068" s="11">
        <v>1200.0</v>
      </c>
    </row>
    <row r="1069">
      <c r="A1069" s="5" t="str">
        <f>IFERROR(__xludf.DUMMYFUNCTION("""COMPUTED_VALUE"""),"Lisdexamfetamine Dimesylate Capsule")</f>
        <v>Lisdexamfetamine Dimesylate Capsule</v>
      </c>
      <c r="B1069" s="5" t="str">
        <f>IFERROR(__xludf.DUMMYFUNCTION("""COMPUTED_VALUE"""),"Takeda Pharmaceuticals USA Inc.")</f>
        <v>Takeda Pharmaceuticals USA Inc.</v>
      </c>
      <c r="C1069" s="5" t="str">
        <f>IFERROR(__xludf.DUMMYFUNCTION("""COMPUTED_VALUE"""),"Vyvanse, Capsule, 20 mg (NDC 59417-102-10)")</f>
        <v>Vyvanse, Capsule, 20 mg (NDC 59417-102-10)</v>
      </c>
      <c r="D1069" s="5" t="str">
        <f>IFERROR(__xludf.DUMMYFUNCTION("""COMPUTED_VALUE"""),"Reverified")</f>
        <v>Reverified</v>
      </c>
      <c r="E1069" s="13">
        <f>IFERROR(__xludf.DUMMYFUNCTION("""COMPUTED_VALUE"""),46310.0)</f>
        <v>46310</v>
      </c>
      <c r="F1069" s="5" t="str">
        <f>IFERROR(__xludf.DUMMYFUNCTION("""COMPUTED_VALUE"""),"Available")</f>
        <v>Available</v>
      </c>
      <c r="G1069" s="5"/>
      <c r="H1069" s="5"/>
      <c r="I1069" s="5"/>
      <c r="J1069" s="5" t="str">
        <f>IFERROR(__xludf.DUMMYFUNCTION("""COMPUTED_VALUE"""),"Psychiatry")</f>
        <v>Psychiatry</v>
      </c>
      <c r="K1069" s="5" t="str">
        <f>IFERROR(__xludf.DUMMYFUNCTION("""COMPUTED_VALUE"""),"Current")</f>
        <v>Current</v>
      </c>
      <c r="L1069" s="5"/>
      <c r="M1069" s="5"/>
      <c r="N1069" s="10">
        <f>IFERROR(__xludf.DUMMYFUNCTION("""COMPUTED_VALUE"""),45121.0)</f>
        <v>45121</v>
      </c>
      <c r="O1069" s="5">
        <v>2023.0</v>
      </c>
      <c r="P1069" s="5" t="str">
        <f>IFERROR(__xludf.DUMMYFUNCTION("""COMPUTED_VALUE"""),"Available")</f>
        <v>Available</v>
      </c>
      <c r="Q1069" s="5" t="s">
        <v>135</v>
      </c>
      <c r="R1069" s="5" t="s">
        <v>136</v>
      </c>
      <c r="S1069" s="11">
        <v>1200.0</v>
      </c>
    </row>
    <row r="1070">
      <c r="A1070" s="5" t="str">
        <f>IFERROR(__xludf.DUMMYFUNCTION("""COMPUTED_VALUE"""),"Lisdexamfetamine Dimesylate Capsule")</f>
        <v>Lisdexamfetamine Dimesylate Capsule</v>
      </c>
      <c r="B1070" s="5" t="str">
        <f>IFERROR(__xludf.DUMMYFUNCTION("""COMPUTED_VALUE"""),"Takeda Pharmaceuticals USA Inc.")</f>
        <v>Takeda Pharmaceuticals USA Inc.</v>
      </c>
      <c r="C1070" s="5" t="str">
        <f>IFERROR(__xludf.DUMMYFUNCTION("""COMPUTED_VALUE"""),"Vyvanse, Capsule, 30 mg (NDC 59417-103-10)")</f>
        <v>Vyvanse, Capsule, 30 mg (NDC 59417-103-10)</v>
      </c>
      <c r="D1070" s="5" t="str">
        <f>IFERROR(__xludf.DUMMYFUNCTION("""COMPUTED_VALUE"""),"Reverified")</f>
        <v>Reverified</v>
      </c>
      <c r="E1070" s="13">
        <f>IFERROR(__xludf.DUMMYFUNCTION("""COMPUTED_VALUE"""),46310.0)</f>
        <v>46310</v>
      </c>
      <c r="F1070" s="5" t="str">
        <f>IFERROR(__xludf.DUMMYFUNCTION("""COMPUTED_VALUE"""),"Available")</f>
        <v>Available</v>
      </c>
      <c r="G1070" s="5"/>
      <c r="H1070" s="5"/>
      <c r="I1070" s="5"/>
      <c r="J1070" s="5" t="str">
        <f>IFERROR(__xludf.DUMMYFUNCTION("""COMPUTED_VALUE"""),"Psychiatry")</f>
        <v>Psychiatry</v>
      </c>
      <c r="K1070" s="5" t="str">
        <f>IFERROR(__xludf.DUMMYFUNCTION("""COMPUTED_VALUE"""),"Current")</f>
        <v>Current</v>
      </c>
      <c r="L1070" s="5"/>
      <c r="M1070" s="5"/>
      <c r="N1070" s="10">
        <f>IFERROR(__xludf.DUMMYFUNCTION("""COMPUTED_VALUE"""),45121.0)</f>
        <v>45121</v>
      </c>
      <c r="O1070" s="5">
        <v>2023.0</v>
      </c>
      <c r="P1070" s="5" t="str">
        <f>IFERROR(__xludf.DUMMYFUNCTION("""COMPUTED_VALUE"""),"Available")</f>
        <v>Available</v>
      </c>
      <c r="Q1070" s="5" t="s">
        <v>135</v>
      </c>
      <c r="R1070" s="5" t="s">
        <v>136</v>
      </c>
      <c r="S1070" s="11">
        <v>1200.0</v>
      </c>
    </row>
    <row r="1071">
      <c r="A1071" s="5" t="str">
        <f>IFERROR(__xludf.DUMMYFUNCTION("""COMPUTED_VALUE"""),"Lisdexamfetamine Dimesylate Capsule")</f>
        <v>Lisdexamfetamine Dimesylate Capsule</v>
      </c>
      <c r="B1071" s="5" t="str">
        <f>IFERROR(__xludf.DUMMYFUNCTION("""COMPUTED_VALUE"""),"Takeda Pharmaceuticals USA Inc.")</f>
        <v>Takeda Pharmaceuticals USA Inc.</v>
      </c>
      <c r="C1071" s="5" t="str">
        <f>IFERROR(__xludf.DUMMYFUNCTION("""COMPUTED_VALUE"""),"Vyvanse, Capsule, 40 mg (NDC 59417-104-10)")</f>
        <v>Vyvanse, Capsule, 40 mg (NDC 59417-104-10)</v>
      </c>
      <c r="D1071" s="5" t="str">
        <f>IFERROR(__xludf.DUMMYFUNCTION("""COMPUTED_VALUE"""),"Reverified")</f>
        <v>Reverified</v>
      </c>
      <c r="E1071" s="13">
        <f>IFERROR(__xludf.DUMMYFUNCTION("""COMPUTED_VALUE"""),46310.0)</f>
        <v>46310</v>
      </c>
      <c r="F1071" s="5" t="str">
        <f>IFERROR(__xludf.DUMMYFUNCTION("""COMPUTED_VALUE"""),"Available")</f>
        <v>Available</v>
      </c>
      <c r="G1071" s="5"/>
      <c r="H1071" s="5"/>
      <c r="I1071" s="5"/>
      <c r="J1071" s="5" t="str">
        <f>IFERROR(__xludf.DUMMYFUNCTION("""COMPUTED_VALUE"""),"Psychiatry")</f>
        <v>Psychiatry</v>
      </c>
      <c r="K1071" s="5" t="str">
        <f>IFERROR(__xludf.DUMMYFUNCTION("""COMPUTED_VALUE"""),"Current")</f>
        <v>Current</v>
      </c>
      <c r="L1071" s="5"/>
      <c r="M1071" s="5"/>
      <c r="N1071" s="10">
        <f>IFERROR(__xludf.DUMMYFUNCTION("""COMPUTED_VALUE"""),45121.0)</f>
        <v>45121</v>
      </c>
      <c r="O1071" s="5">
        <v>2023.0</v>
      </c>
      <c r="P1071" s="5" t="str">
        <f>IFERROR(__xludf.DUMMYFUNCTION("""COMPUTED_VALUE"""),"Available")</f>
        <v>Available</v>
      </c>
      <c r="Q1071" s="5" t="s">
        <v>135</v>
      </c>
      <c r="R1071" s="5" t="s">
        <v>136</v>
      </c>
      <c r="S1071" s="11">
        <v>1200.0</v>
      </c>
    </row>
    <row r="1072">
      <c r="A1072" s="5" t="str">
        <f>IFERROR(__xludf.DUMMYFUNCTION("""COMPUTED_VALUE"""),"Lisdexamfetamine Dimesylate Capsule")</f>
        <v>Lisdexamfetamine Dimesylate Capsule</v>
      </c>
      <c r="B1072" s="5" t="str">
        <f>IFERROR(__xludf.DUMMYFUNCTION("""COMPUTED_VALUE"""),"Takeda Pharmaceuticals USA Inc.")</f>
        <v>Takeda Pharmaceuticals USA Inc.</v>
      </c>
      <c r="C1072" s="5" t="str">
        <f>IFERROR(__xludf.DUMMYFUNCTION("""COMPUTED_VALUE"""),"Vyvanse, Capsule, 50 mg (NDC 59417-105-10)")</f>
        <v>Vyvanse, Capsule, 50 mg (NDC 59417-105-10)</v>
      </c>
      <c r="D1072" s="5" t="str">
        <f>IFERROR(__xludf.DUMMYFUNCTION("""COMPUTED_VALUE"""),"Reverified")</f>
        <v>Reverified</v>
      </c>
      <c r="E1072" s="13">
        <f>IFERROR(__xludf.DUMMYFUNCTION("""COMPUTED_VALUE"""),46310.0)</f>
        <v>46310</v>
      </c>
      <c r="F1072" s="5" t="str">
        <f>IFERROR(__xludf.DUMMYFUNCTION("""COMPUTED_VALUE"""),"Available")</f>
        <v>Available</v>
      </c>
      <c r="G1072" s="5"/>
      <c r="H1072" s="5"/>
      <c r="I1072" s="5"/>
      <c r="J1072" s="5" t="str">
        <f>IFERROR(__xludf.DUMMYFUNCTION("""COMPUTED_VALUE"""),"Psychiatry")</f>
        <v>Psychiatry</v>
      </c>
      <c r="K1072" s="5" t="str">
        <f>IFERROR(__xludf.DUMMYFUNCTION("""COMPUTED_VALUE"""),"Current")</f>
        <v>Current</v>
      </c>
      <c r="L1072" s="5"/>
      <c r="M1072" s="5"/>
      <c r="N1072" s="10">
        <f>IFERROR(__xludf.DUMMYFUNCTION("""COMPUTED_VALUE"""),45121.0)</f>
        <v>45121</v>
      </c>
      <c r="O1072" s="5">
        <v>2023.0</v>
      </c>
      <c r="P1072" s="5" t="str">
        <f>IFERROR(__xludf.DUMMYFUNCTION("""COMPUTED_VALUE"""),"Available")</f>
        <v>Available</v>
      </c>
      <c r="Q1072" s="5" t="s">
        <v>135</v>
      </c>
      <c r="R1072" s="5" t="s">
        <v>136</v>
      </c>
      <c r="S1072" s="11">
        <v>1200.0</v>
      </c>
    </row>
    <row r="1073">
      <c r="A1073" s="5" t="str">
        <f>IFERROR(__xludf.DUMMYFUNCTION("""COMPUTED_VALUE"""),"Lisdexamfetamine Dimesylate Capsule")</f>
        <v>Lisdexamfetamine Dimesylate Capsule</v>
      </c>
      <c r="B1073" s="5" t="str">
        <f>IFERROR(__xludf.DUMMYFUNCTION("""COMPUTED_VALUE"""),"Takeda Pharmaceuticals USA Inc.")</f>
        <v>Takeda Pharmaceuticals USA Inc.</v>
      </c>
      <c r="C1073" s="5" t="str">
        <f>IFERROR(__xludf.DUMMYFUNCTION("""COMPUTED_VALUE"""),"Vyvanse, Capsule, 60 mg (NDC 59417-106-10)")</f>
        <v>Vyvanse, Capsule, 60 mg (NDC 59417-106-10)</v>
      </c>
      <c r="D1073" s="5" t="str">
        <f>IFERROR(__xludf.DUMMYFUNCTION("""COMPUTED_VALUE"""),"Reverified")</f>
        <v>Reverified</v>
      </c>
      <c r="E1073" s="13">
        <f>IFERROR(__xludf.DUMMYFUNCTION("""COMPUTED_VALUE"""),46310.0)</f>
        <v>46310</v>
      </c>
      <c r="F1073" s="5" t="str">
        <f>IFERROR(__xludf.DUMMYFUNCTION("""COMPUTED_VALUE"""),"Available")</f>
        <v>Available</v>
      </c>
      <c r="G1073" s="5"/>
      <c r="H1073" s="5"/>
      <c r="I1073" s="5"/>
      <c r="J1073" s="5" t="str">
        <f>IFERROR(__xludf.DUMMYFUNCTION("""COMPUTED_VALUE"""),"Psychiatry")</f>
        <v>Psychiatry</v>
      </c>
      <c r="K1073" s="5" t="str">
        <f>IFERROR(__xludf.DUMMYFUNCTION("""COMPUTED_VALUE"""),"Current")</f>
        <v>Current</v>
      </c>
      <c r="L1073" s="5"/>
      <c r="M1073" s="5"/>
      <c r="N1073" s="10">
        <f>IFERROR(__xludf.DUMMYFUNCTION("""COMPUTED_VALUE"""),45121.0)</f>
        <v>45121</v>
      </c>
      <c r="O1073" s="5">
        <v>2023.0</v>
      </c>
      <c r="P1073" s="5" t="str">
        <f>IFERROR(__xludf.DUMMYFUNCTION("""COMPUTED_VALUE"""),"Available")</f>
        <v>Available</v>
      </c>
      <c r="Q1073" s="5" t="s">
        <v>135</v>
      </c>
      <c r="R1073" s="5" t="s">
        <v>136</v>
      </c>
      <c r="S1073" s="11">
        <v>1200.0</v>
      </c>
    </row>
    <row r="1074">
      <c r="A1074" s="5" t="str">
        <f>IFERROR(__xludf.DUMMYFUNCTION("""COMPUTED_VALUE"""),"Lisdexamfetamine Dimesylate Capsule")</f>
        <v>Lisdexamfetamine Dimesylate Capsule</v>
      </c>
      <c r="B1074" s="5" t="str">
        <f>IFERROR(__xludf.DUMMYFUNCTION("""COMPUTED_VALUE"""),"Takeda Pharmaceuticals USA Inc.")</f>
        <v>Takeda Pharmaceuticals USA Inc.</v>
      </c>
      <c r="C1074" s="5" t="str">
        <f>IFERROR(__xludf.DUMMYFUNCTION("""COMPUTED_VALUE"""),"Vyvanse, Capsule, 70 mg (NDC 59417-107-10)")</f>
        <v>Vyvanse, Capsule, 70 mg (NDC 59417-107-10)</v>
      </c>
      <c r="D1074" s="5" t="str">
        <f>IFERROR(__xludf.DUMMYFUNCTION("""COMPUTED_VALUE"""),"Reverified")</f>
        <v>Reverified</v>
      </c>
      <c r="E1074" s="13">
        <f>IFERROR(__xludf.DUMMYFUNCTION("""COMPUTED_VALUE"""),46310.0)</f>
        <v>46310</v>
      </c>
      <c r="F1074" s="5" t="str">
        <f>IFERROR(__xludf.DUMMYFUNCTION("""COMPUTED_VALUE"""),"Available")</f>
        <v>Available</v>
      </c>
      <c r="G1074" s="5"/>
      <c r="H1074" s="5"/>
      <c r="I1074" s="5"/>
      <c r="J1074" s="5" t="str">
        <f>IFERROR(__xludf.DUMMYFUNCTION("""COMPUTED_VALUE"""),"Psychiatry")</f>
        <v>Psychiatry</v>
      </c>
      <c r="K1074" s="5" t="str">
        <f>IFERROR(__xludf.DUMMYFUNCTION("""COMPUTED_VALUE"""),"Current")</f>
        <v>Current</v>
      </c>
      <c r="L1074" s="5"/>
      <c r="M1074" s="5"/>
      <c r="N1074" s="10">
        <f>IFERROR(__xludf.DUMMYFUNCTION("""COMPUTED_VALUE"""),45121.0)</f>
        <v>45121</v>
      </c>
      <c r="O1074" s="5">
        <v>2023.0</v>
      </c>
      <c r="P1074" s="5" t="str">
        <f>IFERROR(__xludf.DUMMYFUNCTION("""COMPUTED_VALUE"""),"Available")</f>
        <v>Available</v>
      </c>
      <c r="Q1074" s="5" t="s">
        <v>135</v>
      </c>
      <c r="R1074" s="5" t="s">
        <v>136</v>
      </c>
      <c r="S1074" s="11">
        <v>1200.0</v>
      </c>
    </row>
    <row r="1075">
      <c r="A1075" s="5" t="str">
        <f>IFERROR(__xludf.DUMMYFUNCTION("""COMPUTED_VALUE"""),"Lisdexamfetamine Dimesylate Capsule")</f>
        <v>Lisdexamfetamine Dimesylate Capsule</v>
      </c>
      <c r="B1075" s="5" t="str">
        <f>IFERROR(__xludf.DUMMYFUNCTION("""COMPUTED_VALUE"""),"Elite Laboratories, Inc.")</f>
        <v>Elite Laboratories, Inc.</v>
      </c>
      <c r="C1075" s="5" t="str">
        <f>IFERROR(__xludf.DUMMYFUNCTION("""COMPUTED_VALUE"""),"Lisdexamfetamine Dimesylate, Capsule, 10 mg (NDC 64850-550-01)")</f>
        <v>Lisdexamfetamine Dimesylate, Capsule, 10 mg (NDC 64850-550-01)</v>
      </c>
      <c r="D1075" s="5" t="str">
        <f>IFERROR(__xludf.DUMMYFUNCTION("""COMPUTED_VALUE"""),"Reverified")</f>
        <v>Reverified</v>
      </c>
      <c r="E1075" s="13">
        <f>IFERROR(__xludf.DUMMYFUNCTION("""COMPUTED_VALUE"""),46310.0)</f>
        <v>46310</v>
      </c>
      <c r="F1075" s="5" t="str">
        <f>IFERROR(__xludf.DUMMYFUNCTION("""COMPUTED_VALUE"""),"Limited Availability")</f>
        <v>Limited Availability</v>
      </c>
      <c r="G1075" s="5" t="str">
        <f>IFERROR(__xludf.DUMMYFUNCTION("""COMPUTED_VALUE"""),"Estimated recovery: TBD")</f>
        <v>Estimated recovery: TBD</v>
      </c>
      <c r="H1075" s="5"/>
      <c r="I1075" s="5" t="str">
        <f>IFERROR(__xludf.DUMMYFUNCTION("""COMPUTED_VALUE"""),"Shortage of an active ingredient")</f>
        <v>Shortage of an active ingredient</v>
      </c>
      <c r="J1075" s="5" t="str">
        <f>IFERROR(__xludf.DUMMYFUNCTION("""COMPUTED_VALUE"""),"Psychiatry")</f>
        <v>Psychiatry</v>
      </c>
      <c r="K1075" s="5" t="str">
        <f>IFERROR(__xludf.DUMMYFUNCTION("""COMPUTED_VALUE"""),"Current")</f>
        <v>Current</v>
      </c>
      <c r="L1075" s="5"/>
      <c r="M1075" s="5"/>
      <c r="N1075" s="10">
        <f>IFERROR(__xludf.DUMMYFUNCTION("""COMPUTED_VALUE"""),45121.0)</f>
        <v>45121</v>
      </c>
      <c r="O1075" s="5">
        <v>2023.0</v>
      </c>
      <c r="P1075" s="5" t="str">
        <f>IFERROR(__xludf.DUMMYFUNCTION("""COMPUTED_VALUE"""),"Limited Availability")</f>
        <v>Limited Availability</v>
      </c>
      <c r="Q1075" s="5" t="s">
        <v>122</v>
      </c>
      <c r="R1075" s="5" t="s">
        <v>136</v>
      </c>
      <c r="S1075" s="11">
        <v>1200.0</v>
      </c>
    </row>
    <row r="1076">
      <c r="A1076" s="5" t="str">
        <f>IFERROR(__xludf.DUMMYFUNCTION("""COMPUTED_VALUE"""),"Lisdexamfetamine Dimesylate Capsule")</f>
        <v>Lisdexamfetamine Dimesylate Capsule</v>
      </c>
      <c r="B1076" s="5" t="str">
        <f>IFERROR(__xludf.DUMMYFUNCTION("""COMPUTED_VALUE"""),"Elite Laboratories, Inc.")</f>
        <v>Elite Laboratories, Inc.</v>
      </c>
      <c r="C1076" s="5" t="str">
        <f>IFERROR(__xludf.DUMMYFUNCTION("""COMPUTED_VALUE"""),"Lisdexamfetamine Dimesylate, Capsule, 20 mg (NDC 64850-551-01)")</f>
        <v>Lisdexamfetamine Dimesylate, Capsule, 20 mg (NDC 64850-551-01)</v>
      </c>
      <c r="D1076" s="5" t="str">
        <f>IFERROR(__xludf.DUMMYFUNCTION("""COMPUTED_VALUE"""),"Reverified")</f>
        <v>Reverified</v>
      </c>
      <c r="E1076" s="13">
        <f>IFERROR(__xludf.DUMMYFUNCTION("""COMPUTED_VALUE"""),46310.0)</f>
        <v>46310</v>
      </c>
      <c r="F1076" s="5" t="str">
        <f>IFERROR(__xludf.DUMMYFUNCTION("""COMPUTED_VALUE"""),"Limited Availability")</f>
        <v>Limited Availability</v>
      </c>
      <c r="G1076" s="5" t="str">
        <f>IFERROR(__xludf.DUMMYFUNCTION("""COMPUTED_VALUE"""),"Estimated recovery: TBD")</f>
        <v>Estimated recovery: TBD</v>
      </c>
      <c r="H1076" s="5"/>
      <c r="I1076" s="5" t="str">
        <f>IFERROR(__xludf.DUMMYFUNCTION("""COMPUTED_VALUE"""),"Shortage of an active ingredient")</f>
        <v>Shortage of an active ingredient</v>
      </c>
      <c r="J1076" s="5" t="str">
        <f>IFERROR(__xludf.DUMMYFUNCTION("""COMPUTED_VALUE"""),"Psychiatry")</f>
        <v>Psychiatry</v>
      </c>
      <c r="K1076" s="5" t="str">
        <f>IFERROR(__xludf.DUMMYFUNCTION("""COMPUTED_VALUE"""),"Current")</f>
        <v>Current</v>
      </c>
      <c r="L1076" s="5"/>
      <c r="M1076" s="5"/>
      <c r="N1076" s="10">
        <f>IFERROR(__xludf.DUMMYFUNCTION("""COMPUTED_VALUE"""),45121.0)</f>
        <v>45121</v>
      </c>
      <c r="O1076" s="5">
        <v>2023.0</v>
      </c>
      <c r="P1076" s="5" t="str">
        <f>IFERROR(__xludf.DUMMYFUNCTION("""COMPUTED_VALUE"""),"Limited Availability")</f>
        <v>Limited Availability</v>
      </c>
      <c r="Q1076" s="5" t="s">
        <v>122</v>
      </c>
      <c r="R1076" s="5" t="s">
        <v>136</v>
      </c>
      <c r="S1076" s="11">
        <v>1200.0</v>
      </c>
    </row>
    <row r="1077">
      <c r="A1077" s="5" t="str">
        <f>IFERROR(__xludf.DUMMYFUNCTION("""COMPUTED_VALUE"""),"Lisdexamfetamine Dimesylate Capsule")</f>
        <v>Lisdexamfetamine Dimesylate Capsule</v>
      </c>
      <c r="B1077" s="5" t="str">
        <f>IFERROR(__xludf.DUMMYFUNCTION("""COMPUTED_VALUE"""),"Elite Laboratories, Inc.")</f>
        <v>Elite Laboratories, Inc.</v>
      </c>
      <c r="C1077" s="5" t="str">
        <f>IFERROR(__xludf.DUMMYFUNCTION("""COMPUTED_VALUE"""),"Lisdexamfetamine Dimesylate, Capsule, 30 mg (NDC 64850-552-01)")</f>
        <v>Lisdexamfetamine Dimesylate, Capsule, 30 mg (NDC 64850-552-01)</v>
      </c>
      <c r="D1077" s="5" t="str">
        <f>IFERROR(__xludf.DUMMYFUNCTION("""COMPUTED_VALUE"""),"Reverified")</f>
        <v>Reverified</v>
      </c>
      <c r="E1077" s="13">
        <f>IFERROR(__xludf.DUMMYFUNCTION("""COMPUTED_VALUE"""),46310.0)</f>
        <v>46310</v>
      </c>
      <c r="F1077" s="5" t="str">
        <f>IFERROR(__xludf.DUMMYFUNCTION("""COMPUTED_VALUE"""),"Limited Availability")</f>
        <v>Limited Availability</v>
      </c>
      <c r="G1077" s="5" t="str">
        <f>IFERROR(__xludf.DUMMYFUNCTION("""COMPUTED_VALUE"""),"Estimated recovery: TBD")</f>
        <v>Estimated recovery: TBD</v>
      </c>
      <c r="H1077" s="5"/>
      <c r="I1077" s="5" t="str">
        <f>IFERROR(__xludf.DUMMYFUNCTION("""COMPUTED_VALUE"""),"Shortage of an active ingredient")</f>
        <v>Shortage of an active ingredient</v>
      </c>
      <c r="J1077" s="5" t="str">
        <f>IFERROR(__xludf.DUMMYFUNCTION("""COMPUTED_VALUE"""),"Psychiatry")</f>
        <v>Psychiatry</v>
      </c>
      <c r="K1077" s="5" t="str">
        <f>IFERROR(__xludf.DUMMYFUNCTION("""COMPUTED_VALUE"""),"Current")</f>
        <v>Current</v>
      </c>
      <c r="L1077" s="5"/>
      <c r="M1077" s="5"/>
      <c r="N1077" s="10">
        <f>IFERROR(__xludf.DUMMYFUNCTION("""COMPUTED_VALUE"""),45121.0)</f>
        <v>45121</v>
      </c>
      <c r="O1077" s="5">
        <v>2023.0</v>
      </c>
      <c r="P1077" s="5" t="str">
        <f>IFERROR(__xludf.DUMMYFUNCTION("""COMPUTED_VALUE"""),"Limited Availability")</f>
        <v>Limited Availability</v>
      </c>
      <c r="Q1077" s="5" t="s">
        <v>122</v>
      </c>
      <c r="R1077" s="5" t="s">
        <v>136</v>
      </c>
      <c r="S1077" s="11">
        <v>1200.0</v>
      </c>
    </row>
    <row r="1078">
      <c r="A1078" s="5" t="str">
        <f>IFERROR(__xludf.DUMMYFUNCTION("""COMPUTED_VALUE"""),"Lisdexamfetamine Dimesylate Capsule")</f>
        <v>Lisdexamfetamine Dimesylate Capsule</v>
      </c>
      <c r="B1078" s="5" t="str">
        <f>IFERROR(__xludf.DUMMYFUNCTION("""COMPUTED_VALUE"""),"Elite Laboratories, Inc.")</f>
        <v>Elite Laboratories, Inc.</v>
      </c>
      <c r="C1078" s="5" t="str">
        <f>IFERROR(__xludf.DUMMYFUNCTION("""COMPUTED_VALUE"""),"Lisdexamfetamine Dimesylate, Capsule, 40 mg (NDC 64850-553-01)")</f>
        <v>Lisdexamfetamine Dimesylate, Capsule, 40 mg (NDC 64850-553-01)</v>
      </c>
      <c r="D1078" s="5" t="str">
        <f>IFERROR(__xludf.DUMMYFUNCTION("""COMPUTED_VALUE"""),"Reverified")</f>
        <v>Reverified</v>
      </c>
      <c r="E1078" s="13">
        <f>IFERROR(__xludf.DUMMYFUNCTION("""COMPUTED_VALUE"""),46310.0)</f>
        <v>46310</v>
      </c>
      <c r="F1078" s="5" t="str">
        <f>IFERROR(__xludf.DUMMYFUNCTION("""COMPUTED_VALUE"""),"Limited Availability")</f>
        <v>Limited Availability</v>
      </c>
      <c r="G1078" s="5" t="str">
        <f>IFERROR(__xludf.DUMMYFUNCTION("""COMPUTED_VALUE"""),"Estimated recovery: TBD")</f>
        <v>Estimated recovery: TBD</v>
      </c>
      <c r="H1078" s="5"/>
      <c r="I1078" s="5" t="str">
        <f>IFERROR(__xludf.DUMMYFUNCTION("""COMPUTED_VALUE"""),"Shortage of an active ingredient")</f>
        <v>Shortage of an active ingredient</v>
      </c>
      <c r="J1078" s="5" t="str">
        <f>IFERROR(__xludf.DUMMYFUNCTION("""COMPUTED_VALUE"""),"Psychiatry")</f>
        <v>Psychiatry</v>
      </c>
      <c r="K1078" s="5" t="str">
        <f>IFERROR(__xludf.DUMMYFUNCTION("""COMPUTED_VALUE"""),"Current")</f>
        <v>Current</v>
      </c>
      <c r="L1078" s="5"/>
      <c r="M1078" s="5"/>
      <c r="N1078" s="10">
        <f>IFERROR(__xludf.DUMMYFUNCTION("""COMPUTED_VALUE"""),45121.0)</f>
        <v>45121</v>
      </c>
      <c r="O1078" s="5">
        <v>2023.0</v>
      </c>
      <c r="P1078" s="5" t="str">
        <f>IFERROR(__xludf.DUMMYFUNCTION("""COMPUTED_VALUE"""),"Limited Availability")</f>
        <v>Limited Availability</v>
      </c>
      <c r="Q1078" s="5" t="s">
        <v>122</v>
      </c>
      <c r="R1078" s="5" t="s">
        <v>136</v>
      </c>
      <c r="S1078" s="11">
        <v>1200.0</v>
      </c>
    </row>
    <row r="1079">
      <c r="A1079" s="5" t="str">
        <f>IFERROR(__xludf.DUMMYFUNCTION("""COMPUTED_VALUE"""),"Lisdexamfetamine Dimesylate Capsule")</f>
        <v>Lisdexamfetamine Dimesylate Capsule</v>
      </c>
      <c r="B1079" s="5" t="str">
        <f>IFERROR(__xludf.DUMMYFUNCTION("""COMPUTED_VALUE"""),"Elite Laboratories, Inc.")</f>
        <v>Elite Laboratories, Inc.</v>
      </c>
      <c r="C1079" s="5" t="str">
        <f>IFERROR(__xludf.DUMMYFUNCTION("""COMPUTED_VALUE"""),"Lisdexamfetamine Dimesylate, Capsule, 50 mg (NDC 64850-554-01)")</f>
        <v>Lisdexamfetamine Dimesylate, Capsule, 50 mg (NDC 64850-554-01)</v>
      </c>
      <c r="D1079" s="5" t="str">
        <f>IFERROR(__xludf.DUMMYFUNCTION("""COMPUTED_VALUE"""),"Reverified")</f>
        <v>Reverified</v>
      </c>
      <c r="E1079" s="13">
        <f>IFERROR(__xludf.DUMMYFUNCTION("""COMPUTED_VALUE"""),46310.0)</f>
        <v>46310</v>
      </c>
      <c r="F1079" s="5" t="str">
        <f>IFERROR(__xludf.DUMMYFUNCTION("""COMPUTED_VALUE"""),"Limited Availability")</f>
        <v>Limited Availability</v>
      </c>
      <c r="G1079" s="5" t="str">
        <f>IFERROR(__xludf.DUMMYFUNCTION("""COMPUTED_VALUE"""),"Estimated recovery: TBD")</f>
        <v>Estimated recovery: TBD</v>
      </c>
      <c r="H1079" s="5"/>
      <c r="I1079" s="5" t="str">
        <f>IFERROR(__xludf.DUMMYFUNCTION("""COMPUTED_VALUE"""),"Shortage of an active ingredient")</f>
        <v>Shortage of an active ingredient</v>
      </c>
      <c r="J1079" s="5" t="str">
        <f>IFERROR(__xludf.DUMMYFUNCTION("""COMPUTED_VALUE"""),"Psychiatry")</f>
        <v>Psychiatry</v>
      </c>
      <c r="K1079" s="5" t="str">
        <f>IFERROR(__xludf.DUMMYFUNCTION("""COMPUTED_VALUE"""),"Current")</f>
        <v>Current</v>
      </c>
      <c r="L1079" s="5"/>
      <c r="M1079" s="5"/>
      <c r="N1079" s="10">
        <f>IFERROR(__xludf.DUMMYFUNCTION("""COMPUTED_VALUE"""),45121.0)</f>
        <v>45121</v>
      </c>
      <c r="O1079" s="5">
        <v>2023.0</v>
      </c>
      <c r="P1079" s="5" t="str">
        <f>IFERROR(__xludf.DUMMYFUNCTION("""COMPUTED_VALUE"""),"Limited Availability")</f>
        <v>Limited Availability</v>
      </c>
      <c r="Q1079" s="5" t="s">
        <v>122</v>
      </c>
      <c r="R1079" s="5" t="s">
        <v>136</v>
      </c>
      <c r="S1079" s="11">
        <v>1200.0</v>
      </c>
    </row>
    <row r="1080">
      <c r="A1080" s="5" t="str">
        <f>IFERROR(__xludf.DUMMYFUNCTION("""COMPUTED_VALUE"""),"Lisdexamfetamine Dimesylate Capsule")</f>
        <v>Lisdexamfetamine Dimesylate Capsule</v>
      </c>
      <c r="B1080" s="5" t="str">
        <f>IFERROR(__xludf.DUMMYFUNCTION("""COMPUTED_VALUE"""),"Elite Laboratories, Inc.")</f>
        <v>Elite Laboratories, Inc.</v>
      </c>
      <c r="C1080" s="5" t="str">
        <f>IFERROR(__xludf.DUMMYFUNCTION("""COMPUTED_VALUE"""),"Lisdexamfetamine Dimesylate, Capsule, 60 mg (NDC 64850-555-01)")</f>
        <v>Lisdexamfetamine Dimesylate, Capsule, 60 mg (NDC 64850-555-01)</v>
      </c>
      <c r="D1080" s="5" t="str">
        <f>IFERROR(__xludf.DUMMYFUNCTION("""COMPUTED_VALUE"""),"Reverified")</f>
        <v>Reverified</v>
      </c>
      <c r="E1080" s="13">
        <f>IFERROR(__xludf.DUMMYFUNCTION("""COMPUTED_VALUE"""),46310.0)</f>
        <v>46310</v>
      </c>
      <c r="F1080" s="5" t="str">
        <f>IFERROR(__xludf.DUMMYFUNCTION("""COMPUTED_VALUE"""),"Limited Availability")</f>
        <v>Limited Availability</v>
      </c>
      <c r="G1080" s="5" t="str">
        <f>IFERROR(__xludf.DUMMYFUNCTION("""COMPUTED_VALUE"""),"Estimated recovery: TBD")</f>
        <v>Estimated recovery: TBD</v>
      </c>
      <c r="H1080" s="5"/>
      <c r="I1080" s="5" t="str">
        <f>IFERROR(__xludf.DUMMYFUNCTION("""COMPUTED_VALUE"""),"Shortage of an active ingredient")</f>
        <v>Shortage of an active ingredient</v>
      </c>
      <c r="J1080" s="5" t="str">
        <f>IFERROR(__xludf.DUMMYFUNCTION("""COMPUTED_VALUE"""),"Psychiatry")</f>
        <v>Psychiatry</v>
      </c>
      <c r="K1080" s="5" t="str">
        <f>IFERROR(__xludf.DUMMYFUNCTION("""COMPUTED_VALUE"""),"Current")</f>
        <v>Current</v>
      </c>
      <c r="L1080" s="5"/>
      <c r="M1080" s="5"/>
      <c r="N1080" s="10">
        <f>IFERROR(__xludf.DUMMYFUNCTION("""COMPUTED_VALUE"""),45121.0)</f>
        <v>45121</v>
      </c>
      <c r="O1080" s="5">
        <v>2023.0</v>
      </c>
      <c r="P1080" s="5" t="str">
        <f>IFERROR(__xludf.DUMMYFUNCTION("""COMPUTED_VALUE"""),"Limited Availability")</f>
        <v>Limited Availability</v>
      </c>
      <c r="Q1080" s="5" t="s">
        <v>122</v>
      </c>
      <c r="R1080" s="5" t="s">
        <v>136</v>
      </c>
      <c r="S1080" s="11">
        <v>1200.0</v>
      </c>
    </row>
    <row r="1081">
      <c r="A1081" s="5" t="str">
        <f>IFERROR(__xludf.DUMMYFUNCTION("""COMPUTED_VALUE"""),"Lisdexamfetamine Dimesylate Capsule")</f>
        <v>Lisdexamfetamine Dimesylate Capsule</v>
      </c>
      <c r="B1081" s="5" t="str">
        <f>IFERROR(__xludf.DUMMYFUNCTION("""COMPUTED_VALUE"""),"Elite Laboratories, Inc.")</f>
        <v>Elite Laboratories, Inc.</v>
      </c>
      <c r="C1081" s="5" t="str">
        <f>IFERROR(__xludf.DUMMYFUNCTION("""COMPUTED_VALUE"""),"Lisdexamfetamine Dimesylate, Capsule, 70 mg (NDC 64850-556-01)")</f>
        <v>Lisdexamfetamine Dimesylate, Capsule, 70 mg (NDC 64850-556-01)</v>
      </c>
      <c r="D1081" s="5" t="str">
        <f>IFERROR(__xludf.DUMMYFUNCTION("""COMPUTED_VALUE"""),"Reverified")</f>
        <v>Reverified</v>
      </c>
      <c r="E1081" s="13">
        <f>IFERROR(__xludf.DUMMYFUNCTION("""COMPUTED_VALUE"""),46310.0)</f>
        <v>46310</v>
      </c>
      <c r="F1081" s="5" t="str">
        <f>IFERROR(__xludf.DUMMYFUNCTION("""COMPUTED_VALUE"""),"Limited Availability")</f>
        <v>Limited Availability</v>
      </c>
      <c r="G1081" s="5" t="str">
        <f>IFERROR(__xludf.DUMMYFUNCTION("""COMPUTED_VALUE"""),"Estimated recovery: TBD")</f>
        <v>Estimated recovery: TBD</v>
      </c>
      <c r="H1081" s="5"/>
      <c r="I1081" s="5" t="str">
        <f>IFERROR(__xludf.DUMMYFUNCTION("""COMPUTED_VALUE"""),"Shortage of an active ingredient")</f>
        <v>Shortage of an active ingredient</v>
      </c>
      <c r="J1081" s="5" t="str">
        <f>IFERROR(__xludf.DUMMYFUNCTION("""COMPUTED_VALUE"""),"Psychiatry")</f>
        <v>Psychiatry</v>
      </c>
      <c r="K1081" s="5" t="str">
        <f>IFERROR(__xludf.DUMMYFUNCTION("""COMPUTED_VALUE"""),"Current")</f>
        <v>Current</v>
      </c>
      <c r="L1081" s="5"/>
      <c r="M1081" s="5"/>
      <c r="N1081" s="10">
        <f>IFERROR(__xludf.DUMMYFUNCTION("""COMPUTED_VALUE"""),45121.0)</f>
        <v>45121</v>
      </c>
      <c r="O1081" s="5">
        <v>2023.0</v>
      </c>
      <c r="P1081" s="5" t="str">
        <f>IFERROR(__xludf.DUMMYFUNCTION("""COMPUTED_VALUE"""),"Limited Availability")</f>
        <v>Limited Availability</v>
      </c>
      <c r="Q1081" s="5" t="s">
        <v>122</v>
      </c>
      <c r="R1081" s="5" t="s">
        <v>136</v>
      </c>
      <c r="S1081" s="11">
        <v>1200.0</v>
      </c>
    </row>
    <row r="1082">
      <c r="A1082" s="5" t="str">
        <f>IFERROR(__xludf.DUMMYFUNCTION("""COMPUTED_VALUE"""),"Lisdexamfetamine Dimesylate Capsule")</f>
        <v>Lisdexamfetamine Dimesylate Capsule</v>
      </c>
      <c r="B1082" s="5" t="str">
        <f>IFERROR(__xludf.DUMMYFUNCTION("""COMPUTED_VALUE"""),"Teva Pharmaceuticals USA, Inc.")</f>
        <v>Teva Pharmaceuticals USA, Inc.</v>
      </c>
      <c r="C1082" s="5" t="str">
        <f>IFERROR(__xludf.DUMMYFUNCTION("""COMPUTED_VALUE"""),"Lisdexamfetamine Dimesylate, Capsule, 10 mg (NDC 0480-3565-01)")</f>
        <v>Lisdexamfetamine Dimesylate, Capsule, 10 mg (NDC 0480-3565-01)</v>
      </c>
      <c r="D1082" s="5" t="str">
        <f>IFERROR(__xludf.DUMMYFUNCTION("""COMPUTED_VALUE"""),"Reverified")</f>
        <v>Reverified</v>
      </c>
      <c r="E1082" s="13">
        <f>IFERROR(__xludf.DUMMYFUNCTION("""COMPUTED_VALUE"""),46310.0)</f>
        <v>46310</v>
      </c>
      <c r="F1082" s="5" t="str">
        <f>IFERROR(__xludf.DUMMYFUNCTION("""COMPUTED_VALUE"""),"Available")</f>
        <v>Available</v>
      </c>
      <c r="G1082" s="5"/>
      <c r="H1082" s="5"/>
      <c r="I1082" s="5"/>
      <c r="J1082" s="5" t="str">
        <f>IFERROR(__xludf.DUMMYFUNCTION("""COMPUTED_VALUE"""),"Psychiatry")</f>
        <v>Psychiatry</v>
      </c>
      <c r="K1082" s="5" t="str">
        <f>IFERROR(__xludf.DUMMYFUNCTION("""COMPUTED_VALUE"""),"Current")</f>
        <v>Current</v>
      </c>
      <c r="L1082" s="5"/>
      <c r="M1082" s="5"/>
      <c r="N1082" s="10">
        <f>IFERROR(__xludf.DUMMYFUNCTION("""COMPUTED_VALUE"""),45121.0)</f>
        <v>45121</v>
      </c>
      <c r="O1082" s="5">
        <v>2023.0</v>
      </c>
      <c r="P1082" s="5" t="str">
        <f>IFERROR(__xludf.DUMMYFUNCTION("""COMPUTED_VALUE"""),"Available")</f>
        <v>Available</v>
      </c>
      <c r="Q1082" s="5" t="s">
        <v>135</v>
      </c>
      <c r="R1082" s="5" t="s">
        <v>136</v>
      </c>
      <c r="S1082" s="11">
        <v>1200.0</v>
      </c>
    </row>
    <row r="1083">
      <c r="A1083" s="5" t="str">
        <f>IFERROR(__xludf.DUMMYFUNCTION("""COMPUTED_VALUE"""),"Lisdexamfetamine Dimesylate Capsule")</f>
        <v>Lisdexamfetamine Dimesylate Capsule</v>
      </c>
      <c r="B1083" s="5" t="str">
        <f>IFERROR(__xludf.DUMMYFUNCTION("""COMPUTED_VALUE"""),"Teva Pharmaceuticals USA, Inc.")</f>
        <v>Teva Pharmaceuticals USA, Inc.</v>
      </c>
      <c r="C1083" s="5" t="str">
        <f>IFERROR(__xludf.DUMMYFUNCTION("""COMPUTED_VALUE"""),"Lisdexamfetamine Dimesylate, Capsule, 20 mg (NDC 0480-3566-01)")</f>
        <v>Lisdexamfetamine Dimesylate, Capsule, 20 mg (NDC 0480-3566-01)</v>
      </c>
      <c r="D1083" s="5" t="str">
        <f>IFERROR(__xludf.DUMMYFUNCTION("""COMPUTED_VALUE"""),"Reverified")</f>
        <v>Reverified</v>
      </c>
      <c r="E1083" s="13">
        <f>IFERROR(__xludf.DUMMYFUNCTION("""COMPUTED_VALUE"""),46310.0)</f>
        <v>46310</v>
      </c>
      <c r="F1083" s="5" t="str">
        <f>IFERROR(__xludf.DUMMYFUNCTION("""COMPUTED_VALUE"""),"Available")</f>
        <v>Available</v>
      </c>
      <c r="G1083" s="5"/>
      <c r="H1083" s="5"/>
      <c r="I1083" s="5"/>
      <c r="J1083" s="5" t="str">
        <f>IFERROR(__xludf.DUMMYFUNCTION("""COMPUTED_VALUE"""),"Psychiatry")</f>
        <v>Psychiatry</v>
      </c>
      <c r="K1083" s="5" t="str">
        <f>IFERROR(__xludf.DUMMYFUNCTION("""COMPUTED_VALUE"""),"Current")</f>
        <v>Current</v>
      </c>
      <c r="L1083" s="5"/>
      <c r="M1083" s="5"/>
      <c r="N1083" s="10">
        <f>IFERROR(__xludf.DUMMYFUNCTION("""COMPUTED_VALUE"""),45121.0)</f>
        <v>45121</v>
      </c>
      <c r="O1083" s="5">
        <v>2023.0</v>
      </c>
      <c r="P1083" s="5" t="str">
        <f>IFERROR(__xludf.DUMMYFUNCTION("""COMPUTED_VALUE"""),"Available")</f>
        <v>Available</v>
      </c>
      <c r="Q1083" s="5" t="s">
        <v>135</v>
      </c>
      <c r="R1083" s="5" t="s">
        <v>136</v>
      </c>
      <c r="S1083" s="11">
        <v>1200.0</v>
      </c>
    </row>
    <row r="1084">
      <c r="A1084" s="5" t="str">
        <f>IFERROR(__xludf.DUMMYFUNCTION("""COMPUTED_VALUE"""),"Lisdexamfetamine Dimesylate Capsule")</f>
        <v>Lisdexamfetamine Dimesylate Capsule</v>
      </c>
      <c r="B1084" s="5" t="str">
        <f>IFERROR(__xludf.DUMMYFUNCTION("""COMPUTED_VALUE"""),"Teva Pharmaceuticals USA, Inc.")</f>
        <v>Teva Pharmaceuticals USA, Inc.</v>
      </c>
      <c r="C1084" s="5" t="str">
        <f>IFERROR(__xludf.DUMMYFUNCTION("""COMPUTED_VALUE"""),"Lisdexamfetamine Dimesylate, Capsule, 30 mg (NDC 0480-3567-01)")</f>
        <v>Lisdexamfetamine Dimesylate, Capsule, 30 mg (NDC 0480-3567-01)</v>
      </c>
      <c r="D1084" s="5" t="str">
        <f>IFERROR(__xludf.DUMMYFUNCTION("""COMPUTED_VALUE"""),"Reverified")</f>
        <v>Reverified</v>
      </c>
      <c r="E1084" s="13">
        <f>IFERROR(__xludf.DUMMYFUNCTION("""COMPUTED_VALUE"""),46310.0)</f>
        <v>46310</v>
      </c>
      <c r="F1084" s="5" t="str">
        <f>IFERROR(__xludf.DUMMYFUNCTION("""COMPUTED_VALUE"""),"Available")</f>
        <v>Available</v>
      </c>
      <c r="G1084" s="5"/>
      <c r="H1084" s="5"/>
      <c r="I1084" s="5"/>
      <c r="J1084" s="5" t="str">
        <f>IFERROR(__xludf.DUMMYFUNCTION("""COMPUTED_VALUE"""),"Psychiatry")</f>
        <v>Psychiatry</v>
      </c>
      <c r="K1084" s="5" t="str">
        <f>IFERROR(__xludf.DUMMYFUNCTION("""COMPUTED_VALUE"""),"Current")</f>
        <v>Current</v>
      </c>
      <c r="L1084" s="5"/>
      <c r="M1084" s="5"/>
      <c r="N1084" s="10">
        <f>IFERROR(__xludf.DUMMYFUNCTION("""COMPUTED_VALUE"""),45121.0)</f>
        <v>45121</v>
      </c>
      <c r="O1084" s="5">
        <v>2023.0</v>
      </c>
      <c r="P1084" s="5" t="str">
        <f>IFERROR(__xludf.DUMMYFUNCTION("""COMPUTED_VALUE"""),"Available")</f>
        <v>Available</v>
      </c>
      <c r="Q1084" s="5" t="s">
        <v>135</v>
      </c>
      <c r="R1084" s="5" t="s">
        <v>136</v>
      </c>
      <c r="S1084" s="11">
        <v>1200.0</v>
      </c>
    </row>
    <row r="1085">
      <c r="A1085" s="5" t="str">
        <f>IFERROR(__xludf.DUMMYFUNCTION("""COMPUTED_VALUE"""),"Lisdexamfetamine Dimesylate Capsule")</f>
        <v>Lisdexamfetamine Dimesylate Capsule</v>
      </c>
      <c r="B1085" s="5" t="str">
        <f>IFERROR(__xludf.DUMMYFUNCTION("""COMPUTED_VALUE"""),"Teva Pharmaceuticals USA, Inc.")</f>
        <v>Teva Pharmaceuticals USA, Inc.</v>
      </c>
      <c r="C1085" s="5" t="str">
        <f>IFERROR(__xludf.DUMMYFUNCTION("""COMPUTED_VALUE"""),"Lisdexamfetamine Dimesylate, Capsule, 40 mg (NDC 0480-3568-01)")</f>
        <v>Lisdexamfetamine Dimesylate, Capsule, 40 mg (NDC 0480-3568-01)</v>
      </c>
      <c r="D1085" s="5" t="str">
        <f>IFERROR(__xludf.DUMMYFUNCTION("""COMPUTED_VALUE"""),"Reverified")</f>
        <v>Reverified</v>
      </c>
      <c r="E1085" s="13">
        <f>IFERROR(__xludf.DUMMYFUNCTION("""COMPUTED_VALUE"""),46310.0)</f>
        <v>46310</v>
      </c>
      <c r="F1085" s="5" t="str">
        <f>IFERROR(__xludf.DUMMYFUNCTION("""COMPUTED_VALUE"""),"Available")</f>
        <v>Available</v>
      </c>
      <c r="G1085" s="5"/>
      <c r="H1085" s="5"/>
      <c r="I1085" s="5"/>
      <c r="J1085" s="5" t="str">
        <f>IFERROR(__xludf.DUMMYFUNCTION("""COMPUTED_VALUE"""),"Psychiatry")</f>
        <v>Psychiatry</v>
      </c>
      <c r="K1085" s="5" t="str">
        <f>IFERROR(__xludf.DUMMYFUNCTION("""COMPUTED_VALUE"""),"Current")</f>
        <v>Current</v>
      </c>
      <c r="L1085" s="5"/>
      <c r="M1085" s="5"/>
      <c r="N1085" s="10">
        <f>IFERROR(__xludf.DUMMYFUNCTION("""COMPUTED_VALUE"""),45121.0)</f>
        <v>45121</v>
      </c>
      <c r="O1085" s="5">
        <v>2023.0</v>
      </c>
      <c r="P1085" s="5" t="str">
        <f>IFERROR(__xludf.DUMMYFUNCTION("""COMPUTED_VALUE"""),"Available")</f>
        <v>Available</v>
      </c>
      <c r="Q1085" s="5" t="s">
        <v>135</v>
      </c>
      <c r="R1085" s="5" t="s">
        <v>136</v>
      </c>
      <c r="S1085" s="11">
        <v>1200.0</v>
      </c>
    </row>
    <row r="1086">
      <c r="A1086" s="5" t="str">
        <f>IFERROR(__xludf.DUMMYFUNCTION("""COMPUTED_VALUE"""),"Lisdexamfetamine Dimesylate Capsule")</f>
        <v>Lisdexamfetamine Dimesylate Capsule</v>
      </c>
      <c r="B1086" s="5" t="str">
        <f>IFERROR(__xludf.DUMMYFUNCTION("""COMPUTED_VALUE"""),"Teva Pharmaceuticals USA, Inc.")</f>
        <v>Teva Pharmaceuticals USA, Inc.</v>
      </c>
      <c r="C1086" s="5" t="str">
        <f>IFERROR(__xludf.DUMMYFUNCTION("""COMPUTED_VALUE"""),"Lisdexamfetamine Dimesylate, Capsule, 50 mg (NDC 0480-3569-01)")</f>
        <v>Lisdexamfetamine Dimesylate, Capsule, 50 mg (NDC 0480-3569-01)</v>
      </c>
      <c r="D1086" s="5" t="str">
        <f>IFERROR(__xludf.DUMMYFUNCTION("""COMPUTED_VALUE"""),"Reverified")</f>
        <v>Reverified</v>
      </c>
      <c r="E1086" s="13">
        <f>IFERROR(__xludf.DUMMYFUNCTION("""COMPUTED_VALUE"""),46310.0)</f>
        <v>46310</v>
      </c>
      <c r="F1086" s="5" t="str">
        <f>IFERROR(__xludf.DUMMYFUNCTION("""COMPUTED_VALUE"""),"Available")</f>
        <v>Available</v>
      </c>
      <c r="G1086" s="5"/>
      <c r="H1086" s="5"/>
      <c r="I1086" s="5"/>
      <c r="J1086" s="5" t="str">
        <f>IFERROR(__xludf.DUMMYFUNCTION("""COMPUTED_VALUE"""),"Psychiatry")</f>
        <v>Psychiatry</v>
      </c>
      <c r="K1086" s="5" t="str">
        <f>IFERROR(__xludf.DUMMYFUNCTION("""COMPUTED_VALUE"""),"Current")</f>
        <v>Current</v>
      </c>
      <c r="L1086" s="5"/>
      <c r="M1086" s="5"/>
      <c r="N1086" s="10">
        <f>IFERROR(__xludf.DUMMYFUNCTION("""COMPUTED_VALUE"""),45121.0)</f>
        <v>45121</v>
      </c>
      <c r="O1086" s="5">
        <v>2023.0</v>
      </c>
      <c r="P1086" s="5" t="str">
        <f>IFERROR(__xludf.DUMMYFUNCTION("""COMPUTED_VALUE"""),"Available")</f>
        <v>Available</v>
      </c>
      <c r="Q1086" s="5" t="s">
        <v>135</v>
      </c>
      <c r="R1086" s="5" t="s">
        <v>136</v>
      </c>
      <c r="S1086" s="11">
        <v>1200.0</v>
      </c>
    </row>
    <row r="1087">
      <c r="A1087" s="5" t="str">
        <f>IFERROR(__xludf.DUMMYFUNCTION("""COMPUTED_VALUE"""),"Lisdexamfetamine Dimesylate Capsule")</f>
        <v>Lisdexamfetamine Dimesylate Capsule</v>
      </c>
      <c r="B1087" s="5" t="str">
        <f>IFERROR(__xludf.DUMMYFUNCTION("""COMPUTED_VALUE"""),"Teva Pharmaceuticals USA, Inc.")</f>
        <v>Teva Pharmaceuticals USA, Inc.</v>
      </c>
      <c r="C1087" s="5" t="str">
        <f>IFERROR(__xludf.DUMMYFUNCTION("""COMPUTED_VALUE"""),"Lisdexamfetamine Dimesylate, Capsule, 60 mg (NDC 0480-3570-01)")</f>
        <v>Lisdexamfetamine Dimesylate, Capsule, 60 mg (NDC 0480-3570-01)</v>
      </c>
      <c r="D1087" s="5" t="str">
        <f>IFERROR(__xludf.DUMMYFUNCTION("""COMPUTED_VALUE"""),"Reverified")</f>
        <v>Reverified</v>
      </c>
      <c r="E1087" s="13">
        <f>IFERROR(__xludf.DUMMYFUNCTION("""COMPUTED_VALUE"""),46310.0)</f>
        <v>46310</v>
      </c>
      <c r="F1087" s="5" t="str">
        <f>IFERROR(__xludf.DUMMYFUNCTION("""COMPUTED_VALUE"""),"Available")</f>
        <v>Available</v>
      </c>
      <c r="G1087" s="5"/>
      <c r="H1087" s="5"/>
      <c r="I1087" s="5"/>
      <c r="J1087" s="5" t="str">
        <f>IFERROR(__xludf.DUMMYFUNCTION("""COMPUTED_VALUE"""),"Psychiatry")</f>
        <v>Psychiatry</v>
      </c>
      <c r="K1087" s="5" t="str">
        <f>IFERROR(__xludf.DUMMYFUNCTION("""COMPUTED_VALUE"""),"Current")</f>
        <v>Current</v>
      </c>
      <c r="L1087" s="5"/>
      <c r="M1087" s="5"/>
      <c r="N1087" s="10">
        <f>IFERROR(__xludf.DUMMYFUNCTION("""COMPUTED_VALUE"""),45121.0)</f>
        <v>45121</v>
      </c>
      <c r="O1087" s="5">
        <v>2023.0</v>
      </c>
      <c r="P1087" s="5" t="str">
        <f>IFERROR(__xludf.DUMMYFUNCTION("""COMPUTED_VALUE"""),"Available")</f>
        <v>Available</v>
      </c>
      <c r="Q1087" s="5" t="s">
        <v>135</v>
      </c>
      <c r="R1087" s="5" t="s">
        <v>136</v>
      </c>
      <c r="S1087" s="11">
        <v>1200.0</v>
      </c>
    </row>
    <row r="1088">
      <c r="A1088" s="5" t="str">
        <f>IFERROR(__xludf.DUMMYFUNCTION("""COMPUTED_VALUE"""),"Lisdexamfetamine Dimesylate Capsule")</f>
        <v>Lisdexamfetamine Dimesylate Capsule</v>
      </c>
      <c r="B1088" s="5" t="str">
        <f>IFERROR(__xludf.DUMMYFUNCTION("""COMPUTED_VALUE"""),"Teva Pharmaceuticals USA, Inc.")</f>
        <v>Teva Pharmaceuticals USA, Inc.</v>
      </c>
      <c r="C1088" s="5" t="str">
        <f>IFERROR(__xludf.DUMMYFUNCTION("""COMPUTED_VALUE"""),"Lisdexamfetamine Dimesylate, Capsule, 70 mg (NDC 0480-3564-01)")</f>
        <v>Lisdexamfetamine Dimesylate, Capsule, 70 mg (NDC 0480-3564-01)</v>
      </c>
      <c r="D1088" s="5" t="str">
        <f>IFERROR(__xludf.DUMMYFUNCTION("""COMPUTED_VALUE"""),"Reverified")</f>
        <v>Reverified</v>
      </c>
      <c r="E1088" s="13">
        <f>IFERROR(__xludf.DUMMYFUNCTION("""COMPUTED_VALUE"""),46310.0)</f>
        <v>46310</v>
      </c>
      <c r="F1088" s="5" t="str">
        <f>IFERROR(__xludf.DUMMYFUNCTION("""COMPUTED_VALUE"""),"Available")</f>
        <v>Available</v>
      </c>
      <c r="G1088" s="5"/>
      <c r="H1088" s="5"/>
      <c r="I1088" s="5"/>
      <c r="J1088" s="5" t="str">
        <f>IFERROR(__xludf.DUMMYFUNCTION("""COMPUTED_VALUE"""),"Psychiatry")</f>
        <v>Psychiatry</v>
      </c>
      <c r="K1088" s="5" t="str">
        <f>IFERROR(__xludf.DUMMYFUNCTION("""COMPUTED_VALUE"""),"Current")</f>
        <v>Current</v>
      </c>
      <c r="L1088" s="5"/>
      <c r="M1088" s="5"/>
      <c r="N1088" s="10">
        <f>IFERROR(__xludf.DUMMYFUNCTION("""COMPUTED_VALUE"""),45121.0)</f>
        <v>45121</v>
      </c>
      <c r="O1088" s="5">
        <v>2023.0</v>
      </c>
      <c r="P1088" s="5" t="str">
        <f>IFERROR(__xludf.DUMMYFUNCTION("""COMPUTED_VALUE"""),"Available")</f>
        <v>Available</v>
      </c>
      <c r="Q1088" s="5" t="s">
        <v>135</v>
      </c>
      <c r="R1088" s="5" t="s">
        <v>136</v>
      </c>
      <c r="S1088" s="11">
        <v>1200.0</v>
      </c>
    </row>
    <row r="1089">
      <c r="A1089" s="5" t="str">
        <f>IFERROR(__xludf.DUMMYFUNCTION("""COMPUTED_VALUE"""),"Lisdexamfetamine Dimesylate Capsule")</f>
        <v>Lisdexamfetamine Dimesylate Capsule</v>
      </c>
      <c r="B1089" s="5" t="str">
        <f>IFERROR(__xludf.DUMMYFUNCTION("""COMPUTED_VALUE"""),"Hikma Pharmaceuticals USA, Inc.")</f>
        <v>Hikma Pharmaceuticals USA, Inc.</v>
      </c>
      <c r="C1089" s="5" t="str">
        <f>IFERROR(__xludf.DUMMYFUNCTION("""COMPUTED_VALUE"""),"Lisdexamfetamine Dimesylate, Capsule, 10 mg (NDC 0054-0660-25)")</f>
        <v>Lisdexamfetamine Dimesylate, Capsule, 10 mg (NDC 0054-0660-25)</v>
      </c>
      <c r="D1089" s="5" t="str">
        <f>IFERROR(__xludf.DUMMYFUNCTION("""COMPUTED_VALUE"""),"Revised")</f>
        <v>Revised</v>
      </c>
      <c r="E1089" s="10">
        <f>IFERROR(__xludf.DUMMYFUNCTION("""COMPUTED_VALUE"""),46154.0)</f>
        <v>46154</v>
      </c>
      <c r="F1089" s="5" t="str">
        <f>IFERROR(__xludf.DUMMYFUNCTION("""COMPUTED_VALUE"""),"Limited Availability")</f>
        <v>Limited Availability</v>
      </c>
      <c r="G1089" s="5" t="str">
        <f>IFERROR(__xludf.DUMMYFUNCTION("""COMPUTED_VALUE"""),"Available on allocation")</f>
        <v>Available on allocation</v>
      </c>
      <c r="H1089" s="5"/>
      <c r="I1089" s="5" t="str">
        <f>IFERROR(__xludf.DUMMYFUNCTION("""COMPUTED_VALUE"""),"Shortage of an active ingredient")</f>
        <v>Shortage of an active ingredient</v>
      </c>
      <c r="J1089" s="5" t="str">
        <f>IFERROR(__xludf.DUMMYFUNCTION("""COMPUTED_VALUE"""),"Psychiatry")</f>
        <v>Psychiatry</v>
      </c>
      <c r="K1089" s="5" t="str">
        <f>IFERROR(__xludf.DUMMYFUNCTION("""COMPUTED_VALUE"""),"Current")</f>
        <v>Current</v>
      </c>
      <c r="L1089" s="5"/>
      <c r="M1089" s="5"/>
      <c r="N1089" s="10">
        <f>IFERROR(__xludf.DUMMYFUNCTION("""COMPUTED_VALUE"""),45121.0)</f>
        <v>45121</v>
      </c>
      <c r="O1089" s="5">
        <v>2023.0</v>
      </c>
      <c r="P1089" s="5" t="str">
        <f>IFERROR(__xludf.DUMMYFUNCTION("""COMPUTED_VALUE"""),"Limited Availability")</f>
        <v>Limited Availability</v>
      </c>
      <c r="Q1089" s="5" t="s">
        <v>122</v>
      </c>
      <c r="R1089" s="5" t="s">
        <v>136</v>
      </c>
      <c r="S1089" s="11">
        <v>1200.0</v>
      </c>
    </row>
    <row r="1090">
      <c r="A1090" s="5" t="str">
        <f>IFERROR(__xludf.DUMMYFUNCTION("""COMPUTED_VALUE"""),"Lisdexamfetamine Dimesylate Tablet, Chewable")</f>
        <v>Lisdexamfetamine Dimesylate Tablet, Chewable</v>
      </c>
      <c r="B1090" s="5" t="str">
        <f>IFERROR(__xludf.DUMMYFUNCTION("""COMPUTED_VALUE"""),"Takeda Pharmaceuticals USA Inc.")</f>
        <v>Takeda Pharmaceuticals USA Inc.</v>
      </c>
      <c r="C1090" s="5" t="str">
        <f>IFERROR(__xludf.DUMMYFUNCTION("""COMPUTED_VALUE"""),"Vyvanse, Tablet, Chewable, 10 mg (NDC 59417-115-01)")</f>
        <v>Vyvanse, Tablet, Chewable, 10 mg (NDC 59417-115-01)</v>
      </c>
      <c r="D1090" s="5" t="str">
        <f>IFERROR(__xludf.DUMMYFUNCTION("""COMPUTED_VALUE"""),"Reverified")</f>
        <v>Reverified</v>
      </c>
      <c r="E1090" s="13">
        <f>IFERROR(__xludf.DUMMYFUNCTION("""COMPUTED_VALUE"""),46310.0)</f>
        <v>46310</v>
      </c>
      <c r="F1090" s="5" t="str">
        <f>IFERROR(__xludf.DUMMYFUNCTION("""COMPUTED_VALUE"""),"Available")</f>
        <v>Available</v>
      </c>
      <c r="G1090" s="5"/>
      <c r="H1090" s="5"/>
      <c r="I1090" s="5"/>
      <c r="J1090" s="5" t="str">
        <f>IFERROR(__xludf.DUMMYFUNCTION("""COMPUTED_VALUE"""),"Psychiatry")</f>
        <v>Psychiatry</v>
      </c>
      <c r="K1090" s="5" t="str">
        <f>IFERROR(__xludf.DUMMYFUNCTION("""COMPUTED_VALUE"""),"Current")</f>
        <v>Current</v>
      </c>
      <c r="L1090" s="5"/>
      <c r="M1090" s="5"/>
      <c r="N1090" s="10">
        <f>IFERROR(__xludf.DUMMYFUNCTION("""COMPUTED_VALUE"""),45121.0)</f>
        <v>45121</v>
      </c>
      <c r="O1090" s="5">
        <v>2023.0</v>
      </c>
      <c r="P1090" s="5" t="str">
        <f>IFERROR(__xludf.DUMMYFUNCTION("""COMPUTED_VALUE"""),"Available")</f>
        <v>Available</v>
      </c>
      <c r="Q1090" s="5" t="s">
        <v>135</v>
      </c>
      <c r="R1090" s="5" t="s">
        <v>136</v>
      </c>
      <c r="S1090" s="11">
        <v>1200.0</v>
      </c>
    </row>
    <row r="1091">
      <c r="A1091" s="5" t="str">
        <f>IFERROR(__xludf.DUMMYFUNCTION("""COMPUTED_VALUE"""),"Lisdexamfetamine Dimesylate Tablet, Chewable")</f>
        <v>Lisdexamfetamine Dimesylate Tablet, Chewable</v>
      </c>
      <c r="B1091" s="5" t="str">
        <f>IFERROR(__xludf.DUMMYFUNCTION("""COMPUTED_VALUE"""),"Takeda Pharmaceuticals USA Inc.")</f>
        <v>Takeda Pharmaceuticals USA Inc.</v>
      </c>
      <c r="C1091" s="5" t="str">
        <f>IFERROR(__xludf.DUMMYFUNCTION("""COMPUTED_VALUE"""),"Vyvanse, Tablet, Chewable, 20 mg (NDC 59417-116-01)")</f>
        <v>Vyvanse, Tablet, Chewable, 20 mg (NDC 59417-116-01)</v>
      </c>
      <c r="D1091" s="5" t="str">
        <f>IFERROR(__xludf.DUMMYFUNCTION("""COMPUTED_VALUE"""),"Reverified")</f>
        <v>Reverified</v>
      </c>
      <c r="E1091" s="13">
        <f>IFERROR(__xludf.DUMMYFUNCTION("""COMPUTED_VALUE"""),46310.0)</f>
        <v>46310</v>
      </c>
      <c r="F1091" s="5" t="str">
        <f>IFERROR(__xludf.DUMMYFUNCTION("""COMPUTED_VALUE"""),"Available")</f>
        <v>Available</v>
      </c>
      <c r="G1091" s="5"/>
      <c r="H1091" s="5"/>
      <c r="I1091" s="5"/>
      <c r="J1091" s="5" t="str">
        <f>IFERROR(__xludf.DUMMYFUNCTION("""COMPUTED_VALUE"""),"Psychiatry")</f>
        <v>Psychiatry</v>
      </c>
      <c r="K1091" s="5" t="str">
        <f>IFERROR(__xludf.DUMMYFUNCTION("""COMPUTED_VALUE"""),"Current")</f>
        <v>Current</v>
      </c>
      <c r="L1091" s="5"/>
      <c r="M1091" s="5"/>
      <c r="N1091" s="10">
        <f>IFERROR(__xludf.DUMMYFUNCTION("""COMPUTED_VALUE"""),45121.0)</f>
        <v>45121</v>
      </c>
      <c r="O1091" s="5">
        <v>2023.0</v>
      </c>
      <c r="P1091" s="5" t="str">
        <f>IFERROR(__xludf.DUMMYFUNCTION("""COMPUTED_VALUE"""),"Available")</f>
        <v>Available</v>
      </c>
      <c r="Q1091" s="5" t="s">
        <v>135</v>
      </c>
      <c r="R1091" s="5" t="s">
        <v>136</v>
      </c>
      <c r="S1091" s="11">
        <v>1200.0</v>
      </c>
    </row>
    <row r="1092">
      <c r="A1092" s="5" t="str">
        <f>IFERROR(__xludf.DUMMYFUNCTION("""COMPUTED_VALUE"""),"Lisdexamfetamine Dimesylate Tablet, Chewable")</f>
        <v>Lisdexamfetamine Dimesylate Tablet, Chewable</v>
      </c>
      <c r="B1092" s="5" t="str">
        <f>IFERROR(__xludf.DUMMYFUNCTION("""COMPUTED_VALUE"""),"Takeda Pharmaceuticals USA Inc.")</f>
        <v>Takeda Pharmaceuticals USA Inc.</v>
      </c>
      <c r="C1092" s="5" t="str">
        <f>IFERROR(__xludf.DUMMYFUNCTION("""COMPUTED_VALUE"""),"Vyvanse, Tablet, Chewable, 30 mg (NDC 59417-117-01)")</f>
        <v>Vyvanse, Tablet, Chewable, 30 mg (NDC 59417-117-01)</v>
      </c>
      <c r="D1092" s="5" t="str">
        <f>IFERROR(__xludf.DUMMYFUNCTION("""COMPUTED_VALUE"""),"Reverified")</f>
        <v>Reverified</v>
      </c>
      <c r="E1092" s="13">
        <f>IFERROR(__xludf.DUMMYFUNCTION("""COMPUTED_VALUE"""),46310.0)</f>
        <v>46310</v>
      </c>
      <c r="F1092" s="5" t="str">
        <f>IFERROR(__xludf.DUMMYFUNCTION("""COMPUTED_VALUE"""),"Available")</f>
        <v>Available</v>
      </c>
      <c r="G1092" s="5"/>
      <c r="H1092" s="5"/>
      <c r="I1092" s="5"/>
      <c r="J1092" s="5" t="str">
        <f>IFERROR(__xludf.DUMMYFUNCTION("""COMPUTED_VALUE"""),"Psychiatry")</f>
        <v>Psychiatry</v>
      </c>
      <c r="K1092" s="5" t="str">
        <f>IFERROR(__xludf.DUMMYFUNCTION("""COMPUTED_VALUE"""),"Current")</f>
        <v>Current</v>
      </c>
      <c r="L1092" s="5"/>
      <c r="M1092" s="5"/>
      <c r="N1092" s="10">
        <f>IFERROR(__xludf.DUMMYFUNCTION("""COMPUTED_VALUE"""),45121.0)</f>
        <v>45121</v>
      </c>
      <c r="O1092" s="5">
        <v>2023.0</v>
      </c>
      <c r="P1092" s="5" t="str">
        <f>IFERROR(__xludf.DUMMYFUNCTION("""COMPUTED_VALUE"""),"Available")</f>
        <v>Available</v>
      </c>
      <c r="Q1092" s="5" t="s">
        <v>135</v>
      </c>
      <c r="R1092" s="5" t="s">
        <v>136</v>
      </c>
      <c r="S1092" s="11">
        <v>1200.0</v>
      </c>
    </row>
    <row r="1093">
      <c r="A1093" s="5" t="str">
        <f>IFERROR(__xludf.DUMMYFUNCTION("""COMPUTED_VALUE"""),"Lisdexamfetamine Dimesylate Tablet, Chewable")</f>
        <v>Lisdexamfetamine Dimesylate Tablet, Chewable</v>
      </c>
      <c r="B1093" s="5" t="str">
        <f>IFERROR(__xludf.DUMMYFUNCTION("""COMPUTED_VALUE"""),"Takeda Pharmaceuticals USA Inc.")</f>
        <v>Takeda Pharmaceuticals USA Inc.</v>
      </c>
      <c r="C1093" s="5" t="str">
        <f>IFERROR(__xludf.DUMMYFUNCTION("""COMPUTED_VALUE"""),"Vyvanse, Tablet, Chewable, 40 mg (NDC 59417-118-01)")</f>
        <v>Vyvanse, Tablet, Chewable, 40 mg (NDC 59417-118-01)</v>
      </c>
      <c r="D1093" s="5" t="str">
        <f>IFERROR(__xludf.DUMMYFUNCTION("""COMPUTED_VALUE"""),"Reverified")</f>
        <v>Reverified</v>
      </c>
      <c r="E1093" s="13">
        <f>IFERROR(__xludf.DUMMYFUNCTION("""COMPUTED_VALUE"""),46310.0)</f>
        <v>46310</v>
      </c>
      <c r="F1093" s="5" t="str">
        <f>IFERROR(__xludf.DUMMYFUNCTION("""COMPUTED_VALUE"""),"Available")</f>
        <v>Available</v>
      </c>
      <c r="G1093" s="5"/>
      <c r="H1093" s="5"/>
      <c r="I1093" s="5"/>
      <c r="J1093" s="5" t="str">
        <f>IFERROR(__xludf.DUMMYFUNCTION("""COMPUTED_VALUE"""),"Psychiatry")</f>
        <v>Psychiatry</v>
      </c>
      <c r="K1093" s="5" t="str">
        <f>IFERROR(__xludf.DUMMYFUNCTION("""COMPUTED_VALUE"""),"Current")</f>
        <v>Current</v>
      </c>
      <c r="L1093" s="5"/>
      <c r="M1093" s="5"/>
      <c r="N1093" s="10">
        <f>IFERROR(__xludf.DUMMYFUNCTION("""COMPUTED_VALUE"""),45121.0)</f>
        <v>45121</v>
      </c>
      <c r="O1093" s="5">
        <v>2023.0</v>
      </c>
      <c r="P1093" s="5" t="str">
        <f>IFERROR(__xludf.DUMMYFUNCTION("""COMPUTED_VALUE"""),"Available")</f>
        <v>Available</v>
      </c>
      <c r="Q1093" s="5" t="s">
        <v>135</v>
      </c>
      <c r="R1093" s="5" t="s">
        <v>136</v>
      </c>
      <c r="S1093" s="11">
        <v>1200.0</v>
      </c>
    </row>
    <row r="1094">
      <c r="A1094" s="5" t="str">
        <f>IFERROR(__xludf.DUMMYFUNCTION("""COMPUTED_VALUE"""),"Lisdexamfetamine Dimesylate Tablet, Chewable")</f>
        <v>Lisdexamfetamine Dimesylate Tablet, Chewable</v>
      </c>
      <c r="B1094" s="5" t="str">
        <f>IFERROR(__xludf.DUMMYFUNCTION("""COMPUTED_VALUE"""),"Takeda Pharmaceuticals USA Inc.")</f>
        <v>Takeda Pharmaceuticals USA Inc.</v>
      </c>
      <c r="C1094" s="5" t="str">
        <f>IFERROR(__xludf.DUMMYFUNCTION("""COMPUTED_VALUE"""),"Vyvanse, Tablet, Chewable, 50 mg (NDC 59417-119-01)")</f>
        <v>Vyvanse, Tablet, Chewable, 50 mg (NDC 59417-119-01)</v>
      </c>
      <c r="D1094" s="5" t="str">
        <f>IFERROR(__xludf.DUMMYFUNCTION("""COMPUTED_VALUE"""),"Reverified")</f>
        <v>Reverified</v>
      </c>
      <c r="E1094" s="13">
        <f>IFERROR(__xludf.DUMMYFUNCTION("""COMPUTED_VALUE"""),46310.0)</f>
        <v>46310</v>
      </c>
      <c r="F1094" s="5" t="str">
        <f>IFERROR(__xludf.DUMMYFUNCTION("""COMPUTED_VALUE"""),"Available")</f>
        <v>Available</v>
      </c>
      <c r="G1094" s="5"/>
      <c r="H1094" s="5"/>
      <c r="I1094" s="5"/>
      <c r="J1094" s="5" t="str">
        <f>IFERROR(__xludf.DUMMYFUNCTION("""COMPUTED_VALUE"""),"Psychiatry")</f>
        <v>Psychiatry</v>
      </c>
      <c r="K1094" s="5" t="str">
        <f>IFERROR(__xludf.DUMMYFUNCTION("""COMPUTED_VALUE"""),"Current")</f>
        <v>Current</v>
      </c>
      <c r="L1094" s="5"/>
      <c r="M1094" s="5"/>
      <c r="N1094" s="10">
        <f>IFERROR(__xludf.DUMMYFUNCTION("""COMPUTED_VALUE"""),45121.0)</f>
        <v>45121</v>
      </c>
      <c r="O1094" s="5">
        <v>2023.0</v>
      </c>
      <c r="P1094" s="5" t="str">
        <f>IFERROR(__xludf.DUMMYFUNCTION("""COMPUTED_VALUE"""),"Available")</f>
        <v>Available</v>
      </c>
      <c r="Q1094" s="5" t="s">
        <v>135</v>
      </c>
      <c r="R1094" s="5" t="s">
        <v>136</v>
      </c>
      <c r="S1094" s="11">
        <v>1200.0</v>
      </c>
    </row>
    <row r="1095">
      <c r="A1095" s="5" t="str">
        <f>IFERROR(__xludf.DUMMYFUNCTION("""COMPUTED_VALUE"""),"Lisdexamfetamine Dimesylate Tablet, Chewable")</f>
        <v>Lisdexamfetamine Dimesylate Tablet, Chewable</v>
      </c>
      <c r="B1095" s="5" t="str">
        <f>IFERROR(__xludf.DUMMYFUNCTION("""COMPUTED_VALUE"""),"Takeda Pharmaceuticals USA Inc.")</f>
        <v>Takeda Pharmaceuticals USA Inc.</v>
      </c>
      <c r="C1095" s="5" t="str">
        <f>IFERROR(__xludf.DUMMYFUNCTION("""COMPUTED_VALUE"""),"Vyvanse, Tablet, Chewable, 60 mg (NDC 59417-120-01)")</f>
        <v>Vyvanse, Tablet, Chewable, 60 mg (NDC 59417-120-01)</v>
      </c>
      <c r="D1095" s="5" t="str">
        <f>IFERROR(__xludf.DUMMYFUNCTION("""COMPUTED_VALUE"""),"Reverified")</f>
        <v>Reverified</v>
      </c>
      <c r="E1095" s="13">
        <f>IFERROR(__xludf.DUMMYFUNCTION("""COMPUTED_VALUE"""),46310.0)</f>
        <v>46310</v>
      </c>
      <c r="F1095" s="5" t="str">
        <f>IFERROR(__xludf.DUMMYFUNCTION("""COMPUTED_VALUE"""),"Available")</f>
        <v>Available</v>
      </c>
      <c r="G1095" s="5"/>
      <c r="H1095" s="5"/>
      <c r="I1095" s="5"/>
      <c r="J1095" s="5" t="str">
        <f>IFERROR(__xludf.DUMMYFUNCTION("""COMPUTED_VALUE"""),"Psychiatry")</f>
        <v>Psychiatry</v>
      </c>
      <c r="K1095" s="5" t="str">
        <f>IFERROR(__xludf.DUMMYFUNCTION("""COMPUTED_VALUE"""),"Current")</f>
        <v>Current</v>
      </c>
      <c r="L1095" s="5"/>
      <c r="M1095" s="5"/>
      <c r="N1095" s="10">
        <f>IFERROR(__xludf.DUMMYFUNCTION("""COMPUTED_VALUE"""),45121.0)</f>
        <v>45121</v>
      </c>
      <c r="O1095" s="5">
        <v>2023.0</v>
      </c>
      <c r="P1095" s="5" t="str">
        <f>IFERROR(__xludf.DUMMYFUNCTION("""COMPUTED_VALUE"""),"Available")</f>
        <v>Available</v>
      </c>
      <c r="Q1095" s="5" t="s">
        <v>135</v>
      </c>
      <c r="R1095" s="5" t="s">
        <v>136</v>
      </c>
      <c r="S1095" s="11">
        <v>1200.0</v>
      </c>
    </row>
    <row r="1096">
      <c r="A1096" s="5" t="str">
        <f>IFERROR(__xludf.DUMMYFUNCTION("""COMPUTED_VALUE"""),"Lisdexamfetamine Dimesylate Tablet, Chewable")</f>
        <v>Lisdexamfetamine Dimesylate Tablet, Chewable</v>
      </c>
      <c r="B1096" s="5" t="str">
        <f>IFERROR(__xludf.DUMMYFUNCTION("""COMPUTED_VALUE"""),"Sun Pharmaceutical Industries, Inc.")</f>
        <v>Sun Pharmaceutical Industries, Inc.</v>
      </c>
      <c r="C1096" s="5" t="str">
        <f>IFERROR(__xludf.DUMMYFUNCTION("""COMPUTED_VALUE"""),"Lisdexamfetamine Dimesylate, Tablet, Chewable, 10 mg (NDC 57664-083-88)")</f>
        <v>Lisdexamfetamine Dimesylate, Tablet, Chewable, 10 mg (NDC 57664-083-88)</v>
      </c>
      <c r="D1096" s="5" t="str">
        <f>IFERROR(__xludf.DUMMYFUNCTION("""COMPUTED_VALUE"""),"Reverified")</f>
        <v>Reverified</v>
      </c>
      <c r="E1096" s="13">
        <f>IFERROR(__xludf.DUMMYFUNCTION("""COMPUTED_VALUE"""),46314.0)</f>
        <v>46314</v>
      </c>
      <c r="F1096" s="5" t="str">
        <f>IFERROR(__xludf.DUMMYFUNCTION("""COMPUTED_VALUE"""),"Available")</f>
        <v>Available</v>
      </c>
      <c r="G1096" s="5"/>
      <c r="H1096" s="5"/>
      <c r="I1096" s="5"/>
      <c r="J1096" s="5" t="str">
        <f>IFERROR(__xludf.DUMMYFUNCTION("""COMPUTED_VALUE"""),"Psychiatry")</f>
        <v>Psychiatry</v>
      </c>
      <c r="K1096" s="5" t="str">
        <f>IFERROR(__xludf.DUMMYFUNCTION("""COMPUTED_VALUE"""),"Current")</f>
        <v>Current</v>
      </c>
      <c r="L1096" s="5"/>
      <c r="M1096" s="5"/>
      <c r="N1096" s="10">
        <f>IFERROR(__xludf.DUMMYFUNCTION("""COMPUTED_VALUE"""),45121.0)</f>
        <v>45121</v>
      </c>
      <c r="O1096" s="5">
        <v>2023.0</v>
      </c>
      <c r="P1096" s="5" t="str">
        <f>IFERROR(__xludf.DUMMYFUNCTION("""COMPUTED_VALUE"""),"Available")</f>
        <v>Available</v>
      </c>
      <c r="Q1096" s="5" t="s">
        <v>135</v>
      </c>
      <c r="R1096" s="5" t="s">
        <v>136</v>
      </c>
      <c r="S1096" s="11">
        <v>1200.0</v>
      </c>
    </row>
    <row r="1097">
      <c r="A1097" s="5" t="str">
        <f>IFERROR(__xludf.DUMMYFUNCTION("""COMPUTED_VALUE"""),"Lisdexamfetamine Dimesylate Tablet, Chewable")</f>
        <v>Lisdexamfetamine Dimesylate Tablet, Chewable</v>
      </c>
      <c r="B1097" s="5" t="str">
        <f>IFERROR(__xludf.DUMMYFUNCTION("""COMPUTED_VALUE"""),"Sun Pharmaceutical Industries, Inc.")</f>
        <v>Sun Pharmaceutical Industries, Inc.</v>
      </c>
      <c r="C1097" s="5" t="str">
        <f>IFERROR(__xludf.DUMMYFUNCTION("""COMPUTED_VALUE"""),"Lisdexamfetamine Dimesylate, Tablet, Chewable, 20 mg (NDC 57664-084-88)")</f>
        <v>Lisdexamfetamine Dimesylate, Tablet, Chewable, 20 mg (NDC 57664-084-88)</v>
      </c>
      <c r="D1097" s="5" t="str">
        <f>IFERROR(__xludf.DUMMYFUNCTION("""COMPUTED_VALUE"""),"Reverified")</f>
        <v>Reverified</v>
      </c>
      <c r="E1097" s="13">
        <f>IFERROR(__xludf.DUMMYFUNCTION("""COMPUTED_VALUE"""),46314.0)</f>
        <v>46314</v>
      </c>
      <c r="F1097" s="5" t="str">
        <f>IFERROR(__xludf.DUMMYFUNCTION("""COMPUTED_VALUE"""),"Available")</f>
        <v>Available</v>
      </c>
      <c r="G1097" s="5"/>
      <c r="H1097" s="5"/>
      <c r="I1097" s="5"/>
      <c r="J1097" s="5" t="str">
        <f>IFERROR(__xludf.DUMMYFUNCTION("""COMPUTED_VALUE"""),"Psychiatry")</f>
        <v>Psychiatry</v>
      </c>
      <c r="K1097" s="5" t="str">
        <f>IFERROR(__xludf.DUMMYFUNCTION("""COMPUTED_VALUE"""),"Current")</f>
        <v>Current</v>
      </c>
      <c r="L1097" s="5"/>
      <c r="M1097" s="5"/>
      <c r="N1097" s="10">
        <f>IFERROR(__xludf.DUMMYFUNCTION("""COMPUTED_VALUE"""),45121.0)</f>
        <v>45121</v>
      </c>
      <c r="O1097" s="5">
        <v>2023.0</v>
      </c>
      <c r="P1097" s="5" t="str">
        <f>IFERROR(__xludf.DUMMYFUNCTION("""COMPUTED_VALUE"""),"Available")</f>
        <v>Available</v>
      </c>
      <c r="Q1097" s="5" t="s">
        <v>135</v>
      </c>
      <c r="R1097" s="5" t="s">
        <v>136</v>
      </c>
      <c r="S1097" s="11">
        <v>1200.0</v>
      </c>
    </row>
    <row r="1098">
      <c r="A1098" s="5" t="str">
        <f>IFERROR(__xludf.DUMMYFUNCTION("""COMPUTED_VALUE"""),"Lisdexamfetamine Dimesylate Tablet, Chewable")</f>
        <v>Lisdexamfetamine Dimesylate Tablet, Chewable</v>
      </c>
      <c r="B1098" s="5" t="str">
        <f>IFERROR(__xludf.DUMMYFUNCTION("""COMPUTED_VALUE"""),"Sun Pharmaceutical Industries, Inc.")</f>
        <v>Sun Pharmaceutical Industries, Inc.</v>
      </c>
      <c r="C1098" s="5" t="str">
        <f>IFERROR(__xludf.DUMMYFUNCTION("""COMPUTED_VALUE"""),"Lisdexamfetamine Dimesylate, Tablet, Chewable, 30 mg (NDC 57664-085-88)")</f>
        <v>Lisdexamfetamine Dimesylate, Tablet, Chewable, 30 mg (NDC 57664-085-88)</v>
      </c>
      <c r="D1098" s="5" t="str">
        <f>IFERROR(__xludf.DUMMYFUNCTION("""COMPUTED_VALUE"""),"Revised")</f>
        <v>Revised</v>
      </c>
      <c r="E1098" s="13">
        <f>IFERROR(__xludf.DUMMYFUNCTION("""COMPUTED_VALUE"""),46314.0)</f>
        <v>46314</v>
      </c>
      <c r="F1098" s="5" t="str">
        <f>IFERROR(__xludf.DUMMYFUNCTION("""COMPUTED_VALUE"""),"Available")</f>
        <v>Available</v>
      </c>
      <c r="G1098" s="5"/>
      <c r="H1098" s="5"/>
      <c r="I1098" s="5"/>
      <c r="J1098" s="5" t="str">
        <f>IFERROR(__xludf.DUMMYFUNCTION("""COMPUTED_VALUE"""),"Psychiatry")</f>
        <v>Psychiatry</v>
      </c>
      <c r="K1098" s="5" t="str">
        <f>IFERROR(__xludf.DUMMYFUNCTION("""COMPUTED_VALUE"""),"Current")</f>
        <v>Current</v>
      </c>
      <c r="L1098" s="5"/>
      <c r="M1098" s="5"/>
      <c r="N1098" s="10">
        <f>IFERROR(__xludf.DUMMYFUNCTION("""COMPUTED_VALUE"""),45121.0)</f>
        <v>45121</v>
      </c>
      <c r="O1098" s="5">
        <v>2023.0</v>
      </c>
      <c r="P1098" s="5" t="str">
        <f>IFERROR(__xludf.DUMMYFUNCTION("""COMPUTED_VALUE"""),"Available")</f>
        <v>Available</v>
      </c>
      <c r="Q1098" s="5" t="s">
        <v>135</v>
      </c>
      <c r="R1098" s="5" t="s">
        <v>136</v>
      </c>
      <c r="S1098" s="11">
        <v>1200.0</v>
      </c>
    </row>
    <row r="1099">
      <c r="A1099" s="5" t="str">
        <f>IFERROR(__xludf.DUMMYFUNCTION("""COMPUTED_VALUE"""),"Lisdexamfetamine Dimesylate Tablet, Chewable")</f>
        <v>Lisdexamfetamine Dimesylate Tablet, Chewable</v>
      </c>
      <c r="B1099" s="5" t="str">
        <f>IFERROR(__xludf.DUMMYFUNCTION("""COMPUTED_VALUE"""),"Sun Pharmaceutical Industries, Inc.")</f>
        <v>Sun Pharmaceutical Industries, Inc.</v>
      </c>
      <c r="C1099" s="5" t="str">
        <f>IFERROR(__xludf.DUMMYFUNCTION("""COMPUTED_VALUE"""),"Lisdexamfetamine Dimesylate, Tablet, Chewable, 50 mg (NDC 57664-087-88)")</f>
        <v>Lisdexamfetamine Dimesylate, Tablet, Chewable, 50 mg (NDC 57664-087-88)</v>
      </c>
      <c r="D1099" s="5" t="str">
        <f>IFERROR(__xludf.DUMMYFUNCTION("""COMPUTED_VALUE"""),"Reverified")</f>
        <v>Reverified</v>
      </c>
      <c r="E1099" s="13">
        <f>IFERROR(__xludf.DUMMYFUNCTION("""COMPUTED_VALUE"""),46314.0)</f>
        <v>46314</v>
      </c>
      <c r="F1099" s="5" t="str">
        <f>IFERROR(__xludf.DUMMYFUNCTION("""COMPUTED_VALUE"""),"Available")</f>
        <v>Available</v>
      </c>
      <c r="G1099" s="5"/>
      <c r="H1099" s="5"/>
      <c r="I1099" s="5"/>
      <c r="J1099" s="5" t="str">
        <f>IFERROR(__xludf.DUMMYFUNCTION("""COMPUTED_VALUE"""),"Psychiatry")</f>
        <v>Psychiatry</v>
      </c>
      <c r="K1099" s="5" t="str">
        <f>IFERROR(__xludf.DUMMYFUNCTION("""COMPUTED_VALUE"""),"Current")</f>
        <v>Current</v>
      </c>
      <c r="L1099" s="5"/>
      <c r="M1099" s="5"/>
      <c r="N1099" s="10">
        <f>IFERROR(__xludf.DUMMYFUNCTION("""COMPUTED_VALUE"""),45121.0)</f>
        <v>45121</v>
      </c>
      <c r="O1099" s="5">
        <v>2023.0</v>
      </c>
      <c r="P1099" s="5" t="str">
        <f>IFERROR(__xludf.DUMMYFUNCTION("""COMPUTED_VALUE"""),"Available")</f>
        <v>Available</v>
      </c>
      <c r="Q1099" s="5" t="s">
        <v>135</v>
      </c>
      <c r="R1099" s="5" t="s">
        <v>136</v>
      </c>
      <c r="S1099" s="11">
        <v>1200.0</v>
      </c>
    </row>
    <row r="1100">
      <c r="A1100" s="5" t="str">
        <f>IFERROR(__xludf.DUMMYFUNCTION("""COMPUTED_VALUE"""),"Lisdexamfetamine Dimesylate Tablet, Chewable")</f>
        <v>Lisdexamfetamine Dimesylate Tablet, Chewable</v>
      </c>
      <c r="B1100" s="5" t="str">
        <f>IFERROR(__xludf.DUMMYFUNCTION("""COMPUTED_VALUE"""),"Sun Pharmaceutical Industries, Inc.")</f>
        <v>Sun Pharmaceutical Industries, Inc.</v>
      </c>
      <c r="C1100" s="5" t="str">
        <f>IFERROR(__xludf.DUMMYFUNCTION("""COMPUTED_VALUE"""),"Lisdexamfetamine Dimesylate, Tablet, Chewable, 60 mg (NDC 57664-088-88)")</f>
        <v>Lisdexamfetamine Dimesylate, Tablet, Chewable, 60 mg (NDC 57664-088-88)</v>
      </c>
      <c r="D1100" s="5" t="str">
        <f>IFERROR(__xludf.DUMMYFUNCTION("""COMPUTED_VALUE"""),"Reverified")</f>
        <v>Reverified</v>
      </c>
      <c r="E1100" s="13">
        <f>IFERROR(__xludf.DUMMYFUNCTION("""COMPUTED_VALUE"""),46314.0)</f>
        <v>46314</v>
      </c>
      <c r="F1100" s="5" t="str">
        <f>IFERROR(__xludf.DUMMYFUNCTION("""COMPUTED_VALUE"""),"Available")</f>
        <v>Available</v>
      </c>
      <c r="G1100" s="5"/>
      <c r="H1100" s="5"/>
      <c r="I1100" s="5"/>
      <c r="J1100" s="5" t="str">
        <f>IFERROR(__xludf.DUMMYFUNCTION("""COMPUTED_VALUE"""),"Psychiatry")</f>
        <v>Psychiatry</v>
      </c>
      <c r="K1100" s="5" t="str">
        <f>IFERROR(__xludf.DUMMYFUNCTION("""COMPUTED_VALUE"""),"Current")</f>
        <v>Current</v>
      </c>
      <c r="L1100" s="5"/>
      <c r="M1100" s="5"/>
      <c r="N1100" s="10">
        <f>IFERROR(__xludf.DUMMYFUNCTION("""COMPUTED_VALUE"""),45121.0)</f>
        <v>45121</v>
      </c>
      <c r="O1100" s="5">
        <v>2023.0</v>
      </c>
      <c r="P1100" s="5" t="str">
        <f>IFERROR(__xludf.DUMMYFUNCTION("""COMPUTED_VALUE"""),"Available")</f>
        <v>Available</v>
      </c>
      <c r="Q1100" s="5" t="s">
        <v>135</v>
      </c>
      <c r="R1100" s="5" t="s">
        <v>136</v>
      </c>
      <c r="S1100" s="11">
        <v>1200.0</v>
      </c>
    </row>
    <row r="1101">
      <c r="A1101" s="5" t="str">
        <f>IFERROR(__xludf.DUMMYFUNCTION("""COMPUTED_VALUE"""),"Lisdexamfetamine Dimesylate Tablet, Chewable")</f>
        <v>Lisdexamfetamine Dimesylate Tablet, Chewable</v>
      </c>
      <c r="B1101" s="5" t="str">
        <f>IFERROR(__xludf.DUMMYFUNCTION("""COMPUTED_VALUE"""),"Sun Pharmaceutical Industries, Inc.")</f>
        <v>Sun Pharmaceutical Industries, Inc.</v>
      </c>
      <c r="C1101" s="5" t="str">
        <f>IFERROR(__xludf.DUMMYFUNCTION("""COMPUTED_VALUE"""),"Lisdexamfetamine Dimesylate, Tablet, Chewable, 40 mg (NDC 57664-086-88)")</f>
        <v>Lisdexamfetamine Dimesylate, Tablet, Chewable, 40 mg (NDC 57664-086-88)</v>
      </c>
      <c r="D1101" s="5" t="str">
        <f>IFERROR(__xludf.DUMMYFUNCTION("""COMPUTED_VALUE"""),"Reverified")</f>
        <v>Reverified</v>
      </c>
      <c r="E1101" s="13">
        <f>IFERROR(__xludf.DUMMYFUNCTION("""COMPUTED_VALUE"""),46314.0)</f>
        <v>46314</v>
      </c>
      <c r="F1101" s="5" t="str">
        <f>IFERROR(__xludf.DUMMYFUNCTION("""COMPUTED_VALUE"""),"Available")</f>
        <v>Available</v>
      </c>
      <c r="G1101" s="5"/>
      <c r="H1101" s="5"/>
      <c r="I1101" s="5"/>
      <c r="J1101" s="5" t="str">
        <f>IFERROR(__xludf.DUMMYFUNCTION("""COMPUTED_VALUE"""),"Psychiatry")</f>
        <v>Psychiatry</v>
      </c>
      <c r="K1101" s="5" t="str">
        <f>IFERROR(__xludf.DUMMYFUNCTION("""COMPUTED_VALUE"""),"Current")</f>
        <v>Current</v>
      </c>
      <c r="L1101" s="5"/>
      <c r="M1101" s="5"/>
      <c r="N1101" s="10">
        <f>IFERROR(__xludf.DUMMYFUNCTION("""COMPUTED_VALUE"""),45121.0)</f>
        <v>45121</v>
      </c>
      <c r="O1101" s="5">
        <v>2023.0</v>
      </c>
      <c r="P1101" s="5" t="str">
        <f>IFERROR(__xludf.DUMMYFUNCTION("""COMPUTED_VALUE"""),"Available")</f>
        <v>Available</v>
      </c>
      <c r="Q1101" s="5" t="s">
        <v>135</v>
      </c>
      <c r="R1101" s="5" t="s">
        <v>136</v>
      </c>
      <c r="S1101" s="11">
        <v>1200.0</v>
      </c>
    </row>
    <row r="1102">
      <c r="A1102" s="5" t="str">
        <f>IFERROR(__xludf.DUMMYFUNCTION("""COMPUTED_VALUE"""),"Lisdexamfetamine Dimesylate Tablet, Chewable")</f>
        <v>Lisdexamfetamine Dimesylate Tablet, Chewable</v>
      </c>
      <c r="B1102" s="5" t="str">
        <f>IFERROR(__xludf.DUMMYFUNCTION("""COMPUTED_VALUE"""),"Novadoz Pharmaceuticals LLC")</f>
        <v>Novadoz Pharmaceuticals LLC</v>
      </c>
      <c r="C1102" s="5" t="str">
        <f>IFERROR(__xludf.DUMMYFUNCTION("""COMPUTED_VALUE"""),"Lisdexamfetamine Dimesylate, Tablet, Chewable, 10 mg (NDC 72205-132-91)")</f>
        <v>Lisdexamfetamine Dimesylate, Tablet, Chewable, 10 mg (NDC 72205-132-91)</v>
      </c>
      <c r="D1102" s="5" t="str">
        <f>IFERROR(__xludf.DUMMYFUNCTION("""COMPUTED_VALUE"""),"Reverified")</f>
        <v>Reverified</v>
      </c>
      <c r="E1102" s="10">
        <f>IFERROR(__xludf.DUMMYFUNCTION("""COMPUTED_VALUE"""),46281.0)</f>
        <v>46281</v>
      </c>
      <c r="F1102" s="5" t="str">
        <f>IFERROR(__xludf.DUMMYFUNCTION("""COMPUTED_VALUE"""),"Available")</f>
        <v>Available</v>
      </c>
      <c r="G1102" s="5"/>
      <c r="H1102" s="5"/>
      <c r="I1102" s="5"/>
      <c r="J1102" s="5" t="str">
        <f>IFERROR(__xludf.DUMMYFUNCTION("""COMPUTED_VALUE"""),"Psychiatry")</f>
        <v>Psychiatry</v>
      </c>
      <c r="K1102" s="5" t="str">
        <f>IFERROR(__xludf.DUMMYFUNCTION("""COMPUTED_VALUE"""),"Current")</f>
        <v>Current</v>
      </c>
      <c r="L1102" s="5"/>
      <c r="M1102" s="5"/>
      <c r="N1102" s="10">
        <f>IFERROR(__xludf.DUMMYFUNCTION("""COMPUTED_VALUE"""),45121.0)</f>
        <v>45121</v>
      </c>
      <c r="O1102" s="5">
        <v>2023.0</v>
      </c>
      <c r="P1102" s="5" t="str">
        <f>IFERROR(__xludf.DUMMYFUNCTION("""COMPUTED_VALUE"""),"Available")</f>
        <v>Available</v>
      </c>
      <c r="Q1102" s="5" t="s">
        <v>135</v>
      </c>
      <c r="R1102" s="5" t="s">
        <v>136</v>
      </c>
      <c r="S1102" s="11">
        <v>1200.0</v>
      </c>
    </row>
    <row r="1103">
      <c r="A1103" s="5" t="str">
        <f>IFERROR(__xludf.DUMMYFUNCTION("""COMPUTED_VALUE"""),"Lisdexamfetamine Dimesylate Tablet, Chewable")</f>
        <v>Lisdexamfetamine Dimesylate Tablet, Chewable</v>
      </c>
      <c r="B1103" s="5" t="str">
        <f>IFERROR(__xludf.DUMMYFUNCTION("""COMPUTED_VALUE"""),"Novadoz Pharmaceuticals LLC")</f>
        <v>Novadoz Pharmaceuticals LLC</v>
      </c>
      <c r="C1103" s="5" t="str">
        <f>IFERROR(__xludf.DUMMYFUNCTION("""COMPUTED_VALUE"""),"Lisdexamfetamine Dimesylate, Tablet, Chewable, 20 mg (NDC 72205-133-91)")</f>
        <v>Lisdexamfetamine Dimesylate, Tablet, Chewable, 20 mg (NDC 72205-133-91)</v>
      </c>
      <c r="D1103" s="5" t="str">
        <f>IFERROR(__xludf.DUMMYFUNCTION("""COMPUTED_VALUE"""),"Reverified")</f>
        <v>Reverified</v>
      </c>
      <c r="E1103" s="10">
        <f>IFERROR(__xludf.DUMMYFUNCTION("""COMPUTED_VALUE"""),46281.0)</f>
        <v>46281</v>
      </c>
      <c r="F1103" s="5" t="str">
        <f>IFERROR(__xludf.DUMMYFUNCTION("""COMPUTED_VALUE"""),"Available")</f>
        <v>Available</v>
      </c>
      <c r="G1103" s="5"/>
      <c r="H1103" s="5"/>
      <c r="I1103" s="5"/>
      <c r="J1103" s="5" t="str">
        <f>IFERROR(__xludf.DUMMYFUNCTION("""COMPUTED_VALUE"""),"Psychiatry")</f>
        <v>Psychiatry</v>
      </c>
      <c r="K1103" s="5" t="str">
        <f>IFERROR(__xludf.DUMMYFUNCTION("""COMPUTED_VALUE"""),"Current")</f>
        <v>Current</v>
      </c>
      <c r="L1103" s="5"/>
      <c r="M1103" s="5"/>
      <c r="N1103" s="10">
        <f>IFERROR(__xludf.DUMMYFUNCTION("""COMPUTED_VALUE"""),45121.0)</f>
        <v>45121</v>
      </c>
      <c r="O1103" s="5">
        <v>2023.0</v>
      </c>
      <c r="P1103" s="5" t="str">
        <f>IFERROR(__xludf.DUMMYFUNCTION("""COMPUTED_VALUE"""),"Available")</f>
        <v>Available</v>
      </c>
      <c r="Q1103" s="5" t="s">
        <v>135</v>
      </c>
      <c r="R1103" s="5" t="s">
        <v>136</v>
      </c>
      <c r="S1103" s="11">
        <v>1200.0</v>
      </c>
    </row>
    <row r="1104">
      <c r="A1104" s="5" t="str">
        <f>IFERROR(__xludf.DUMMYFUNCTION("""COMPUTED_VALUE"""),"Lisdexamfetamine Dimesylate Tablet, Chewable")</f>
        <v>Lisdexamfetamine Dimesylate Tablet, Chewable</v>
      </c>
      <c r="B1104" s="5" t="str">
        <f>IFERROR(__xludf.DUMMYFUNCTION("""COMPUTED_VALUE"""),"Novadoz Pharmaceuticals LLC")</f>
        <v>Novadoz Pharmaceuticals LLC</v>
      </c>
      <c r="C1104" s="5" t="str">
        <f>IFERROR(__xludf.DUMMYFUNCTION("""COMPUTED_VALUE"""),"Lisdexamfetamine Dimesylate, Tablet, Chewable, 30 mg (NDC 72205-134-91)")</f>
        <v>Lisdexamfetamine Dimesylate, Tablet, Chewable, 30 mg (NDC 72205-134-91)</v>
      </c>
      <c r="D1104" s="5" t="str">
        <f>IFERROR(__xludf.DUMMYFUNCTION("""COMPUTED_VALUE"""),"Reverified")</f>
        <v>Reverified</v>
      </c>
      <c r="E1104" s="10">
        <f>IFERROR(__xludf.DUMMYFUNCTION("""COMPUTED_VALUE"""),46281.0)</f>
        <v>46281</v>
      </c>
      <c r="F1104" s="5" t="str">
        <f>IFERROR(__xludf.DUMMYFUNCTION("""COMPUTED_VALUE"""),"Available")</f>
        <v>Available</v>
      </c>
      <c r="G1104" s="5"/>
      <c r="H1104" s="5"/>
      <c r="I1104" s="5"/>
      <c r="J1104" s="5" t="str">
        <f>IFERROR(__xludf.DUMMYFUNCTION("""COMPUTED_VALUE"""),"Psychiatry")</f>
        <v>Psychiatry</v>
      </c>
      <c r="K1104" s="5" t="str">
        <f>IFERROR(__xludf.DUMMYFUNCTION("""COMPUTED_VALUE"""),"Current")</f>
        <v>Current</v>
      </c>
      <c r="L1104" s="5"/>
      <c r="M1104" s="5"/>
      <c r="N1104" s="10">
        <f>IFERROR(__xludf.DUMMYFUNCTION("""COMPUTED_VALUE"""),45121.0)</f>
        <v>45121</v>
      </c>
      <c r="O1104" s="5">
        <v>2023.0</v>
      </c>
      <c r="P1104" s="5" t="str">
        <f>IFERROR(__xludf.DUMMYFUNCTION("""COMPUTED_VALUE"""),"Available")</f>
        <v>Available</v>
      </c>
      <c r="Q1104" s="5" t="s">
        <v>135</v>
      </c>
      <c r="R1104" s="5" t="s">
        <v>136</v>
      </c>
      <c r="S1104" s="11">
        <v>1200.0</v>
      </c>
    </row>
    <row r="1105">
      <c r="A1105" s="5" t="str">
        <f>IFERROR(__xludf.DUMMYFUNCTION("""COMPUTED_VALUE"""),"Lisdexamfetamine Dimesylate Tablet, Chewable")</f>
        <v>Lisdexamfetamine Dimesylate Tablet, Chewable</v>
      </c>
      <c r="B1105" s="5" t="str">
        <f>IFERROR(__xludf.DUMMYFUNCTION("""COMPUTED_VALUE"""),"Novadoz Pharmaceuticals LLC")</f>
        <v>Novadoz Pharmaceuticals LLC</v>
      </c>
      <c r="C1105" s="5" t="str">
        <f>IFERROR(__xludf.DUMMYFUNCTION("""COMPUTED_VALUE"""),"Lisdexamfetamine Dimesylate, Tablet, Chewable, 40 mg (NDC 72205-135-91)")</f>
        <v>Lisdexamfetamine Dimesylate, Tablet, Chewable, 40 mg (NDC 72205-135-91)</v>
      </c>
      <c r="D1105" s="5" t="str">
        <f>IFERROR(__xludf.DUMMYFUNCTION("""COMPUTED_VALUE"""),"Reverified")</f>
        <v>Reverified</v>
      </c>
      <c r="E1105" s="10">
        <f>IFERROR(__xludf.DUMMYFUNCTION("""COMPUTED_VALUE"""),46281.0)</f>
        <v>46281</v>
      </c>
      <c r="F1105" s="5" t="str">
        <f>IFERROR(__xludf.DUMMYFUNCTION("""COMPUTED_VALUE"""),"Available")</f>
        <v>Available</v>
      </c>
      <c r="G1105" s="5"/>
      <c r="H1105" s="5"/>
      <c r="I1105" s="5"/>
      <c r="J1105" s="5" t="str">
        <f>IFERROR(__xludf.DUMMYFUNCTION("""COMPUTED_VALUE"""),"Psychiatry")</f>
        <v>Psychiatry</v>
      </c>
      <c r="K1105" s="5" t="str">
        <f>IFERROR(__xludf.DUMMYFUNCTION("""COMPUTED_VALUE"""),"Current")</f>
        <v>Current</v>
      </c>
      <c r="L1105" s="5"/>
      <c r="M1105" s="5"/>
      <c r="N1105" s="10">
        <f>IFERROR(__xludf.DUMMYFUNCTION("""COMPUTED_VALUE"""),45121.0)</f>
        <v>45121</v>
      </c>
      <c r="O1105" s="5">
        <v>2023.0</v>
      </c>
      <c r="P1105" s="5" t="str">
        <f>IFERROR(__xludf.DUMMYFUNCTION("""COMPUTED_VALUE"""),"Available")</f>
        <v>Available</v>
      </c>
      <c r="Q1105" s="5" t="s">
        <v>135</v>
      </c>
      <c r="R1105" s="5" t="s">
        <v>136</v>
      </c>
      <c r="S1105" s="11">
        <v>1200.0</v>
      </c>
    </row>
    <row r="1106">
      <c r="A1106" s="5" t="str">
        <f>IFERROR(__xludf.DUMMYFUNCTION("""COMPUTED_VALUE"""),"Lisdexamfetamine Dimesylate Tablet, Chewable")</f>
        <v>Lisdexamfetamine Dimesylate Tablet, Chewable</v>
      </c>
      <c r="B1106" s="5" t="str">
        <f>IFERROR(__xludf.DUMMYFUNCTION("""COMPUTED_VALUE"""),"Novadoz Pharmaceuticals LLC")</f>
        <v>Novadoz Pharmaceuticals LLC</v>
      </c>
      <c r="C1106" s="5" t="str">
        <f>IFERROR(__xludf.DUMMYFUNCTION("""COMPUTED_VALUE"""),"Lisdexamfetamine Dimesylate, Tablet, Chewable, 50 mg (NDC 72205-136-91)")</f>
        <v>Lisdexamfetamine Dimesylate, Tablet, Chewable, 50 mg (NDC 72205-136-91)</v>
      </c>
      <c r="D1106" s="5" t="str">
        <f>IFERROR(__xludf.DUMMYFUNCTION("""COMPUTED_VALUE"""),"Reverified")</f>
        <v>Reverified</v>
      </c>
      <c r="E1106" s="10">
        <f>IFERROR(__xludf.DUMMYFUNCTION("""COMPUTED_VALUE"""),46281.0)</f>
        <v>46281</v>
      </c>
      <c r="F1106" s="5" t="str">
        <f>IFERROR(__xludf.DUMMYFUNCTION("""COMPUTED_VALUE"""),"Available")</f>
        <v>Available</v>
      </c>
      <c r="G1106" s="5"/>
      <c r="H1106" s="5"/>
      <c r="I1106" s="5"/>
      <c r="J1106" s="5" t="str">
        <f>IFERROR(__xludf.DUMMYFUNCTION("""COMPUTED_VALUE"""),"Psychiatry")</f>
        <v>Psychiatry</v>
      </c>
      <c r="K1106" s="5" t="str">
        <f>IFERROR(__xludf.DUMMYFUNCTION("""COMPUTED_VALUE"""),"Current")</f>
        <v>Current</v>
      </c>
      <c r="L1106" s="5"/>
      <c r="M1106" s="5"/>
      <c r="N1106" s="10">
        <f>IFERROR(__xludf.DUMMYFUNCTION("""COMPUTED_VALUE"""),45121.0)</f>
        <v>45121</v>
      </c>
      <c r="O1106" s="5">
        <v>2023.0</v>
      </c>
      <c r="P1106" s="5" t="str">
        <f>IFERROR(__xludf.DUMMYFUNCTION("""COMPUTED_VALUE"""),"Available")</f>
        <v>Available</v>
      </c>
      <c r="Q1106" s="5" t="s">
        <v>135</v>
      </c>
      <c r="R1106" s="5" t="s">
        <v>136</v>
      </c>
      <c r="S1106" s="11">
        <v>1200.0</v>
      </c>
    </row>
    <row r="1107">
      <c r="A1107" s="5" t="str">
        <f>IFERROR(__xludf.DUMMYFUNCTION("""COMPUTED_VALUE"""),"Lisdexamfetamine Dimesylate Tablet, Chewable")</f>
        <v>Lisdexamfetamine Dimesylate Tablet, Chewable</v>
      </c>
      <c r="B1107" s="5" t="str">
        <f>IFERROR(__xludf.DUMMYFUNCTION("""COMPUTED_VALUE"""),"Novadoz Pharmaceuticals LLC")</f>
        <v>Novadoz Pharmaceuticals LLC</v>
      </c>
      <c r="C1107" s="5" t="str">
        <f>IFERROR(__xludf.DUMMYFUNCTION("""COMPUTED_VALUE"""),"Lisdexamfetamine Dimesylate, Tablet, Chewable, 60 mg (NDC 72205-137-91)")</f>
        <v>Lisdexamfetamine Dimesylate, Tablet, Chewable, 60 mg (NDC 72205-137-91)</v>
      </c>
      <c r="D1107" s="5" t="str">
        <f>IFERROR(__xludf.DUMMYFUNCTION("""COMPUTED_VALUE"""),"Reverified")</f>
        <v>Reverified</v>
      </c>
      <c r="E1107" s="10">
        <f>IFERROR(__xludf.DUMMYFUNCTION("""COMPUTED_VALUE"""),46281.0)</f>
        <v>46281</v>
      </c>
      <c r="F1107" s="5" t="str">
        <f>IFERROR(__xludf.DUMMYFUNCTION("""COMPUTED_VALUE"""),"Available")</f>
        <v>Available</v>
      </c>
      <c r="G1107" s="5"/>
      <c r="H1107" s="5"/>
      <c r="I1107" s="5"/>
      <c r="J1107" s="5" t="str">
        <f>IFERROR(__xludf.DUMMYFUNCTION("""COMPUTED_VALUE"""),"Psychiatry")</f>
        <v>Psychiatry</v>
      </c>
      <c r="K1107" s="5" t="str">
        <f>IFERROR(__xludf.DUMMYFUNCTION("""COMPUTED_VALUE"""),"Current")</f>
        <v>Current</v>
      </c>
      <c r="L1107" s="5"/>
      <c r="M1107" s="5"/>
      <c r="N1107" s="10">
        <f>IFERROR(__xludf.DUMMYFUNCTION("""COMPUTED_VALUE"""),45121.0)</f>
        <v>45121</v>
      </c>
      <c r="O1107" s="5">
        <v>2023.0</v>
      </c>
      <c r="P1107" s="5" t="str">
        <f>IFERROR(__xludf.DUMMYFUNCTION("""COMPUTED_VALUE"""),"Available")</f>
        <v>Available</v>
      </c>
      <c r="Q1107" s="5" t="s">
        <v>135</v>
      </c>
      <c r="R1107" s="5" t="s">
        <v>136</v>
      </c>
      <c r="S1107" s="11">
        <v>1200.0</v>
      </c>
    </row>
    <row r="1108">
      <c r="A1108" s="5" t="str">
        <f>IFERROR(__xludf.DUMMYFUNCTION("""COMPUTED_VALUE"""),"Lopinavir and Ritonavir Oral Solution")</f>
        <v>Lopinavir and Ritonavir Oral Solution</v>
      </c>
      <c r="B1108" s="5" t="str">
        <f>IFERROR(__xludf.DUMMYFUNCTION("""COMPUTED_VALUE"""),"AbbVie Inc.")</f>
        <v>AbbVie Inc.</v>
      </c>
      <c r="C1108" s="5" t="str">
        <f>IFERROR(__xludf.DUMMYFUNCTION("""COMPUTED_VALUE"""),"Kaletra, Oral Solution, 80 mg/1 mL; 20 mg/1 mL (NDC 0074-3956-46)")</f>
        <v>Kaletra, Oral Solution, 80 mg/1 mL; 20 mg/1 mL (NDC 0074-3956-46)</v>
      </c>
      <c r="D1108" s="5" t="str">
        <f>IFERROR(__xludf.DUMMYFUNCTION("""COMPUTED_VALUE"""),"New")</f>
        <v>New</v>
      </c>
      <c r="E1108" s="10">
        <f>IFERROR(__xludf.DUMMYFUNCTION("""COMPUTED_VALUE"""),46227.0)</f>
        <v>46227</v>
      </c>
      <c r="F1108" s="5"/>
      <c r="G1108" s="5" t="str">
        <f>IFERROR(__xludf.DUMMYFUNCTION("""COMPUTED_VALUE"""),"Discontinuation of the manufacture of the drug")</f>
        <v>Discontinuation of the manufacture of the drug</v>
      </c>
      <c r="H1108" s="5"/>
      <c r="I1108" s="5"/>
      <c r="J1108" s="5" t="str">
        <f>IFERROR(__xludf.DUMMYFUNCTION("""COMPUTED_VALUE"""),"Antiviral")</f>
        <v>Antiviral</v>
      </c>
      <c r="K1108" s="5" t="str">
        <f>IFERROR(__xludf.DUMMYFUNCTION("""COMPUTED_VALUE"""),"To Be Discontinued")</f>
        <v>To Be Discontinued</v>
      </c>
      <c r="L1108" s="5"/>
      <c r="M1108" s="10">
        <f>IFERROR(__xludf.DUMMYFUNCTION("""COMPUTED_VALUE"""),46227.0)</f>
        <v>46227</v>
      </c>
      <c r="N1108" s="10">
        <f>IFERROR(__xludf.DUMMYFUNCTION("""COMPUTED_VALUE"""),46227.0)</f>
        <v>46227</v>
      </c>
      <c r="O1108" s="5">
        <v>2026.0</v>
      </c>
      <c r="P1108" s="5" t="str">
        <f>IFERROR(__xludf.DUMMYFUNCTION("""COMPUTED_VALUE"""),"Not stated")</f>
        <v>Not stated</v>
      </c>
      <c r="Q1108" s="5" t="s">
        <v>135</v>
      </c>
      <c r="R1108" s="5" t="s">
        <v>136</v>
      </c>
      <c r="S1108" s="11">
        <v>94.0</v>
      </c>
    </row>
    <row r="1109">
      <c r="A1109" s="5" t="str">
        <f>IFERROR(__xludf.DUMMYFUNCTION("""COMPUTED_VALUE"""),"Lopinavir and Ritonavir Tablet")</f>
        <v>Lopinavir and Ritonavir Tablet</v>
      </c>
      <c r="B1109" s="5" t="str">
        <f>IFERROR(__xludf.DUMMYFUNCTION("""COMPUTED_VALUE"""),"AbbVie Inc.")</f>
        <v>AbbVie Inc.</v>
      </c>
      <c r="C1109" s="5" t="str">
        <f>IFERROR(__xludf.DUMMYFUNCTION("""COMPUTED_VALUE"""),"Kaletra, Tablet, 100 mg; 25 mg (NDC 0074-0522-60)")</f>
        <v>Kaletra, Tablet, 100 mg; 25 mg (NDC 0074-0522-60)</v>
      </c>
      <c r="D1109" s="5" t="str">
        <f>IFERROR(__xludf.DUMMYFUNCTION("""COMPUTED_VALUE"""),"New")</f>
        <v>New</v>
      </c>
      <c r="E1109" s="10">
        <f>IFERROR(__xludf.DUMMYFUNCTION("""COMPUTED_VALUE"""),46227.0)</f>
        <v>46227</v>
      </c>
      <c r="F1109" s="5"/>
      <c r="G1109" s="5" t="str">
        <f>IFERROR(__xludf.DUMMYFUNCTION("""COMPUTED_VALUE"""),"Discontinuation of the manufacture of the drug")</f>
        <v>Discontinuation of the manufacture of the drug</v>
      </c>
      <c r="H1109" s="5"/>
      <c r="I1109" s="5"/>
      <c r="J1109" s="5" t="str">
        <f>IFERROR(__xludf.DUMMYFUNCTION("""COMPUTED_VALUE"""),"Antiviral")</f>
        <v>Antiviral</v>
      </c>
      <c r="K1109" s="5" t="str">
        <f>IFERROR(__xludf.DUMMYFUNCTION("""COMPUTED_VALUE"""),"To Be Discontinued")</f>
        <v>To Be Discontinued</v>
      </c>
      <c r="L1109" s="5"/>
      <c r="M1109" s="10">
        <f>IFERROR(__xludf.DUMMYFUNCTION("""COMPUTED_VALUE"""),46227.0)</f>
        <v>46227</v>
      </c>
      <c r="N1109" s="10">
        <f>IFERROR(__xludf.DUMMYFUNCTION("""COMPUTED_VALUE"""),46227.0)</f>
        <v>46227</v>
      </c>
      <c r="O1109" s="5">
        <v>2026.0</v>
      </c>
      <c r="P1109" s="5" t="str">
        <f>IFERROR(__xludf.DUMMYFUNCTION("""COMPUTED_VALUE"""),"Not stated")</f>
        <v>Not stated</v>
      </c>
      <c r="Q1109" s="5" t="s">
        <v>135</v>
      </c>
      <c r="R1109" s="5" t="s">
        <v>136</v>
      </c>
      <c r="S1109" s="11">
        <v>94.0</v>
      </c>
    </row>
    <row r="1110">
      <c r="A1110" s="5" t="str">
        <f>IFERROR(__xludf.DUMMYFUNCTION("""COMPUTED_VALUE"""),"Lopinavir and Ritonavir Tablet")</f>
        <v>Lopinavir and Ritonavir Tablet</v>
      </c>
      <c r="B1110" s="5" t="str">
        <f>IFERROR(__xludf.DUMMYFUNCTION("""COMPUTED_VALUE"""),"AbbVie Inc.")</f>
        <v>AbbVie Inc.</v>
      </c>
      <c r="C1110" s="5" t="str">
        <f>IFERROR(__xludf.DUMMYFUNCTION("""COMPUTED_VALUE"""),"Kaletra, Tablet, 100 mg; 25 mg (NDC 0074-3008-60)")</f>
        <v>Kaletra, Tablet, 100 mg; 25 mg (NDC 0074-3008-60)</v>
      </c>
      <c r="D1110" s="5" t="str">
        <f>IFERROR(__xludf.DUMMYFUNCTION("""COMPUTED_VALUE"""),"New")</f>
        <v>New</v>
      </c>
      <c r="E1110" s="10">
        <f>IFERROR(__xludf.DUMMYFUNCTION("""COMPUTED_VALUE"""),46227.0)</f>
        <v>46227</v>
      </c>
      <c r="F1110" s="5"/>
      <c r="G1110" s="5" t="str">
        <f>IFERROR(__xludf.DUMMYFUNCTION("""COMPUTED_VALUE"""),"Discontinuation of the manufacture of the drug")</f>
        <v>Discontinuation of the manufacture of the drug</v>
      </c>
      <c r="H1110" s="5"/>
      <c r="I1110" s="5"/>
      <c r="J1110" s="5" t="str">
        <f>IFERROR(__xludf.DUMMYFUNCTION("""COMPUTED_VALUE"""),"Antiviral")</f>
        <v>Antiviral</v>
      </c>
      <c r="K1110" s="5" t="str">
        <f>IFERROR(__xludf.DUMMYFUNCTION("""COMPUTED_VALUE"""),"To Be Discontinued")</f>
        <v>To Be Discontinued</v>
      </c>
      <c r="L1110" s="5"/>
      <c r="M1110" s="10">
        <f>IFERROR(__xludf.DUMMYFUNCTION("""COMPUTED_VALUE"""),46227.0)</f>
        <v>46227</v>
      </c>
      <c r="N1110" s="10">
        <f>IFERROR(__xludf.DUMMYFUNCTION("""COMPUTED_VALUE"""),46227.0)</f>
        <v>46227</v>
      </c>
      <c r="O1110" s="5">
        <v>2026.0</v>
      </c>
      <c r="P1110" s="5" t="str">
        <f>IFERROR(__xludf.DUMMYFUNCTION("""COMPUTED_VALUE"""),"Not stated")</f>
        <v>Not stated</v>
      </c>
      <c r="Q1110" s="5" t="s">
        <v>135</v>
      </c>
      <c r="R1110" s="5" t="s">
        <v>136</v>
      </c>
      <c r="S1110" s="11">
        <v>94.0</v>
      </c>
    </row>
    <row r="1111">
      <c r="A1111" s="5" t="str">
        <f>IFERROR(__xludf.DUMMYFUNCTION("""COMPUTED_VALUE"""),"Lopinavir and Ritonavir Tablet")</f>
        <v>Lopinavir and Ritonavir Tablet</v>
      </c>
      <c r="B1111" s="5" t="str">
        <f>IFERROR(__xludf.DUMMYFUNCTION("""COMPUTED_VALUE"""),"AbbVie Inc.")</f>
        <v>AbbVie Inc.</v>
      </c>
      <c r="C1111" s="5" t="str">
        <f>IFERROR(__xludf.DUMMYFUNCTION("""COMPUTED_VALUE"""),"Kaletra, Tablet, 200 mg; 50 mg (NDC 0074-6799-22)")</f>
        <v>Kaletra, Tablet, 200 mg; 50 mg (NDC 0074-6799-22)</v>
      </c>
      <c r="D1111" s="5" t="str">
        <f>IFERROR(__xludf.DUMMYFUNCTION("""COMPUTED_VALUE"""),"New")</f>
        <v>New</v>
      </c>
      <c r="E1111" s="10">
        <f>IFERROR(__xludf.DUMMYFUNCTION("""COMPUTED_VALUE"""),46227.0)</f>
        <v>46227</v>
      </c>
      <c r="F1111" s="5"/>
      <c r="G1111" s="5" t="str">
        <f>IFERROR(__xludf.DUMMYFUNCTION("""COMPUTED_VALUE"""),"Discontinuation of the manufacture of the drug")</f>
        <v>Discontinuation of the manufacture of the drug</v>
      </c>
      <c r="H1111" s="5"/>
      <c r="I1111" s="5"/>
      <c r="J1111" s="5" t="str">
        <f>IFERROR(__xludf.DUMMYFUNCTION("""COMPUTED_VALUE"""),"Antiviral")</f>
        <v>Antiviral</v>
      </c>
      <c r="K1111" s="5" t="str">
        <f>IFERROR(__xludf.DUMMYFUNCTION("""COMPUTED_VALUE"""),"To Be Discontinued")</f>
        <v>To Be Discontinued</v>
      </c>
      <c r="L1111" s="5"/>
      <c r="M1111" s="10">
        <f>IFERROR(__xludf.DUMMYFUNCTION("""COMPUTED_VALUE"""),46227.0)</f>
        <v>46227</v>
      </c>
      <c r="N1111" s="10">
        <f>IFERROR(__xludf.DUMMYFUNCTION("""COMPUTED_VALUE"""),46227.0)</f>
        <v>46227</v>
      </c>
      <c r="O1111" s="5">
        <v>2026.0</v>
      </c>
      <c r="P1111" s="5" t="str">
        <f>IFERROR(__xludf.DUMMYFUNCTION("""COMPUTED_VALUE"""),"Not stated")</f>
        <v>Not stated</v>
      </c>
      <c r="Q1111" s="5" t="s">
        <v>135</v>
      </c>
      <c r="R1111" s="5" t="s">
        <v>136</v>
      </c>
      <c r="S1111" s="11">
        <v>94.0</v>
      </c>
    </row>
    <row r="1112">
      <c r="A1112" s="5" t="str">
        <f>IFERROR(__xludf.DUMMYFUNCTION("""COMPUTED_VALUE"""),"Lopinavir and Ritonavir Tablet")</f>
        <v>Lopinavir and Ritonavir Tablet</v>
      </c>
      <c r="B1112" s="5" t="str">
        <f>IFERROR(__xludf.DUMMYFUNCTION("""COMPUTED_VALUE"""),"AbbVie Inc.")</f>
        <v>AbbVie Inc.</v>
      </c>
      <c r="C1112" s="5" t="str">
        <f>IFERROR(__xludf.DUMMYFUNCTION("""COMPUTED_VALUE"""),"Kaletra, Tablet, 200 mg; 50 mg (NDC 0074-4014-12)")</f>
        <v>Kaletra, Tablet, 200 mg; 50 mg (NDC 0074-4014-12)</v>
      </c>
      <c r="D1112" s="5" t="str">
        <f>IFERROR(__xludf.DUMMYFUNCTION("""COMPUTED_VALUE"""),"New")</f>
        <v>New</v>
      </c>
      <c r="E1112" s="10">
        <f>IFERROR(__xludf.DUMMYFUNCTION("""COMPUTED_VALUE"""),46227.0)</f>
        <v>46227</v>
      </c>
      <c r="F1112" s="5"/>
      <c r="G1112" s="5" t="str">
        <f>IFERROR(__xludf.DUMMYFUNCTION("""COMPUTED_VALUE"""),"Discontinuation of the manufacture of the drug")</f>
        <v>Discontinuation of the manufacture of the drug</v>
      </c>
      <c r="H1112" s="5"/>
      <c r="I1112" s="5"/>
      <c r="J1112" s="5" t="str">
        <f>IFERROR(__xludf.DUMMYFUNCTION("""COMPUTED_VALUE"""),"Antiviral")</f>
        <v>Antiviral</v>
      </c>
      <c r="K1112" s="5" t="str">
        <f>IFERROR(__xludf.DUMMYFUNCTION("""COMPUTED_VALUE"""),"To Be Discontinued")</f>
        <v>To Be Discontinued</v>
      </c>
      <c r="L1112" s="5"/>
      <c r="M1112" s="10">
        <f>IFERROR(__xludf.DUMMYFUNCTION("""COMPUTED_VALUE"""),46227.0)</f>
        <v>46227</v>
      </c>
      <c r="N1112" s="10">
        <f>IFERROR(__xludf.DUMMYFUNCTION("""COMPUTED_VALUE"""),46227.0)</f>
        <v>46227</v>
      </c>
      <c r="O1112" s="5">
        <v>2026.0</v>
      </c>
      <c r="P1112" s="5" t="str">
        <f>IFERROR(__xludf.DUMMYFUNCTION("""COMPUTED_VALUE"""),"Not stated")</f>
        <v>Not stated</v>
      </c>
      <c r="Q1112" s="5" t="s">
        <v>135</v>
      </c>
      <c r="R1112" s="5" t="s">
        <v>136</v>
      </c>
      <c r="S1112" s="11">
        <v>94.0</v>
      </c>
    </row>
    <row r="1113">
      <c r="A1113" s="5" t="str">
        <f>IFERROR(__xludf.DUMMYFUNCTION("""COMPUTED_VALUE"""),"Lorazepam Injection")</f>
        <v>Lorazepam Injection</v>
      </c>
      <c r="B1113" s="5" t="str">
        <f>IFERROR(__xludf.DUMMYFUNCTION("""COMPUTED_VALUE"""),"Hikma Pharmaceuticals USA, Inc.")</f>
        <v>Hikma Pharmaceuticals USA, Inc.</v>
      </c>
      <c r="C1113" s="5" t="str">
        <f>IFERROR(__xludf.DUMMYFUNCTION("""COMPUTED_VALUE"""),"Lorazepam, Injection, 4 mg/1 mL (NDC 0641-6047-10)")</f>
        <v>Lorazepam, Injection, 4 mg/1 mL (NDC 0641-6047-10)</v>
      </c>
      <c r="D1113" s="5" t="str">
        <f>IFERROR(__xludf.DUMMYFUNCTION("""COMPUTED_VALUE"""),"Reverified")</f>
        <v>Reverified</v>
      </c>
      <c r="E1113" s="13">
        <f>IFERROR(__xludf.DUMMYFUNCTION("""COMPUTED_VALUE"""),46309.0)</f>
        <v>46309</v>
      </c>
      <c r="F1113" s="5" t="str">
        <f>IFERROR(__xludf.DUMMYFUNCTION("""COMPUTED_VALUE"""),"Unavailable")</f>
        <v>Unavailable</v>
      </c>
      <c r="G1113" s="5" t="str">
        <f>IFERROR(__xludf.DUMMYFUNCTION("""COMPUTED_VALUE"""),"Estimated recovery: TBD")</f>
        <v>Estimated recovery: TBD</v>
      </c>
      <c r="H1113" s="5"/>
      <c r="I1113" s="5" t="str">
        <f>IFERROR(__xludf.DUMMYFUNCTION("""COMPUTED_VALUE"""),"Other")</f>
        <v>Other</v>
      </c>
      <c r="J1113" s="5" t="str">
        <f>IFERROR(__xludf.DUMMYFUNCTION("""COMPUTED_VALUE"""),"Neurology")</f>
        <v>Neurology</v>
      </c>
      <c r="K1113" s="5" t="str">
        <f>IFERROR(__xludf.DUMMYFUNCTION("""COMPUTED_VALUE"""),"Current")</f>
        <v>Current</v>
      </c>
      <c r="L1113" s="5"/>
      <c r="M1113" s="5"/>
      <c r="N1113" s="10">
        <f>IFERROR(__xludf.DUMMYFUNCTION("""COMPUTED_VALUE"""),43223.0)</f>
        <v>43223</v>
      </c>
      <c r="O1113" s="5">
        <v>2018.0</v>
      </c>
      <c r="P1113" s="5" t="str">
        <f>IFERROR(__xludf.DUMMYFUNCTION("""COMPUTED_VALUE"""),"Unavailable")</f>
        <v>Unavailable</v>
      </c>
      <c r="Q1113" s="5" t="s">
        <v>47</v>
      </c>
      <c r="R1113" s="5" t="s">
        <v>136</v>
      </c>
      <c r="S1113" s="11">
        <v>3098.0</v>
      </c>
    </row>
    <row r="1114">
      <c r="A1114" s="5" t="str">
        <f>IFERROR(__xludf.DUMMYFUNCTION("""COMPUTED_VALUE"""),"Lorazepam Injection")</f>
        <v>Lorazepam Injection</v>
      </c>
      <c r="B1114" s="5" t="str">
        <f>IFERROR(__xludf.DUMMYFUNCTION("""COMPUTED_VALUE"""),"Fresenius Kabi USA, LLC")</f>
        <v>Fresenius Kabi USA, LLC</v>
      </c>
      <c r="C1114" s="5" t="str">
        <f>IFERROR(__xludf.DUMMYFUNCTION("""COMPUTED_VALUE"""),"Lorazepam, Injection, 2 mg/1 mL (NDC 65219-368-02)")</f>
        <v>Lorazepam, Injection, 2 mg/1 mL (NDC 65219-368-02)</v>
      </c>
      <c r="D1114" s="5" t="str">
        <f>IFERROR(__xludf.DUMMYFUNCTION("""COMPUTED_VALUE"""),"Reverified")</f>
        <v>Reverified</v>
      </c>
      <c r="E1114" s="13">
        <f>IFERROR(__xludf.DUMMYFUNCTION("""COMPUTED_VALUE"""),46310.0)</f>
        <v>46310</v>
      </c>
      <c r="F1114" s="5" t="str">
        <f>IFERROR(__xludf.DUMMYFUNCTION("""COMPUTED_VALUE"""),"Available")</f>
        <v>Available</v>
      </c>
      <c r="G1114" s="5" t="str">
        <f>IFERROR(__xludf.DUMMYFUNCTION("""COMPUTED_VALUE"""),"Check wholesalers for inventory")</f>
        <v>Check wholesalers for inventory</v>
      </c>
      <c r="H1114" s="5"/>
      <c r="I1114" s="5"/>
      <c r="J1114" s="5" t="str">
        <f>IFERROR(__xludf.DUMMYFUNCTION("""COMPUTED_VALUE"""),"Neurology")</f>
        <v>Neurology</v>
      </c>
      <c r="K1114" s="5" t="str">
        <f>IFERROR(__xludf.DUMMYFUNCTION("""COMPUTED_VALUE"""),"Current")</f>
        <v>Current</v>
      </c>
      <c r="L1114" s="5"/>
      <c r="M1114" s="5"/>
      <c r="N1114" s="10">
        <f>IFERROR(__xludf.DUMMYFUNCTION("""COMPUTED_VALUE"""),43223.0)</f>
        <v>43223</v>
      </c>
      <c r="O1114" s="5">
        <v>2018.0</v>
      </c>
      <c r="P1114" s="5" t="str">
        <f>IFERROR(__xludf.DUMMYFUNCTION("""COMPUTED_VALUE"""),"Available")</f>
        <v>Available</v>
      </c>
      <c r="Q1114" s="5" t="s">
        <v>135</v>
      </c>
      <c r="R1114" s="5" t="s">
        <v>136</v>
      </c>
      <c r="S1114" s="11">
        <v>3098.0</v>
      </c>
    </row>
    <row r="1115">
      <c r="A1115" s="5" t="str">
        <f>IFERROR(__xludf.DUMMYFUNCTION("""COMPUTED_VALUE"""),"Lorazepam Injection")</f>
        <v>Lorazepam Injection</v>
      </c>
      <c r="B1115" s="5" t="str">
        <f>IFERROR(__xludf.DUMMYFUNCTION("""COMPUTED_VALUE"""),"Hikma Pharmaceuticals USA, Inc.")</f>
        <v>Hikma Pharmaceuticals USA, Inc.</v>
      </c>
      <c r="C1115" s="5" t="str">
        <f>IFERROR(__xludf.DUMMYFUNCTION("""COMPUTED_VALUE"""),"Ativan, Injection, 2 mg/1 mL (NDC 0641-6001-25)")</f>
        <v>Ativan, Injection, 2 mg/1 mL (NDC 0641-6001-25)</v>
      </c>
      <c r="D1115" s="5" t="str">
        <f>IFERROR(__xludf.DUMMYFUNCTION("""COMPUTED_VALUE"""),"Revised")</f>
        <v>Revised</v>
      </c>
      <c r="E1115" s="13">
        <f>IFERROR(__xludf.DUMMYFUNCTION("""COMPUTED_VALUE"""),46309.0)</f>
        <v>46309</v>
      </c>
      <c r="F1115" s="5" t="str">
        <f>IFERROR(__xludf.DUMMYFUNCTION("""COMPUTED_VALUE"""),"Limited Availability")</f>
        <v>Limited Availability</v>
      </c>
      <c r="G1115" s="5" t="str">
        <f>IFERROR(__xludf.DUMMYFUNCTION("""COMPUTED_VALUE"""),"Additional lots are scheduled to be manufactured.  Product will be made available as it is released.")</f>
        <v>Additional lots are scheduled to be manufactured.  Product will be made available as it is released.</v>
      </c>
      <c r="H1115" s="5"/>
      <c r="I1115" s="5" t="str">
        <f>IFERROR(__xludf.DUMMYFUNCTION("""COMPUTED_VALUE"""),"Demand increase for the drug")</f>
        <v>Demand increase for the drug</v>
      </c>
      <c r="J1115" s="5" t="str">
        <f>IFERROR(__xludf.DUMMYFUNCTION("""COMPUTED_VALUE"""),"Neurology")</f>
        <v>Neurology</v>
      </c>
      <c r="K1115" s="5" t="str">
        <f>IFERROR(__xludf.DUMMYFUNCTION("""COMPUTED_VALUE"""),"Current")</f>
        <v>Current</v>
      </c>
      <c r="L1115" s="5"/>
      <c r="M1115" s="5"/>
      <c r="N1115" s="10">
        <f>IFERROR(__xludf.DUMMYFUNCTION("""COMPUTED_VALUE"""),43348.0)</f>
        <v>43348</v>
      </c>
      <c r="O1115" s="5">
        <v>2018.0</v>
      </c>
      <c r="P1115" s="5" t="str">
        <f>IFERROR(__xludf.DUMMYFUNCTION("""COMPUTED_VALUE"""),"Limited Availability")</f>
        <v>Limited Availability</v>
      </c>
      <c r="Q1115" s="5" t="s">
        <v>134</v>
      </c>
      <c r="R1115" s="5" t="s">
        <v>136</v>
      </c>
      <c r="S1115" s="11">
        <v>2973.0</v>
      </c>
    </row>
    <row r="1116">
      <c r="A1116" s="5" t="str">
        <f>IFERROR(__xludf.DUMMYFUNCTION("""COMPUTED_VALUE"""),"Lorazepam Injection")</f>
        <v>Lorazepam Injection</v>
      </c>
      <c r="B1116" s="5" t="str">
        <f>IFERROR(__xludf.DUMMYFUNCTION("""COMPUTED_VALUE"""),"Hikma Pharmaceuticals USA, Inc.")</f>
        <v>Hikma Pharmaceuticals USA, Inc.</v>
      </c>
      <c r="C1116" s="5" t="str">
        <f>IFERROR(__xludf.DUMMYFUNCTION("""COMPUTED_VALUE"""),"Ativan, Injection, 2 mg/1 mL (NDC 0641-6000-10)")</f>
        <v>Ativan, Injection, 2 mg/1 mL (NDC 0641-6000-10)</v>
      </c>
      <c r="D1116" s="5" t="str">
        <f>IFERROR(__xludf.DUMMYFUNCTION("""COMPUTED_VALUE"""),"Reverified")</f>
        <v>Reverified</v>
      </c>
      <c r="E1116" s="13">
        <f>IFERROR(__xludf.DUMMYFUNCTION("""COMPUTED_VALUE"""),46309.0)</f>
        <v>46309</v>
      </c>
      <c r="F1116" s="5" t="str">
        <f>IFERROR(__xludf.DUMMYFUNCTION("""COMPUTED_VALUE"""),"Unavailable")</f>
        <v>Unavailable</v>
      </c>
      <c r="G1116" s="5" t="str">
        <f>IFERROR(__xludf.DUMMYFUNCTION("""COMPUTED_VALUE"""),"Estimated recovery: TBD")</f>
        <v>Estimated recovery: TBD</v>
      </c>
      <c r="H1116" s="5"/>
      <c r="I1116" s="5" t="str">
        <f>IFERROR(__xludf.DUMMYFUNCTION("""COMPUTED_VALUE"""),"Other")</f>
        <v>Other</v>
      </c>
      <c r="J1116" s="5" t="str">
        <f>IFERROR(__xludf.DUMMYFUNCTION("""COMPUTED_VALUE"""),"Neurology")</f>
        <v>Neurology</v>
      </c>
      <c r="K1116" s="5" t="str">
        <f>IFERROR(__xludf.DUMMYFUNCTION("""COMPUTED_VALUE"""),"Current")</f>
        <v>Current</v>
      </c>
      <c r="L1116" s="5"/>
      <c r="M1116" s="5"/>
      <c r="N1116" s="10">
        <f>IFERROR(__xludf.DUMMYFUNCTION("""COMPUTED_VALUE"""),43348.0)</f>
        <v>43348</v>
      </c>
      <c r="O1116" s="5">
        <v>2018.0</v>
      </c>
      <c r="P1116" s="5" t="str">
        <f>IFERROR(__xludf.DUMMYFUNCTION("""COMPUTED_VALUE"""),"Unavailable")</f>
        <v>Unavailable</v>
      </c>
      <c r="Q1116" s="5" t="s">
        <v>47</v>
      </c>
      <c r="R1116" s="5" t="s">
        <v>136</v>
      </c>
      <c r="S1116" s="11">
        <v>2973.0</v>
      </c>
    </row>
    <row r="1117">
      <c r="A1117" s="5" t="str">
        <f>IFERROR(__xludf.DUMMYFUNCTION("""COMPUTED_VALUE"""),"Lorazepam Injection")</f>
        <v>Lorazepam Injection</v>
      </c>
      <c r="B1117" s="5" t="str">
        <f>IFERROR(__xludf.DUMMYFUNCTION("""COMPUTED_VALUE"""),"Hikma Pharmaceuticals USA, Inc.")</f>
        <v>Hikma Pharmaceuticals USA, Inc.</v>
      </c>
      <c r="C1117" s="5" t="str">
        <f>IFERROR(__xludf.DUMMYFUNCTION("""COMPUTED_VALUE"""),"Ativan, Injection, 4 mg/1 mL (NDC 0641-6003-25)")</f>
        <v>Ativan, Injection, 4 mg/1 mL (NDC 0641-6003-25)</v>
      </c>
      <c r="D1117" s="5" t="str">
        <f>IFERROR(__xludf.DUMMYFUNCTION("""COMPUTED_VALUE"""),"Revised")</f>
        <v>Revised</v>
      </c>
      <c r="E1117" s="13">
        <f>IFERROR(__xludf.DUMMYFUNCTION("""COMPUTED_VALUE"""),46309.0)</f>
        <v>46309</v>
      </c>
      <c r="F1117" s="5" t="str">
        <f>IFERROR(__xludf.DUMMYFUNCTION("""COMPUTED_VALUE"""),"Limited Availability")</f>
        <v>Limited Availability</v>
      </c>
      <c r="G1117" s="5" t="str">
        <f>IFERROR(__xludf.DUMMYFUNCTION("""COMPUTED_VALUE"""),"Additional lots are scheduled to be manufactured.  Product will be made available as it is released.")</f>
        <v>Additional lots are scheduled to be manufactured.  Product will be made available as it is released.</v>
      </c>
      <c r="H1117" s="5"/>
      <c r="I1117" s="5" t="str">
        <f>IFERROR(__xludf.DUMMYFUNCTION("""COMPUTED_VALUE"""),"Demand increase for the drug")</f>
        <v>Demand increase for the drug</v>
      </c>
      <c r="J1117" s="5" t="str">
        <f>IFERROR(__xludf.DUMMYFUNCTION("""COMPUTED_VALUE"""),"Neurology")</f>
        <v>Neurology</v>
      </c>
      <c r="K1117" s="5" t="str">
        <f>IFERROR(__xludf.DUMMYFUNCTION("""COMPUTED_VALUE"""),"Current")</f>
        <v>Current</v>
      </c>
      <c r="L1117" s="5"/>
      <c r="M1117" s="5"/>
      <c r="N1117" s="10">
        <f>IFERROR(__xludf.DUMMYFUNCTION("""COMPUTED_VALUE"""),43348.0)</f>
        <v>43348</v>
      </c>
      <c r="O1117" s="5">
        <v>2018.0</v>
      </c>
      <c r="P1117" s="5" t="str">
        <f>IFERROR(__xludf.DUMMYFUNCTION("""COMPUTED_VALUE"""),"Limited Availability")</f>
        <v>Limited Availability</v>
      </c>
      <c r="Q1117" s="5" t="s">
        <v>134</v>
      </c>
      <c r="R1117" s="5" t="s">
        <v>136</v>
      </c>
      <c r="S1117" s="11">
        <v>2973.0</v>
      </c>
    </row>
    <row r="1118">
      <c r="A1118" s="5" t="str">
        <f>IFERROR(__xludf.DUMMYFUNCTION("""COMPUTED_VALUE"""),"Lorazepam Injection")</f>
        <v>Lorazepam Injection</v>
      </c>
      <c r="B1118" s="5" t="str">
        <f>IFERROR(__xludf.DUMMYFUNCTION("""COMPUTED_VALUE"""),"Hikma Pharmaceuticals USA, Inc.")</f>
        <v>Hikma Pharmaceuticals USA, Inc.</v>
      </c>
      <c r="C1118" s="5" t="str">
        <f>IFERROR(__xludf.DUMMYFUNCTION("""COMPUTED_VALUE"""),"Ativan, Injection, 4 mg/1 mL (NDC 0641-6002-10)")</f>
        <v>Ativan, Injection, 4 mg/1 mL (NDC 0641-6002-10)</v>
      </c>
      <c r="D1118" s="5" t="str">
        <f>IFERROR(__xludf.DUMMYFUNCTION("""COMPUTED_VALUE"""),"Reverified")</f>
        <v>Reverified</v>
      </c>
      <c r="E1118" s="13">
        <f>IFERROR(__xludf.DUMMYFUNCTION("""COMPUTED_VALUE"""),46309.0)</f>
        <v>46309</v>
      </c>
      <c r="F1118" s="5" t="str">
        <f>IFERROR(__xludf.DUMMYFUNCTION("""COMPUTED_VALUE"""),"Unavailable")</f>
        <v>Unavailable</v>
      </c>
      <c r="G1118" s="5" t="str">
        <f>IFERROR(__xludf.DUMMYFUNCTION("""COMPUTED_VALUE"""),"Estimated recovery: TBD")</f>
        <v>Estimated recovery: TBD</v>
      </c>
      <c r="H1118" s="5"/>
      <c r="I1118" s="5" t="str">
        <f>IFERROR(__xludf.DUMMYFUNCTION("""COMPUTED_VALUE"""),"Other")</f>
        <v>Other</v>
      </c>
      <c r="J1118" s="5" t="str">
        <f>IFERROR(__xludf.DUMMYFUNCTION("""COMPUTED_VALUE"""),"Neurology")</f>
        <v>Neurology</v>
      </c>
      <c r="K1118" s="5" t="str">
        <f>IFERROR(__xludf.DUMMYFUNCTION("""COMPUTED_VALUE"""),"Current")</f>
        <v>Current</v>
      </c>
      <c r="L1118" s="5"/>
      <c r="M1118" s="5"/>
      <c r="N1118" s="10">
        <f>IFERROR(__xludf.DUMMYFUNCTION("""COMPUTED_VALUE"""),43348.0)</f>
        <v>43348</v>
      </c>
      <c r="O1118" s="5">
        <v>2018.0</v>
      </c>
      <c r="P1118" s="5" t="str">
        <f>IFERROR(__xludf.DUMMYFUNCTION("""COMPUTED_VALUE"""),"Unavailable")</f>
        <v>Unavailable</v>
      </c>
      <c r="Q1118" s="5" t="s">
        <v>47</v>
      </c>
      <c r="R1118" s="5" t="s">
        <v>136</v>
      </c>
      <c r="S1118" s="11">
        <v>2973.0</v>
      </c>
    </row>
    <row r="1119">
      <c r="A1119" s="5" t="str">
        <f>IFERROR(__xludf.DUMMYFUNCTION("""COMPUTED_VALUE"""),"Lorazepam Injection")</f>
        <v>Lorazepam Injection</v>
      </c>
      <c r="B1119" s="5" t="str">
        <f>IFERROR(__xludf.DUMMYFUNCTION("""COMPUTED_VALUE"""),"Hikma Pharmaceuticals USA, Inc.")</f>
        <v>Hikma Pharmaceuticals USA, Inc.</v>
      </c>
      <c r="C1119" s="5" t="str">
        <f>IFERROR(__xludf.DUMMYFUNCTION("""COMPUTED_VALUE"""),"Lorazepam, Injection, 2 mg/1 mL (NDC 0641-6044-25)")</f>
        <v>Lorazepam, Injection, 2 mg/1 mL (NDC 0641-6044-25)</v>
      </c>
      <c r="D1119" s="5" t="str">
        <f>IFERROR(__xludf.DUMMYFUNCTION("""COMPUTED_VALUE"""),"Revised")</f>
        <v>Revised</v>
      </c>
      <c r="E1119" s="13">
        <f>IFERROR(__xludf.DUMMYFUNCTION("""COMPUTED_VALUE"""),46309.0)</f>
        <v>46309</v>
      </c>
      <c r="F1119" s="5" t="str">
        <f>IFERROR(__xludf.DUMMYFUNCTION("""COMPUTED_VALUE"""),"Limited Availability")</f>
        <v>Limited Availability</v>
      </c>
      <c r="G1119" s="5" t="str">
        <f>IFERROR(__xludf.DUMMYFUNCTION("""COMPUTED_VALUE"""),"Additional lots are scheduled to be manufactured.  Product will be made available as it is released.")</f>
        <v>Additional lots are scheduled to be manufactured.  Product will be made available as it is released.</v>
      </c>
      <c r="H1119" s="5"/>
      <c r="I1119" s="5" t="str">
        <f>IFERROR(__xludf.DUMMYFUNCTION("""COMPUTED_VALUE"""),"Demand increase for the drug")</f>
        <v>Demand increase for the drug</v>
      </c>
      <c r="J1119" s="5" t="str">
        <f>IFERROR(__xludf.DUMMYFUNCTION("""COMPUTED_VALUE"""),"Neurology")</f>
        <v>Neurology</v>
      </c>
      <c r="K1119" s="5" t="str">
        <f>IFERROR(__xludf.DUMMYFUNCTION("""COMPUTED_VALUE"""),"Current")</f>
        <v>Current</v>
      </c>
      <c r="L1119" s="5"/>
      <c r="M1119" s="5"/>
      <c r="N1119" s="10">
        <f>IFERROR(__xludf.DUMMYFUNCTION("""COMPUTED_VALUE"""),43348.0)</f>
        <v>43348</v>
      </c>
      <c r="O1119" s="5">
        <v>2018.0</v>
      </c>
      <c r="P1119" s="5" t="str">
        <f>IFERROR(__xludf.DUMMYFUNCTION("""COMPUTED_VALUE"""),"Limited Availability")</f>
        <v>Limited Availability</v>
      </c>
      <c r="Q1119" s="5" t="s">
        <v>134</v>
      </c>
      <c r="R1119" s="5" t="s">
        <v>136</v>
      </c>
      <c r="S1119" s="11">
        <v>2973.0</v>
      </c>
    </row>
    <row r="1120">
      <c r="A1120" s="5" t="str">
        <f>IFERROR(__xludf.DUMMYFUNCTION("""COMPUTED_VALUE"""),"Lorazepam Injection")</f>
        <v>Lorazepam Injection</v>
      </c>
      <c r="B1120" s="5" t="str">
        <f>IFERROR(__xludf.DUMMYFUNCTION("""COMPUTED_VALUE"""),"Hikma Pharmaceuticals USA, Inc.")</f>
        <v>Hikma Pharmaceuticals USA, Inc.</v>
      </c>
      <c r="C1120" s="5" t="str">
        <f>IFERROR(__xludf.DUMMYFUNCTION("""COMPUTED_VALUE"""),"Lorazepam, Injection, 2 mg/1 mL (NDC 0641-6046-10)")</f>
        <v>Lorazepam, Injection, 2 mg/1 mL (NDC 0641-6046-10)</v>
      </c>
      <c r="D1120" s="5" t="str">
        <f>IFERROR(__xludf.DUMMYFUNCTION("""COMPUTED_VALUE"""),"Reverified")</f>
        <v>Reverified</v>
      </c>
      <c r="E1120" s="13">
        <f>IFERROR(__xludf.DUMMYFUNCTION("""COMPUTED_VALUE"""),46309.0)</f>
        <v>46309</v>
      </c>
      <c r="F1120" s="5" t="str">
        <f>IFERROR(__xludf.DUMMYFUNCTION("""COMPUTED_VALUE"""),"Unavailable")</f>
        <v>Unavailable</v>
      </c>
      <c r="G1120" s="5" t="str">
        <f>IFERROR(__xludf.DUMMYFUNCTION("""COMPUTED_VALUE"""),"Estimated recovery: TBD")</f>
        <v>Estimated recovery: TBD</v>
      </c>
      <c r="H1120" s="5"/>
      <c r="I1120" s="5" t="str">
        <f>IFERROR(__xludf.DUMMYFUNCTION("""COMPUTED_VALUE"""),"Other")</f>
        <v>Other</v>
      </c>
      <c r="J1120" s="5" t="str">
        <f>IFERROR(__xludf.DUMMYFUNCTION("""COMPUTED_VALUE"""),"Neurology")</f>
        <v>Neurology</v>
      </c>
      <c r="K1120" s="5" t="str">
        <f>IFERROR(__xludf.DUMMYFUNCTION("""COMPUTED_VALUE"""),"Current")</f>
        <v>Current</v>
      </c>
      <c r="L1120" s="5"/>
      <c r="M1120" s="5"/>
      <c r="N1120" s="10">
        <f>IFERROR(__xludf.DUMMYFUNCTION("""COMPUTED_VALUE"""),43348.0)</f>
        <v>43348</v>
      </c>
      <c r="O1120" s="5">
        <v>2018.0</v>
      </c>
      <c r="P1120" s="5" t="str">
        <f>IFERROR(__xludf.DUMMYFUNCTION("""COMPUTED_VALUE"""),"Unavailable")</f>
        <v>Unavailable</v>
      </c>
      <c r="Q1120" s="5" t="s">
        <v>47</v>
      </c>
      <c r="R1120" s="5" t="s">
        <v>136</v>
      </c>
      <c r="S1120" s="11">
        <v>2973.0</v>
      </c>
    </row>
    <row r="1121">
      <c r="A1121" s="5" t="str">
        <f>IFERROR(__xludf.DUMMYFUNCTION("""COMPUTED_VALUE"""),"Lorazepam Injection")</f>
        <v>Lorazepam Injection</v>
      </c>
      <c r="B1121" s="5" t="str">
        <f>IFERROR(__xludf.DUMMYFUNCTION("""COMPUTED_VALUE"""),"Hikma Pharmaceuticals USA, Inc.")</f>
        <v>Hikma Pharmaceuticals USA, Inc.</v>
      </c>
      <c r="C1121" s="5" t="str">
        <f>IFERROR(__xludf.DUMMYFUNCTION("""COMPUTED_VALUE"""),"Lorazepam, Injection, 4 mg/1 mL (NDC 0641-6045-25)")</f>
        <v>Lorazepam, Injection, 4 mg/1 mL (NDC 0641-6045-25)</v>
      </c>
      <c r="D1121" s="5" t="str">
        <f>IFERROR(__xludf.DUMMYFUNCTION("""COMPUTED_VALUE"""),"Revised")</f>
        <v>Revised</v>
      </c>
      <c r="E1121" s="13">
        <f>IFERROR(__xludf.DUMMYFUNCTION("""COMPUTED_VALUE"""),46309.0)</f>
        <v>46309</v>
      </c>
      <c r="F1121" s="5" t="str">
        <f>IFERROR(__xludf.DUMMYFUNCTION("""COMPUTED_VALUE"""),"Limited Availability")</f>
        <v>Limited Availability</v>
      </c>
      <c r="G1121" s="5" t="str">
        <f>IFERROR(__xludf.DUMMYFUNCTION("""COMPUTED_VALUE"""),"Additional lots are scheduled to be manufactured.  Product will be made available as it is released.")</f>
        <v>Additional lots are scheduled to be manufactured.  Product will be made available as it is released.</v>
      </c>
      <c r="H1121" s="5"/>
      <c r="I1121" s="5" t="str">
        <f>IFERROR(__xludf.DUMMYFUNCTION("""COMPUTED_VALUE"""),"Demand increase for the drug")</f>
        <v>Demand increase for the drug</v>
      </c>
      <c r="J1121" s="5" t="str">
        <f>IFERROR(__xludf.DUMMYFUNCTION("""COMPUTED_VALUE"""),"Neurology")</f>
        <v>Neurology</v>
      </c>
      <c r="K1121" s="5" t="str">
        <f>IFERROR(__xludf.DUMMYFUNCTION("""COMPUTED_VALUE"""),"Current")</f>
        <v>Current</v>
      </c>
      <c r="L1121" s="5"/>
      <c r="M1121" s="5"/>
      <c r="N1121" s="10">
        <f>IFERROR(__xludf.DUMMYFUNCTION("""COMPUTED_VALUE"""),43348.0)</f>
        <v>43348</v>
      </c>
      <c r="O1121" s="5">
        <v>2018.0</v>
      </c>
      <c r="P1121" s="5" t="str">
        <f>IFERROR(__xludf.DUMMYFUNCTION("""COMPUTED_VALUE"""),"Limited Availability")</f>
        <v>Limited Availability</v>
      </c>
      <c r="Q1121" s="5" t="s">
        <v>134</v>
      </c>
      <c r="R1121" s="5" t="s">
        <v>136</v>
      </c>
      <c r="S1121" s="11">
        <v>2973.0</v>
      </c>
    </row>
    <row r="1122">
      <c r="A1122" s="5" t="str">
        <f>IFERROR(__xludf.DUMMYFUNCTION("""COMPUTED_VALUE"""),"Lorazepam Injection")</f>
        <v>Lorazepam Injection</v>
      </c>
      <c r="B1122" s="5" t="str">
        <f>IFERROR(__xludf.DUMMYFUNCTION("""COMPUTED_VALUE"""),"Hospira, Inc., a Pfizer Company")</f>
        <v>Hospira, Inc., a Pfizer Company</v>
      </c>
      <c r="C1122" s="5" t="str">
        <f>IFERROR(__xludf.DUMMYFUNCTION("""COMPUTED_VALUE"""),"Lorazepam, Injection, 2 mg/1 mL Syringes (NDC 0409-1985-30)")</f>
        <v>Lorazepam, Injection, 2 mg/1 mL Syringes (NDC 0409-1985-30)</v>
      </c>
      <c r="D1122" s="5" t="str">
        <f>IFERROR(__xludf.DUMMYFUNCTION("""COMPUTED_VALUE"""),"Revised")</f>
        <v>Revised</v>
      </c>
      <c r="E1122" s="13">
        <f>IFERROR(__xludf.DUMMYFUNCTION("""COMPUTED_VALUE"""),46316.0)</f>
        <v>46316</v>
      </c>
      <c r="F1122" s="5" t="str">
        <f>IFERROR(__xludf.DUMMYFUNCTION("""COMPUTED_VALUE"""),"Limited Availability")</f>
        <v>Limited Availability</v>
      </c>
      <c r="G1122" s="5" t="str">
        <f>IFERROR(__xludf.DUMMYFUNCTION("""COMPUTED_VALUE"""),"Limited Supply Available. Next Delivery and Estimated Recovery: June 2027")</f>
        <v>Limited Supply Available. Next Delivery and Estimated Recovery: June 2027</v>
      </c>
      <c r="H1122" s="5"/>
      <c r="I1122" s="5" t="str">
        <f>IFERROR(__xludf.DUMMYFUNCTION("""COMPUTED_VALUE"""),"Demand increase for the drug")</f>
        <v>Demand increase for the drug</v>
      </c>
      <c r="J1122" s="5" t="str">
        <f>IFERROR(__xludf.DUMMYFUNCTION("""COMPUTED_VALUE"""),"Neurology")</f>
        <v>Neurology</v>
      </c>
      <c r="K1122" s="5" t="str">
        <f>IFERROR(__xludf.DUMMYFUNCTION("""COMPUTED_VALUE"""),"Current")</f>
        <v>Current</v>
      </c>
      <c r="L1122" s="5"/>
      <c r="M1122" s="5"/>
      <c r="N1122" s="10">
        <f>IFERROR(__xludf.DUMMYFUNCTION("""COMPUTED_VALUE"""),43223.0)</f>
        <v>43223</v>
      </c>
      <c r="O1122" s="5">
        <v>2018.0</v>
      </c>
      <c r="P1122" s="5" t="str">
        <f>IFERROR(__xludf.DUMMYFUNCTION("""COMPUTED_VALUE"""),"Limited Availability")</f>
        <v>Limited Availability</v>
      </c>
      <c r="Q1122" s="5" t="s">
        <v>134</v>
      </c>
      <c r="R1122" s="5" t="s">
        <v>136</v>
      </c>
      <c r="S1122" s="11">
        <v>3098.0</v>
      </c>
    </row>
    <row r="1123">
      <c r="A1123" s="5" t="str">
        <f>IFERROR(__xludf.DUMMYFUNCTION("""COMPUTED_VALUE"""),"Lorazepam Injection")</f>
        <v>Lorazepam Injection</v>
      </c>
      <c r="B1123" s="5" t="str">
        <f>IFERROR(__xludf.DUMMYFUNCTION("""COMPUTED_VALUE"""),"Amphastar Pharmaceuticals, Inc.")</f>
        <v>Amphastar Pharmaceuticals, Inc.</v>
      </c>
      <c r="C1123" s="5" t="str">
        <f>IFERROR(__xludf.DUMMYFUNCTION("""COMPUTED_VALUE"""),"Lorazepam, Injection, 2 mg/1 mL (NDC 76329-8261-1)")</f>
        <v>Lorazepam, Injection, 2 mg/1 mL (NDC 76329-8261-1)</v>
      </c>
      <c r="D1123" s="5" t="str">
        <f>IFERROR(__xludf.DUMMYFUNCTION("""COMPUTED_VALUE"""),"Reverified")</f>
        <v>Reverified</v>
      </c>
      <c r="E1123" s="13">
        <f>IFERROR(__xludf.DUMMYFUNCTION("""COMPUTED_VALUE"""),46311.0)</f>
        <v>46311</v>
      </c>
      <c r="F1123" s="5" t="str">
        <f>IFERROR(__xludf.DUMMYFUNCTION("""COMPUTED_VALUE"""),"Available")</f>
        <v>Available</v>
      </c>
      <c r="G1123" s="5"/>
      <c r="H1123" s="5"/>
      <c r="I1123" s="5"/>
      <c r="J1123" s="5" t="str">
        <f>IFERROR(__xludf.DUMMYFUNCTION("""COMPUTED_VALUE"""),"Neurology")</f>
        <v>Neurology</v>
      </c>
      <c r="K1123" s="5" t="str">
        <f>IFERROR(__xludf.DUMMYFUNCTION("""COMPUTED_VALUE"""),"Current")</f>
        <v>Current</v>
      </c>
      <c r="L1123" s="5"/>
      <c r="M1123" s="5"/>
      <c r="N1123" s="10">
        <f>IFERROR(__xludf.DUMMYFUNCTION("""COMPUTED_VALUE"""),43223.0)</f>
        <v>43223</v>
      </c>
      <c r="O1123" s="5">
        <v>2018.0</v>
      </c>
      <c r="P1123" s="5" t="str">
        <f>IFERROR(__xludf.DUMMYFUNCTION("""COMPUTED_VALUE"""),"Available")</f>
        <v>Available</v>
      </c>
      <c r="Q1123" s="5" t="s">
        <v>135</v>
      </c>
      <c r="R1123" s="5" t="s">
        <v>136</v>
      </c>
      <c r="S1123" s="11">
        <v>3098.0</v>
      </c>
    </row>
    <row r="1124">
      <c r="A1124" s="5" t="str">
        <f>IFERROR(__xludf.DUMMYFUNCTION("""COMPUTED_VALUE"""),"Lorlatinib Tablet")</f>
        <v>Lorlatinib Tablet</v>
      </c>
      <c r="B1124" s="5" t="str">
        <f>IFERROR(__xludf.DUMMYFUNCTION("""COMPUTED_VALUE"""),"Pfizer Inc.")</f>
        <v>Pfizer Inc.</v>
      </c>
      <c r="C1124" s="5" t="str">
        <f>IFERROR(__xludf.DUMMYFUNCTION("""COMPUTED_VALUE"""),"Lorbrena, Tablet, 25 mg; 120 tablets bottle with a child-resistant closure (NDC 0069-0227-03)")</f>
        <v>Lorbrena, Tablet, 25 mg; 120 tablets bottle with a child-resistant closure (NDC 0069-0227-03)</v>
      </c>
      <c r="D1124" s="5" t="str">
        <f>IFERROR(__xludf.DUMMYFUNCTION("""COMPUTED_VALUE"""),"New")</f>
        <v>New</v>
      </c>
      <c r="E1124" s="10">
        <f>IFERROR(__xludf.DUMMYFUNCTION("""COMPUTED_VALUE"""),46188.0)</f>
        <v>46188</v>
      </c>
      <c r="F1124" s="5"/>
      <c r="G1124" s="5" t="str">
        <f>IFERROR(__xludf.DUMMYFUNCTION("""COMPUTED_VALUE"""),"Supply expected to exhaust 6/30/2026; NDC 0069-0227-01 25 mg; 30 tablets bottle with a child-resistant closure will continue to be manufactured; Discontinuation of the manufacture of this presentation")</f>
        <v>Supply expected to exhaust 6/30/2026; NDC 0069-0227-01 25 mg; 30 tablets bottle with a child-resistant closure will continue to be manufactured; Discontinuation of the manufacture of this presentation</v>
      </c>
      <c r="H1124" s="5"/>
      <c r="I1124" s="5"/>
      <c r="J1124" s="5" t="str">
        <f>IFERROR(__xludf.DUMMYFUNCTION("""COMPUTED_VALUE"""),"Oncology")</f>
        <v>Oncology</v>
      </c>
      <c r="K1124" s="5" t="str">
        <f>IFERROR(__xludf.DUMMYFUNCTION("""COMPUTED_VALUE"""),"To Be Discontinued")</f>
        <v>To Be Discontinued</v>
      </c>
      <c r="L1124" s="5"/>
      <c r="M1124" s="10">
        <f>IFERROR(__xludf.DUMMYFUNCTION("""COMPUTED_VALUE"""),46188.0)</f>
        <v>46188</v>
      </c>
      <c r="N1124" s="10">
        <f>IFERROR(__xludf.DUMMYFUNCTION("""COMPUTED_VALUE"""),46188.0)</f>
        <v>46188</v>
      </c>
      <c r="O1124" s="5">
        <v>2026.0</v>
      </c>
      <c r="P1124" s="5" t="str">
        <f>IFERROR(__xludf.DUMMYFUNCTION("""COMPUTED_VALUE"""),"Not stated")</f>
        <v>Not stated</v>
      </c>
      <c r="Q1124" s="5" t="s">
        <v>135</v>
      </c>
      <c r="R1124" s="5" t="s">
        <v>136</v>
      </c>
      <c r="S1124" s="11">
        <v>133.0</v>
      </c>
    </row>
    <row r="1125">
      <c r="A1125" s="5" t="str">
        <f>IFERROR(__xludf.DUMMYFUNCTION("""COMPUTED_VALUE"""),"Maraviroc Solution")</f>
        <v>Maraviroc Solution</v>
      </c>
      <c r="B1125" s="5" t="str">
        <f>IFERROR(__xludf.DUMMYFUNCTION("""COMPUTED_VALUE"""),"ViiV Healthcare Company")</f>
        <v>ViiV Healthcare Company</v>
      </c>
      <c r="C1125" s="5" t="str">
        <f>IFERROR(__xludf.DUMMYFUNCTION("""COMPUTED_VALUE"""),"Selzentry, Solution, 20 mg/mL Oral Solution Kit | 230 mL Oral Solution per Bottle | 1 Bottle per Carton  (NDC 49702-260-55)")</f>
        <v>Selzentry, Solution, 20 mg/mL Oral Solution Kit | 230 mL Oral Solution per Bottle | 1 Bottle per Carton  (NDC 49702-260-55)</v>
      </c>
      <c r="D1125" s="5" t="str">
        <f>IFERROR(__xludf.DUMMYFUNCTION("""COMPUTED_VALUE"""),"New")</f>
        <v>New</v>
      </c>
      <c r="E1125" s="10">
        <f>IFERROR(__xludf.DUMMYFUNCTION("""COMPUTED_VALUE"""),46042.0)</f>
        <v>46042</v>
      </c>
      <c r="F1125" s="5"/>
      <c r="G1125" s="5" t="str">
        <f>IFERROR(__xludf.DUMMYFUNCTION("""COMPUTED_VALUE"""),"The anticipated date that GSK will cease distribution of the product is approximately August 1, 2026.")</f>
        <v>The anticipated date that GSK will cease distribution of the product is approximately August 1, 2026.</v>
      </c>
      <c r="H1125" s="5"/>
      <c r="I1125" s="5"/>
      <c r="J1125" s="5" t="str">
        <f>IFERROR(__xludf.DUMMYFUNCTION("""COMPUTED_VALUE"""),"Antiviral")</f>
        <v>Antiviral</v>
      </c>
      <c r="K1125" s="5" t="str">
        <f>IFERROR(__xludf.DUMMYFUNCTION("""COMPUTED_VALUE"""),"To Be Discontinued")</f>
        <v>To Be Discontinued</v>
      </c>
      <c r="L1125" s="5"/>
      <c r="M1125" s="10">
        <f>IFERROR(__xludf.DUMMYFUNCTION("""COMPUTED_VALUE"""),46042.0)</f>
        <v>46042</v>
      </c>
      <c r="N1125" s="10">
        <f>IFERROR(__xludf.DUMMYFUNCTION("""COMPUTED_VALUE"""),46042.0)</f>
        <v>46042</v>
      </c>
      <c r="O1125" s="5">
        <v>2026.0</v>
      </c>
      <c r="P1125" s="5" t="str">
        <f>IFERROR(__xludf.DUMMYFUNCTION("""COMPUTED_VALUE"""),"Not stated")</f>
        <v>Not stated</v>
      </c>
      <c r="Q1125" s="5" t="s">
        <v>135</v>
      </c>
      <c r="R1125" s="5" t="s">
        <v>136</v>
      </c>
      <c r="S1125" s="11">
        <v>279.0</v>
      </c>
    </row>
    <row r="1126">
      <c r="A1126" s="5" t="str">
        <f>IFERROR(__xludf.DUMMYFUNCTION("""COMPUTED_VALUE"""),"Medroxyprogesterone Acetate Tablet")</f>
        <v>Medroxyprogesterone Acetate Tablet</v>
      </c>
      <c r="B1126" s="5" t="str">
        <f>IFERROR(__xludf.DUMMYFUNCTION("""COMPUTED_VALUE"""),"Pfizer Inc.")</f>
        <v>Pfizer Inc.</v>
      </c>
      <c r="C1126" s="5" t="str">
        <f>IFERROR(__xludf.DUMMYFUNCTION("""COMPUTED_VALUE"""),"PROVERA, Tablet, 10 mg (NDC 0009-0051-01)")</f>
        <v>PROVERA, Tablet, 10 mg (NDC 0009-0051-01)</v>
      </c>
      <c r="D1126" s="5" t="str">
        <f>IFERROR(__xludf.DUMMYFUNCTION("""COMPUTED_VALUE"""),"New")</f>
        <v>New</v>
      </c>
      <c r="E1126" s="10">
        <f>IFERROR(__xludf.DUMMYFUNCTION("""COMPUTED_VALUE"""),46265.0)</f>
        <v>46265</v>
      </c>
      <c r="F1126" s="5"/>
      <c r="G1126" s="5" t="str">
        <f>IFERROR(__xludf.DUMMYFUNCTION("""COMPUTED_VALUE"""),"Discontinuation of the manufacture of the drug; Withdrawal from sale expected September 2026.")</f>
        <v>Discontinuation of the manufacture of the drug; Withdrawal from sale expected September 2026.</v>
      </c>
      <c r="H1126" s="5"/>
      <c r="I1126" s="5"/>
      <c r="J1126" s="5" t="str">
        <f>IFERROR(__xludf.DUMMYFUNCTION("""COMPUTED_VALUE"""),"Urology")</f>
        <v>Urology</v>
      </c>
      <c r="K1126" s="5" t="str">
        <f>IFERROR(__xludf.DUMMYFUNCTION("""COMPUTED_VALUE"""),"To Be Discontinued")</f>
        <v>To Be Discontinued</v>
      </c>
      <c r="L1126" s="5"/>
      <c r="M1126" s="10">
        <f>IFERROR(__xludf.DUMMYFUNCTION("""COMPUTED_VALUE"""),46265.0)</f>
        <v>46265</v>
      </c>
      <c r="N1126" s="10">
        <f>IFERROR(__xludf.DUMMYFUNCTION("""COMPUTED_VALUE"""),46265.0)</f>
        <v>46265</v>
      </c>
      <c r="O1126" s="5">
        <v>2026.0</v>
      </c>
      <c r="P1126" s="5" t="str">
        <f>IFERROR(__xludf.DUMMYFUNCTION("""COMPUTED_VALUE"""),"Not stated")</f>
        <v>Not stated</v>
      </c>
      <c r="Q1126" s="5" t="s">
        <v>135</v>
      </c>
      <c r="R1126" s="5" t="s">
        <v>136</v>
      </c>
      <c r="S1126" s="11">
        <v>56.0</v>
      </c>
    </row>
    <row r="1127">
      <c r="A1127" s="5" t="str">
        <f>IFERROR(__xludf.DUMMYFUNCTION("""COMPUTED_VALUE"""),"Medroxyprogesterone Acetate Tablet")</f>
        <v>Medroxyprogesterone Acetate Tablet</v>
      </c>
      <c r="B1127" s="5" t="str">
        <f>IFERROR(__xludf.DUMMYFUNCTION("""COMPUTED_VALUE"""),"Pfizer Inc.")</f>
        <v>Pfizer Inc.</v>
      </c>
      <c r="C1127" s="5" t="str">
        <f>IFERROR(__xludf.DUMMYFUNCTION("""COMPUTED_VALUE"""),"PROVERA, Tablet, 2.5 mg (NDC 0009-0065-01)")</f>
        <v>PROVERA, Tablet, 2.5 mg (NDC 0009-0065-01)</v>
      </c>
      <c r="D1127" s="5" t="str">
        <f>IFERROR(__xludf.DUMMYFUNCTION("""COMPUTED_VALUE"""),"New")</f>
        <v>New</v>
      </c>
      <c r="E1127" s="10">
        <f>IFERROR(__xludf.DUMMYFUNCTION("""COMPUTED_VALUE"""),46265.0)</f>
        <v>46265</v>
      </c>
      <c r="F1127" s="5"/>
      <c r="G1127" s="5" t="str">
        <f>IFERROR(__xludf.DUMMYFUNCTION("""COMPUTED_VALUE"""),"Discontinuation of the manufacture of the drug; Withdrawal from sale expected early October 2026.")</f>
        <v>Discontinuation of the manufacture of the drug; Withdrawal from sale expected early October 2026.</v>
      </c>
      <c r="H1127" s="5"/>
      <c r="I1127" s="5"/>
      <c r="J1127" s="5" t="str">
        <f>IFERROR(__xludf.DUMMYFUNCTION("""COMPUTED_VALUE"""),"Urology")</f>
        <v>Urology</v>
      </c>
      <c r="K1127" s="5" t="str">
        <f>IFERROR(__xludf.DUMMYFUNCTION("""COMPUTED_VALUE"""),"To Be Discontinued")</f>
        <v>To Be Discontinued</v>
      </c>
      <c r="L1127" s="5"/>
      <c r="M1127" s="10">
        <f>IFERROR(__xludf.DUMMYFUNCTION("""COMPUTED_VALUE"""),46265.0)</f>
        <v>46265</v>
      </c>
      <c r="N1127" s="10">
        <f>IFERROR(__xludf.DUMMYFUNCTION("""COMPUTED_VALUE"""),46265.0)</f>
        <v>46265</v>
      </c>
      <c r="O1127" s="5">
        <v>2026.0</v>
      </c>
      <c r="P1127" s="5" t="str">
        <f>IFERROR(__xludf.DUMMYFUNCTION("""COMPUTED_VALUE"""),"Not stated")</f>
        <v>Not stated</v>
      </c>
      <c r="Q1127" s="5" t="s">
        <v>135</v>
      </c>
      <c r="R1127" s="5" t="s">
        <v>136</v>
      </c>
      <c r="S1127" s="11">
        <v>56.0</v>
      </c>
    </row>
    <row r="1128">
      <c r="A1128" s="5" t="str">
        <f>IFERROR(__xludf.DUMMYFUNCTION("""COMPUTED_VALUE"""),"Melphalan Hydrochloride Injection")</f>
        <v>Melphalan Hydrochloride Injection</v>
      </c>
      <c r="B1128" s="5" t="str">
        <f>IFERROR(__xludf.DUMMYFUNCTION("""COMPUTED_VALUE"""),"Fresenius Kabi USA, LLC")</f>
        <v>Fresenius Kabi USA, LLC</v>
      </c>
      <c r="C1128" s="5" t="str">
        <f>IFERROR(__xludf.DUMMYFUNCTION("""COMPUTED_VALUE"""),"Melphalan Hydrochloride, Injection, Kit (NDC 63323-760-20)")</f>
        <v>Melphalan Hydrochloride, Injection, Kit (NDC 63323-760-20)</v>
      </c>
      <c r="D1128" s="5" t="str">
        <f>IFERROR(__xludf.DUMMYFUNCTION("""COMPUTED_VALUE"""),"New")</f>
        <v>New</v>
      </c>
      <c r="E1128" s="10">
        <f>IFERROR(__xludf.DUMMYFUNCTION("""COMPUTED_VALUE"""),46281.0)</f>
        <v>46281</v>
      </c>
      <c r="F1128" s="5"/>
      <c r="G1128" s="5" t="str">
        <f>IFERROR(__xludf.DUMMYFUNCTION("""COMPUTED_VALUE"""),"Discontinuation of the manufacture of the drug")</f>
        <v>Discontinuation of the manufacture of the drug</v>
      </c>
      <c r="H1128" s="5"/>
      <c r="I1128" s="5"/>
      <c r="J1128" s="5" t="str">
        <f>IFERROR(__xludf.DUMMYFUNCTION("""COMPUTED_VALUE"""),"Oncology")</f>
        <v>Oncology</v>
      </c>
      <c r="K1128" s="5" t="str">
        <f>IFERROR(__xludf.DUMMYFUNCTION("""COMPUTED_VALUE"""),"To Be Discontinued")</f>
        <v>To Be Discontinued</v>
      </c>
      <c r="L1128" s="5"/>
      <c r="M1128" s="10">
        <f>IFERROR(__xludf.DUMMYFUNCTION("""COMPUTED_VALUE"""),46281.0)</f>
        <v>46281</v>
      </c>
      <c r="N1128" s="10">
        <f>IFERROR(__xludf.DUMMYFUNCTION("""COMPUTED_VALUE"""),46281.0)</f>
        <v>46281</v>
      </c>
      <c r="O1128" s="5">
        <v>2026.0</v>
      </c>
      <c r="P1128" s="5" t="str">
        <f>IFERROR(__xludf.DUMMYFUNCTION("""COMPUTED_VALUE"""),"Not stated")</f>
        <v>Not stated</v>
      </c>
      <c r="Q1128" s="5" t="s">
        <v>135</v>
      </c>
      <c r="R1128" s="5" t="s">
        <v>136</v>
      </c>
      <c r="S1128" s="11">
        <v>40.0</v>
      </c>
    </row>
    <row r="1129">
      <c r="A1129" s="5" t="str">
        <f>IFERROR(__xludf.DUMMYFUNCTION("""COMPUTED_VALUE"""),"Meperidine Hydrochloride Injection")</f>
        <v>Meperidine Hydrochloride Injection</v>
      </c>
      <c r="B1129" s="5" t="str">
        <f>IFERROR(__xludf.DUMMYFUNCTION("""COMPUTED_VALUE"""),"Hikma Pharmaceuticals USA, Inc.")</f>
        <v>Hikma Pharmaceuticals USA, Inc.</v>
      </c>
      <c r="C1129" s="5" t="str">
        <f>IFERROR(__xludf.DUMMYFUNCTION("""COMPUTED_VALUE"""),"Meperidine Hydrochloride, Injection, 25 mg/1 mL (NDC 0641-6052-25)")</f>
        <v>Meperidine Hydrochloride, Injection, 25 mg/1 mL (NDC 0641-6052-25)</v>
      </c>
      <c r="D1129" s="5" t="str">
        <f>IFERROR(__xludf.DUMMYFUNCTION("""COMPUTED_VALUE"""),"Reverified")</f>
        <v>Reverified</v>
      </c>
      <c r="E1129" s="13">
        <f>IFERROR(__xludf.DUMMYFUNCTION("""COMPUTED_VALUE"""),46309.0)</f>
        <v>46309</v>
      </c>
      <c r="F1129" s="5" t="str">
        <f>IFERROR(__xludf.DUMMYFUNCTION("""COMPUTED_VALUE"""),"Available")</f>
        <v>Available</v>
      </c>
      <c r="G1129" s="5" t="str">
        <f>IFERROR(__xludf.DUMMYFUNCTION("""COMPUTED_VALUE"""),"Additional lots are scheduled to be manufactured.  Product will be made available as it is released.")</f>
        <v>Additional lots are scheduled to be manufactured.  Product will be made available as it is released.</v>
      </c>
      <c r="H1129" s="5"/>
      <c r="I1129" s="5"/>
      <c r="J1129" s="5" t="str">
        <f>IFERROR(__xludf.DUMMYFUNCTION("""COMPUTED_VALUE"""),"Analgesia/Addiction")</f>
        <v>Analgesia/Addiction</v>
      </c>
      <c r="K1129" s="5" t="str">
        <f>IFERROR(__xludf.DUMMYFUNCTION("""COMPUTED_VALUE"""),"Current")</f>
        <v>Current</v>
      </c>
      <c r="L1129" s="5"/>
      <c r="M1129" s="5"/>
      <c r="N1129" s="10">
        <f>IFERROR(__xludf.DUMMYFUNCTION("""COMPUTED_VALUE"""),45807.0)</f>
        <v>45807</v>
      </c>
      <c r="O1129" s="5">
        <v>2025.0</v>
      </c>
      <c r="P1129" s="5" t="str">
        <f>IFERROR(__xludf.DUMMYFUNCTION("""COMPUTED_VALUE"""),"Available")</f>
        <v>Available</v>
      </c>
      <c r="Q1129" s="5" t="s">
        <v>135</v>
      </c>
      <c r="R1129" s="5" t="s">
        <v>136</v>
      </c>
      <c r="S1129" s="11">
        <v>514.0</v>
      </c>
    </row>
    <row r="1130">
      <c r="A1130" s="5" t="str">
        <f>IFERROR(__xludf.DUMMYFUNCTION("""COMPUTED_VALUE"""),"Meperidine Hydrochloride Injection")</f>
        <v>Meperidine Hydrochloride Injection</v>
      </c>
      <c r="B1130" s="5" t="str">
        <f>IFERROR(__xludf.DUMMYFUNCTION("""COMPUTED_VALUE"""),"Hikma Pharmaceuticals USA, Inc.")</f>
        <v>Hikma Pharmaceuticals USA, Inc.</v>
      </c>
      <c r="C1130" s="5" t="str">
        <f>IFERROR(__xludf.DUMMYFUNCTION("""COMPUTED_VALUE"""),"Meperidine Hydrochloride, Injection, 50 mg/1 mL (NDC 0641-6053-25)")</f>
        <v>Meperidine Hydrochloride, Injection, 50 mg/1 mL (NDC 0641-6053-25)</v>
      </c>
      <c r="D1130" s="5" t="str">
        <f>IFERROR(__xludf.DUMMYFUNCTION("""COMPUTED_VALUE"""),"Reverified")</f>
        <v>Reverified</v>
      </c>
      <c r="E1130" s="13">
        <f>IFERROR(__xludf.DUMMYFUNCTION("""COMPUTED_VALUE"""),46309.0)</f>
        <v>46309</v>
      </c>
      <c r="F1130" s="5" t="str">
        <f>IFERROR(__xludf.DUMMYFUNCTION("""COMPUTED_VALUE"""),"Available")</f>
        <v>Available</v>
      </c>
      <c r="G1130" s="5" t="str">
        <f>IFERROR(__xludf.DUMMYFUNCTION("""COMPUTED_VALUE"""),"Additional lots are scheduled to be manufactured.  Product will be made available as it is released.")</f>
        <v>Additional lots are scheduled to be manufactured.  Product will be made available as it is released.</v>
      </c>
      <c r="H1130" s="5"/>
      <c r="I1130" s="5"/>
      <c r="J1130" s="5" t="str">
        <f>IFERROR(__xludf.DUMMYFUNCTION("""COMPUTED_VALUE"""),"Analgesia/Addiction")</f>
        <v>Analgesia/Addiction</v>
      </c>
      <c r="K1130" s="5" t="str">
        <f>IFERROR(__xludf.DUMMYFUNCTION("""COMPUTED_VALUE"""),"Current")</f>
        <v>Current</v>
      </c>
      <c r="L1130" s="5"/>
      <c r="M1130" s="5"/>
      <c r="N1130" s="10">
        <f>IFERROR(__xludf.DUMMYFUNCTION("""COMPUTED_VALUE"""),45807.0)</f>
        <v>45807</v>
      </c>
      <c r="O1130" s="5">
        <v>2025.0</v>
      </c>
      <c r="P1130" s="5" t="str">
        <f>IFERROR(__xludf.DUMMYFUNCTION("""COMPUTED_VALUE"""),"Available")</f>
        <v>Available</v>
      </c>
      <c r="Q1130" s="5" t="s">
        <v>135</v>
      </c>
      <c r="R1130" s="5" t="s">
        <v>136</v>
      </c>
      <c r="S1130" s="11">
        <v>514.0</v>
      </c>
    </row>
    <row r="1131">
      <c r="A1131" s="5" t="str">
        <f>IFERROR(__xludf.DUMMYFUNCTION("""COMPUTED_VALUE"""),"Meperidine Hydrochloride Injection")</f>
        <v>Meperidine Hydrochloride Injection</v>
      </c>
      <c r="B1131" s="5" t="str">
        <f>IFERROR(__xludf.DUMMYFUNCTION("""COMPUTED_VALUE"""),"Hikma Pharmaceuticals USA, Inc.")</f>
        <v>Hikma Pharmaceuticals USA, Inc.</v>
      </c>
      <c r="C1131" s="5" t="str">
        <f>IFERROR(__xludf.DUMMYFUNCTION("""COMPUTED_VALUE"""),"Meperidine Hydrochloride, Injection, 100 mg/1 mL (NDC 0641-6054-25)")</f>
        <v>Meperidine Hydrochloride, Injection, 100 mg/1 mL (NDC 0641-6054-25)</v>
      </c>
      <c r="D1131" s="5" t="str">
        <f>IFERROR(__xludf.DUMMYFUNCTION("""COMPUTED_VALUE"""),"Reverified")</f>
        <v>Reverified</v>
      </c>
      <c r="E1131" s="13">
        <f>IFERROR(__xludf.DUMMYFUNCTION("""COMPUTED_VALUE"""),46309.0)</f>
        <v>46309</v>
      </c>
      <c r="F1131" s="5" t="str">
        <f>IFERROR(__xludf.DUMMYFUNCTION("""COMPUTED_VALUE"""),"Available")</f>
        <v>Available</v>
      </c>
      <c r="G1131" s="5" t="str">
        <f>IFERROR(__xludf.DUMMYFUNCTION("""COMPUTED_VALUE"""),"Additional lots are scheduled to be manufactured.  Product will be made available as it is released.")</f>
        <v>Additional lots are scheduled to be manufactured.  Product will be made available as it is released.</v>
      </c>
      <c r="H1131" s="5"/>
      <c r="I1131" s="5"/>
      <c r="J1131" s="5" t="str">
        <f>IFERROR(__xludf.DUMMYFUNCTION("""COMPUTED_VALUE"""),"Analgesia/Addiction")</f>
        <v>Analgesia/Addiction</v>
      </c>
      <c r="K1131" s="5" t="str">
        <f>IFERROR(__xludf.DUMMYFUNCTION("""COMPUTED_VALUE"""),"Current")</f>
        <v>Current</v>
      </c>
      <c r="L1131" s="5"/>
      <c r="M1131" s="5"/>
      <c r="N1131" s="10">
        <f>IFERROR(__xludf.DUMMYFUNCTION("""COMPUTED_VALUE"""),45807.0)</f>
        <v>45807</v>
      </c>
      <c r="O1131" s="5">
        <v>2025.0</v>
      </c>
      <c r="P1131" s="5" t="str">
        <f>IFERROR(__xludf.DUMMYFUNCTION("""COMPUTED_VALUE"""),"Available")</f>
        <v>Available</v>
      </c>
      <c r="Q1131" s="5" t="s">
        <v>135</v>
      </c>
      <c r="R1131" s="5" t="s">
        <v>136</v>
      </c>
      <c r="S1131" s="11">
        <v>514.0</v>
      </c>
    </row>
    <row r="1132">
      <c r="A1132" s="5" t="str">
        <f>IFERROR(__xludf.DUMMYFUNCTION("""COMPUTED_VALUE"""),"Meperidine Hydrochloride Injection")</f>
        <v>Meperidine Hydrochloride Injection</v>
      </c>
      <c r="B1132" s="5" t="str">
        <f>IFERROR(__xludf.DUMMYFUNCTION("""COMPUTED_VALUE"""),"Hospira, Inc., a Pfizer Company")</f>
        <v>Hospira, Inc., a Pfizer Company</v>
      </c>
      <c r="C1132" s="5" t="str">
        <f>IFERROR(__xludf.DUMMYFUNCTION("""COMPUTED_VALUE"""),"Demerol, Injection, 25 mg/1 mL (NDC 0409-1176-30)")</f>
        <v>Demerol, Injection, 25 mg/1 mL (NDC 0409-1176-30)</v>
      </c>
      <c r="D1132" s="5" t="str">
        <f>IFERROR(__xludf.DUMMYFUNCTION("""COMPUTED_VALUE"""),"Reverified")</f>
        <v>Reverified</v>
      </c>
      <c r="E1132" s="13">
        <f>IFERROR(__xludf.DUMMYFUNCTION("""COMPUTED_VALUE"""),46316.0)</f>
        <v>46316</v>
      </c>
      <c r="F1132" s="5" t="str">
        <f>IFERROR(__xludf.DUMMYFUNCTION("""COMPUTED_VALUE"""),"Available")</f>
        <v>Available</v>
      </c>
      <c r="G1132" s="5"/>
      <c r="H1132" s="5"/>
      <c r="I1132" s="5"/>
      <c r="J1132" s="5" t="str">
        <f>IFERROR(__xludf.DUMMYFUNCTION("""COMPUTED_VALUE"""),"Analgesia/Addiction")</f>
        <v>Analgesia/Addiction</v>
      </c>
      <c r="K1132" s="5" t="str">
        <f>IFERROR(__xludf.DUMMYFUNCTION("""COMPUTED_VALUE"""),"Current")</f>
        <v>Current</v>
      </c>
      <c r="L1132" s="5"/>
      <c r="M1132" s="5"/>
      <c r="N1132" s="10">
        <f>IFERROR(__xludf.DUMMYFUNCTION("""COMPUTED_VALUE"""),45807.0)</f>
        <v>45807</v>
      </c>
      <c r="O1132" s="5">
        <v>2025.0</v>
      </c>
      <c r="P1132" s="5" t="str">
        <f>IFERROR(__xludf.DUMMYFUNCTION("""COMPUTED_VALUE"""),"Available")</f>
        <v>Available</v>
      </c>
      <c r="Q1132" s="5" t="s">
        <v>135</v>
      </c>
      <c r="R1132" s="5" t="s">
        <v>136</v>
      </c>
      <c r="S1132" s="11">
        <v>514.0</v>
      </c>
    </row>
    <row r="1133">
      <c r="A1133" s="5" t="str">
        <f>IFERROR(__xludf.DUMMYFUNCTION("""COMPUTED_VALUE"""),"Meperidine Hydrochloride Injection")</f>
        <v>Meperidine Hydrochloride Injection</v>
      </c>
      <c r="B1133" s="5" t="str">
        <f>IFERROR(__xludf.DUMMYFUNCTION("""COMPUTED_VALUE"""),"Hospira, Inc., a Pfizer Company")</f>
        <v>Hospira, Inc., a Pfizer Company</v>
      </c>
      <c r="C1133" s="5" t="str">
        <f>IFERROR(__xludf.DUMMYFUNCTION("""COMPUTED_VALUE"""),"Demerol, Injection, 50 mg/1 mL (NDC 0409-1178-30)")</f>
        <v>Demerol, Injection, 50 mg/1 mL (NDC 0409-1178-30)</v>
      </c>
      <c r="D1133" s="5" t="str">
        <f>IFERROR(__xludf.DUMMYFUNCTION("""COMPUTED_VALUE"""),"Reverified")</f>
        <v>Reverified</v>
      </c>
      <c r="E1133" s="13">
        <f>IFERROR(__xludf.DUMMYFUNCTION("""COMPUTED_VALUE"""),46316.0)</f>
        <v>46316</v>
      </c>
      <c r="F1133" s="5" t="str">
        <f>IFERROR(__xludf.DUMMYFUNCTION("""COMPUTED_VALUE"""),"Available")</f>
        <v>Available</v>
      </c>
      <c r="G1133" s="5"/>
      <c r="H1133" s="5"/>
      <c r="I1133" s="5"/>
      <c r="J1133" s="5" t="str">
        <f>IFERROR(__xludf.DUMMYFUNCTION("""COMPUTED_VALUE"""),"Analgesia/Addiction")</f>
        <v>Analgesia/Addiction</v>
      </c>
      <c r="K1133" s="5" t="str">
        <f>IFERROR(__xludf.DUMMYFUNCTION("""COMPUTED_VALUE"""),"Current")</f>
        <v>Current</v>
      </c>
      <c r="L1133" s="5"/>
      <c r="M1133" s="5"/>
      <c r="N1133" s="10">
        <f>IFERROR(__xludf.DUMMYFUNCTION("""COMPUTED_VALUE"""),45807.0)</f>
        <v>45807</v>
      </c>
      <c r="O1133" s="5">
        <v>2025.0</v>
      </c>
      <c r="P1133" s="5" t="str">
        <f>IFERROR(__xludf.DUMMYFUNCTION("""COMPUTED_VALUE"""),"Available")</f>
        <v>Available</v>
      </c>
      <c r="Q1133" s="5" t="s">
        <v>135</v>
      </c>
      <c r="R1133" s="5" t="s">
        <v>136</v>
      </c>
      <c r="S1133" s="11">
        <v>514.0</v>
      </c>
    </row>
    <row r="1134">
      <c r="A1134" s="5" t="str">
        <f>IFERROR(__xludf.DUMMYFUNCTION("""COMPUTED_VALUE"""),"Meperidine Hydrochloride Injection")</f>
        <v>Meperidine Hydrochloride Injection</v>
      </c>
      <c r="B1134" s="5" t="str">
        <f>IFERROR(__xludf.DUMMYFUNCTION("""COMPUTED_VALUE"""),"Hospira, Inc., a Pfizer Company")</f>
        <v>Hospira, Inc., a Pfizer Company</v>
      </c>
      <c r="C1134" s="5" t="str">
        <f>IFERROR(__xludf.DUMMYFUNCTION("""COMPUTED_VALUE"""),"Demerol, Injection, 50 mg/1 mL (NDC 0409-1181-30)")</f>
        <v>Demerol, Injection, 50 mg/1 mL (NDC 0409-1181-30)</v>
      </c>
      <c r="D1134" s="5" t="str">
        <f>IFERROR(__xludf.DUMMYFUNCTION("""COMPUTED_VALUE"""),"Reverified")</f>
        <v>Reverified</v>
      </c>
      <c r="E1134" s="13">
        <f>IFERROR(__xludf.DUMMYFUNCTION("""COMPUTED_VALUE"""),46316.0)</f>
        <v>46316</v>
      </c>
      <c r="F1134" s="5" t="str">
        <f>IFERROR(__xludf.DUMMYFUNCTION("""COMPUTED_VALUE"""),"Available")</f>
        <v>Available</v>
      </c>
      <c r="G1134" s="5"/>
      <c r="H1134" s="5"/>
      <c r="I1134" s="5"/>
      <c r="J1134" s="5" t="str">
        <f>IFERROR(__xludf.DUMMYFUNCTION("""COMPUTED_VALUE"""),"Analgesia/Addiction")</f>
        <v>Analgesia/Addiction</v>
      </c>
      <c r="K1134" s="5" t="str">
        <f>IFERROR(__xludf.DUMMYFUNCTION("""COMPUTED_VALUE"""),"Current")</f>
        <v>Current</v>
      </c>
      <c r="L1134" s="5"/>
      <c r="M1134" s="5"/>
      <c r="N1134" s="10">
        <f>IFERROR(__xludf.DUMMYFUNCTION("""COMPUTED_VALUE"""),45807.0)</f>
        <v>45807</v>
      </c>
      <c r="O1134" s="5">
        <v>2025.0</v>
      </c>
      <c r="P1134" s="5" t="str">
        <f>IFERROR(__xludf.DUMMYFUNCTION("""COMPUTED_VALUE"""),"Available")</f>
        <v>Available</v>
      </c>
      <c r="Q1134" s="5" t="s">
        <v>135</v>
      </c>
      <c r="R1134" s="5" t="s">
        <v>136</v>
      </c>
      <c r="S1134" s="11">
        <v>514.0</v>
      </c>
    </row>
    <row r="1135">
      <c r="A1135" s="5" t="str">
        <f>IFERROR(__xludf.DUMMYFUNCTION("""COMPUTED_VALUE"""),"Mesalamine Capsule, Extended Release")</f>
        <v>Mesalamine Capsule, Extended Release</v>
      </c>
      <c r="B1135" s="5" t="str">
        <f>IFERROR(__xludf.DUMMYFUNCTION("""COMPUTED_VALUE"""),"Takeda Pharmaceuticals USA Inc.")</f>
        <v>Takeda Pharmaceuticals USA Inc.</v>
      </c>
      <c r="C1135" s="5" t="str">
        <f>IFERROR(__xludf.DUMMYFUNCTION("""COMPUTED_VALUE"""),"Pentasa, Capsule, Extended Release, 250 mg (NDC 54092-189-81)")</f>
        <v>Pentasa, Capsule, Extended Release, 250 mg (NDC 54092-189-81)</v>
      </c>
      <c r="D1135" s="5" t="str">
        <f>IFERROR(__xludf.DUMMYFUNCTION("""COMPUTED_VALUE"""),"New")</f>
        <v>New</v>
      </c>
      <c r="E1135" s="10">
        <f>IFERROR(__xludf.DUMMYFUNCTION("""COMPUTED_VALUE"""),46281.0)</f>
        <v>46281</v>
      </c>
      <c r="F1135" s="5"/>
      <c r="G1135" s="5" t="str">
        <f>IFERROR(__xludf.DUMMYFUNCTION("""COMPUTED_VALUE"""),"Product is anticipated to be available until December 31, 2027")</f>
        <v>Product is anticipated to be available until December 31, 2027</v>
      </c>
      <c r="H1135" s="5"/>
      <c r="I1135" s="5"/>
      <c r="J1135" s="5" t="str">
        <f>IFERROR(__xludf.DUMMYFUNCTION("""COMPUTED_VALUE"""),"Gastroenterology")</f>
        <v>Gastroenterology</v>
      </c>
      <c r="K1135" s="5" t="str">
        <f>IFERROR(__xludf.DUMMYFUNCTION("""COMPUTED_VALUE"""),"To Be Discontinued")</f>
        <v>To Be Discontinued</v>
      </c>
      <c r="L1135" s="5"/>
      <c r="M1135" s="10">
        <f>IFERROR(__xludf.DUMMYFUNCTION("""COMPUTED_VALUE"""),46281.0)</f>
        <v>46281</v>
      </c>
      <c r="N1135" s="10">
        <f>IFERROR(__xludf.DUMMYFUNCTION("""COMPUTED_VALUE"""),46281.0)</f>
        <v>46281</v>
      </c>
      <c r="O1135" s="5">
        <v>2026.0</v>
      </c>
      <c r="P1135" s="5" t="str">
        <f>IFERROR(__xludf.DUMMYFUNCTION("""COMPUTED_VALUE"""),"Not stated")</f>
        <v>Not stated</v>
      </c>
      <c r="Q1135" s="5" t="s">
        <v>135</v>
      </c>
      <c r="R1135" s="5" t="s">
        <v>136</v>
      </c>
      <c r="S1135" s="11">
        <v>40.0</v>
      </c>
    </row>
    <row r="1136">
      <c r="A1136" s="5" t="str">
        <f>IFERROR(__xludf.DUMMYFUNCTION("""COMPUTED_VALUE"""),"Mesalamine Capsule, Extended Release")</f>
        <v>Mesalamine Capsule, Extended Release</v>
      </c>
      <c r="B1136" s="5" t="str">
        <f>IFERROR(__xludf.DUMMYFUNCTION("""COMPUTED_VALUE"""),"Takeda Pharmaceuticals USA Inc.")</f>
        <v>Takeda Pharmaceuticals USA Inc.</v>
      </c>
      <c r="C1136" s="5" t="str">
        <f>IFERROR(__xludf.DUMMYFUNCTION("""COMPUTED_VALUE"""),"Pentasa, Capsule, Extended Release, 500 mg (NDC 54092-191-12)")</f>
        <v>Pentasa, Capsule, Extended Release, 500 mg (NDC 54092-191-12)</v>
      </c>
      <c r="D1136" s="5" t="str">
        <f>IFERROR(__xludf.DUMMYFUNCTION("""COMPUTED_VALUE"""),"New")</f>
        <v>New</v>
      </c>
      <c r="E1136" s="10">
        <f>IFERROR(__xludf.DUMMYFUNCTION("""COMPUTED_VALUE"""),46281.0)</f>
        <v>46281</v>
      </c>
      <c r="F1136" s="5"/>
      <c r="G1136" s="5" t="str">
        <f>IFERROR(__xludf.DUMMYFUNCTION("""COMPUTED_VALUE"""),"Product is anticipated to be available until December 31, 2027")</f>
        <v>Product is anticipated to be available until December 31, 2027</v>
      </c>
      <c r="H1136" s="5"/>
      <c r="I1136" s="5"/>
      <c r="J1136" s="5" t="str">
        <f>IFERROR(__xludf.DUMMYFUNCTION("""COMPUTED_VALUE"""),"Gastroenterology")</f>
        <v>Gastroenterology</v>
      </c>
      <c r="K1136" s="5" t="str">
        <f>IFERROR(__xludf.DUMMYFUNCTION("""COMPUTED_VALUE"""),"To Be Discontinued")</f>
        <v>To Be Discontinued</v>
      </c>
      <c r="L1136" s="5"/>
      <c r="M1136" s="10">
        <f>IFERROR(__xludf.DUMMYFUNCTION("""COMPUTED_VALUE"""),46281.0)</f>
        <v>46281</v>
      </c>
      <c r="N1136" s="10">
        <f>IFERROR(__xludf.DUMMYFUNCTION("""COMPUTED_VALUE"""),46281.0)</f>
        <v>46281</v>
      </c>
      <c r="O1136" s="5">
        <v>2026.0</v>
      </c>
      <c r="P1136" s="5" t="str">
        <f>IFERROR(__xludf.DUMMYFUNCTION("""COMPUTED_VALUE"""),"Not stated")</f>
        <v>Not stated</v>
      </c>
      <c r="Q1136" s="5" t="s">
        <v>135</v>
      </c>
      <c r="R1136" s="5" t="s">
        <v>136</v>
      </c>
      <c r="S1136" s="11">
        <v>40.0</v>
      </c>
    </row>
    <row r="1137">
      <c r="A1137" s="5" t="str">
        <f>IFERROR(__xludf.DUMMYFUNCTION("""COMPUTED_VALUE"""),"Mesalamine Capsule, Extended Release")</f>
        <v>Mesalamine Capsule, Extended Release</v>
      </c>
      <c r="B1137" s="5" t="str">
        <f>IFERROR(__xludf.DUMMYFUNCTION("""COMPUTED_VALUE"""),"Mylan Pharmaceuticals Inc., a Viatris Company")</f>
        <v>Mylan Pharmaceuticals Inc., a Viatris Company</v>
      </c>
      <c r="C1137" s="5" t="str">
        <f>IFERROR(__xludf.DUMMYFUNCTION("""COMPUTED_VALUE"""),"Mesalamine, Capsule, Extended Release, .375 g (NDC 0378-1375-78)")</f>
        <v>Mesalamine, Capsule, Extended Release, .375 g (NDC 0378-1375-78)</v>
      </c>
      <c r="D1137" s="5" t="str">
        <f>IFERROR(__xludf.DUMMYFUNCTION("""COMPUTED_VALUE"""),"New")</f>
        <v>New</v>
      </c>
      <c r="E1137" s="10">
        <f>IFERROR(__xludf.DUMMYFUNCTION("""COMPUTED_VALUE"""),46259.0)</f>
        <v>46259</v>
      </c>
      <c r="F1137" s="5"/>
      <c r="G1137" s="5" t="str">
        <f>IFERROR(__xludf.DUMMYFUNCTION("""COMPUTED_VALUE"""),"Discontinuation of the manufacture of the drug")</f>
        <v>Discontinuation of the manufacture of the drug</v>
      </c>
      <c r="H1137" s="5"/>
      <c r="I1137" s="5"/>
      <c r="J1137" s="5" t="str">
        <f>IFERROR(__xludf.DUMMYFUNCTION("""COMPUTED_VALUE"""),"Gastroenterology")</f>
        <v>Gastroenterology</v>
      </c>
      <c r="K1137" s="5" t="str">
        <f>IFERROR(__xludf.DUMMYFUNCTION("""COMPUTED_VALUE"""),"To Be Discontinued")</f>
        <v>To Be Discontinued</v>
      </c>
      <c r="L1137" s="5"/>
      <c r="M1137" s="10">
        <f>IFERROR(__xludf.DUMMYFUNCTION("""COMPUTED_VALUE"""),46259.0)</f>
        <v>46259</v>
      </c>
      <c r="N1137" s="10">
        <f>IFERROR(__xludf.DUMMYFUNCTION("""COMPUTED_VALUE"""),46259.0)</f>
        <v>46259</v>
      </c>
      <c r="O1137" s="5">
        <v>2026.0</v>
      </c>
      <c r="P1137" s="5" t="str">
        <f>IFERROR(__xludf.DUMMYFUNCTION("""COMPUTED_VALUE"""),"Not stated")</f>
        <v>Not stated</v>
      </c>
      <c r="Q1137" s="5" t="s">
        <v>135</v>
      </c>
      <c r="R1137" s="5" t="s">
        <v>136</v>
      </c>
      <c r="S1137" s="11">
        <v>62.0</v>
      </c>
    </row>
    <row r="1138">
      <c r="A1138" s="5" t="str">
        <f>IFERROR(__xludf.DUMMYFUNCTION("""COMPUTED_VALUE"""),"Metformin Hydrochloride Tablet, Extended Release")</f>
        <v>Metformin Hydrochloride Tablet, Extended Release</v>
      </c>
      <c r="B1138" s="5" t="str">
        <f>IFERROR(__xludf.DUMMYFUNCTION("""COMPUTED_VALUE"""),"Mylan Pharmaceuticals Inc., a Viatris Company")</f>
        <v>Mylan Pharmaceuticals Inc., a Viatris Company</v>
      </c>
      <c r="C1138" s="5" t="str">
        <f>IFERROR(__xludf.DUMMYFUNCTION("""COMPUTED_VALUE"""),"Metformin Hydrochloride, Tablet, Extended Release, 1000 mg (NDC 0378-6001-91)")</f>
        <v>Metformin Hydrochloride, Tablet, Extended Release, 1000 mg (NDC 0378-6001-91)</v>
      </c>
      <c r="D1138" s="5" t="str">
        <f>IFERROR(__xludf.DUMMYFUNCTION("""COMPUTED_VALUE"""),"New")</f>
        <v>New</v>
      </c>
      <c r="E1138" s="13">
        <f>IFERROR(__xludf.DUMMYFUNCTION("""COMPUTED_VALUE"""),46317.0)</f>
        <v>46317</v>
      </c>
      <c r="F1138" s="5"/>
      <c r="G1138" s="5" t="str">
        <f>IFERROR(__xludf.DUMMYFUNCTION("""COMPUTED_VALUE"""),"A business decision was made was discontinue manufacture of the drug product.")</f>
        <v>A business decision was made was discontinue manufacture of the drug product.</v>
      </c>
      <c r="H1138" s="5"/>
      <c r="I1138" s="5"/>
      <c r="J1138" s="5" t="str">
        <f>IFERROR(__xludf.DUMMYFUNCTION("""COMPUTED_VALUE"""),"Endocrinology/Metabolism")</f>
        <v>Endocrinology/Metabolism</v>
      </c>
      <c r="K1138" s="5" t="str">
        <f>IFERROR(__xludf.DUMMYFUNCTION("""COMPUTED_VALUE"""),"To Be Discontinued")</f>
        <v>To Be Discontinued</v>
      </c>
      <c r="L1138" s="5"/>
      <c r="M1138" s="13">
        <f>IFERROR(__xludf.DUMMYFUNCTION("""COMPUTED_VALUE"""),46317.0)</f>
        <v>46317</v>
      </c>
      <c r="N1138" s="13">
        <f>IFERROR(__xludf.DUMMYFUNCTION("""COMPUTED_VALUE"""),46317.0)</f>
        <v>46317</v>
      </c>
      <c r="O1138" s="5">
        <v>2026.0</v>
      </c>
      <c r="P1138" s="5" t="str">
        <f>IFERROR(__xludf.DUMMYFUNCTION("""COMPUTED_VALUE"""),"Not stated")</f>
        <v>Not stated</v>
      </c>
      <c r="Q1138" s="5" t="s">
        <v>135</v>
      </c>
      <c r="R1138" s="5" t="s">
        <v>136</v>
      </c>
      <c r="S1138" s="11">
        <v>4.0</v>
      </c>
    </row>
    <row r="1139">
      <c r="A1139" s="5" t="str">
        <f>IFERROR(__xludf.DUMMYFUNCTION("""COMPUTED_VALUE"""),"Metformin Hydrochloride Tablet, Extended Release")</f>
        <v>Metformin Hydrochloride Tablet, Extended Release</v>
      </c>
      <c r="B1139" s="5" t="str">
        <f>IFERROR(__xludf.DUMMYFUNCTION("""COMPUTED_VALUE"""),"Mylan Pharmaceuticals Inc., a Viatris Company")</f>
        <v>Mylan Pharmaceuticals Inc., a Viatris Company</v>
      </c>
      <c r="C1139" s="5" t="str">
        <f>IFERROR(__xludf.DUMMYFUNCTION("""COMPUTED_VALUE"""),"Metformin Hydrochloride, Tablet, Extended Release, 500 mg (NDC 0378-6002-91)")</f>
        <v>Metformin Hydrochloride, Tablet, Extended Release, 500 mg (NDC 0378-6002-91)</v>
      </c>
      <c r="D1139" s="5" t="str">
        <f>IFERROR(__xludf.DUMMYFUNCTION("""COMPUTED_VALUE"""),"New")</f>
        <v>New</v>
      </c>
      <c r="E1139" s="13">
        <f>IFERROR(__xludf.DUMMYFUNCTION("""COMPUTED_VALUE"""),46317.0)</f>
        <v>46317</v>
      </c>
      <c r="F1139" s="5"/>
      <c r="G1139" s="5" t="str">
        <f>IFERROR(__xludf.DUMMYFUNCTION("""COMPUTED_VALUE"""),"A business decision was made was discontinue manufacture of the drug product.")</f>
        <v>A business decision was made was discontinue manufacture of the drug product.</v>
      </c>
      <c r="H1139" s="5"/>
      <c r="I1139" s="5"/>
      <c r="J1139" s="5" t="str">
        <f>IFERROR(__xludf.DUMMYFUNCTION("""COMPUTED_VALUE"""),"Endocrinology/Metabolism")</f>
        <v>Endocrinology/Metabolism</v>
      </c>
      <c r="K1139" s="5" t="str">
        <f>IFERROR(__xludf.DUMMYFUNCTION("""COMPUTED_VALUE"""),"To Be Discontinued")</f>
        <v>To Be Discontinued</v>
      </c>
      <c r="L1139" s="5"/>
      <c r="M1139" s="13">
        <f>IFERROR(__xludf.DUMMYFUNCTION("""COMPUTED_VALUE"""),46317.0)</f>
        <v>46317</v>
      </c>
      <c r="N1139" s="13">
        <f>IFERROR(__xludf.DUMMYFUNCTION("""COMPUTED_VALUE"""),46317.0)</f>
        <v>46317</v>
      </c>
      <c r="O1139" s="5">
        <v>2026.0</v>
      </c>
      <c r="P1139" s="5" t="str">
        <f>IFERROR(__xludf.DUMMYFUNCTION("""COMPUTED_VALUE"""),"Not stated")</f>
        <v>Not stated</v>
      </c>
      <c r="Q1139" s="5" t="s">
        <v>135</v>
      </c>
      <c r="R1139" s="5" t="s">
        <v>136</v>
      </c>
      <c r="S1139" s="11">
        <v>4.0</v>
      </c>
    </row>
    <row r="1140">
      <c r="A1140" s="5" t="str">
        <f>IFERROR(__xludf.DUMMYFUNCTION("""COMPUTED_VALUE"""),"Methotrexate Sodium Injection")</f>
        <v>Methotrexate Sodium Injection</v>
      </c>
      <c r="B1140" s="5" t="str">
        <f>IFERROR(__xludf.DUMMYFUNCTION("""COMPUTED_VALUE"""),"Hikma Pharmaceuticals USA, Inc.")</f>
        <v>Hikma Pharmaceuticals USA, Inc.</v>
      </c>
      <c r="C1140" s="5" t="str">
        <f>IFERROR(__xludf.DUMMYFUNCTION("""COMPUTED_VALUE"""),"Methotrexate, Preservative Free, Injection, 1 g (NDC 0143-9830-01)")</f>
        <v>Methotrexate, Preservative Free, Injection, 1 g (NDC 0143-9830-01)</v>
      </c>
      <c r="D1140" s="5" t="str">
        <f>IFERROR(__xludf.DUMMYFUNCTION("""COMPUTED_VALUE"""),"Revised")</f>
        <v>Revised</v>
      </c>
      <c r="E1140" s="13">
        <f>IFERROR(__xludf.DUMMYFUNCTION("""COMPUTED_VALUE"""),46309.0)</f>
        <v>46309</v>
      </c>
      <c r="F1140" s="5" t="str">
        <f>IFERROR(__xludf.DUMMYFUNCTION("""COMPUTED_VALUE"""),"Unavailable")</f>
        <v>Unavailable</v>
      </c>
      <c r="G1140" s="5" t="str">
        <f>IFERROR(__xludf.DUMMYFUNCTION("""COMPUTED_VALUE"""),"Additional lots will be available in the November 2026 timeframe.  Short Dated Prodcut Available.")</f>
        <v>Additional lots will be available in the November 2026 timeframe.  Short Dated Prodcut Available.</v>
      </c>
      <c r="H1140" s="5"/>
      <c r="I1140" s="5" t="str">
        <f>IFERROR(__xludf.DUMMYFUNCTION("""COMPUTED_VALUE"""),"Demand increase for the drug")</f>
        <v>Demand increase for the drug</v>
      </c>
      <c r="J1140" s="5" t="str">
        <f>IFERROR(__xludf.DUMMYFUNCTION("""COMPUTED_VALUE"""),"Rheumatology; Oncology")</f>
        <v>Rheumatology; Oncology</v>
      </c>
      <c r="K1140" s="5" t="str">
        <f>IFERROR(__xludf.DUMMYFUNCTION("""COMPUTED_VALUE"""),"Current")</f>
        <v>Current</v>
      </c>
      <c r="L1140" s="5"/>
      <c r="M1140" s="5"/>
      <c r="N1140" s="10">
        <f>IFERROR(__xludf.DUMMYFUNCTION("""COMPUTED_VALUE"""),44998.0)</f>
        <v>44998</v>
      </c>
      <c r="O1140" s="5">
        <v>2023.0</v>
      </c>
      <c r="P1140" s="5" t="str">
        <f>IFERROR(__xludf.DUMMYFUNCTION("""COMPUTED_VALUE"""),"Unavailable")</f>
        <v>Unavailable</v>
      </c>
      <c r="Q1140" s="5" t="s">
        <v>134</v>
      </c>
      <c r="R1140" s="5" t="s">
        <v>136</v>
      </c>
      <c r="S1140" s="11">
        <v>1323.0</v>
      </c>
    </row>
    <row r="1141">
      <c r="A1141" s="5" t="str">
        <f>IFERROR(__xludf.DUMMYFUNCTION("""COMPUTED_VALUE"""),"Methotrexate Sodium Injection")</f>
        <v>Methotrexate Sodium Injection</v>
      </c>
      <c r="B1141" s="5" t="str">
        <f>IFERROR(__xludf.DUMMYFUNCTION("""COMPUTED_VALUE"""),"Hikma Pharmaceuticals USA, Inc.")</f>
        <v>Hikma Pharmaceuticals USA, Inc.</v>
      </c>
      <c r="C1141" s="5" t="str">
        <f>IFERROR(__xludf.DUMMYFUNCTION("""COMPUTED_VALUE"""),"Methotrexate, Preservative Free, Injection, 25 mg/1 mL (NDC 0143-9519-10)")</f>
        <v>Methotrexate, Preservative Free, Injection, 25 mg/1 mL (NDC 0143-9519-10)</v>
      </c>
      <c r="D1141" s="5" t="str">
        <f>IFERROR(__xludf.DUMMYFUNCTION("""COMPUTED_VALUE"""),"Reverified")</f>
        <v>Reverified</v>
      </c>
      <c r="E1141" s="13">
        <f>IFERROR(__xludf.DUMMYFUNCTION("""COMPUTED_VALUE"""),46309.0)</f>
        <v>46309</v>
      </c>
      <c r="F1141" s="5" t="str">
        <f>IFERROR(__xludf.DUMMYFUNCTION("""COMPUTED_VALUE"""),"Unavailable")</f>
        <v>Unavailable</v>
      </c>
      <c r="G1141" s="5" t="str">
        <f>IFERROR(__xludf.DUMMYFUNCTION("""COMPUTED_VALUE"""),"Additional lots will be available in the October 2026 timeframe.  Product will be made available as it is released.")</f>
        <v>Additional lots will be available in the October 2026 timeframe.  Product will be made available as it is released.</v>
      </c>
      <c r="H1141" s="5"/>
      <c r="I1141" s="5" t="str">
        <f>IFERROR(__xludf.DUMMYFUNCTION("""COMPUTED_VALUE"""),"Demand increase for the drug")</f>
        <v>Demand increase for the drug</v>
      </c>
      <c r="J1141" s="5" t="str">
        <f>IFERROR(__xludf.DUMMYFUNCTION("""COMPUTED_VALUE"""),"Rheumatology; Oncology")</f>
        <v>Rheumatology; Oncology</v>
      </c>
      <c r="K1141" s="5" t="str">
        <f>IFERROR(__xludf.DUMMYFUNCTION("""COMPUTED_VALUE"""),"Current")</f>
        <v>Current</v>
      </c>
      <c r="L1141" s="5"/>
      <c r="M1141" s="5"/>
      <c r="N1141" s="10">
        <f>IFERROR(__xludf.DUMMYFUNCTION("""COMPUTED_VALUE"""),44998.0)</f>
        <v>44998</v>
      </c>
      <c r="O1141" s="5">
        <v>2023.0</v>
      </c>
      <c r="P1141" s="5" t="str">
        <f>IFERROR(__xludf.DUMMYFUNCTION("""COMPUTED_VALUE"""),"Unavailable")</f>
        <v>Unavailable</v>
      </c>
      <c r="Q1141" s="5" t="s">
        <v>134</v>
      </c>
      <c r="R1141" s="5" t="s">
        <v>136</v>
      </c>
      <c r="S1141" s="11">
        <v>1323.0</v>
      </c>
    </row>
    <row r="1142">
      <c r="A1142" s="5" t="str">
        <f>IFERROR(__xludf.DUMMYFUNCTION("""COMPUTED_VALUE"""),"Methotrexate Sodium Injection")</f>
        <v>Methotrexate Sodium Injection</v>
      </c>
      <c r="B1142" s="5" t="str">
        <f>IFERROR(__xludf.DUMMYFUNCTION("""COMPUTED_VALUE"""),"Teva Pharmaceuticals USA, Inc.")</f>
        <v>Teva Pharmaceuticals USA, Inc.</v>
      </c>
      <c r="C1142" s="5" t="str">
        <f>IFERROR(__xludf.DUMMYFUNCTION("""COMPUTED_VALUE"""),"Methotrexate Sodium Preservative Free, Injection, 25 mg/1 mL (NDC 0703-3671-01)")</f>
        <v>Methotrexate Sodium Preservative Free, Injection, 25 mg/1 mL (NDC 0703-3671-01)</v>
      </c>
      <c r="D1142" s="5" t="str">
        <f>IFERROR(__xludf.DUMMYFUNCTION("""COMPUTED_VALUE"""),"Reverified")</f>
        <v>Reverified</v>
      </c>
      <c r="E1142" s="13">
        <f>IFERROR(__xludf.DUMMYFUNCTION("""COMPUTED_VALUE"""),46310.0)</f>
        <v>46310</v>
      </c>
      <c r="F1142" s="5" t="str">
        <f>IFERROR(__xludf.DUMMYFUNCTION("""COMPUTED_VALUE"""),"Limited Availability")</f>
        <v>Limited Availability</v>
      </c>
      <c r="G1142" s="5" t="str">
        <f>IFERROR(__xludf.DUMMYFUNCTION("""COMPUTED_VALUE"""),"Estimated recovery: October 2026")</f>
        <v>Estimated recovery: October 2026</v>
      </c>
      <c r="H1142" s="5"/>
      <c r="I1142" s="5" t="str">
        <f>IFERROR(__xludf.DUMMYFUNCTION("""COMPUTED_VALUE"""),"Other")</f>
        <v>Other</v>
      </c>
      <c r="J1142" s="5" t="str">
        <f>IFERROR(__xludf.DUMMYFUNCTION("""COMPUTED_VALUE"""),"Rheumatology; Oncology")</f>
        <v>Rheumatology; Oncology</v>
      </c>
      <c r="K1142" s="5" t="str">
        <f>IFERROR(__xludf.DUMMYFUNCTION("""COMPUTED_VALUE"""),"Current")</f>
        <v>Current</v>
      </c>
      <c r="L1142" s="5"/>
      <c r="M1142" s="5"/>
      <c r="N1142" s="10">
        <f>IFERROR(__xludf.DUMMYFUNCTION("""COMPUTED_VALUE"""),44998.0)</f>
        <v>44998</v>
      </c>
      <c r="O1142" s="5">
        <v>2023.0</v>
      </c>
      <c r="P1142" s="5" t="str">
        <f>IFERROR(__xludf.DUMMYFUNCTION("""COMPUTED_VALUE"""),"Limited Availability")</f>
        <v>Limited Availability</v>
      </c>
      <c r="Q1142" s="5" t="s">
        <v>47</v>
      </c>
      <c r="R1142" s="5" t="s">
        <v>136</v>
      </c>
      <c r="S1142" s="11">
        <v>1323.0</v>
      </c>
    </row>
    <row r="1143">
      <c r="A1143" s="5" t="str">
        <f>IFERROR(__xludf.DUMMYFUNCTION("""COMPUTED_VALUE"""),"Methotrexate Sodium Injection")</f>
        <v>Methotrexate Sodium Injection</v>
      </c>
      <c r="B1143" s="5" t="str">
        <f>IFERROR(__xludf.DUMMYFUNCTION("""COMPUTED_VALUE"""),"Teva Pharmaceuticals USA, Inc.")</f>
        <v>Teva Pharmaceuticals USA, Inc.</v>
      </c>
      <c r="C1143" s="5" t="str">
        <f>IFERROR(__xludf.DUMMYFUNCTION("""COMPUTED_VALUE"""),"Methotrexate Sodium Preservative Free, Injection, 25 mg/1 mL (NDC 0703-3675-01)")</f>
        <v>Methotrexate Sodium Preservative Free, Injection, 25 mg/1 mL (NDC 0703-3675-01)</v>
      </c>
      <c r="D1143" s="5" t="str">
        <f>IFERROR(__xludf.DUMMYFUNCTION("""COMPUTED_VALUE"""),"Revised")</f>
        <v>Revised</v>
      </c>
      <c r="E1143" s="13">
        <f>IFERROR(__xludf.DUMMYFUNCTION("""COMPUTED_VALUE"""),46310.0)</f>
        <v>46310</v>
      </c>
      <c r="F1143" s="5" t="str">
        <f>IFERROR(__xludf.DUMMYFUNCTION("""COMPUTED_VALUE"""),"Unavailable")</f>
        <v>Unavailable</v>
      </c>
      <c r="G1143" s="5" t="str">
        <f>IFERROR(__xludf.DUMMYFUNCTION("""COMPUTED_VALUE"""),"Estimated Recovery: Novemeber 2026")</f>
        <v>Estimated Recovery: Novemeber 2026</v>
      </c>
      <c r="H1143" s="5"/>
      <c r="I1143" s="5" t="str">
        <f>IFERROR(__xludf.DUMMYFUNCTION("""COMPUTED_VALUE"""),"Other")</f>
        <v>Other</v>
      </c>
      <c r="J1143" s="5" t="str">
        <f>IFERROR(__xludf.DUMMYFUNCTION("""COMPUTED_VALUE"""),"Rheumatology; Oncology")</f>
        <v>Rheumatology; Oncology</v>
      </c>
      <c r="K1143" s="5" t="str">
        <f>IFERROR(__xludf.DUMMYFUNCTION("""COMPUTED_VALUE"""),"Current")</f>
        <v>Current</v>
      </c>
      <c r="L1143" s="5"/>
      <c r="M1143" s="5"/>
      <c r="N1143" s="10">
        <f>IFERROR(__xludf.DUMMYFUNCTION("""COMPUTED_VALUE"""),44998.0)</f>
        <v>44998</v>
      </c>
      <c r="O1143" s="5">
        <v>2023.0</v>
      </c>
      <c r="P1143" s="5" t="str">
        <f>IFERROR(__xludf.DUMMYFUNCTION("""COMPUTED_VALUE"""),"Unavailable")</f>
        <v>Unavailable</v>
      </c>
      <c r="Q1143" s="5" t="s">
        <v>47</v>
      </c>
      <c r="R1143" s="5" t="s">
        <v>136</v>
      </c>
      <c r="S1143" s="11">
        <v>1323.0</v>
      </c>
    </row>
    <row r="1144">
      <c r="A1144" s="5" t="str">
        <f>IFERROR(__xludf.DUMMYFUNCTION("""COMPUTED_VALUE"""),"Methotrexate Sodium Injection")</f>
        <v>Methotrexate Sodium Injection</v>
      </c>
      <c r="B1144" s="5" t="str">
        <f>IFERROR(__xludf.DUMMYFUNCTION("""COMPUTED_VALUE"""),"Teva Pharmaceuticals USA, Inc.")</f>
        <v>Teva Pharmaceuticals USA, Inc.</v>
      </c>
      <c r="C1144" s="5" t="str">
        <f>IFERROR(__xludf.DUMMYFUNCTION("""COMPUTED_VALUE"""),"Methotrexate Sodium Preservative Free, Injection, 25 mg/1 mL (NDC 0703-3678-01)")</f>
        <v>Methotrexate Sodium Preservative Free, Injection, 25 mg/1 mL (NDC 0703-3678-01)</v>
      </c>
      <c r="D1144" s="5" t="str">
        <f>IFERROR(__xludf.DUMMYFUNCTION("""COMPUTED_VALUE"""),"Reverified")</f>
        <v>Reverified</v>
      </c>
      <c r="E1144" s="13">
        <f>IFERROR(__xludf.DUMMYFUNCTION("""COMPUTED_VALUE"""),46310.0)</f>
        <v>46310</v>
      </c>
      <c r="F1144" s="5" t="str">
        <f>IFERROR(__xludf.DUMMYFUNCTION("""COMPUTED_VALUE"""),"Limited Availability")</f>
        <v>Limited Availability</v>
      </c>
      <c r="G1144" s="5" t="str">
        <f>IFERROR(__xludf.DUMMYFUNCTION("""COMPUTED_VALUE"""),"Estimated recovery: October 2026")</f>
        <v>Estimated recovery: October 2026</v>
      </c>
      <c r="H1144" s="5"/>
      <c r="I1144" s="5" t="str">
        <f>IFERROR(__xludf.DUMMYFUNCTION("""COMPUTED_VALUE"""),"Other")</f>
        <v>Other</v>
      </c>
      <c r="J1144" s="5" t="str">
        <f>IFERROR(__xludf.DUMMYFUNCTION("""COMPUTED_VALUE"""),"Rheumatology; Oncology")</f>
        <v>Rheumatology; Oncology</v>
      </c>
      <c r="K1144" s="5" t="str">
        <f>IFERROR(__xludf.DUMMYFUNCTION("""COMPUTED_VALUE"""),"Current")</f>
        <v>Current</v>
      </c>
      <c r="L1144" s="5"/>
      <c r="M1144" s="5"/>
      <c r="N1144" s="10">
        <f>IFERROR(__xludf.DUMMYFUNCTION("""COMPUTED_VALUE"""),44998.0)</f>
        <v>44998</v>
      </c>
      <c r="O1144" s="5">
        <v>2023.0</v>
      </c>
      <c r="P1144" s="5" t="str">
        <f>IFERROR(__xludf.DUMMYFUNCTION("""COMPUTED_VALUE"""),"Limited Availability")</f>
        <v>Limited Availability</v>
      </c>
      <c r="Q1144" s="5" t="s">
        <v>47</v>
      </c>
      <c r="R1144" s="5" t="s">
        <v>136</v>
      </c>
      <c r="S1144" s="11">
        <v>1323.0</v>
      </c>
    </row>
    <row r="1145">
      <c r="A1145" s="5" t="str">
        <f>IFERROR(__xludf.DUMMYFUNCTION("""COMPUTED_VALUE"""),"Methotrexate Sodium Injection")</f>
        <v>Methotrexate Sodium Injection</v>
      </c>
      <c r="B1145" s="5" t="str">
        <f>IFERROR(__xludf.DUMMYFUNCTION("""COMPUTED_VALUE"""),"Hospira, Inc., a Pfizer Company")</f>
        <v>Hospira, Inc., a Pfizer Company</v>
      </c>
      <c r="C1145" s="5" t="str">
        <f>IFERROR(__xludf.DUMMYFUNCTION("""COMPUTED_VALUE"""),"Methotrexate Sodium, Injection, 50 mg/2 mL (25 mg/mL) (NDC 61703-350-38)")</f>
        <v>Methotrexate Sodium, Injection, 50 mg/2 mL (25 mg/mL) (NDC 61703-350-38)</v>
      </c>
      <c r="D1145" s="5" t="str">
        <f>IFERROR(__xludf.DUMMYFUNCTION("""COMPUTED_VALUE"""),"Reverified")</f>
        <v>Reverified</v>
      </c>
      <c r="E1145" s="13">
        <f>IFERROR(__xludf.DUMMYFUNCTION("""COMPUTED_VALUE"""),46316.0)</f>
        <v>46316</v>
      </c>
      <c r="F1145" s="5" t="str">
        <f>IFERROR(__xludf.DUMMYFUNCTION("""COMPUTED_VALUE"""),"Available")</f>
        <v>Available</v>
      </c>
      <c r="G1145" s="5"/>
      <c r="H1145" s="5"/>
      <c r="I1145" s="5"/>
      <c r="J1145" s="5" t="str">
        <f>IFERROR(__xludf.DUMMYFUNCTION("""COMPUTED_VALUE"""),"Rheumatology; Oncology")</f>
        <v>Rheumatology; Oncology</v>
      </c>
      <c r="K1145" s="5" t="str">
        <f>IFERROR(__xludf.DUMMYFUNCTION("""COMPUTED_VALUE"""),"Current")</f>
        <v>Current</v>
      </c>
      <c r="L1145" s="5"/>
      <c r="M1145" s="5"/>
      <c r="N1145" s="10">
        <f>IFERROR(__xludf.DUMMYFUNCTION("""COMPUTED_VALUE"""),44998.0)</f>
        <v>44998</v>
      </c>
      <c r="O1145" s="5">
        <v>2023.0</v>
      </c>
      <c r="P1145" s="5" t="str">
        <f>IFERROR(__xludf.DUMMYFUNCTION("""COMPUTED_VALUE"""),"Available")</f>
        <v>Available</v>
      </c>
      <c r="Q1145" s="5" t="s">
        <v>135</v>
      </c>
      <c r="R1145" s="5" t="s">
        <v>136</v>
      </c>
      <c r="S1145" s="11">
        <v>1323.0</v>
      </c>
    </row>
    <row r="1146">
      <c r="A1146" s="5" t="str">
        <f>IFERROR(__xludf.DUMMYFUNCTION("""COMPUTED_VALUE"""),"Methotrexate Sodium Injection")</f>
        <v>Methotrexate Sodium Injection</v>
      </c>
      <c r="B1146" s="5" t="str">
        <f>IFERROR(__xludf.DUMMYFUNCTION("""COMPUTED_VALUE"""),"Hospira, Inc., a Pfizer Company")</f>
        <v>Hospira, Inc., a Pfizer Company</v>
      </c>
      <c r="C1146" s="5" t="str">
        <f>IFERROR(__xludf.DUMMYFUNCTION("""COMPUTED_VALUE"""),"Methotrexate Sodium, Injection, 50 mg/2 mL  (25 mg/mL) (NDC 61703-350-10)")</f>
        <v>Methotrexate Sodium, Injection, 50 mg/2 mL  (25 mg/mL) (NDC 61703-350-10)</v>
      </c>
      <c r="D1146" s="5" t="str">
        <f>IFERROR(__xludf.DUMMYFUNCTION("""COMPUTED_VALUE"""),"Reverified")</f>
        <v>Reverified</v>
      </c>
      <c r="E1146" s="13">
        <f>IFERROR(__xludf.DUMMYFUNCTION("""COMPUTED_VALUE"""),46316.0)</f>
        <v>46316</v>
      </c>
      <c r="F1146" s="5" t="str">
        <f>IFERROR(__xludf.DUMMYFUNCTION("""COMPUTED_VALUE"""),"Available")</f>
        <v>Available</v>
      </c>
      <c r="G1146" s="5"/>
      <c r="H1146" s="5"/>
      <c r="I1146" s="5"/>
      <c r="J1146" s="5" t="str">
        <f>IFERROR(__xludf.DUMMYFUNCTION("""COMPUTED_VALUE"""),"Rheumatology; Oncology")</f>
        <v>Rheumatology; Oncology</v>
      </c>
      <c r="K1146" s="5" t="str">
        <f>IFERROR(__xludf.DUMMYFUNCTION("""COMPUTED_VALUE"""),"Current")</f>
        <v>Current</v>
      </c>
      <c r="L1146" s="5"/>
      <c r="M1146" s="5"/>
      <c r="N1146" s="10">
        <f>IFERROR(__xludf.DUMMYFUNCTION("""COMPUTED_VALUE"""),44998.0)</f>
        <v>44998</v>
      </c>
      <c r="O1146" s="5">
        <v>2023.0</v>
      </c>
      <c r="P1146" s="5" t="str">
        <f>IFERROR(__xludf.DUMMYFUNCTION("""COMPUTED_VALUE"""),"Available")</f>
        <v>Available</v>
      </c>
      <c r="Q1146" s="5" t="s">
        <v>135</v>
      </c>
      <c r="R1146" s="5" t="s">
        <v>136</v>
      </c>
      <c r="S1146" s="11">
        <v>1323.0</v>
      </c>
    </row>
    <row r="1147">
      <c r="A1147" s="5" t="str">
        <f>IFERROR(__xludf.DUMMYFUNCTION("""COMPUTED_VALUE"""),"Methotrexate Sodium Injection")</f>
        <v>Methotrexate Sodium Injection</v>
      </c>
      <c r="B1147" s="5" t="str">
        <f>IFERROR(__xludf.DUMMYFUNCTION("""COMPUTED_VALUE"""),"Hospira, Inc., a Pfizer Company")</f>
        <v>Hospira, Inc., a Pfizer Company</v>
      </c>
      <c r="C1147" s="5" t="str">
        <f>IFERROR(__xludf.DUMMYFUNCTION("""COMPUTED_VALUE"""),"Methotrexate Sodium, Injection, 1 g/40 mL (25 mg/mL) (NDC 61703-408-41)")</f>
        <v>Methotrexate Sodium, Injection, 1 g/40 mL (25 mg/mL) (NDC 61703-408-41)</v>
      </c>
      <c r="D1147" s="5" t="str">
        <f>IFERROR(__xludf.DUMMYFUNCTION("""COMPUTED_VALUE"""),"Reverified")</f>
        <v>Reverified</v>
      </c>
      <c r="E1147" s="13">
        <f>IFERROR(__xludf.DUMMYFUNCTION("""COMPUTED_VALUE"""),46316.0)</f>
        <v>46316</v>
      </c>
      <c r="F1147" s="5" t="str">
        <f>IFERROR(__xludf.DUMMYFUNCTION("""COMPUTED_VALUE"""),"Available")</f>
        <v>Available</v>
      </c>
      <c r="G1147" s="5"/>
      <c r="H1147" s="5"/>
      <c r="I1147" s="5"/>
      <c r="J1147" s="5" t="str">
        <f>IFERROR(__xludf.DUMMYFUNCTION("""COMPUTED_VALUE"""),"Rheumatology; Oncology")</f>
        <v>Rheumatology; Oncology</v>
      </c>
      <c r="K1147" s="5" t="str">
        <f>IFERROR(__xludf.DUMMYFUNCTION("""COMPUTED_VALUE"""),"Current")</f>
        <v>Current</v>
      </c>
      <c r="L1147" s="5"/>
      <c r="M1147" s="5"/>
      <c r="N1147" s="10">
        <f>IFERROR(__xludf.DUMMYFUNCTION("""COMPUTED_VALUE"""),44998.0)</f>
        <v>44998</v>
      </c>
      <c r="O1147" s="5">
        <v>2023.0</v>
      </c>
      <c r="P1147" s="5" t="str">
        <f>IFERROR(__xludf.DUMMYFUNCTION("""COMPUTED_VALUE"""),"Available")</f>
        <v>Available</v>
      </c>
      <c r="Q1147" s="5" t="s">
        <v>135</v>
      </c>
      <c r="R1147" s="5" t="s">
        <v>136</v>
      </c>
      <c r="S1147" s="11">
        <v>1323.0</v>
      </c>
    </row>
    <row r="1148">
      <c r="A1148" s="5" t="str">
        <f>IFERROR(__xludf.DUMMYFUNCTION("""COMPUTED_VALUE"""),"Methotrexate Sodium Injection")</f>
        <v>Methotrexate Sodium Injection</v>
      </c>
      <c r="B1148" s="5" t="str">
        <f>IFERROR(__xludf.DUMMYFUNCTION("""COMPUTED_VALUE"""),"Hospira, Inc., a Pfizer Company")</f>
        <v>Hospira, Inc., a Pfizer Company</v>
      </c>
      <c r="C1148" s="5" t="str">
        <f>IFERROR(__xludf.DUMMYFUNCTION("""COMPUTED_VALUE"""),"Methotrexate Sodium, Injection, 1 g/40 mL (25 mg/mL) (NDC 61703-408-25)")</f>
        <v>Methotrexate Sodium, Injection, 1 g/40 mL (25 mg/mL) (NDC 61703-408-25)</v>
      </c>
      <c r="D1148" s="5" t="str">
        <f>IFERROR(__xludf.DUMMYFUNCTION("""COMPUTED_VALUE"""),"Reverified")</f>
        <v>Reverified</v>
      </c>
      <c r="E1148" s="13">
        <f>IFERROR(__xludf.DUMMYFUNCTION("""COMPUTED_VALUE"""),46316.0)</f>
        <v>46316</v>
      </c>
      <c r="F1148" s="5" t="str">
        <f>IFERROR(__xludf.DUMMYFUNCTION("""COMPUTED_VALUE"""),"Available")</f>
        <v>Available</v>
      </c>
      <c r="G1148" s="5"/>
      <c r="H1148" s="5"/>
      <c r="I1148" s="5"/>
      <c r="J1148" s="5" t="str">
        <f>IFERROR(__xludf.DUMMYFUNCTION("""COMPUTED_VALUE"""),"Rheumatology; Oncology")</f>
        <v>Rheumatology; Oncology</v>
      </c>
      <c r="K1148" s="5" t="str">
        <f>IFERROR(__xludf.DUMMYFUNCTION("""COMPUTED_VALUE"""),"Current")</f>
        <v>Current</v>
      </c>
      <c r="L1148" s="5"/>
      <c r="M1148" s="5"/>
      <c r="N1148" s="10">
        <f>IFERROR(__xludf.DUMMYFUNCTION("""COMPUTED_VALUE"""),44998.0)</f>
        <v>44998</v>
      </c>
      <c r="O1148" s="5">
        <v>2023.0</v>
      </c>
      <c r="P1148" s="5" t="str">
        <f>IFERROR(__xludf.DUMMYFUNCTION("""COMPUTED_VALUE"""),"Available")</f>
        <v>Available</v>
      </c>
      <c r="Q1148" s="5" t="s">
        <v>135</v>
      </c>
      <c r="R1148" s="5" t="s">
        <v>136</v>
      </c>
      <c r="S1148" s="11">
        <v>1323.0</v>
      </c>
    </row>
    <row r="1149">
      <c r="A1149" s="5" t="str">
        <f>IFERROR(__xludf.DUMMYFUNCTION("""COMPUTED_VALUE"""),"Methotrexate Sodium Injection")</f>
        <v>Methotrexate Sodium Injection</v>
      </c>
      <c r="B1149" s="5" t="str">
        <f>IFERROR(__xludf.DUMMYFUNCTION("""COMPUTED_VALUE"""),"Hospira, Inc., a Pfizer Company")</f>
        <v>Hospira, Inc., a Pfizer Company</v>
      </c>
      <c r="C1149" s="5" t="str">
        <f>IFERROR(__xludf.DUMMYFUNCTION("""COMPUTED_VALUE"""),"Methotrexate Sodium, Injection, 1 g/40 mL (25 mg/mL) (NDC 61703-124-40)")</f>
        <v>Methotrexate Sodium, Injection, 1 g/40 mL (25 mg/mL) (NDC 61703-124-40)</v>
      </c>
      <c r="D1149" s="5" t="str">
        <f>IFERROR(__xludf.DUMMYFUNCTION("""COMPUTED_VALUE"""),"Reverified")</f>
        <v>Reverified</v>
      </c>
      <c r="E1149" s="13">
        <f>IFERROR(__xludf.DUMMYFUNCTION("""COMPUTED_VALUE"""),46316.0)</f>
        <v>46316</v>
      </c>
      <c r="F1149" s="5" t="str">
        <f>IFERROR(__xludf.DUMMYFUNCTION("""COMPUTED_VALUE"""),"Available")</f>
        <v>Available</v>
      </c>
      <c r="G1149" s="5"/>
      <c r="H1149" s="5"/>
      <c r="I1149" s="5"/>
      <c r="J1149" s="5" t="str">
        <f>IFERROR(__xludf.DUMMYFUNCTION("""COMPUTED_VALUE"""),"Rheumatology; Oncology")</f>
        <v>Rheumatology; Oncology</v>
      </c>
      <c r="K1149" s="5" t="str">
        <f>IFERROR(__xludf.DUMMYFUNCTION("""COMPUTED_VALUE"""),"Current")</f>
        <v>Current</v>
      </c>
      <c r="L1149" s="5"/>
      <c r="M1149" s="5"/>
      <c r="N1149" s="10">
        <f>IFERROR(__xludf.DUMMYFUNCTION("""COMPUTED_VALUE"""),44998.0)</f>
        <v>44998</v>
      </c>
      <c r="O1149" s="5">
        <v>2023.0</v>
      </c>
      <c r="P1149" s="5" t="str">
        <f>IFERROR(__xludf.DUMMYFUNCTION("""COMPUTED_VALUE"""),"Available")</f>
        <v>Available</v>
      </c>
      <c r="Q1149" s="5" t="s">
        <v>135</v>
      </c>
      <c r="R1149" s="5" t="s">
        <v>136</v>
      </c>
      <c r="S1149" s="11">
        <v>1323.0</v>
      </c>
    </row>
    <row r="1150">
      <c r="A1150" s="5" t="str">
        <f>IFERROR(__xludf.DUMMYFUNCTION("""COMPUTED_VALUE"""),"Methotrexate Sodium Injection")</f>
        <v>Methotrexate Sodium Injection</v>
      </c>
      <c r="B1150" s="5" t="str">
        <f>IFERROR(__xludf.DUMMYFUNCTION("""COMPUTED_VALUE"""),"Fresenius Kabi USA, LLC")</f>
        <v>Fresenius Kabi USA, LLC</v>
      </c>
      <c r="C1150" s="5" t="str">
        <f>IFERROR(__xludf.DUMMYFUNCTION("""COMPUTED_VALUE"""),"Methotrexate Preservative Free, Injection, 1 g (NDC 63323-122-50)")</f>
        <v>Methotrexate Preservative Free, Injection, 1 g (NDC 63323-122-50)</v>
      </c>
      <c r="D1150" s="5" t="str">
        <f>IFERROR(__xludf.DUMMYFUNCTION("""COMPUTED_VALUE"""),"Reverified")</f>
        <v>Reverified</v>
      </c>
      <c r="E1150" s="13">
        <f>IFERROR(__xludf.DUMMYFUNCTION("""COMPUTED_VALUE"""),46310.0)</f>
        <v>46310</v>
      </c>
      <c r="F1150" s="5" t="str">
        <f>IFERROR(__xludf.DUMMYFUNCTION("""COMPUTED_VALUE"""),"Available")</f>
        <v>Available</v>
      </c>
      <c r="G1150" s="5" t="str">
        <f>IFERROR(__xludf.DUMMYFUNCTION("""COMPUTED_VALUE"""),"Check wholesaler for inventory")</f>
        <v>Check wholesaler for inventory</v>
      </c>
      <c r="H1150" s="5"/>
      <c r="I1150" s="5"/>
      <c r="J1150" s="5" t="str">
        <f>IFERROR(__xludf.DUMMYFUNCTION("""COMPUTED_VALUE"""),"Rheumatology; Oncology")</f>
        <v>Rheumatology; Oncology</v>
      </c>
      <c r="K1150" s="5" t="str">
        <f>IFERROR(__xludf.DUMMYFUNCTION("""COMPUTED_VALUE"""),"Current")</f>
        <v>Current</v>
      </c>
      <c r="L1150" s="5"/>
      <c r="M1150" s="5"/>
      <c r="N1150" s="10">
        <f>IFERROR(__xludf.DUMMYFUNCTION("""COMPUTED_VALUE"""),44998.0)</f>
        <v>44998</v>
      </c>
      <c r="O1150" s="5">
        <v>2023.0</v>
      </c>
      <c r="P1150" s="5" t="str">
        <f>IFERROR(__xludf.DUMMYFUNCTION("""COMPUTED_VALUE"""),"Available")</f>
        <v>Available</v>
      </c>
      <c r="Q1150" s="5" t="s">
        <v>135</v>
      </c>
      <c r="R1150" s="5" t="s">
        <v>136</v>
      </c>
      <c r="S1150" s="11">
        <v>1323.0</v>
      </c>
    </row>
    <row r="1151">
      <c r="A1151" s="5" t="str">
        <f>IFERROR(__xludf.DUMMYFUNCTION("""COMPUTED_VALUE"""),"Methotrexate Sodium Injection")</f>
        <v>Methotrexate Sodium Injection</v>
      </c>
      <c r="B1151" s="5" t="str">
        <f>IFERROR(__xludf.DUMMYFUNCTION("""COMPUTED_VALUE"""),"Fresenius Kabi USA, LLC")</f>
        <v>Fresenius Kabi USA, LLC</v>
      </c>
      <c r="C1151" s="5" t="str">
        <f>IFERROR(__xludf.DUMMYFUNCTION("""COMPUTED_VALUE"""),"Methotrexate Sodium, Injection, 25 mg/1 mL (NDC 63323-123-10)")</f>
        <v>Methotrexate Sodium, Injection, 25 mg/1 mL (NDC 63323-123-10)</v>
      </c>
      <c r="D1151" s="5" t="str">
        <f>IFERROR(__xludf.DUMMYFUNCTION("""COMPUTED_VALUE"""),"Reverified")</f>
        <v>Reverified</v>
      </c>
      <c r="E1151" s="13">
        <f>IFERROR(__xludf.DUMMYFUNCTION("""COMPUTED_VALUE"""),46310.0)</f>
        <v>46310</v>
      </c>
      <c r="F1151" s="5" t="str">
        <f>IFERROR(__xludf.DUMMYFUNCTION("""COMPUTED_VALUE"""),"Available")</f>
        <v>Available</v>
      </c>
      <c r="G1151" s="5" t="str">
        <f>IFERROR(__xludf.DUMMYFUNCTION("""COMPUTED_VALUE"""),"Check wholesaler for inventory")</f>
        <v>Check wholesaler for inventory</v>
      </c>
      <c r="H1151" s="5"/>
      <c r="I1151" s="5"/>
      <c r="J1151" s="5" t="str">
        <f>IFERROR(__xludf.DUMMYFUNCTION("""COMPUTED_VALUE"""),"Rheumatology; Oncology")</f>
        <v>Rheumatology; Oncology</v>
      </c>
      <c r="K1151" s="5" t="str">
        <f>IFERROR(__xludf.DUMMYFUNCTION("""COMPUTED_VALUE"""),"Current")</f>
        <v>Current</v>
      </c>
      <c r="L1151" s="5"/>
      <c r="M1151" s="5"/>
      <c r="N1151" s="10">
        <f>IFERROR(__xludf.DUMMYFUNCTION("""COMPUTED_VALUE"""),44998.0)</f>
        <v>44998</v>
      </c>
      <c r="O1151" s="5">
        <v>2023.0</v>
      </c>
      <c r="P1151" s="5" t="str">
        <f>IFERROR(__xludf.DUMMYFUNCTION("""COMPUTED_VALUE"""),"Available")</f>
        <v>Available</v>
      </c>
      <c r="Q1151" s="5" t="s">
        <v>135</v>
      </c>
      <c r="R1151" s="5" t="s">
        <v>136</v>
      </c>
      <c r="S1151" s="11">
        <v>1323.0</v>
      </c>
    </row>
    <row r="1152">
      <c r="A1152" s="5" t="str">
        <f>IFERROR(__xludf.DUMMYFUNCTION("""COMPUTED_VALUE"""),"Methotrexate Sodium Injection")</f>
        <v>Methotrexate Sodium Injection</v>
      </c>
      <c r="B1152" s="5" t="str">
        <f>IFERROR(__xludf.DUMMYFUNCTION("""COMPUTED_VALUE"""),"Accord Healthcare Inc.")</f>
        <v>Accord Healthcare Inc.</v>
      </c>
      <c r="C1152" s="5" t="str">
        <f>IFERROR(__xludf.DUMMYFUNCTION("""COMPUTED_VALUE"""),"Methotrexate Sodium Preservative Free, Injection, 25 mg/1 mL (NDC 16729-277-30)")</f>
        <v>Methotrexate Sodium Preservative Free, Injection, 25 mg/1 mL (NDC 16729-277-30)</v>
      </c>
      <c r="D1152" s="5" t="str">
        <f>IFERROR(__xludf.DUMMYFUNCTION("""COMPUTED_VALUE"""),"Revised")</f>
        <v>Revised</v>
      </c>
      <c r="E1152" s="13">
        <f>IFERROR(__xludf.DUMMYFUNCTION("""COMPUTED_VALUE"""),46312.0)</f>
        <v>46312</v>
      </c>
      <c r="F1152" s="5" t="str">
        <f>IFERROR(__xludf.DUMMYFUNCTION("""COMPUTED_VALUE"""),"Available")</f>
        <v>Available</v>
      </c>
      <c r="G1152" s="5"/>
      <c r="H1152" s="5"/>
      <c r="I1152" s="5"/>
      <c r="J1152" s="5" t="str">
        <f>IFERROR(__xludf.DUMMYFUNCTION("""COMPUTED_VALUE"""),"Rheumatology; Oncology")</f>
        <v>Rheumatology; Oncology</v>
      </c>
      <c r="K1152" s="5" t="str">
        <f>IFERROR(__xludf.DUMMYFUNCTION("""COMPUTED_VALUE"""),"Current")</f>
        <v>Current</v>
      </c>
      <c r="L1152" s="5"/>
      <c r="M1152" s="5"/>
      <c r="N1152" s="10">
        <f>IFERROR(__xludf.DUMMYFUNCTION("""COMPUTED_VALUE"""),44998.0)</f>
        <v>44998</v>
      </c>
      <c r="O1152" s="5">
        <v>2023.0</v>
      </c>
      <c r="P1152" s="5" t="str">
        <f>IFERROR(__xludf.DUMMYFUNCTION("""COMPUTED_VALUE"""),"Available")</f>
        <v>Available</v>
      </c>
      <c r="Q1152" s="5" t="s">
        <v>135</v>
      </c>
      <c r="R1152" s="5" t="s">
        <v>136</v>
      </c>
      <c r="S1152" s="11">
        <v>1323.0</v>
      </c>
    </row>
    <row r="1153">
      <c r="A1153" s="5" t="str">
        <f>IFERROR(__xludf.DUMMYFUNCTION("""COMPUTED_VALUE"""),"Methotrexate Sodium Injection")</f>
        <v>Methotrexate Sodium Injection</v>
      </c>
      <c r="B1153" s="5" t="str">
        <f>IFERROR(__xludf.DUMMYFUNCTION("""COMPUTED_VALUE"""),"Accord Healthcare Inc.")</f>
        <v>Accord Healthcare Inc.</v>
      </c>
      <c r="C1153" s="5" t="str">
        <f>IFERROR(__xludf.DUMMYFUNCTION("""COMPUTED_VALUE"""),"Methotrexate Sodium Preservative Free, Injection, 25 mg/1 mL (NDC 16729-277-35)")</f>
        <v>Methotrexate Sodium Preservative Free, Injection, 25 mg/1 mL (NDC 16729-277-35)</v>
      </c>
      <c r="D1153" s="5" t="str">
        <f>IFERROR(__xludf.DUMMYFUNCTION("""COMPUTED_VALUE"""),"Reverified")</f>
        <v>Reverified</v>
      </c>
      <c r="E1153" s="13">
        <f>IFERROR(__xludf.DUMMYFUNCTION("""COMPUTED_VALUE"""),46312.0)</f>
        <v>46312</v>
      </c>
      <c r="F1153" s="5" t="str">
        <f>IFERROR(__xludf.DUMMYFUNCTION("""COMPUTED_VALUE"""),"Unavailable")</f>
        <v>Unavailable</v>
      </c>
      <c r="G1153" s="5" t="str">
        <f>IFERROR(__xludf.DUMMYFUNCTION("""COMPUTED_VALUE"""),"Short dated inventory with expiry of 8/31/2027 available; Estimated recovery: Jan 2027")</f>
        <v>Short dated inventory with expiry of 8/31/2027 available; Estimated recovery: Jan 2027</v>
      </c>
      <c r="H1153" s="5"/>
      <c r="I1153" s="5" t="str">
        <f>IFERROR(__xludf.DUMMYFUNCTION("""COMPUTED_VALUE"""),"Other")</f>
        <v>Other</v>
      </c>
      <c r="J1153" s="5" t="str">
        <f>IFERROR(__xludf.DUMMYFUNCTION("""COMPUTED_VALUE"""),"Rheumatology; Oncology")</f>
        <v>Rheumatology; Oncology</v>
      </c>
      <c r="K1153" s="5" t="str">
        <f>IFERROR(__xludf.DUMMYFUNCTION("""COMPUTED_VALUE"""),"Current")</f>
        <v>Current</v>
      </c>
      <c r="L1153" s="5"/>
      <c r="M1153" s="5"/>
      <c r="N1153" s="10">
        <f>IFERROR(__xludf.DUMMYFUNCTION("""COMPUTED_VALUE"""),44998.0)</f>
        <v>44998</v>
      </c>
      <c r="O1153" s="5">
        <v>2023.0</v>
      </c>
      <c r="P1153" s="5" t="str">
        <f>IFERROR(__xludf.DUMMYFUNCTION("""COMPUTED_VALUE"""),"Unavailable")</f>
        <v>Unavailable</v>
      </c>
      <c r="Q1153" s="5" t="s">
        <v>47</v>
      </c>
      <c r="R1153" s="5" t="s">
        <v>136</v>
      </c>
      <c r="S1153" s="11">
        <v>1323.0</v>
      </c>
    </row>
    <row r="1154">
      <c r="A1154" s="5" t="str">
        <f>IFERROR(__xludf.DUMMYFUNCTION("""COMPUTED_VALUE"""),"Methylphenidate Film, Extended Release")</f>
        <v>Methylphenidate Film, Extended Release</v>
      </c>
      <c r="B1154" s="5" t="str">
        <f>IFERROR(__xludf.DUMMYFUNCTION("""COMPUTED_VALUE"""),"Noven Pharmaceuticals, Inc.")</f>
        <v>Noven Pharmaceuticals, Inc.</v>
      </c>
      <c r="C1154" s="5" t="str">
        <f>IFERROR(__xludf.DUMMYFUNCTION("""COMPUTED_VALUE"""),"Methylphenidate, Film, Extended Release, 10 mg (NDC 0574-2410-65)")</f>
        <v>Methylphenidate, Film, Extended Release, 10 mg (NDC 0574-2410-65)</v>
      </c>
      <c r="D1154" s="5" t="str">
        <f>IFERROR(__xludf.DUMMYFUNCTION("""COMPUTED_VALUE"""),"Reverified")</f>
        <v>Reverified</v>
      </c>
      <c r="E1154" s="13">
        <f>IFERROR(__xludf.DUMMYFUNCTION("""COMPUTED_VALUE"""),46311.0)</f>
        <v>46311</v>
      </c>
      <c r="F1154" s="5" t="str">
        <f>IFERROR(__xludf.DUMMYFUNCTION("""COMPUTED_VALUE"""),"Available")</f>
        <v>Available</v>
      </c>
      <c r="G1154" s="5" t="str">
        <f>IFERROR(__xludf.DUMMYFUNCTION("""COMPUTED_VALUE"""),"Distributed by Padagis US LLC")</f>
        <v>Distributed by Padagis US LLC</v>
      </c>
      <c r="H1154" s="5"/>
      <c r="I1154" s="5"/>
      <c r="J1154" s="5" t="str">
        <f>IFERROR(__xludf.DUMMYFUNCTION("""COMPUTED_VALUE"""),"Psychiatry")</f>
        <v>Psychiatry</v>
      </c>
      <c r="K1154" s="5" t="str">
        <f>IFERROR(__xludf.DUMMYFUNCTION("""COMPUTED_VALUE"""),"Current")</f>
        <v>Current</v>
      </c>
      <c r="L1154" s="5"/>
      <c r="M1154" s="5"/>
      <c r="N1154" s="10">
        <f>IFERROR(__xludf.DUMMYFUNCTION("""COMPUTED_VALUE"""),45716.0)</f>
        <v>45716</v>
      </c>
      <c r="O1154" s="5">
        <v>2025.0</v>
      </c>
      <c r="P1154" s="5" t="str">
        <f>IFERROR(__xludf.DUMMYFUNCTION("""COMPUTED_VALUE"""),"Available")</f>
        <v>Available</v>
      </c>
      <c r="Q1154" s="5" t="s">
        <v>135</v>
      </c>
      <c r="R1154" s="5" t="s">
        <v>136</v>
      </c>
      <c r="S1154" s="11">
        <v>605.0</v>
      </c>
    </row>
    <row r="1155">
      <c r="A1155" s="5" t="str">
        <f>IFERROR(__xludf.DUMMYFUNCTION("""COMPUTED_VALUE"""),"Methylphenidate Film, Extended Release")</f>
        <v>Methylphenidate Film, Extended Release</v>
      </c>
      <c r="B1155" s="5" t="str">
        <f>IFERROR(__xludf.DUMMYFUNCTION("""COMPUTED_VALUE"""),"Noven Pharmaceuticals, Inc.")</f>
        <v>Noven Pharmaceuticals, Inc.</v>
      </c>
      <c r="C1155" s="5" t="str">
        <f>IFERROR(__xludf.DUMMYFUNCTION("""COMPUTED_VALUE"""),"Methylphenidate, Film, Extended Release, 15 mg (NDC 0574-2415-65)")</f>
        <v>Methylphenidate, Film, Extended Release, 15 mg (NDC 0574-2415-65)</v>
      </c>
      <c r="D1155" s="5" t="str">
        <f>IFERROR(__xludf.DUMMYFUNCTION("""COMPUTED_VALUE"""),"Reverified")</f>
        <v>Reverified</v>
      </c>
      <c r="E1155" s="13">
        <f>IFERROR(__xludf.DUMMYFUNCTION("""COMPUTED_VALUE"""),46311.0)</f>
        <v>46311</v>
      </c>
      <c r="F1155" s="5" t="str">
        <f>IFERROR(__xludf.DUMMYFUNCTION("""COMPUTED_VALUE"""),"Available")</f>
        <v>Available</v>
      </c>
      <c r="G1155" s="5" t="str">
        <f>IFERROR(__xludf.DUMMYFUNCTION("""COMPUTED_VALUE"""),"Distributed by Padagis US LLC")</f>
        <v>Distributed by Padagis US LLC</v>
      </c>
      <c r="H1155" s="5"/>
      <c r="I1155" s="5"/>
      <c r="J1155" s="5" t="str">
        <f>IFERROR(__xludf.DUMMYFUNCTION("""COMPUTED_VALUE"""),"Psychiatry")</f>
        <v>Psychiatry</v>
      </c>
      <c r="K1155" s="5" t="str">
        <f>IFERROR(__xludf.DUMMYFUNCTION("""COMPUTED_VALUE"""),"Current")</f>
        <v>Current</v>
      </c>
      <c r="L1155" s="5"/>
      <c r="M1155" s="5"/>
      <c r="N1155" s="10">
        <f>IFERROR(__xludf.DUMMYFUNCTION("""COMPUTED_VALUE"""),45716.0)</f>
        <v>45716</v>
      </c>
      <c r="O1155" s="5">
        <v>2025.0</v>
      </c>
      <c r="P1155" s="5" t="str">
        <f>IFERROR(__xludf.DUMMYFUNCTION("""COMPUTED_VALUE"""),"Available")</f>
        <v>Available</v>
      </c>
      <c r="Q1155" s="5" t="s">
        <v>135</v>
      </c>
      <c r="R1155" s="5" t="s">
        <v>136</v>
      </c>
      <c r="S1155" s="11">
        <v>605.0</v>
      </c>
    </row>
    <row r="1156">
      <c r="A1156" s="5" t="str">
        <f>IFERROR(__xludf.DUMMYFUNCTION("""COMPUTED_VALUE"""),"Methylphenidate Film, Extended Release")</f>
        <v>Methylphenidate Film, Extended Release</v>
      </c>
      <c r="B1156" s="5" t="str">
        <f>IFERROR(__xludf.DUMMYFUNCTION("""COMPUTED_VALUE"""),"Noven Pharmaceuticals, Inc.")</f>
        <v>Noven Pharmaceuticals, Inc.</v>
      </c>
      <c r="C1156" s="5" t="str">
        <f>IFERROR(__xludf.DUMMYFUNCTION("""COMPUTED_VALUE"""),"Methylphenidate, Film, Extended Release, 20 mg (NDC 0574-2420-65)")</f>
        <v>Methylphenidate, Film, Extended Release, 20 mg (NDC 0574-2420-65)</v>
      </c>
      <c r="D1156" s="5" t="str">
        <f>IFERROR(__xludf.DUMMYFUNCTION("""COMPUTED_VALUE"""),"Reverified")</f>
        <v>Reverified</v>
      </c>
      <c r="E1156" s="13">
        <f>IFERROR(__xludf.DUMMYFUNCTION("""COMPUTED_VALUE"""),46311.0)</f>
        <v>46311</v>
      </c>
      <c r="F1156" s="5" t="str">
        <f>IFERROR(__xludf.DUMMYFUNCTION("""COMPUTED_VALUE"""),"Available")</f>
        <v>Available</v>
      </c>
      <c r="G1156" s="5" t="str">
        <f>IFERROR(__xludf.DUMMYFUNCTION("""COMPUTED_VALUE"""),"Distributed by Padagis US LLC")</f>
        <v>Distributed by Padagis US LLC</v>
      </c>
      <c r="H1156" s="5"/>
      <c r="I1156" s="5"/>
      <c r="J1156" s="5" t="str">
        <f>IFERROR(__xludf.DUMMYFUNCTION("""COMPUTED_VALUE"""),"Psychiatry")</f>
        <v>Psychiatry</v>
      </c>
      <c r="K1156" s="5" t="str">
        <f>IFERROR(__xludf.DUMMYFUNCTION("""COMPUTED_VALUE"""),"Current")</f>
        <v>Current</v>
      </c>
      <c r="L1156" s="5"/>
      <c r="M1156" s="5"/>
      <c r="N1156" s="10">
        <f>IFERROR(__xludf.DUMMYFUNCTION("""COMPUTED_VALUE"""),45716.0)</f>
        <v>45716</v>
      </c>
      <c r="O1156" s="5">
        <v>2025.0</v>
      </c>
      <c r="P1156" s="5" t="str">
        <f>IFERROR(__xludf.DUMMYFUNCTION("""COMPUTED_VALUE"""),"Available")</f>
        <v>Available</v>
      </c>
      <c r="Q1156" s="5" t="s">
        <v>135</v>
      </c>
      <c r="R1156" s="5" t="s">
        <v>136</v>
      </c>
      <c r="S1156" s="11">
        <v>605.0</v>
      </c>
    </row>
    <row r="1157">
      <c r="A1157" s="5" t="str">
        <f>IFERROR(__xludf.DUMMYFUNCTION("""COMPUTED_VALUE"""),"Methylphenidate Film, Extended Release")</f>
        <v>Methylphenidate Film, Extended Release</v>
      </c>
      <c r="B1157" s="5" t="str">
        <f>IFERROR(__xludf.DUMMYFUNCTION("""COMPUTED_VALUE"""),"Noven Pharmaceuticals, Inc.")</f>
        <v>Noven Pharmaceuticals, Inc.</v>
      </c>
      <c r="C1157" s="5" t="str">
        <f>IFERROR(__xludf.DUMMYFUNCTION("""COMPUTED_VALUE"""),"Methylphenidate, Film, Extended Release, 30 mg (NDC 0574-2430-65)")</f>
        <v>Methylphenidate, Film, Extended Release, 30 mg (NDC 0574-2430-65)</v>
      </c>
      <c r="D1157" s="5" t="str">
        <f>IFERROR(__xludf.DUMMYFUNCTION("""COMPUTED_VALUE"""),"Reverified")</f>
        <v>Reverified</v>
      </c>
      <c r="E1157" s="13">
        <f>IFERROR(__xludf.DUMMYFUNCTION("""COMPUTED_VALUE"""),46311.0)</f>
        <v>46311</v>
      </c>
      <c r="F1157" s="5" t="str">
        <f>IFERROR(__xludf.DUMMYFUNCTION("""COMPUTED_VALUE"""),"Available")</f>
        <v>Available</v>
      </c>
      <c r="G1157" s="5" t="str">
        <f>IFERROR(__xludf.DUMMYFUNCTION("""COMPUTED_VALUE"""),"Distributed by Padagis US LLC")</f>
        <v>Distributed by Padagis US LLC</v>
      </c>
      <c r="H1157" s="5"/>
      <c r="I1157" s="5"/>
      <c r="J1157" s="5" t="str">
        <f>IFERROR(__xludf.DUMMYFUNCTION("""COMPUTED_VALUE"""),"Psychiatry")</f>
        <v>Psychiatry</v>
      </c>
      <c r="K1157" s="5" t="str">
        <f>IFERROR(__xludf.DUMMYFUNCTION("""COMPUTED_VALUE"""),"Current")</f>
        <v>Current</v>
      </c>
      <c r="L1157" s="5"/>
      <c r="M1157" s="5"/>
      <c r="N1157" s="10">
        <f>IFERROR(__xludf.DUMMYFUNCTION("""COMPUTED_VALUE"""),45716.0)</f>
        <v>45716</v>
      </c>
      <c r="O1157" s="5">
        <v>2025.0</v>
      </c>
      <c r="P1157" s="5" t="str">
        <f>IFERROR(__xludf.DUMMYFUNCTION("""COMPUTED_VALUE"""),"Available")</f>
        <v>Available</v>
      </c>
      <c r="Q1157" s="5" t="s">
        <v>135</v>
      </c>
      <c r="R1157" s="5" t="s">
        <v>136</v>
      </c>
      <c r="S1157" s="11">
        <v>605.0</v>
      </c>
    </row>
    <row r="1158">
      <c r="A1158" s="5" t="str">
        <f>IFERROR(__xludf.DUMMYFUNCTION("""COMPUTED_VALUE"""),"Methylphenidate Hydrochloride Tablet, Extended Release")</f>
        <v>Methylphenidate Hydrochloride Tablet, Extended Release</v>
      </c>
      <c r="B1158" s="5" t="str">
        <f>IFERROR(__xludf.DUMMYFUNCTION("""COMPUTED_VALUE"""),"Lannett Company, Inc.")</f>
        <v>Lannett Company, Inc.</v>
      </c>
      <c r="C1158" s="5" t="str">
        <f>IFERROR(__xludf.DUMMYFUNCTION("""COMPUTED_VALUE"""),"Methylphenidate Hydrochloride, Tablet, Extended Release, 18 mg (NDC 62175-310-37)")</f>
        <v>Methylphenidate Hydrochloride, Tablet, Extended Release, 18 mg (NDC 62175-310-37)</v>
      </c>
      <c r="D1158" s="5" t="str">
        <f>IFERROR(__xludf.DUMMYFUNCTION("""COMPUTED_VALUE"""),"Reverified")</f>
        <v>Reverified</v>
      </c>
      <c r="E1158" s="13">
        <f>IFERROR(__xludf.DUMMYFUNCTION("""COMPUTED_VALUE"""),46310.0)</f>
        <v>46310</v>
      </c>
      <c r="F1158" s="5" t="str">
        <f>IFERROR(__xludf.DUMMYFUNCTION("""COMPUTED_VALUE"""),"Available")</f>
        <v>Available</v>
      </c>
      <c r="G1158" s="5"/>
      <c r="H1158" s="5"/>
      <c r="I1158" s="5"/>
      <c r="J1158" s="5" t="str">
        <f>IFERROR(__xludf.DUMMYFUNCTION("""COMPUTED_VALUE"""),"Psychiatry")</f>
        <v>Psychiatry</v>
      </c>
      <c r="K1158" s="5" t="str">
        <f>IFERROR(__xludf.DUMMYFUNCTION("""COMPUTED_VALUE"""),"Current")</f>
        <v>Current</v>
      </c>
      <c r="L1158" s="5"/>
      <c r="M1158" s="5"/>
      <c r="N1158" s="10">
        <f>IFERROR(__xludf.DUMMYFUNCTION("""COMPUTED_VALUE"""),45133.0)</f>
        <v>45133</v>
      </c>
      <c r="O1158" s="5">
        <v>2023.0</v>
      </c>
      <c r="P1158" s="5" t="str">
        <f>IFERROR(__xludf.DUMMYFUNCTION("""COMPUTED_VALUE"""),"Available")</f>
        <v>Available</v>
      </c>
      <c r="Q1158" s="5" t="s">
        <v>135</v>
      </c>
      <c r="R1158" s="5" t="s">
        <v>136</v>
      </c>
      <c r="S1158" s="11">
        <v>1188.0</v>
      </c>
    </row>
    <row r="1159">
      <c r="A1159" s="5" t="str">
        <f>IFERROR(__xludf.DUMMYFUNCTION("""COMPUTED_VALUE"""),"Methylphenidate Hydrochloride Tablet, Extended Release")</f>
        <v>Methylphenidate Hydrochloride Tablet, Extended Release</v>
      </c>
      <c r="B1159" s="5" t="str">
        <f>IFERROR(__xludf.DUMMYFUNCTION("""COMPUTED_VALUE"""),"Lannett Company, Inc.")</f>
        <v>Lannett Company, Inc.</v>
      </c>
      <c r="C1159" s="5" t="str">
        <f>IFERROR(__xludf.DUMMYFUNCTION("""COMPUTED_VALUE"""),"Methylphenidate Hydrochloride, Tablet, Extended Release, 27 mg (NDC 62175-311-37)")</f>
        <v>Methylphenidate Hydrochloride, Tablet, Extended Release, 27 mg (NDC 62175-311-37)</v>
      </c>
      <c r="D1159" s="5" t="str">
        <f>IFERROR(__xludf.DUMMYFUNCTION("""COMPUTED_VALUE"""),"Reverified")</f>
        <v>Reverified</v>
      </c>
      <c r="E1159" s="13">
        <f>IFERROR(__xludf.DUMMYFUNCTION("""COMPUTED_VALUE"""),46310.0)</f>
        <v>46310</v>
      </c>
      <c r="F1159" s="5" t="str">
        <f>IFERROR(__xludf.DUMMYFUNCTION("""COMPUTED_VALUE"""),"Unavailable")</f>
        <v>Unavailable</v>
      </c>
      <c r="G1159" s="5" t="str">
        <f>IFERROR(__xludf.DUMMYFUNCTION("""COMPUTED_VALUE"""),"Estimated recovery: November 2026")</f>
        <v>Estimated recovery: November 2026</v>
      </c>
      <c r="H1159" s="5"/>
      <c r="I1159" s="5" t="str">
        <f>IFERROR(__xludf.DUMMYFUNCTION("""COMPUTED_VALUE"""),"Other")</f>
        <v>Other</v>
      </c>
      <c r="J1159" s="5" t="str">
        <f>IFERROR(__xludf.DUMMYFUNCTION("""COMPUTED_VALUE"""),"Psychiatry")</f>
        <v>Psychiatry</v>
      </c>
      <c r="K1159" s="5" t="str">
        <f>IFERROR(__xludf.DUMMYFUNCTION("""COMPUTED_VALUE"""),"Current")</f>
        <v>Current</v>
      </c>
      <c r="L1159" s="5"/>
      <c r="M1159" s="5"/>
      <c r="N1159" s="10">
        <f>IFERROR(__xludf.DUMMYFUNCTION("""COMPUTED_VALUE"""),45133.0)</f>
        <v>45133</v>
      </c>
      <c r="O1159" s="5">
        <v>2023.0</v>
      </c>
      <c r="P1159" s="5" t="str">
        <f>IFERROR(__xludf.DUMMYFUNCTION("""COMPUTED_VALUE"""),"Unavailable")</f>
        <v>Unavailable</v>
      </c>
      <c r="Q1159" s="5" t="s">
        <v>47</v>
      </c>
      <c r="R1159" s="5" t="s">
        <v>136</v>
      </c>
      <c r="S1159" s="11">
        <v>1188.0</v>
      </c>
    </row>
    <row r="1160">
      <c r="A1160" s="5" t="str">
        <f>IFERROR(__xludf.DUMMYFUNCTION("""COMPUTED_VALUE"""),"Methylphenidate Hydrochloride Tablet, Extended Release")</f>
        <v>Methylphenidate Hydrochloride Tablet, Extended Release</v>
      </c>
      <c r="B1160" s="5" t="str">
        <f>IFERROR(__xludf.DUMMYFUNCTION("""COMPUTED_VALUE"""),"Lannett Company, Inc.")</f>
        <v>Lannett Company, Inc.</v>
      </c>
      <c r="C1160" s="5" t="str">
        <f>IFERROR(__xludf.DUMMYFUNCTION("""COMPUTED_VALUE"""),"Methylphenidate Hydrochloride, Tablet, Extended Release, 36 mg (NDC 62175-312-37)")</f>
        <v>Methylphenidate Hydrochloride, Tablet, Extended Release, 36 mg (NDC 62175-312-37)</v>
      </c>
      <c r="D1160" s="5" t="str">
        <f>IFERROR(__xludf.DUMMYFUNCTION("""COMPUTED_VALUE"""),"Reverified")</f>
        <v>Reverified</v>
      </c>
      <c r="E1160" s="13">
        <f>IFERROR(__xludf.DUMMYFUNCTION("""COMPUTED_VALUE"""),46310.0)</f>
        <v>46310</v>
      </c>
      <c r="F1160" s="5" t="str">
        <f>IFERROR(__xludf.DUMMYFUNCTION("""COMPUTED_VALUE"""),"Unavailable")</f>
        <v>Unavailable</v>
      </c>
      <c r="G1160" s="5" t="str">
        <f>IFERROR(__xludf.DUMMYFUNCTION("""COMPUTED_VALUE"""),"Estimated recovery: November 2026")</f>
        <v>Estimated recovery: November 2026</v>
      </c>
      <c r="H1160" s="5"/>
      <c r="I1160" s="5" t="str">
        <f>IFERROR(__xludf.DUMMYFUNCTION("""COMPUTED_VALUE"""),"Other")</f>
        <v>Other</v>
      </c>
      <c r="J1160" s="5" t="str">
        <f>IFERROR(__xludf.DUMMYFUNCTION("""COMPUTED_VALUE"""),"Psychiatry")</f>
        <v>Psychiatry</v>
      </c>
      <c r="K1160" s="5" t="str">
        <f>IFERROR(__xludf.DUMMYFUNCTION("""COMPUTED_VALUE"""),"Current")</f>
        <v>Current</v>
      </c>
      <c r="L1160" s="5"/>
      <c r="M1160" s="5"/>
      <c r="N1160" s="10">
        <f>IFERROR(__xludf.DUMMYFUNCTION("""COMPUTED_VALUE"""),45133.0)</f>
        <v>45133</v>
      </c>
      <c r="O1160" s="5">
        <v>2023.0</v>
      </c>
      <c r="P1160" s="5" t="str">
        <f>IFERROR(__xludf.DUMMYFUNCTION("""COMPUTED_VALUE"""),"Unavailable")</f>
        <v>Unavailable</v>
      </c>
      <c r="Q1160" s="5" t="s">
        <v>47</v>
      </c>
      <c r="R1160" s="5" t="s">
        <v>136</v>
      </c>
      <c r="S1160" s="11">
        <v>1188.0</v>
      </c>
    </row>
    <row r="1161">
      <c r="A1161" s="5" t="str">
        <f>IFERROR(__xludf.DUMMYFUNCTION("""COMPUTED_VALUE"""),"Methylphenidate Hydrochloride Tablet, Extended Release")</f>
        <v>Methylphenidate Hydrochloride Tablet, Extended Release</v>
      </c>
      <c r="B1161" s="5" t="str">
        <f>IFERROR(__xludf.DUMMYFUNCTION("""COMPUTED_VALUE"""),"Lannett Company, Inc.")</f>
        <v>Lannett Company, Inc.</v>
      </c>
      <c r="C1161" s="5" t="str">
        <f>IFERROR(__xludf.DUMMYFUNCTION("""COMPUTED_VALUE"""),"Methylphenidate Hydrochloride, Tablet, Extended Release, 54 mg (NDC 62175-313-37)")</f>
        <v>Methylphenidate Hydrochloride, Tablet, Extended Release, 54 mg (NDC 62175-313-37)</v>
      </c>
      <c r="D1161" s="5" t="str">
        <f>IFERROR(__xludf.DUMMYFUNCTION("""COMPUTED_VALUE"""),"Reverified")</f>
        <v>Reverified</v>
      </c>
      <c r="E1161" s="13">
        <f>IFERROR(__xludf.DUMMYFUNCTION("""COMPUTED_VALUE"""),46310.0)</f>
        <v>46310</v>
      </c>
      <c r="F1161" s="5" t="str">
        <f>IFERROR(__xludf.DUMMYFUNCTION("""COMPUTED_VALUE"""),"Available")</f>
        <v>Available</v>
      </c>
      <c r="G1161" s="5"/>
      <c r="H1161" s="5"/>
      <c r="I1161" s="5"/>
      <c r="J1161" s="5" t="str">
        <f>IFERROR(__xludf.DUMMYFUNCTION("""COMPUTED_VALUE"""),"Psychiatry")</f>
        <v>Psychiatry</v>
      </c>
      <c r="K1161" s="5" t="str">
        <f>IFERROR(__xludf.DUMMYFUNCTION("""COMPUTED_VALUE"""),"Current")</f>
        <v>Current</v>
      </c>
      <c r="L1161" s="5"/>
      <c r="M1161" s="5"/>
      <c r="N1161" s="10">
        <f>IFERROR(__xludf.DUMMYFUNCTION("""COMPUTED_VALUE"""),45133.0)</f>
        <v>45133</v>
      </c>
      <c r="O1161" s="5">
        <v>2023.0</v>
      </c>
      <c r="P1161" s="5" t="str">
        <f>IFERROR(__xludf.DUMMYFUNCTION("""COMPUTED_VALUE"""),"Available")</f>
        <v>Available</v>
      </c>
      <c r="Q1161" s="5" t="s">
        <v>135</v>
      </c>
      <c r="R1161" s="5" t="s">
        <v>136</v>
      </c>
      <c r="S1161" s="11">
        <v>1188.0</v>
      </c>
    </row>
    <row r="1162">
      <c r="A1162" s="5" t="str">
        <f>IFERROR(__xludf.DUMMYFUNCTION("""COMPUTED_VALUE"""),"Methylphenidate Hydrochloride Tablet, Extended Release")</f>
        <v>Methylphenidate Hydrochloride Tablet, Extended Release</v>
      </c>
      <c r="B1162" s="5" t="str">
        <f>IFERROR(__xludf.DUMMYFUNCTION("""COMPUTED_VALUE"""),"Teva Pharmaceuticals USA, Inc.")</f>
        <v>Teva Pharmaceuticals USA, Inc.</v>
      </c>
      <c r="C1162" s="5" t="str">
        <f>IFERROR(__xludf.DUMMYFUNCTION("""COMPUTED_VALUE"""),"Methylphenidate Hydrochloride, Tablet, Extended Release, 18 mg (NDC 62037-725-01)")</f>
        <v>Methylphenidate Hydrochloride, Tablet, Extended Release, 18 mg (NDC 62037-725-01)</v>
      </c>
      <c r="D1162" s="5" t="str">
        <f>IFERROR(__xludf.DUMMYFUNCTION("""COMPUTED_VALUE"""),"Revised")</f>
        <v>Revised</v>
      </c>
      <c r="E1162" s="13">
        <f>IFERROR(__xludf.DUMMYFUNCTION("""COMPUTED_VALUE"""),46310.0)</f>
        <v>46310</v>
      </c>
      <c r="F1162" s="5" t="str">
        <f>IFERROR(__xludf.DUMMYFUNCTION("""COMPUTED_VALUE"""),"Available")</f>
        <v>Available</v>
      </c>
      <c r="G1162" s="5"/>
      <c r="H1162" s="5"/>
      <c r="I1162" s="5"/>
      <c r="J1162" s="5" t="str">
        <f>IFERROR(__xludf.DUMMYFUNCTION("""COMPUTED_VALUE"""),"Psychiatry")</f>
        <v>Psychiatry</v>
      </c>
      <c r="K1162" s="5" t="str">
        <f>IFERROR(__xludf.DUMMYFUNCTION("""COMPUTED_VALUE"""),"Current")</f>
        <v>Current</v>
      </c>
      <c r="L1162" s="5"/>
      <c r="M1162" s="5"/>
      <c r="N1162" s="10">
        <f>IFERROR(__xludf.DUMMYFUNCTION("""COMPUTED_VALUE"""),45133.0)</f>
        <v>45133</v>
      </c>
      <c r="O1162" s="5">
        <v>2023.0</v>
      </c>
      <c r="P1162" s="5" t="str">
        <f>IFERROR(__xludf.DUMMYFUNCTION("""COMPUTED_VALUE"""),"Available")</f>
        <v>Available</v>
      </c>
      <c r="Q1162" s="5" t="s">
        <v>135</v>
      </c>
      <c r="R1162" s="5" t="s">
        <v>136</v>
      </c>
      <c r="S1162" s="11">
        <v>1188.0</v>
      </c>
    </row>
    <row r="1163">
      <c r="A1163" s="5" t="str">
        <f>IFERROR(__xludf.DUMMYFUNCTION("""COMPUTED_VALUE"""),"Methylphenidate Hydrochloride Tablet, Extended Release")</f>
        <v>Methylphenidate Hydrochloride Tablet, Extended Release</v>
      </c>
      <c r="B1163" s="5" t="str">
        <f>IFERROR(__xludf.DUMMYFUNCTION("""COMPUTED_VALUE"""),"Teva Pharmaceuticals USA, Inc.")</f>
        <v>Teva Pharmaceuticals USA, Inc.</v>
      </c>
      <c r="C1163" s="5" t="str">
        <f>IFERROR(__xludf.DUMMYFUNCTION("""COMPUTED_VALUE"""),"Methylphenidate Hydrochloride, Tablet, Extended Release, 27 mg (NDC 62037-734-01)")</f>
        <v>Methylphenidate Hydrochloride, Tablet, Extended Release, 27 mg (NDC 62037-734-01)</v>
      </c>
      <c r="D1163" s="5" t="str">
        <f>IFERROR(__xludf.DUMMYFUNCTION("""COMPUTED_VALUE"""),"Revised")</f>
        <v>Revised</v>
      </c>
      <c r="E1163" s="13">
        <f>IFERROR(__xludf.DUMMYFUNCTION("""COMPUTED_VALUE"""),46310.0)</f>
        <v>46310</v>
      </c>
      <c r="F1163" s="5" t="str">
        <f>IFERROR(__xludf.DUMMYFUNCTION("""COMPUTED_VALUE"""),"Limited Availability")</f>
        <v>Limited Availability</v>
      </c>
      <c r="G1163" s="5" t="str">
        <f>IFERROR(__xludf.DUMMYFUNCTION("""COMPUTED_VALUE"""),"Estimated recovery: October 2026")</f>
        <v>Estimated recovery: October 2026</v>
      </c>
      <c r="H1163" s="5"/>
      <c r="I1163" s="5" t="str">
        <f>IFERROR(__xludf.DUMMYFUNCTION("""COMPUTED_VALUE"""),"Other")</f>
        <v>Other</v>
      </c>
      <c r="J1163" s="5" t="str">
        <f>IFERROR(__xludf.DUMMYFUNCTION("""COMPUTED_VALUE"""),"Psychiatry")</f>
        <v>Psychiatry</v>
      </c>
      <c r="K1163" s="5" t="str">
        <f>IFERROR(__xludf.DUMMYFUNCTION("""COMPUTED_VALUE"""),"Current")</f>
        <v>Current</v>
      </c>
      <c r="L1163" s="5"/>
      <c r="M1163" s="5"/>
      <c r="N1163" s="10">
        <f>IFERROR(__xludf.DUMMYFUNCTION("""COMPUTED_VALUE"""),45133.0)</f>
        <v>45133</v>
      </c>
      <c r="O1163" s="5">
        <v>2023.0</v>
      </c>
      <c r="P1163" s="5" t="str">
        <f>IFERROR(__xludf.DUMMYFUNCTION("""COMPUTED_VALUE"""),"Limited Availability")</f>
        <v>Limited Availability</v>
      </c>
      <c r="Q1163" s="5" t="s">
        <v>47</v>
      </c>
      <c r="R1163" s="5" t="s">
        <v>136</v>
      </c>
      <c r="S1163" s="11">
        <v>1188.0</v>
      </c>
    </row>
    <row r="1164">
      <c r="A1164" s="5" t="str">
        <f>IFERROR(__xludf.DUMMYFUNCTION("""COMPUTED_VALUE"""),"Methylphenidate Hydrochloride Tablet, Extended Release")</f>
        <v>Methylphenidate Hydrochloride Tablet, Extended Release</v>
      </c>
      <c r="B1164" s="5" t="str">
        <f>IFERROR(__xludf.DUMMYFUNCTION("""COMPUTED_VALUE"""),"Teva Pharmaceuticals USA, Inc.")</f>
        <v>Teva Pharmaceuticals USA, Inc.</v>
      </c>
      <c r="C1164" s="5" t="str">
        <f>IFERROR(__xludf.DUMMYFUNCTION("""COMPUTED_VALUE"""),"Methylphenidate Hydrochloride, Tablet, Extended Release, 36 mg (NDC 62037-726-01)")</f>
        <v>Methylphenidate Hydrochloride, Tablet, Extended Release, 36 mg (NDC 62037-726-01)</v>
      </c>
      <c r="D1164" s="5" t="str">
        <f>IFERROR(__xludf.DUMMYFUNCTION("""COMPUTED_VALUE"""),"Reverified")</f>
        <v>Reverified</v>
      </c>
      <c r="E1164" s="13">
        <f>IFERROR(__xludf.DUMMYFUNCTION("""COMPUTED_VALUE"""),46310.0)</f>
        <v>46310</v>
      </c>
      <c r="F1164" s="5" t="str">
        <f>IFERROR(__xludf.DUMMYFUNCTION("""COMPUTED_VALUE"""),"Limited Availability")</f>
        <v>Limited Availability</v>
      </c>
      <c r="G1164" s="5" t="str">
        <f>IFERROR(__xludf.DUMMYFUNCTION("""COMPUTED_VALUE"""),"Estimated recovery: October 2026")</f>
        <v>Estimated recovery: October 2026</v>
      </c>
      <c r="H1164" s="5"/>
      <c r="I1164" s="5" t="str">
        <f>IFERROR(__xludf.DUMMYFUNCTION("""COMPUTED_VALUE"""),"Other")</f>
        <v>Other</v>
      </c>
      <c r="J1164" s="5" t="str">
        <f>IFERROR(__xludf.DUMMYFUNCTION("""COMPUTED_VALUE"""),"Psychiatry")</f>
        <v>Psychiatry</v>
      </c>
      <c r="K1164" s="5" t="str">
        <f>IFERROR(__xludf.DUMMYFUNCTION("""COMPUTED_VALUE"""),"Current")</f>
        <v>Current</v>
      </c>
      <c r="L1164" s="5"/>
      <c r="M1164" s="5"/>
      <c r="N1164" s="10">
        <f>IFERROR(__xludf.DUMMYFUNCTION("""COMPUTED_VALUE"""),45133.0)</f>
        <v>45133</v>
      </c>
      <c r="O1164" s="5">
        <v>2023.0</v>
      </c>
      <c r="P1164" s="5" t="str">
        <f>IFERROR(__xludf.DUMMYFUNCTION("""COMPUTED_VALUE"""),"Limited Availability")</f>
        <v>Limited Availability</v>
      </c>
      <c r="Q1164" s="5" t="s">
        <v>47</v>
      </c>
      <c r="R1164" s="5" t="s">
        <v>136</v>
      </c>
      <c r="S1164" s="11">
        <v>1188.0</v>
      </c>
    </row>
    <row r="1165">
      <c r="A1165" s="5" t="str">
        <f>IFERROR(__xludf.DUMMYFUNCTION("""COMPUTED_VALUE"""),"Methylphenidate Hydrochloride Tablet, Extended Release")</f>
        <v>Methylphenidate Hydrochloride Tablet, Extended Release</v>
      </c>
      <c r="B1165" s="5" t="str">
        <f>IFERROR(__xludf.DUMMYFUNCTION("""COMPUTED_VALUE"""),"Teva Pharmaceuticals USA, Inc.")</f>
        <v>Teva Pharmaceuticals USA, Inc.</v>
      </c>
      <c r="C1165" s="5" t="str">
        <f>IFERROR(__xludf.DUMMYFUNCTION("""COMPUTED_VALUE"""),"Methylphenidate Hydrochloride, Tablet, Extended Release, 54 mg (NDC 62037-727-01)")</f>
        <v>Methylphenidate Hydrochloride, Tablet, Extended Release, 54 mg (NDC 62037-727-01)</v>
      </c>
      <c r="D1165" s="5" t="str">
        <f>IFERROR(__xludf.DUMMYFUNCTION("""COMPUTED_VALUE"""),"Reverified")</f>
        <v>Reverified</v>
      </c>
      <c r="E1165" s="13">
        <f>IFERROR(__xludf.DUMMYFUNCTION("""COMPUTED_VALUE"""),46310.0)</f>
        <v>46310</v>
      </c>
      <c r="F1165" s="5" t="str">
        <f>IFERROR(__xludf.DUMMYFUNCTION("""COMPUTED_VALUE"""),"Available")</f>
        <v>Available</v>
      </c>
      <c r="G1165" s="5"/>
      <c r="H1165" s="5"/>
      <c r="I1165" s="5"/>
      <c r="J1165" s="5" t="str">
        <f>IFERROR(__xludf.DUMMYFUNCTION("""COMPUTED_VALUE"""),"Psychiatry")</f>
        <v>Psychiatry</v>
      </c>
      <c r="K1165" s="5" t="str">
        <f>IFERROR(__xludf.DUMMYFUNCTION("""COMPUTED_VALUE"""),"Current")</f>
        <v>Current</v>
      </c>
      <c r="L1165" s="5"/>
      <c r="M1165" s="5"/>
      <c r="N1165" s="10">
        <f>IFERROR(__xludf.DUMMYFUNCTION("""COMPUTED_VALUE"""),45133.0)</f>
        <v>45133</v>
      </c>
      <c r="O1165" s="5">
        <v>2023.0</v>
      </c>
      <c r="P1165" s="5" t="str">
        <f>IFERROR(__xludf.DUMMYFUNCTION("""COMPUTED_VALUE"""),"Available")</f>
        <v>Available</v>
      </c>
      <c r="Q1165" s="5" t="s">
        <v>135</v>
      </c>
      <c r="R1165" s="5" t="s">
        <v>136</v>
      </c>
      <c r="S1165" s="11">
        <v>1188.0</v>
      </c>
    </row>
    <row r="1166">
      <c r="A1166" s="5" t="str">
        <f>IFERROR(__xludf.DUMMYFUNCTION("""COMPUTED_VALUE"""),"Methylphenidate Hydrochloride Tablet, Extended Release")</f>
        <v>Methylphenidate Hydrochloride Tablet, Extended Release</v>
      </c>
      <c r="B1166" s="5" t="str">
        <f>IFERROR(__xludf.DUMMYFUNCTION("""COMPUTED_VALUE"""),"Trigen Laboratories, LLC")</f>
        <v>Trigen Laboratories, LLC</v>
      </c>
      <c r="C1166" s="5" t="str">
        <f>IFERROR(__xludf.DUMMYFUNCTION("""COMPUTED_VALUE"""),"Methylphenidate Hydrochloride, Tablet, Extended Release, 18 mg (NDC 13811-706-10)")</f>
        <v>Methylphenidate Hydrochloride, Tablet, Extended Release, 18 mg (NDC 13811-706-10)</v>
      </c>
      <c r="D1166" s="5" t="str">
        <f>IFERROR(__xludf.DUMMYFUNCTION("""COMPUTED_VALUE"""),"Reverified")</f>
        <v>Reverified</v>
      </c>
      <c r="E1166" s="13">
        <f>IFERROR(__xludf.DUMMYFUNCTION("""COMPUTED_VALUE"""),46311.0)</f>
        <v>46311</v>
      </c>
      <c r="F1166" s="5" t="str">
        <f>IFERROR(__xludf.DUMMYFUNCTION("""COMPUTED_VALUE"""),"Limited Availability")</f>
        <v>Limited Availability</v>
      </c>
      <c r="G1166" s="5" t="str">
        <f>IFERROR(__xludf.DUMMYFUNCTION("""COMPUTED_VALUE"""),"Allocation to current contracted customers")</f>
        <v>Allocation to current contracted customers</v>
      </c>
      <c r="H1166" s="5"/>
      <c r="I1166" s="5" t="str">
        <f>IFERROR(__xludf.DUMMYFUNCTION("""COMPUTED_VALUE"""),"Demand increase for the drug")</f>
        <v>Demand increase for the drug</v>
      </c>
      <c r="J1166" s="5" t="str">
        <f>IFERROR(__xludf.DUMMYFUNCTION("""COMPUTED_VALUE"""),"Psychiatry")</f>
        <v>Psychiatry</v>
      </c>
      <c r="K1166" s="5" t="str">
        <f>IFERROR(__xludf.DUMMYFUNCTION("""COMPUTED_VALUE"""),"Current")</f>
        <v>Current</v>
      </c>
      <c r="L1166" s="5"/>
      <c r="M1166" s="5"/>
      <c r="N1166" s="10">
        <f>IFERROR(__xludf.DUMMYFUNCTION("""COMPUTED_VALUE"""),45133.0)</f>
        <v>45133</v>
      </c>
      <c r="O1166" s="5">
        <v>2023.0</v>
      </c>
      <c r="P1166" s="5" t="str">
        <f>IFERROR(__xludf.DUMMYFUNCTION("""COMPUTED_VALUE"""),"Limited Availability")</f>
        <v>Limited Availability</v>
      </c>
      <c r="Q1166" s="5" t="s">
        <v>134</v>
      </c>
      <c r="R1166" s="5" t="s">
        <v>136</v>
      </c>
      <c r="S1166" s="11">
        <v>1188.0</v>
      </c>
    </row>
    <row r="1167">
      <c r="A1167" s="5" t="str">
        <f>IFERROR(__xludf.DUMMYFUNCTION("""COMPUTED_VALUE"""),"Methylphenidate Hydrochloride Tablet, Extended Release")</f>
        <v>Methylphenidate Hydrochloride Tablet, Extended Release</v>
      </c>
      <c r="B1167" s="5" t="str">
        <f>IFERROR(__xludf.DUMMYFUNCTION("""COMPUTED_VALUE"""),"Trigen Laboratories, LLC")</f>
        <v>Trigen Laboratories, LLC</v>
      </c>
      <c r="C1167" s="5" t="str">
        <f>IFERROR(__xludf.DUMMYFUNCTION("""COMPUTED_VALUE"""),"Methylphenidate Hydrochloride, Tablet, Extended Release, 27 mg (NDC 13811-707-10)")</f>
        <v>Methylphenidate Hydrochloride, Tablet, Extended Release, 27 mg (NDC 13811-707-10)</v>
      </c>
      <c r="D1167" s="5" t="str">
        <f>IFERROR(__xludf.DUMMYFUNCTION("""COMPUTED_VALUE"""),"Reverified")</f>
        <v>Reverified</v>
      </c>
      <c r="E1167" s="13">
        <f>IFERROR(__xludf.DUMMYFUNCTION("""COMPUTED_VALUE"""),46311.0)</f>
        <v>46311</v>
      </c>
      <c r="F1167" s="5" t="str">
        <f>IFERROR(__xludf.DUMMYFUNCTION("""COMPUTED_VALUE"""),"Limited Availability")</f>
        <v>Limited Availability</v>
      </c>
      <c r="G1167" s="5" t="str">
        <f>IFERROR(__xludf.DUMMYFUNCTION("""COMPUTED_VALUE"""),"Allocation to current contracted customers")</f>
        <v>Allocation to current contracted customers</v>
      </c>
      <c r="H1167" s="5"/>
      <c r="I1167" s="5" t="str">
        <f>IFERROR(__xludf.DUMMYFUNCTION("""COMPUTED_VALUE"""),"Demand increase for the drug")</f>
        <v>Demand increase for the drug</v>
      </c>
      <c r="J1167" s="5" t="str">
        <f>IFERROR(__xludf.DUMMYFUNCTION("""COMPUTED_VALUE"""),"Psychiatry")</f>
        <v>Psychiatry</v>
      </c>
      <c r="K1167" s="5" t="str">
        <f>IFERROR(__xludf.DUMMYFUNCTION("""COMPUTED_VALUE"""),"Current")</f>
        <v>Current</v>
      </c>
      <c r="L1167" s="5"/>
      <c r="M1167" s="5"/>
      <c r="N1167" s="10">
        <f>IFERROR(__xludf.DUMMYFUNCTION("""COMPUTED_VALUE"""),45133.0)</f>
        <v>45133</v>
      </c>
      <c r="O1167" s="5">
        <v>2023.0</v>
      </c>
      <c r="P1167" s="5" t="str">
        <f>IFERROR(__xludf.DUMMYFUNCTION("""COMPUTED_VALUE"""),"Limited Availability")</f>
        <v>Limited Availability</v>
      </c>
      <c r="Q1167" s="5" t="s">
        <v>134</v>
      </c>
      <c r="R1167" s="5" t="s">
        <v>136</v>
      </c>
      <c r="S1167" s="11">
        <v>1188.0</v>
      </c>
    </row>
    <row r="1168">
      <c r="A1168" s="5" t="str">
        <f>IFERROR(__xludf.DUMMYFUNCTION("""COMPUTED_VALUE"""),"Methylphenidate Hydrochloride Tablet, Extended Release")</f>
        <v>Methylphenidate Hydrochloride Tablet, Extended Release</v>
      </c>
      <c r="B1168" s="5" t="str">
        <f>IFERROR(__xludf.DUMMYFUNCTION("""COMPUTED_VALUE"""),"Trigen Laboratories, LLC")</f>
        <v>Trigen Laboratories, LLC</v>
      </c>
      <c r="C1168" s="5" t="str">
        <f>IFERROR(__xludf.DUMMYFUNCTION("""COMPUTED_VALUE"""),"Methylphenidate Hydrochloride, Tablet, Extended Release, 36 mg (NDC 13811-708-10)")</f>
        <v>Methylphenidate Hydrochloride, Tablet, Extended Release, 36 mg (NDC 13811-708-10)</v>
      </c>
      <c r="D1168" s="5" t="str">
        <f>IFERROR(__xludf.DUMMYFUNCTION("""COMPUTED_VALUE"""),"Reverified")</f>
        <v>Reverified</v>
      </c>
      <c r="E1168" s="13">
        <f>IFERROR(__xludf.DUMMYFUNCTION("""COMPUTED_VALUE"""),46311.0)</f>
        <v>46311</v>
      </c>
      <c r="F1168" s="5" t="str">
        <f>IFERROR(__xludf.DUMMYFUNCTION("""COMPUTED_VALUE"""),"Limited Availability")</f>
        <v>Limited Availability</v>
      </c>
      <c r="G1168" s="5" t="str">
        <f>IFERROR(__xludf.DUMMYFUNCTION("""COMPUTED_VALUE"""),"Allocation to current contracted customers")</f>
        <v>Allocation to current contracted customers</v>
      </c>
      <c r="H1168" s="5"/>
      <c r="I1168" s="5" t="str">
        <f>IFERROR(__xludf.DUMMYFUNCTION("""COMPUTED_VALUE"""),"Demand increase for the drug")</f>
        <v>Demand increase for the drug</v>
      </c>
      <c r="J1168" s="5" t="str">
        <f>IFERROR(__xludf.DUMMYFUNCTION("""COMPUTED_VALUE"""),"Psychiatry")</f>
        <v>Psychiatry</v>
      </c>
      <c r="K1168" s="5" t="str">
        <f>IFERROR(__xludf.DUMMYFUNCTION("""COMPUTED_VALUE"""),"Current")</f>
        <v>Current</v>
      </c>
      <c r="L1168" s="5"/>
      <c r="M1168" s="5"/>
      <c r="N1168" s="10">
        <f>IFERROR(__xludf.DUMMYFUNCTION("""COMPUTED_VALUE"""),45133.0)</f>
        <v>45133</v>
      </c>
      <c r="O1168" s="5">
        <v>2023.0</v>
      </c>
      <c r="P1168" s="5" t="str">
        <f>IFERROR(__xludf.DUMMYFUNCTION("""COMPUTED_VALUE"""),"Limited Availability")</f>
        <v>Limited Availability</v>
      </c>
      <c r="Q1168" s="5" t="s">
        <v>134</v>
      </c>
      <c r="R1168" s="5" t="s">
        <v>136</v>
      </c>
      <c r="S1168" s="11">
        <v>1188.0</v>
      </c>
    </row>
    <row r="1169">
      <c r="A1169" s="5" t="str">
        <f>IFERROR(__xludf.DUMMYFUNCTION("""COMPUTED_VALUE"""),"Methylphenidate Hydrochloride Tablet, Extended Release")</f>
        <v>Methylphenidate Hydrochloride Tablet, Extended Release</v>
      </c>
      <c r="B1169" s="5" t="str">
        <f>IFERROR(__xludf.DUMMYFUNCTION("""COMPUTED_VALUE"""),"Trigen Laboratories, LLC")</f>
        <v>Trigen Laboratories, LLC</v>
      </c>
      <c r="C1169" s="5" t="str">
        <f>IFERROR(__xludf.DUMMYFUNCTION("""COMPUTED_VALUE"""),"Methylphenidate Hydrochloride, Tablet, Extended Release, 45 mg (NDC 13811-711-30)")</f>
        <v>Methylphenidate Hydrochloride, Tablet, Extended Release, 45 mg (NDC 13811-711-30)</v>
      </c>
      <c r="D1169" s="5" t="str">
        <f>IFERROR(__xludf.DUMMYFUNCTION("""COMPUTED_VALUE"""),"Reverified")</f>
        <v>Reverified</v>
      </c>
      <c r="E1169" s="13">
        <f>IFERROR(__xludf.DUMMYFUNCTION("""COMPUTED_VALUE"""),46311.0)</f>
        <v>46311</v>
      </c>
      <c r="F1169" s="5" t="str">
        <f>IFERROR(__xludf.DUMMYFUNCTION("""COMPUTED_VALUE"""),"Limited Availability")</f>
        <v>Limited Availability</v>
      </c>
      <c r="G1169" s="5" t="str">
        <f>IFERROR(__xludf.DUMMYFUNCTION("""COMPUTED_VALUE"""),"Allocation to current contracted customers")</f>
        <v>Allocation to current contracted customers</v>
      </c>
      <c r="H1169" s="5"/>
      <c r="I1169" s="5" t="str">
        <f>IFERROR(__xludf.DUMMYFUNCTION("""COMPUTED_VALUE"""),"Demand increase for the drug")</f>
        <v>Demand increase for the drug</v>
      </c>
      <c r="J1169" s="5" t="str">
        <f>IFERROR(__xludf.DUMMYFUNCTION("""COMPUTED_VALUE"""),"Psychiatry")</f>
        <v>Psychiatry</v>
      </c>
      <c r="K1169" s="5" t="str">
        <f>IFERROR(__xludf.DUMMYFUNCTION("""COMPUTED_VALUE"""),"Current")</f>
        <v>Current</v>
      </c>
      <c r="L1169" s="5"/>
      <c r="M1169" s="5"/>
      <c r="N1169" s="10">
        <f>IFERROR(__xludf.DUMMYFUNCTION("""COMPUTED_VALUE"""),45133.0)</f>
        <v>45133</v>
      </c>
      <c r="O1169" s="5">
        <v>2023.0</v>
      </c>
      <c r="P1169" s="5" t="str">
        <f>IFERROR(__xludf.DUMMYFUNCTION("""COMPUTED_VALUE"""),"Limited Availability")</f>
        <v>Limited Availability</v>
      </c>
      <c r="Q1169" s="5" t="s">
        <v>134</v>
      </c>
      <c r="R1169" s="5" t="s">
        <v>136</v>
      </c>
      <c r="S1169" s="11">
        <v>1188.0</v>
      </c>
    </row>
    <row r="1170">
      <c r="A1170" s="5" t="str">
        <f>IFERROR(__xludf.DUMMYFUNCTION("""COMPUTED_VALUE"""),"Methylphenidate Hydrochloride Tablet, Extended Release")</f>
        <v>Methylphenidate Hydrochloride Tablet, Extended Release</v>
      </c>
      <c r="B1170" s="5" t="str">
        <f>IFERROR(__xludf.DUMMYFUNCTION("""COMPUTED_VALUE"""),"Trigen Laboratories, LLC")</f>
        <v>Trigen Laboratories, LLC</v>
      </c>
      <c r="C1170" s="5" t="str">
        <f>IFERROR(__xludf.DUMMYFUNCTION("""COMPUTED_VALUE"""),"Methylphenidate Hydrochloride, Tablet, Extended Release, 54 mg (NDC 13811-709-10)")</f>
        <v>Methylphenidate Hydrochloride, Tablet, Extended Release, 54 mg (NDC 13811-709-10)</v>
      </c>
      <c r="D1170" s="5" t="str">
        <f>IFERROR(__xludf.DUMMYFUNCTION("""COMPUTED_VALUE"""),"Reverified")</f>
        <v>Reverified</v>
      </c>
      <c r="E1170" s="13">
        <f>IFERROR(__xludf.DUMMYFUNCTION("""COMPUTED_VALUE"""),46311.0)</f>
        <v>46311</v>
      </c>
      <c r="F1170" s="5" t="str">
        <f>IFERROR(__xludf.DUMMYFUNCTION("""COMPUTED_VALUE"""),"Limited Availability")</f>
        <v>Limited Availability</v>
      </c>
      <c r="G1170" s="5" t="str">
        <f>IFERROR(__xludf.DUMMYFUNCTION("""COMPUTED_VALUE"""),"Allocation to current contracted customers")</f>
        <v>Allocation to current contracted customers</v>
      </c>
      <c r="H1170" s="5"/>
      <c r="I1170" s="5" t="str">
        <f>IFERROR(__xludf.DUMMYFUNCTION("""COMPUTED_VALUE"""),"Demand increase for the drug")</f>
        <v>Demand increase for the drug</v>
      </c>
      <c r="J1170" s="5" t="str">
        <f>IFERROR(__xludf.DUMMYFUNCTION("""COMPUTED_VALUE"""),"Psychiatry")</f>
        <v>Psychiatry</v>
      </c>
      <c r="K1170" s="5" t="str">
        <f>IFERROR(__xludf.DUMMYFUNCTION("""COMPUTED_VALUE"""),"Current")</f>
        <v>Current</v>
      </c>
      <c r="L1170" s="5"/>
      <c r="M1170" s="5"/>
      <c r="N1170" s="10">
        <f>IFERROR(__xludf.DUMMYFUNCTION("""COMPUTED_VALUE"""),45133.0)</f>
        <v>45133</v>
      </c>
      <c r="O1170" s="5">
        <v>2023.0</v>
      </c>
      <c r="P1170" s="5" t="str">
        <f>IFERROR(__xludf.DUMMYFUNCTION("""COMPUTED_VALUE"""),"Limited Availability")</f>
        <v>Limited Availability</v>
      </c>
      <c r="Q1170" s="5" t="s">
        <v>134</v>
      </c>
      <c r="R1170" s="5" t="s">
        <v>136</v>
      </c>
      <c r="S1170" s="11">
        <v>1188.0</v>
      </c>
    </row>
    <row r="1171">
      <c r="A1171" s="5" t="str">
        <f>IFERROR(__xludf.DUMMYFUNCTION("""COMPUTED_VALUE"""),"Methylphenidate Hydrochloride Tablet, Extended Release")</f>
        <v>Methylphenidate Hydrochloride Tablet, Extended Release</v>
      </c>
      <c r="B1171" s="5" t="str">
        <f>IFERROR(__xludf.DUMMYFUNCTION("""COMPUTED_VALUE"""),"Trigen Laboratories, LLC")</f>
        <v>Trigen Laboratories, LLC</v>
      </c>
      <c r="C1171" s="5" t="str">
        <f>IFERROR(__xludf.DUMMYFUNCTION("""COMPUTED_VALUE"""),"Methylphenidate Hydrochloride, Tablet, Extended Release, 63 mg (NDC 13811-700-30)")</f>
        <v>Methylphenidate Hydrochloride, Tablet, Extended Release, 63 mg (NDC 13811-700-30)</v>
      </c>
      <c r="D1171" s="5" t="str">
        <f>IFERROR(__xludf.DUMMYFUNCTION("""COMPUTED_VALUE"""),"Reverified")</f>
        <v>Reverified</v>
      </c>
      <c r="E1171" s="13">
        <f>IFERROR(__xludf.DUMMYFUNCTION("""COMPUTED_VALUE"""),46311.0)</f>
        <v>46311</v>
      </c>
      <c r="F1171" s="5" t="str">
        <f>IFERROR(__xludf.DUMMYFUNCTION("""COMPUTED_VALUE"""),"Limited Availability")</f>
        <v>Limited Availability</v>
      </c>
      <c r="G1171" s="5" t="str">
        <f>IFERROR(__xludf.DUMMYFUNCTION("""COMPUTED_VALUE"""),"Allocation to current contracted customers")</f>
        <v>Allocation to current contracted customers</v>
      </c>
      <c r="H1171" s="5"/>
      <c r="I1171" s="5" t="str">
        <f>IFERROR(__xludf.DUMMYFUNCTION("""COMPUTED_VALUE"""),"Demand increase for the drug")</f>
        <v>Demand increase for the drug</v>
      </c>
      <c r="J1171" s="5" t="str">
        <f>IFERROR(__xludf.DUMMYFUNCTION("""COMPUTED_VALUE"""),"Psychiatry")</f>
        <v>Psychiatry</v>
      </c>
      <c r="K1171" s="5" t="str">
        <f>IFERROR(__xludf.DUMMYFUNCTION("""COMPUTED_VALUE"""),"Current")</f>
        <v>Current</v>
      </c>
      <c r="L1171" s="5"/>
      <c r="M1171" s="5"/>
      <c r="N1171" s="10">
        <f>IFERROR(__xludf.DUMMYFUNCTION("""COMPUTED_VALUE"""),45133.0)</f>
        <v>45133</v>
      </c>
      <c r="O1171" s="5">
        <v>2023.0</v>
      </c>
      <c r="P1171" s="5" t="str">
        <f>IFERROR(__xludf.DUMMYFUNCTION("""COMPUTED_VALUE"""),"Limited Availability")</f>
        <v>Limited Availability</v>
      </c>
      <c r="Q1171" s="5" t="s">
        <v>134</v>
      </c>
      <c r="R1171" s="5" t="s">
        <v>136</v>
      </c>
      <c r="S1171" s="11">
        <v>1188.0</v>
      </c>
    </row>
    <row r="1172">
      <c r="A1172" s="5" t="str">
        <f>IFERROR(__xludf.DUMMYFUNCTION("""COMPUTED_VALUE"""),"Methylphenidate Hydrochloride Tablet, Extended Release")</f>
        <v>Methylphenidate Hydrochloride Tablet, Extended Release</v>
      </c>
      <c r="B1172" s="5" t="str">
        <f>IFERROR(__xludf.DUMMYFUNCTION("""COMPUTED_VALUE"""),"Trigen Laboratories, LLC")</f>
        <v>Trigen Laboratories, LLC</v>
      </c>
      <c r="C1172" s="5" t="str">
        <f>IFERROR(__xludf.DUMMYFUNCTION("""COMPUTED_VALUE"""),"Methylphenidate Hydrochloride, Tablet, Extended Release, 72 mg (NDC 13811-710-30)")</f>
        <v>Methylphenidate Hydrochloride, Tablet, Extended Release, 72 mg (NDC 13811-710-30)</v>
      </c>
      <c r="D1172" s="5" t="str">
        <f>IFERROR(__xludf.DUMMYFUNCTION("""COMPUTED_VALUE"""),"Reverified")</f>
        <v>Reverified</v>
      </c>
      <c r="E1172" s="13">
        <f>IFERROR(__xludf.DUMMYFUNCTION("""COMPUTED_VALUE"""),46311.0)</f>
        <v>46311</v>
      </c>
      <c r="F1172" s="5" t="str">
        <f>IFERROR(__xludf.DUMMYFUNCTION("""COMPUTED_VALUE"""),"Limited Availability")</f>
        <v>Limited Availability</v>
      </c>
      <c r="G1172" s="5" t="str">
        <f>IFERROR(__xludf.DUMMYFUNCTION("""COMPUTED_VALUE"""),"Allocation to current contracted customers")</f>
        <v>Allocation to current contracted customers</v>
      </c>
      <c r="H1172" s="5"/>
      <c r="I1172" s="5" t="str">
        <f>IFERROR(__xludf.DUMMYFUNCTION("""COMPUTED_VALUE"""),"Demand increase for the drug")</f>
        <v>Demand increase for the drug</v>
      </c>
      <c r="J1172" s="5" t="str">
        <f>IFERROR(__xludf.DUMMYFUNCTION("""COMPUTED_VALUE"""),"Psychiatry")</f>
        <v>Psychiatry</v>
      </c>
      <c r="K1172" s="5" t="str">
        <f>IFERROR(__xludf.DUMMYFUNCTION("""COMPUTED_VALUE"""),"Current")</f>
        <v>Current</v>
      </c>
      <c r="L1172" s="5"/>
      <c r="M1172" s="5"/>
      <c r="N1172" s="10">
        <f>IFERROR(__xludf.DUMMYFUNCTION("""COMPUTED_VALUE"""),45133.0)</f>
        <v>45133</v>
      </c>
      <c r="O1172" s="5">
        <v>2023.0</v>
      </c>
      <c r="P1172" s="5" t="str">
        <f>IFERROR(__xludf.DUMMYFUNCTION("""COMPUTED_VALUE"""),"Limited Availability")</f>
        <v>Limited Availability</v>
      </c>
      <c r="Q1172" s="5" t="s">
        <v>134</v>
      </c>
      <c r="R1172" s="5" t="s">
        <v>136</v>
      </c>
      <c r="S1172" s="11">
        <v>1188.0</v>
      </c>
    </row>
    <row r="1173">
      <c r="A1173" s="5" t="str">
        <f>IFERROR(__xludf.DUMMYFUNCTION("""COMPUTED_VALUE"""),"Methylphenidate Hydrochloride Tablet, Extended Release")</f>
        <v>Methylphenidate Hydrochloride Tablet, Extended Release</v>
      </c>
      <c r="B1173" s="5" t="str">
        <f>IFERROR(__xludf.DUMMYFUNCTION("""COMPUTED_VALUE"""),"Janssen Pharmaceuticals")</f>
        <v>Janssen Pharmaceuticals</v>
      </c>
      <c r="C1173" s="5" t="str">
        <f>IFERROR(__xludf.DUMMYFUNCTION("""COMPUTED_VALUE"""),"Concerta, Tablet, Extended Release, 18 mg (NDC 50458-585-01)")</f>
        <v>Concerta, Tablet, Extended Release, 18 mg (NDC 50458-585-01)</v>
      </c>
      <c r="D1173" s="5" t="str">
        <f>IFERROR(__xludf.DUMMYFUNCTION("""COMPUTED_VALUE"""),"Reverified")</f>
        <v>Reverified</v>
      </c>
      <c r="E1173" s="13">
        <f>IFERROR(__xludf.DUMMYFUNCTION("""COMPUTED_VALUE"""),46315.0)</f>
        <v>46315</v>
      </c>
      <c r="F1173" s="5" t="str">
        <f>IFERROR(__xludf.DUMMYFUNCTION("""COMPUTED_VALUE"""),"Available")</f>
        <v>Available</v>
      </c>
      <c r="G1173" s="5"/>
      <c r="H1173" s="5"/>
      <c r="I1173" s="5"/>
      <c r="J1173" s="5" t="str">
        <f>IFERROR(__xludf.DUMMYFUNCTION("""COMPUTED_VALUE"""),"Psychiatry")</f>
        <v>Psychiatry</v>
      </c>
      <c r="K1173" s="5" t="str">
        <f>IFERROR(__xludf.DUMMYFUNCTION("""COMPUTED_VALUE"""),"Current")</f>
        <v>Current</v>
      </c>
      <c r="L1173" s="5"/>
      <c r="M1173" s="5"/>
      <c r="N1173" s="10">
        <f>IFERROR(__xludf.DUMMYFUNCTION("""COMPUTED_VALUE"""),45133.0)</f>
        <v>45133</v>
      </c>
      <c r="O1173" s="5">
        <v>2023.0</v>
      </c>
      <c r="P1173" s="5" t="str">
        <f>IFERROR(__xludf.DUMMYFUNCTION("""COMPUTED_VALUE"""),"Available")</f>
        <v>Available</v>
      </c>
      <c r="Q1173" s="5" t="s">
        <v>135</v>
      </c>
      <c r="R1173" s="5" t="s">
        <v>136</v>
      </c>
      <c r="S1173" s="11">
        <v>1188.0</v>
      </c>
    </row>
    <row r="1174">
      <c r="A1174" s="5" t="str">
        <f>IFERROR(__xludf.DUMMYFUNCTION("""COMPUTED_VALUE"""),"Methylphenidate Hydrochloride Tablet, Extended Release")</f>
        <v>Methylphenidate Hydrochloride Tablet, Extended Release</v>
      </c>
      <c r="B1174" s="5" t="str">
        <f>IFERROR(__xludf.DUMMYFUNCTION("""COMPUTED_VALUE"""),"Janssen Pharmaceuticals")</f>
        <v>Janssen Pharmaceuticals</v>
      </c>
      <c r="C1174" s="5" t="str">
        <f>IFERROR(__xludf.DUMMYFUNCTION("""COMPUTED_VALUE"""),"Concerta, Tablet, Extended Release, 27 mg (NDC 50458-588-01)")</f>
        <v>Concerta, Tablet, Extended Release, 27 mg (NDC 50458-588-01)</v>
      </c>
      <c r="D1174" s="5" t="str">
        <f>IFERROR(__xludf.DUMMYFUNCTION("""COMPUTED_VALUE"""),"Reverified")</f>
        <v>Reverified</v>
      </c>
      <c r="E1174" s="13">
        <f>IFERROR(__xludf.DUMMYFUNCTION("""COMPUTED_VALUE"""),46315.0)</f>
        <v>46315</v>
      </c>
      <c r="F1174" s="5" t="str">
        <f>IFERROR(__xludf.DUMMYFUNCTION("""COMPUTED_VALUE"""),"Available")</f>
        <v>Available</v>
      </c>
      <c r="G1174" s="5"/>
      <c r="H1174" s="5"/>
      <c r="I1174" s="5"/>
      <c r="J1174" s="5" t="str">
        <f>IFERROR(__xludf.DUMMYFUNCTION("""COMPUTED_VALUE"""),"Psychiatry")</f>
        <v>Psychiatry</v>
      </c>
      <c r="K1174" s="5" t="str">
        <f>IFERROR(__xludf.DUMMYFUNCTION("""COMPUTED_VALUE"""),"Current")</f>
        <v>Current</v>
      </c>
      <c r="L1174" s="5"/>
      <c r="M1174" s="5"/>
      <c r="N1174" s="10">
        <f>IFERROR(__xludf.DUMMYFUNCTION("""COMPUTED_VALUE"""),45133.0)</f>
        <v>45133</v>
      </c>
      <c r="O1174" s="5">
        <v>2023.0</v>
      </c>
      <c r="P1174" s="5" t="str">
        <f>IFERROR(__xludf.DUMMYFUNCTION("""COMPUTED_VALUE"""),"Available")</f>
        <v>Available</v>
      </c>
      <c r="Q1174" s="5" t="s">
        <v>135</v>
      </c>
      <c r="R1174" s="5" t="s">
        <v>136</v>
      </c>
      <c r="S1174" s="11">
        <v>1188.0</v>
      </c>
    </row>
    <row r="1175">
      <c r="A1175" s="5" t="str">
        <f>IFERROR(__xludf.DUMMYFUNCTION("""COMPUTED_VALUE"""),"Methylphenidate Hydrochloride Tablet, Extended Release")</f>
        <v>Methylphenidate Hydrochloride Tablet, Extended Release</v>
      </c>
      <c r="B1175" s="5" t="str">
        <f>IFERROR(__xludf.DUMMYFUNCTION("""COMPUTED_VALUE"""),"Janssen Pharmaceuticals")</f>
        <v>Janssen Pharmaceuticals</v>
      </c>
      <c r="C1175" s="5" t="str">
        <f>IFERROR(__xludf.DUMMYFUNCTION("""COMPUTED_VALUE"""),"Concerta, Tablet, Extended Release, 36 mg (NDC 50458-586-01)")</f>
        <v>Concerta, Tablet, Extended Release, 36 mg (NDC 50458-586-01)</v>
      </c>
      <c r="D1175" s="5" t="str">
        <f>IFERROR(__xludf.DUMMYFUNCTION("""COMPUTED_VALUE"""),"Reverified")</f>
        <v>Reverified</v>
      </c>
      <c r="E1175" s="13">
        <f>IFERROR(__xludf.DUMMYFUNCTION("""COMPUTED_VALUE"""),46315.0)</f>
        <v>46315</v>
      </c>
      <c r="F1175" s="5" t="str">
        <f>IFERROR(__xludf.DUMMYFUNCTION("""COMPUTED_VALUE"""),"Available")</f>
        <v>Available</v>
      </c>
      <c r="G1175" s="5"/>
      <c r="H1175" s="5"/>
      <c r="I1175" s="5"/>
      <c r="J1175" s="5" t="str">
        <f>IFERROR(__xludf.DUMMYFUNCTION("""COMPUTED_VALUE"""),"Psychiatry")</f>
        <v>Psychiatry</v>
      </c>
      <c r="K1175" s="5" t="str">
        <f>IFERROR(__xludf.DUMMYFUNCTION("""COMPUTED_VALUE"""),"Current")</f>
        <v>Current</v>
      </c>
      <c r="L1175" s="5"/>
      <c r="M1175" s="5"/>
      <c r="N1175" s="10">
        <f>IFERROR(__xludf.DUMMYFUNCTION("""COMPUTED_VALUE"""),45133.0)</f>
        <v>45133</v>
      </c>
      <c r="O1175" s="5">
        <v>2023.0</v>
      </c>
      <c r="P1175" s="5" t="str">
        <f>IFERROR(__xludf.DUMMYFUNCTION("""COMPUTED_VALUE"""),"Available")</f>
        <v>Available</v>
      </c>
      <c r="Q1175" s="5" t="s">
        <v>135</v>
      </c>
      <c r="R1175" s="5" t="s">
        <v>136</v>
      </c>
      <c r="S1175" s="11">
        <v>1188.0</v>
      </c>
    </row>
    <row r="1176">
      <c r="A1176" s="5" t="str">
        <f>IFERROR(__xludf.DUMMYFUNCTION("""COMPUTED_VALUE"""),"Methylphenidate Hydrochloride Tablet, Extended Release")</f>
        <v>Methylphenidate Hydrochloride Tablet, Extended Release</v>
      </c>
      <c r="B1176" s="5" t="str">
        <f>IFERROR(__xludf.DUMMYFUNCTION("""COMPUTED_VALUE"""),"Janssen Pharmaceuticals")</f>
        <v>Janssen Pharmaceuticals</v>
      </c>
      <c r="C1176" s="5" t="str">
        <f>IFERROR(__xludf.DUMMYFUNCTION("""COMPUTED_VALUE"""),"Concerta, Tablet, Extended Release, 54 mg (NDC 50458-587-01)")</f>
        <v>Concerta, Tablet, Extended Release, 54 mg (NDC 50458-587-01)</v>
      </c>
      <c r="D1176" s="5" t="str">
        <f>IFERROR(__xludf.DUMMYFUNCTION("""COMPUTED_VALUE"""),"Reverified")</f>
        <v>Reverified</v>
      </c>
      <c r="E1176" s="13">
        <f>IFERROR(__xludf.DUMMYFUNCTION("""COMPUTED_VALUE"""),46315.0)</f>
        <v>46315</v>
      </c>
      <c r="F1176" s="5" t="str">
        <f>IFERROR(__xludf.DUMMYFUNCTION("""COMPUTED_VALUE"""),"Available")</f>
        <v>Available</v>
      </c>
      <c r="G1176" s="5"/>
      <c r="H1176" s="5"/>
      <c r="I1176" s="5"/>
      <c r="J1176" s="5" t="str">
        <f>IFERROR(__xludf.DUMMYFUNCTION("""COMPUTED_VALUE"""),"Psychiatry")</f>
        <v>Psychiatry</v>
      </c>
      <c r="K1176" s="5" t="str">
        <f>IFERROR(__xludf.DUMMYFUNCTION("""COMPUTED_VALUE"""),"Current")</f>
        <v>Current</v>
      </c>
      <c r="L1176" s="5"/>
      <c r="M1176" s="5"/>
      <c r="N1176" s="10">
        <f>IFERROR(__xludf.DUMMYFUNCTION("""COMPUTED_VALUE"""),45133.0)</f>
        <v>45133</v>
      </c>
      <c r="O1176" s="5">
        <v>2023.0</v>
      </c>
      <c r="P1176" s="5" t="str">
        <f>IFERROR(__xludf.DUMMYFUNCTION("""COMPUTED_VALUE"""),"Available")</f>
        <v>Available</v>
      </c>
      <c r="Q1176" s="5" t="s">
        <v>135</v>
      </c>
      <c r="R1176" s="5" t="s">
        <v>136</v>
      </c>
      <c r="S1176" s="11">
        <v>1188.0</v>
      </c>
    </row>
    <row r="1177">
      <c r="A1177" s="5" t="str">
        <f>IFERROR(__xludf.DUMMYFUNCTION("""COMPUTED_VALUE"""),"Methylphenidate Hydrochloride Tablet, Extended Release")</f>
        <v>Methylphenidate Hydrochloride Tablet, Extended Release</v>
      </c>
      <c r="B1177" s="5" t="str">
        <f>IFERROR(__xludf.DUMMYFUNCTION("""COMPUTED_VALUE"""),"Sun Pharmaceutical Industries, Inc.")</f>
        <v>Sun Pharmaceutical Industries, Inc.</v>
      </c>
      <c r="C1177" s="5" t="str">
        <f>IFERROR(__xludf.DUMMYFUNCTION("""COMPUTED_VALUE"""),"Methylphenidate Hydrochloride, Tablet, Extended Release, 18 mg (NDC 57664-606-88)")</f>
        <v>Methylphenidate Hydrochloride, Tablet, Extended Release, 18 mg (NDC 57664-606-88)</v>
      </c>
      <c r="D1177" s="5" t="str">
        <f>IFERROR(__xludf.DUMMYFUNCTION("""COMPUTED_VALUE"""),"Reverified")</f>
        <v>Reverified</v>
      </c>
      <c r="E1177" s="13">
        <f>IFERROR(__xludf.DUMMYFUNCTION("""COMPUTED_VALUE"""),46314.0)</f>
        <v>46314</v>
      </c>
      <c r="F1177" s="5" t="str">
        <f>IFERROR(__xludf.DUMMYFUNCTION("""COMPUTED_VALUE"""),"Unavailable")</f>
        <v>Unavailable</v>
      </c>
      <c r="G1177" s="5" t="str">
        <f>IFERROR(__xludf.DUMMYFUNCTION("""COMPUTED_VALUE"""),"Currently not marketed")</f>
        <v>Currently not marketed</v>
      </c>
      <c r="H1177" s="5"/>
      <c r="I1177" s="5" t="str">
        <f>IFERROR(__xludf.DUMMYFUNCTION("""COMPUTED_VALUE"""),"Discontinuation of the manufacture of the drug")</f>
        <v>Discontinuation of the manufacture of the drug</v>
      </c>
      <c r="J1177" s="5" t="str">
        <f>IFERROR(__xludf.DUMMYFUNCTION("""COMPUTED_VALUE"""),"Psychiatry")</f>
        <v>Psychiatry</v>
      </c>
      <c r="K1177" s="5" t="str">
        <f>IFERROR(__xludf.DUMMYFUNCTION("""COMPUTED_VALUE"""),"Current")</f>
        <v>Current</v>
      </c>
      <c r="L1177" s="5"/>
      <c r="M1177" s="5"/>
      <c r="N1177" s="10">
        <f>IFERROR(__xludf.DUMMYFUNCTION("""COMPUTED_VALUE"""),45133.0)</f>
        <v>45133</v>
      </c>
      <c r="O1177" s="5">
        <v>2023.0</v>
      </c>
      <c r="P1177" s="5" t="str">
        <f>IFERROR(__xludf.DUMMYFUNCTION("""COMPUTED_VALUE"""),"Unavailable")</f>
        <v>Unavailable</v>
      </c>
      <c r="Q1177" s="5" t="s">
        <v>33</v>
      </c>
      <c r="R1177" s="5" t="s">
        <v>136</v>
      </c>
      <c r="S1177" s="11">
        <v>1188.0</v>
      </c>
    </row>
    <row r="1178">
      <c r="A1178" s="5" t="str">
        <f>IFERROR(__xludf.DUMMYFUNCTION("""COMPUTED_VALUE"""),"Methylphenidate Hydrochloride Tablet, Extended Release")</f>
        <v>Methylphenidate Hydrochloride Tablet, Extended Release</v>
      </c>
      <c r="B1178" s="5" t="str">
        <f>IFERROR(__xludf.DUMMYFUNCTION("""COMPUTED_VALUE"""),"Sun Pharmaceutical Industries, Inc.")</f>
        <v>Sun Pharmaceutical Industries, Inc.</v>
      </c>
      <c r="C1178" s="5" t="str">
        <f>IFERROR(__xludf.DUMMYFUNCTION("""COMPUTED_VALUE"""),"Methylphenidate Hydrochloride, Tablet, Extended Release, 27 mg (NDC 57664-607-88)")</f>
        <v>Methylphenidate Hydrochloride, Tablet, Extended Release, 27 mg (NDC 57664-607-88)</v>
      </c>
      <c r="D1178" s="5" t="str">
        <f>IFERROR(__xludf.DUMMYFUNCTION("""COMPUTED_VALUE"""),"Reverified")</f>
        <v>Reverified</v>
      </c>
      <c r="E1178" s="13">
        <f>IFERROR(__xludf.DUMMYFUNCTION("""COMPUTED_VALUE"""),46314.0)</f>
        <v>46314</v>
      </c>
      <c r="F1178" s="5" t="str">
        <f>IFERROR(__xludf.DUMMYFUNCTION("""COMPUTED_VALUE"""),"Unavailable")</f>
        <v>Unavailable</v>
      </c>
      <c r="G1178" s="5" t="str">
        <f>IFERROR(__xludf.DUMMYFUNCTION("""COMPUTED_VALUE"""),"Currently not marketed")</f>
        <v>Currently not marketed</v>
      </c>
      <c r="H1178" s="5"/>
      <c r="I1178" s="5" t="str">
        <f>IFERROR(__xludf.DUMMYFUNCTION("""COMPUTED_VALUE"""),"Discontinuation of the manufacture of the drug")</f>
        <v>Discontinuation of the manufacture of the drug</v>
      </c>
      <c r="J1178" s="5" t="str">
        <f>IFERROR(__xludf.DUMMYFUNCTION("""COMPUTED_VALUE"""),"Psychiatry")</f>
        <v>Psychiatry</v>
      </c>
      <c r="K1178" s="5" t="str">
        <f>IFERROR(__xludf.DUMMYFUNCTION("""COMPUTED_VALUE"""),"Current")</f>
        <v>Current</v>
      </c>
      <c r="L1178" s="5"/>
      <c r="M1178" s="5"/>
      <c r="N1178" s="10">
        <f>IFERROR(__xludf.DUMMYFUNCTION("""COMPUTED_VALUE"""),45133.0)</f>
        <v>45133</v>
      </c>
      <c r="O1178" s="5">
        <v>2023.0</v>
      </c>
      <c r="P1178" s="5" t="str">
        <f>IFERROR(__xludf.DUMMYFUNCTION("""COMPUTED_VALUE"""),"Unavailable")</f>
        <v>Unavailable</v>
      </c>
      <c r="Q1178" s="5" t="s">
        <v>33</v>
      </c>
      <c r="R1178" s="5" t="s">
        <v>136</v>
      </c>
      <c r="S1178" s="11">
        <v>1188.0</v>
      </c>
    </row>
    <row r="1179">
      <c r="A1179" s="5" t="str">
        <f>IFERROR(__xludf.DUMMYFUNCTION("""COMPUTED_VALUE"""),"Methylphenidate Hydrochloride Tablet, Extended Release")</f>
        <v>Methylphenidate Hydrochloride Tablet, Extended Release</v>
      </c>
      <c r="B1179" s="5" t="str">
        <f>IFERROR(__xludf.DUMMYFUNCTION("""COMPUTED_VALUE"""),"Sun Pharmaceutical Industries, Inc.")</f>
        <v>Sun Pharmaceutical Industries, Inc.</v>
      </c>
      <c r="C1179" s="5" t="str">
        <f>IFERROR(__xludf.DUMMYFUNCTION("""COMPUTED_VALUE"""),"Methylphenidate Hydrochloride, Tablet, Extended Release, 36 mg (NDC 57664-608-88)")</f>
        <v>Methylphenidate Hydrochloride, Tablet, Extended Release, 36 mg (NDC 57664-608-88)</v>
      </c>
      <c r="D1179" s="5" t="str">
        <f>IFERROR(__xludf.DUMMYFUNCTION("""COMPUTED_VALUE"""),"Reverified")</f>
        <v>Reverified</v>
      </c>
      <c r="E1179" s="13">
        <f>IFERROR(__xludf.DUMMYFUNCTION("""COMPUTED_VALUE"""),46314.0)</f>
        <v>46314</v>
      </c>
      <c r="F1179" s="5" t="str">
        <f>IFERROR(__xludf.DUMMYFUNCTION("""COMPUTED_VALUE"""),"Unavailable")</f>
        <v>Unavailable</v>
      </c>
      <c r="G1179" s="5" t="str">
        <f>IFERROR(__xludf.DUMMYFUNCTION("""COMPUTED_VALUE"""),"Currently not marketed")</f>
        <v>Currently not marketed</v>
      </c>
      <c r="H1179" s="5"/>
      <c r="I1179" s="5" t="str">
        <f>IFERROR(__xludf.DUMMYFUNCTION("""COMPUTED_VALUE"""),"Discontinuation of the manufacture of the drug")</f>
        <v>Discontinuation of the manufacture of the drug</v>
      </c>
      <c r="J1179" s="5" t="str">
        <f>IFERROR(__xludf.DUMMYFUNCTION("""COMPUTED_VALUE"""),"Psychiatry")</f>
        <v>Psychiatry</v>
      </c>
      <c r="K1179" s="5" t="str">
        <f>IFERROR(__xludf.DUMMYFUNCTION("""COMPUTED_VALUE"""),"Current")</f>
        <v>Current</v>
      </c>
      <c r="L1179" s="5"/>
      <c r="M1179" s="5"/>
      <c r="N1179" s="10">
        <f>IFERROR(__xludf.DUMMYFUNCTION("""COMPUTED_VALUE"""),45133.0)</f>
        <v>45133</v>
      </c>
      <c r="O1179" s="5">
        <v>2023.0</v>
      </c>
      <c r="P1179" s="5" t="str">
        <f>IFERROR(__xludf.DUMMYFUNCTION("""COMPUTED_VALUE"""),"Unavailable")</f>
        <v>Unavailable</v>
      </c>
      <c r="Q1179" s="5" t="s">
        <v>33</v>
      </c>
      <c r="R1179" s="5" t="s">
        <v>136</v>
      </c>
      <c r="S1179" s="11">
        <v>1188.0</v>
      </c>
    </row>
    <row r="1180">
      <c r="A1180" s="5" t="str">
        <f>IFERROR(__xludf.DUMMYFUNCTION("""COMPUTED_VALUE"""),"Methylphenidate Hydrochloride Tablet, Extended Release")</f>
        <v>Methylphenidate Hydrochloride Tablet, Extended Release</v>
      </c>
      <c r="B1180" s="5" t="str">
        <f>IFERROR(__xludf.DUMMYFUNCTION("""COMPUTED_VALUE"""),"Sun Pharmaceutical Industries, Inc.")</f>
        <v>Sun Pharmaceutical Industries, Inc.</v>
      </c>
      <c r="C1180" s="5" t="str">
        <f>IFERROR(__xludf.DUMMYFUNCTION("""COMPUTED_VALUE"""),"Methylphenidate Hydrochloride, Tablet, Extended Release, 54 mg (NDC 57664-609-88)")</f>
        <v>Methylphenidate Hydrochloride, Tablet, Extended Release, 54 mg (NDC 57664-609-88)</v>
      </c>
      <c r="D1180" s="5" t="str">
        <f>IFERROR(__xludf.DUMMYFUNCTION("""COMPUTED_VALUE"""),"Reverified")</f>
        <v>Reverified</v>
      </c>
      <c r="E1180" s="13">
        <f>IFERROR(__xludf.DUMMYFUNCTION("""COMPUTED_VALUE"""),46314.0)</f>
        <v>46314</v>
      </c>
      <c r="F1180" s="5" t="str">
        <f>IFERROR(__xludf.DUMMYFUNCTION("""COMPUTED_VALUE"""),"Unavailable")</f>
        <v>Unavailable</v>
      </c>
      <c r="G1180" s="5" t="str">
        <f>IFERROR(__xludf.DUMMYFUNCTION("""COMPUTED_VALUE"""),"Currently not marketed")</f>
        <v>Currently not marketed</v>
      </c>
      <c r="H1180" s="5"/>
      <c r="I1180" s="5" t="str">
        <f>IFERROR(__xludf.DUMMYFUNCTION("""COMPUTED_VALUE"""),"Discontinuation of the manufacture of the drug")</f>
        <v>Discontinuation of the manufacture of the drug</v>
      </c>
      <c r="J1180" s="5" t="str">
        <f>IFERROR(__xludf.DUMMYFUNCTION("""COMPUTED_VALUE"""),"Psychiatry")</f>
        <v>Psychiatry</v>
      </c>
      <c r="K1180" s="5" t="str">
        <f>IFERROR(__xludf.DUMMYFUNCTION("""COMPUTED_VALUE"""),"Current")</f>
        <v>Current</v>
      </c>
      <c r="L1180" s="5"/>
      <c r="M1180" s="5"/>
      <c r="N1180" s="10">
        <f>IFERROR(__xludf.DUMMYFUNCTION("""COMPUTED_VALUE"""),45133.0)</f>
        <v>45133</v>
      </c>
      <c r="O1180" s="5">
        <v>2023.0</v>
      </c>
      <c r="P1180" s="5" t="str">
        <f>IFERROR(__xludf.DUMMYFUNCTION("""COMPUTED_VALUE"""),"Unavailable")</f>
        <v>Unavailable</v>
      </c>
      <c r="Q1180" s="5" t="s">
        <v>33</v>
      </c>
      <c r="R1180" s="5" t="s">
        <v>136</v>
      </c>
      <c r="S1180" s="11">
        <v>1188.0</v>
      </c>
    </row>
    <row r="1181">
      <c r="A1181" s="5" t="str">
        <f>IFERROR(__xludf.DUMMYFUNCTION("""COMPUTED_VALUE"""),"Methylphenidate Hydrochloride Tablet, Extended Release")</f>
        <v>Methylphenidate Hydrochloride Tablet, Extended Release</v>
      </c>
      <c r="B1181" s="5" t="str">
        <f>IFERROR(__xludf.DUMMYFUNCTION("""COMPUTED_VALUE"""),"Vertical Pharmaceuticals, LLC")</f>
        <v>Vertical Pharmaceuticals, LLC</v>
      </c>
      <c r="C1181" s="5" t="str">
        <f>IFERROR(__xludf.DUMMYFUNCTION("""COMPUTED_VALUE"""),"Relexxii, Tablet, Extended Release, 18 mg (NDC 68025-095-30)")</f>
        <v>Relexxii, Tablet, Extended Release, 18 mg (NDC 68025-095-30)</v>
      </c>
      <c r="D1181" s="5" t="str">
        <f>IFERROR(__xludf.DUMMYFUNCTION("""COMPUTED_VALUE"""),"Reverified")</f>
        <v>Reverified</v>
      </c>
      <c r="E1181" s="13">
        <f>IFERROR(__xludf.DUMMYFUNCTION("""COMPUTED_VALUE"""),46311.0)</f>
        <v>46311</v>
      </c>
      <c r="F1181" s="5" t="str">
        <f>IFERROR(__xludf.DUMMYFUNCTION("""COMPUTED_VALUE"""),"Available")</f>
        <v>Available</v>
      </c>
      <c r="G1181" s="5"/>
      <c r="H1181" s="5"/>
      <c r="I1181" s="5"/>
      <c r="J1181" s="5" t="str">
        <f>IFERROR(__xludf.DUMMYFUNCTION("""COMPUTED_VALUE"""),"Psychiatry")</f>
        <v>Psychiatry</v>
      </c>
      <c r="K1181" s="5" t="str">
        <f>IFERROR(__xludf.DUMMYFUNCTION("""COMPUTED_VALUE"""),"Current")</f>
        <v>Current</v>
      </c>
      <c r="L1181" s="5"/>
      <c r="M1181" s="5"/>
      <c r="N1181" s="10">
        <f>IFERROR(__xludf.DUMMYFUNCTION("""COMPUTED_VALUE"""),45133.0)</f>
        <v>45133</v>
      </c>
      <c r="O1181" s="5">
        <v>2023.0</v>
      </c>
      <c r="P1181" s="5" t="str">
        <f>IFERROR(__xludf.DUMMYFUNCTION("""COMPUTED_VALUE"""),"Available")</f>
        <v>Available</v>
      </c>
      <c r="Q1181" s="5" t="s">
        <v>135</v>
      </c>
      <c r="R1181" s="5" t="s">
        <v>136</v>
      </c>
      <c r="S1181" s="11">
        <v>1188.0</v>
      </c>
    </row>
    <row r="1182">
      <c r="A1182" s="5" t="str">
        <f>IFERROR(__xludf.DUMMYFUNCTION("""COMPUTED_VALUE"""),"Methylphenidate Hydrochloride Tablet, Extended Release")</f>
        <v>Methylphenidate Hydrochloride Tablet, Extended Release</v>
      </c>
      <c r="B1182" s="5" t="str">
        <f>IFERROR(__xludf.DUMMYFUNCTION("""COMPUTED_VALUE"""),"Vertical Pharmaceuticals, LLC")</f>
        <v>Vertical Pharmaceuticals, LLC</v>
      </c>
      <c r="C1182" s="5" t="str">
        <f>IFERROR(__xludf.DUMMYFUNCTION("""COMPUTED_VALUE"""),"Relexxii, Tablet, Extended Release, 27 mg (NDC 68025-096-30)")</f>
        <v>Relexxii, Tablet, Extended Release, 27 mg (NDC 68025-096-30)</v>
      </c>
      <c r="D1182" s="5" t="str">
        <f>IFERROR(__xludf.DUMMYFUNCTION("""COMPUTED_VALUE"""),"Reverified")</f>
        <v>Reverified</v>
      </c>
      <c r="E1182" s="13">
        <f>IFERROR(__xludf.DUMMYFUNCTION("""COMPUTED_VALUE"""),46311.0)</f>
        <v>46311</v>
      </c>
      <c r="F1182" s="5" t="str">
        <f>IFERROR(__xludf.DUMMYFUNCTION("""COMPUTED_VALUE"""),"Available")</f>
        <v>Available</v>
      </c>
      <c r="G1182" s="5"/>
      <c r="H1182" s="5"/>
      <c r="I1182" s="5"/>
      <c r="J1182" s="5" t="str">
        <f>IFERROR(__xludf.DUMMYFUNCTION("""COMPUTED_VALUE"""),"Psychiatry")</f>
        <v>Psychiatry</v>
      </c>
      <c r="K1182" s="5" t="str">
        <f>IFERROR(__xludf.DUMMYFUNCTION("""COMPUTED_VALUE"""),"Current")</f>
        <v>Current</v>
      </c>
      <c r="L1182" s="5"/>
      <c r="M1182" s="5"/>
      <c r="N1182" s="10">
        <f>IFERROR(__xludf.DUMMYFUNCTION("""COMPUTED_VALUE"""),45133.0)</f>
        <v>45133</v>
      </c>
      <c r="O1182" s="5">
        <v>2023.0</v>
      </c>
      <c r="P1182" s="5" t="str">
        <f>IFERROR(__xludf.DUMMYFUNCTION("""COMPUTED_VALUE"""),"Available")</f>
        <v>Available</v>
      </c>
      <c r="Q1182" s="5" t="s">
        <v>135</v>
      </c>
      <c r="R1182" s="5" t="s">
        <v>136</v>
      </c>
      <c r="S1182" s="11">
        <v>1188.0</v>
      </c>
    </row>
    <row r="1183">
      <c r="A1183" s="5" t="str">
        <f>IFERROR(__xludf.DUMMYFUNCTION("""COMPUTED_VALUE"""),"Methylphenidate Hydrochloride Tablet, Extended Release")</f>
        <v>Methylphenidate Hydrochloride Tablet, Extended Release</v>
      </c>
      <c r="B1183" s="5" t="str">
        <f>IFERROR(__xludf.DUMMYFUNCTION("""COMPUTED_VALUE"""),"Vertical Pharmaceuticals, LLC")</f>
        <v>Vertical Pharmaceuticals, LLC</v>
      </c>
      <c r="C1183" s="5" t="str">
        <f>IFERROR(__xludf.DUMMYFUNCTION("""COMPUTED_VALUE"""),"Relexxii, Tablet, Extended Release, 36 mg (NDC 68025-097-30)")</f>
        <v>Relexxii, Tablet, Extended Release, 36 mg (NDC 68025-097-30)</v>
      </c>
      <c r="D1183" s="5" t="str">
        <f>IFERROR(__xludf.DUMMYFUNCTION("""COMPUTED_VALUE"""),"Reverified")</f>
        <v>Reverified</v>
      </c>
      <c r="E1183" s="13">
        <f>IFERROR(__xludf.DUMMYFUNCTION("""COMPUTED_VALUE"""),46311.0)</f>
        <v>46311</v>
      </c>
      <c r="F1183" s="5" t="str">
        <f>IFERROR(__xludf.DUMMYFUNCTION("""COMPUTED_VALUE"""),"Available")</f>
        <v>Available</v>
      </c>
      <c r="G1183" s="5"/>
      <c r="H1183" s="5"/>
      <c r="I1183" s="5"/>
      <c r="J1183" s="5" t="str">
        <f>IFERROR(__xludf.DUMMYFUNCTION("""COMPUTED_VALUE"""),"Psychiatry")</f>
        <v>Psychiatry</v>
      </c>
      <c r="K1183" s="5" t="str">
        <f>IFERROR(__xludf.DUMMYFUNCTION("""COMPUTED_VALUE"""),"Current")</f>
        <v>Current</v>
      </c>
      <c r="L1183" s="5"/>
      <c r="M1183" s="5"/>
      <c r="N1183" s="10">
        <f>IFERROR(__xludf.DUMMYFUNCTION("""COMPUTED_VALUE"""),45133.0)</f>
        <v>45133</v>
      </c>
      <c r="O1183" s="5">
        <v>2023.0</v>
      </c>
      <c r="P1183" s="5" t="str">
        <f>IFERROR(__xludf.DUMMYFUNCTION("""COMPUTED_VALUE"""),"Available")</f>
        <v>Available</v>
      </c>
      <c r="Q1183" s="5" t="s">
        <v>135</v>
      </c>
      <c r="R1183" s="5" t="s">
        <v>136</v>
      </c>
      <c r="S1183" s="11">
        <v>1188.0</v>
      </c>
    </row>
    <row r="1184">
      <c r="A1184" s="5" t="str">
        <f>IFERROR(__xludf.DUMMYFUNCTION("""COMPUTED_VALUE"""),"Methylphenidate Hydrochloride Tablet, Extended Release")</f>
        <v>Methylphenidate Hydrochloride Tablet, Extended Release</v>
      </c>
      <c r="B1184" s="5" t="str">
        <f>IFERROR(__xludf.DUMMYFUNCTION("""COMPUTED_VALUE"""),"Vertical Pharmaceuticals, LLC")</f>
        <v>Vertical Pharmaceuticals, LLC</v>
      </c>
      <c r="C1184" s="5" t="str">
        <f>IFERROR(__xludf.DUMMYFUNCTION("""COMPUTED_VALUE"""),"Relexxii, Tablet, Extended Release, 54 mg (NDC 68025-098-30)")</f>
        <v>Relexxii, Tablet, Extended Release, 54 mg (NDC 68025-098-30)</v>
      </c>
      <c r="D1184" s="5" t="str">
        <f>IFERROR(__xludf.DUMMYFUNCTION("""COMPUTED_VALUE"""),"Reverified")</f>
        <v>Reverified</v>
      </c>
      <c r="E1184" s="13">
        <f>IFERROR(__xludf.DUMMYFUNCTION("""COMPUTED_VALUE"""),46311.0)</f>
        <v>46311</v>
      </c>
      <c r="F1184" s="5" t="str">
        <f>IFERROR(__xludf.DUMMYFUNCTION("""COMPUTED_VALUE"""),"Available")</f>
        <v>Available</v>
      </c>
      <c r="G1184" s="5"/>
      <c r="H1184" s="5"/>
      <c r="I1184" s="5"/>
      <c r="J1184" s="5" t="str">
        <f>IFERROR(__xludf.DUMMYFUNCTION("""COMPUTED_VALUE"""),"Psychiatry")</f>
        <v>Psychiatry</v>
      </c>
      <c r="K1184" s="5" t="str">
        <f>IFERROR(__xludf.DUMMYFUNCTION("""COMPUTED_VALUE"""),"Current")</f>
        <v>Current</v>
      </c>
      <c r="L1184" s="5"/>
      <c r="M1184" s="5"/>
      <c r="N1184" s="10">
        <f>IFERROR(__xludf.DUMMYFUNCTION("""COMPUTED_VALUE"""),45133.0)</f>
        <v>45133</v>
      </c>
      <c r="O1184" s="5">
        <v>2023.0</v>
      </c>
      <c r="P1184" s="5" t="str">
        <f>IFERROR(__xludf.DUMMYFUNCTION("""COMPUTED_VALUE"""),"Available")</f>
        <v>Available</v>
      </c>
      <c r="Q1184" s="5" t="s">
        <v>135</v>
      </c>
      <c r="R1184" s="5" t="s">
        <v>136</v>
      </c>
      <c r="S1184" s="11">
        <v>1188.0</v>
      </c>
    </row>
    <row r="1185">
      <c r="A1185" s="5" t="str">
        <f>IFERROR(__xludf.DUMMYFUNCTION("""COMPUTED_VALUE"""),"Methylphenidate Hydrochloride Tablet, Extended Release")</f>
        <v>Methylphenidate Hydrochloride Tablet, Extended Release</v>
      </c>
      <c r="B1185" s="5" t="str">
        <f>IFERROR(__xludf.DUMMYFUNCTION("""COMPUTED_VALUE"""),"Vertical Pharmaceuticals, LLC")</f>
        <v>Vertical Pharmaceuticals, LLC</v>
      </c>
      <c r="C1185" s="5" t="str">
        <f>IFERROR(__xludf.DUMMYFUNCTION("""COMPUTED_VALUE"""),"Relexxii, Tablet, Extended Release, 18 mg (NDC 68025-095-10)")</f>
        <v>Relexxii, Tablet, Extended Release, 18 mg (NDC 68025-095-10)</v>
      </c>
      <c r="D1185" s="5" t="str">
        <f>IFERROR(__xludf.DUMMYFUNCTION("""COMPUTED_VALUE"""),"Reverified")</f>
        <v>Reverified</v>
      </c>
      <c r="E1185" s="13">
        <f>IFERROR(__xludf.DUMMYFUNCTION("""COMPUTED_VALUE"""),46311.0)</f>
        <v>46311</v>
      </c>
      <c r="F1185" s="5" t="str">
        <f>IFERROR(__xludf.DUMMYFUNCTION("""COMPUTED_VALUE"""),"Available")</f>
        <v>Available</v>
      </c>
      <c r="G1185" s="5"/>
      <c r="H1185" s="5"/>
      <c r="I1185" s="5"/>
      <c r="J1185" s="5" t="str">
        <f>IFERROR(__xludf.DUMMYFUNCTION("""COMPUTED_VALUE"""),"Psychiatry")</f>
        <v>Psychiatry</v>
      </c>
      <c r="K1185" s="5" t="str">
        <f>IFERROR(__xludf.DUMMYFUNCTION("""COMPUTED_VALUE"""),"Current")</f>
        <v>Current</v>
      </c>
      <c r="L1185" s="5"/>
      <c r="M1185" s="5"/>
      <c r="N1185" s="10">
        <f>IFERROR(__xludf.DUMMYFUNCTION("""COMPUTED_VALUE"""),45133.0)</f>
        <v>45133</v>
      </c>
      <c r="O1185" s="5">
        <v>2023.0</v>
      </c>
      <c r="P1185" s="5" t="str">
        <f>IFERROR(__xludf.DUMMYFUNCTION("""COMPUTED_VALUE"""),"Available")</f>
        <v>Available</v>
      </c>
      <c r="Q1185" s="5" t="s">
        <v>135</v>
      </c>
      <c r="R1185" s="5" t="s">
        <v>136</v>
      </c>
      <c r="S1185" s="11">
        <v>1188.0</v>
      </c>
    </row>
    <row r="1186">
      <c r="A1186" s="5" t="str">
        <f>IFERROR(__xludf.DUMMYFUNCTION("""COMPUTED_VALUE"""),"Methylphenidate Hydrochloride Tablet, Extended Release")</f>
        <v>Methylphenidate Hydrochloride Tablet, Extended Release</v>
      </c>
      <c r="B1186" s="5" t="str">
        <f>IFERROR(__xludf.DUMMYFUNCTION("""COMPUTED_VALUE"""),"Vertical Pharmaceuticals, LLC")</f>
        <v>Vertical Pharmaceuticals, LLC</v>
      </c>
      <c r="C1186" s="5" t="str">
        <f>IFERROR(__xludf.DUMMYFUNCTION("""COMPUTED_VALUE"""),"Relexxii, Tablet, Extended Release, 27 mg (NDC 68025-096-10)")</f>
        <v>Relexxii, Tablet, Extended Release, 27 mg (NDC 68025-096-10)</v>
      </c>
      <c r="D1186" s="5" t="str">
        <f>IFERROR(__xludf.DUMMYFUNCTION("""COMPUTED_VALUE"""),"Reverified")</f>
        <v>Reverified</v>
      </c>
      <c r="E1186" s="13">
        <f>IFERROR(__xludf.DUMMYFUNCTION("""COMPUTED_VALUE"""),46311.0)</f>
        <v>46311</v>
      </c>
      <c r="F1186" s="5" t="str">
        <f>IFERROR(__xludf.DUMMYFUNCTION("""COMPUTED_VALUE"""),"Available")</f>
        <v>Available</v>
      </c>
      <c r="G1186" s="5"/>
      <c r="H1186" s="5"/>
      <c r="I1186" s="5"/>
      <c r="J1186" s="5" t="str">
        <f>IFERROR(__xludf.DUMMYFUNCTION("""COMPUTED_VALUE"""),"Psychiatry")</f>
        <v>Psychiatry</v>
      </c>
      <c r="K1186" s="5" t="str">
        <f>IFERROR(__xludf.DUMMYFUNCTION("""COMPUTED_VALUE"""),"Current")</f>
        <v>Current</v>
      </c>
      <c r="L1186" s="5"/>
      <c r="M1186" s="5"/>
      <c r="N1186" s="10">
        <f>IFERROR(__xludf.DUMMYFUNCTION("""COMPUTED_VALUE"""),45133.0)</f>
        <v>45133</v>
      </c>
      <c r="O1186" s="5">
        <v>2023.0</v>
      </c>
      <c r="P1186" s="5" t="str">
        <f>IFERROR(__xludf.DUMMYFUNCTION("""COMPUTED_VALUE"""),"Available")</f>
        <v>Available</v>
      </c>
      <c r="Q1186" s="5" t="s">
        <v>135</v>
      </c>
      <c r="R1186" s="5" t="s">
        <v>136</v>
      </c>
      <c r="S1186" s="11">
        <v>1188.0</v>
      </c>
    </row>
    <row r="1187">
      <c r="A1187" s="5" t="str">
        <f>IFERROR(__xludf.DUMMYFUNCTION("""COMPUTED_VALUE"""),"Methylphenidate Hydrochloride Tablet, Extended Release")</f>
        <v>Methylphenidate Hydrochloride Tablet, Extended Release</v>
      </c>
      <c r="B1187" s="5" t="str">
        <f>IFERROR(__xludf.DUMMYFUNCTION("""COMPUTED_VALUE"""),"Vertical Pharmaceuticals, LLC")</f>
        <v>Vertical Pharmaceuticals, LLC</v>
      </c>
      <c r="C1187" s="5" t="str">
        <f>IFERROR(__xludf.DUMMYFUNCTION("""COMPUTED_VALUE"""),"Relexxii, Tablet, Extended Release, 36 mg (NDC 68025-097-10)")</f>
        <v>Relexxii, Tablet, Extended Release, 36 mg (NDC 68025-097-10)</v>
      </c>
      <c r="D1187" s="5" t="str">
        <f>IFERROR(__xludf.DUMMYFUNCTION("""COMPUTED_VALUE"""),"Reverified")</f>
        <v>Reverified</v>
      </c>
      <c r="E1187" s="13">
        <f>IFERROR(__xludf.DUMMYFUNCTION("""COMPUTED_VALUE"""),46311.0)</f>
        <v>46311</v>
      </c>
      <c r="F1187" s="5" t="str">
        <f>IFERROR(__xludf.DUMMYFUNCTION("""COMPUTED_VALUE"""),"Available")</f>
        <v>Available</v>
      </c>
      <c r="G1187" s="5"/>
      <c r="H1187" s="5"/>
      <c r="I1187" s="5"/>
      <c r="J1187" s="5" t="str">
        <f>IFERROR(__xludf.DUMMYFUNCTION("""COMPUTED_VALUE"""),"Psychiatry")</f>
        <v>Psychiatry</v>
      </c>
      <c r="K1187" s="5" t="str">
        <f>IFERROR(__xludf.DUMMYFUNCTION("""COMPUTED_VALUE"""),"Current")</f>
        <v>Current</v>
      </c>
      <c r="L1187" s="5"/>
      <c r="M1187" s="5"/>
      <c r="N1187" s="10">
        <f>IFERROR(__xludf.DUMMYFUNCTION("""COMPUTED_VALUE"""),45133.0)</f>
        <v>45133</v>
      </c>
      <c r="O1187" s="5">
        <v>2023.0</v>
      </c>
      <c r="P1187" s="5" t="str">
        <f>IFERROR(__xludf.DUMMYFUNCTION("""COMPUTED_VALUE"""),"Available")</f>
        <v>Available</v>
      </c>
      <c r="Q1187" s="5" t="s">
        <v>135</v>
      </c>
      <c r="R1187" s="5" t="s">
        <v>136</v>
      </c>
      <c r="S1187" s="11">
        <v>1188.0</v>
      </c>
    </row>
    <row r="1188">
      <c r="A1188" s="5" t="str">
        <f>IFERROR(__xludf.DUMMYFUNCTION("""COMPUTED_VALUE"""),"Methylphenidate Hydrochloride Tablet, Extended Release")</f>
        <v>Methylphenidate Hydrochloride Tablet, Extended Release</v>
      </c>
      <c r="B1188" s="5" t="str">
        <f>IFERROR(__xludf.DUMMYFUNCTION("""COMPUTED_VALUE"""),"Vertical Pharmaceuticals, LLC")</f>
        <v>Vertical Pharmaceuticals, LLC</v>
      </c>
      <c r="C1188" s="5" t="str">
        <f>IFERROR(__xludf.DUMMYFUNCTION("""COMPUTED_VALUE"""),"Relexxii, Tablet, Extended Release, 45 mg (NDC 68025-088-30)")</f>
        <v>Relexxii, Tablet, Extended Release, 45 mg (NDC 68025-088-30)</v>
      </c>
      <c r="D1188" s="5" t="str">
        <f>IFERROR(__xludf.DUMMYFUNCTION("""COMPUTED_VALUE"""),"Reverified")</f>
        <v>Reverified</v>
      </c>
      <c r="E1188" s="13">
        <f>IFERROR(__xludf.DUMMYFUNCTION("""COMPUTED_VALUE"""),46311.0)</f>
        <v>46311</v>
      </c>
      <c r="F1188" s="5" t="str">
        <f>IFERROR(__xludf.DUMMYFUNCTION("""COMPUTED_VALUE"""),"Available")</f>
        <v>Available</v>
      </c>
      <c r="G1188" s="5"/>
      <c r="H1188" s="5"/>
      <c r="I1188" s="5"/>
      <c r="J1188" s="5" t="str">
        <f>IFERROR(__xludf.DUMMYFUNCTION("""COMPUTED_VALUE"""),"Psychiatry")</f>
        <v>Psychiatry</v>
      </c>
      <c r="K1188" s="5" t="str">
        <f>IFERROR(__xludf.DUMMYFUNCTION("""COMPUTED_VALUE"""),"Current")</f>
        <v>Current</v>
      </c>
      <c r="L1188" s="5"/>
      <c r="M1188" s="5"/>
      <c r="N1188" s="10">
        <f>IFERROR(__xludf.DUMMYFUNCTION("""COMPUTED_VALUE"""),45133.0)</f>
        <v>45133</v>
      </c>
      <c r="O1188" s="5">
        <v>2023.0</v>
      </c>
      <c r="P1188" s="5" t="str">
        <f>IFERROR(__xludf.DUMMYFUNCTION("""COMPUTED_VALUE"""),"Available")</f>
        <v>Available</v>
      </c>
      <c r="Q1188" s="5" t="s">
        <v>135</v>
      </c>
      <c r="R1188" s="5" t="s">
        <v>136</v>
      </c>
      <c r="S1188" s="11">
        <v>1188.0</v>
      </c>
    </row>
    <row r="1189">
      <c r="A1189" s="5" t="str">
        <f>IFERROR(__xludf.DUMMYFUNCTION("""COMPUTED_VALUE"""),"Methylphenidate Hydrochloride Tablet, Extended Release")</f>
        <v>Methylphenidate Hydrochloride Tablet, Extended Release</v>
      </c>
      <c r="B1189" s="5" t="str">
        <f>IFERROR(__xludf.DUMMYFUNCTION("""COMPUTED_VALUE"""),"Vertical Pharmaceuticals, LLC")</f>
        <v>Vertical Pharmaceuticals, LLC</v>
      </c>
      <c r="C1189" s="5" t="str">
        <f>IFERROR(__xludf.DUMMYFUNCTION("""COMPUTED_VALUE"""),"Relexxii, Tablet, Extended Release, 54 mg (NDC 68025-098-10)")</f>
        <v>Relexxii, Tablet, Extended Release, 54 mg (NDC 68025-098-10)</v>
      </c>
      <c r="D1189" s="5" t="str">
        <f>IFERROR(__xludf.DUMMYFUNCTION("""COMPUTED_VALUE"""),"Reverified")</f>
        <v>Reverified</v>
      </c>
      <c r="E1189" s="13">
        <f>IFERROR(__xludf.DUMMYFUNCTION("""COMPUTED_VALUE"""),46311.0)</f>
        <v>46311</v>
      </c>
      <c r="F1189" s="5" t="str">
        <f>IFERROR(__xludf.DUMMYFUNCTION("""COMPUTED_VALUE"""),"Available")</f>
        <v>Available</v>
      </c>
      <c r="G1189" s="5"/>
      <c r="H1189" s="5"/>
      <c r="I1189" s="5"/>
      <c r="J1189" s="5" t="str">
        <f>IFERROR(__xludf.DUMMYFUNCTION("""COMPUTED_VALUE"""),"Psychiatry")</f>
        <v>Psychiatry</v>
      </c>
      <c r="K1189" s="5" t="str">
        <f>IFERROR(__xludf.DUMMYFUNCTION("""COMPUTED_VALUE"""),"Current")</f>
        <v>Current</v>
      </c>
      <c r="L1189" s="5"/>
      <c r="M1189" s="5"/>
      <c r="N1189" s="10">
        <f>IFERROR(__xludf.DUMMYFUNCTION("""COMPUTED_VALUE"""),45133.0)</f>
        <v>45133</v>
      </c>
      <c r="O1189" s="5">
        <v>2023.0</v>
      </c>
      <c r="P1189" s="5" t="str">
        <f>IFERROR(__xludf.DUMMYFUNCTION("""COMPUTED_VALUE"""),"Available")</f>
        <v>Available</v>
      </c>
      <c r="Q1189" s="5" t="s">
        <v>135</v>
      </c>
      <c r="R1189" s="5" t="s">
        <v>136</v>
      </c>
      <c r="S1189" s="11">
        <v>1188.0</v>
      </c>
    </row>
    <row r="1190">
      <c r="A1190" s="5" t="str">
        <f>IFERROR(__xludf.DUMMYFUNCTION("""COMPUTED_VALUE"""),"Methylphenidate Hydrochloride Tablet, Extended Release")</f>
        <v>Methylphenidate Hydrochloride Tablet, Extended Release</v>
      </c>
      <c r="B1190" s="5" t="str">
        <f>IFERROR(__xludf.DUMMYFUNCTION("""COMPUTED_VALUE"""),"Vertical Pharmaceuticals, LLC")</f>
        <v>Vertical Pharmaceuticals, LLC</v>
      </c>
      <c r="C1190" s="5" t="str">
        <f>IFERROR(__xludf.DUMMYFUNCTION("""COMPUTED_VALUE"""),"Relexxii, Tablet, Extended Release, 63 mg (NDC 68025-089-30)")</f>
        <v>Relexxii, Tablet, Extended Release, 63 mg (NDC 68025-089-30)</v>
      </c>
      <c r="D1190" s="5" t="str">
        <f>IFERROR(__xludf.DUMMYFUNCTION("""COMPUTED_VALUE"""),"Reverified")</f>
        <v>Reverified</v>
      </c>
      <c r="E1190" s="13">
        <f>IFERROR(__xludf.DUMMYFUNCTION("""COMPUTED_VALUE"""),46311.0)</f>
        <v>46311</v>
      </c>
      <c r="F1190" s="5" t="str">
        <f>IFERROR(__xludf.DUMMYFUNCTION("""COMPUTED_VALUE"""),"Available")</f>
        <v>Available</v>
      </c>
      <c r="G1190" s="5"/>
      <c r="H1190" s="5"/>
      <c r="I1190" s="5"/>
      <c r="J1190" s="5" t="str">
        <f>IFERROR(__xludf.DUMMYFUNCTION("""COMPUTED_VALUE"""),"Psychiatry")</f>
        <v>Psychiatry</v>
      </c>
      <c r="K1190" s="5" t="str">
        <f>IFERROR(__xludf.DUMMYFUNCTION("""COMPUTED_VALUE"""),"Current")</f>
        <v>Current</v>
      </c>
      <c r="L1190" s="5"/>
      <c r="M1190" s="5"/>
      <c r="N1190" s="10">
        <f>IFERROR(__xludf.DUMMYFUNCTION("""COMPUTED_VALUE"""),45133.0)</f>
        <v>45133</v>
      </c>
      <c r="O1190" s="5">
        <v>2023.0</v>
      </c>
      <c r="P1190" s="5" t="str">
        <f>IFERROR(__xludf.DUMMYFUNCTION("""COMPUTED_VALUE"""),"Available")</f>
        <v>Available</v>
      </c>
      <c r="Q1190" s="5" t="s">
        <v>135</v>
      </c>
      <c r="R1190" s="5" t="s">
        <v>136</v>
      </c>
      <c r="S1190" s="11">
        <v>1188.0</v>
      </c>
    </row>
    <row r="1191">
      <c r="A1191" s="5" t="str">
        <f>IFERROR(__xludf.DUMMYFUNCTION("""COMPUTED_VALUE"""),"Methylphenidate Hydrochloride Tablet, Extended Release")</f>
        <v>Methylphenidate Hydrochloride Tablet, Extended Release</v>
      </c>
      <c r="B1191" s="5" t="str">
        <f>IFERROR(__xludf.DUMMYFUNCTION("""COMPUTED_VALUE"""),"Vertical Pharmaceuticals, LLC")</f>
        <v>Vertical Pharmaceuticals, LLC</v>
      </c>
      <c r="C1191" s="5" t="str">
        <f>IFERROR(__xludf.DUMMYFUNCTION("""COMPUTED_VALUE"""),"Relexxii, Tablet, Extended Release, 72 mg (NDC 68025-084-30)")</f>
        <v>Relexxii, Tablet, Extended Release, 72 mg (NDC 68025-084-30)</v>
      </c>
      <c r="D1191" s="5" t="str">
        <f>IFERROR(__xludf.DUMMYFUNCTION("""COMPUTED_VALUE"""),"Reverified")</f>
        <v>Reverified</v>
      </c>
      <c r="E1191" s="13">
        <f>IFERROR(__xludf.DUMMYFUNCTION("""COMPUTED_VALUE"""),46311.0)</f>
        <v>46311</v>
      </c>
      <c r="F1191" s="5" t="str">
        <f>IFERROR(__xludf.DUMMYFUNCTION("""COMPUTED_VALUE"""),"Available")</f>
        <v>Available</v>
      </c>
      <c r="G1191" s="5"/>
      <c r="H1191" s="5"/>
      <c r="I1191" s="5"/>
      <c r="J1191" s="5" t="str">
        <f>IFERROR(__xludf.DUMMYFUNCTION("""COMPUTED_VALUE"""),"Psychiatry")</f>
        <v>Psychiatry</v>
      </c>
      <c r="K1191" s="5" t="str">
        <f>IFERROR(__xludf.DUMMYFUNCTION("""COMPUTED_VALUE"""),"Current")</f>
        <v>Current</v>
      </c>
      <c r="L1191" s="5"/>
      <c r="M1191" s="5"/>
      <c r="N1191" s="10">
        <f>IFERROR(__xludf.DUMMYFUNCTION("""COMPUTED_VALUE"""),45133.0)</f>
        <v>45133</v>
      </c>
      <c r="O1191" s="5">
        <v>2023.0</v>
      </c>
      <c r="P1191" s="5" t="str">
        <f>IFERROR(__xludf.DUMMYFUNCTION("""COMPUTED_VALUE"""),"Available")</f>
        <v>Available</v>
      </c>
      <c r="Q1191" s="5" t="s">
        <v>135</v>
      </c>
      <c r="R1191" s="5" t="s">
        <v>136</v>
      </c>
      <c r="S1191" s="11">
        <v>1188.0</v>
      </c>
    </row>
    <row r="1192">
      <c r="A1192" s="5" t="str">
        <f>IFERROR(__xludf.DUMMYFUNCTION("""COMPUTED_VALUE"""),"Methylprednisolone Acetate Injection")</f>
        <v>Methylprednisolone Acetate Injection</v>
      </c>
      <c r="B1192" s="5" t="str">
        <f>IFERROR(__xludf.DUMMYFUNCTION("""COMPUTED_VALUE"""),"Eugia US LLC")</f>
        <v>Eugia US LLC</v>
      </c>
      <c r="C1192" s="5" t="str">
        <f>IFERROR(__xludf.DUMMYFUNCTION("""COMPUTED_VALUE"""),"Methylprednisolone Acetate, Injection, 40 mg/1 mL (NDC 55150-313-01)")</f>
        <v>Methylprednisolone Acetate, Injection, 40 mg/1 mL (NDC 55150-313-01)</v>
      </c>
      <c r="D1192" s="5" t="str">
        <f>IFERROR(__xludf.DUMMYFUNCTION("""COMPUTED_VALUE"""),"Reverified")</f>
        <v>Reverified</v>
      </c>
      <c r="E1192" s="13">
        <f>IFERROR(__xludf.DUMMYFUNCTION("""COMPUTED_VALUE"""),46314.0)</f>
        <v>46314</v>
      </c>
      <c r="F1192" s="5" t="str">
        <f>IFERROR(__xludf.DUMMYFUNCTION("""COMPUTED_VALUE"""),"Unavailable")</f>
        <v>Unavailable</v>
      </c>
      <c r="G1192" s="5" t="str">
        <f>IFERROR(__xludf.DUMMYFUNCTION("""COMPUTED_VALUE"""),"On backorder. Recovery: TBD. Check wholesalers for inventory")</f>
        <v>On backorder. Recovery: TBD. Check wholesalers for inventory</v>
      </c>
      <c r="H1192" s="5"/>
      <c r="I1192" s="5" t="str">
        <f>IFERROR(__xludf.DUMMYFUNCTION("""COMPUTED_VALUE"""),"Demand increase for the drug")</f>
        <v>Demand increase for the drug</v>
      </c>
      <c r="J1192" s="5" t="str">
        <f>IFERROR(__xludf.DUMMYFUNCTION("""COMPUTED_VALUE"""),"Rheumatology")</f>
        <v>Rheumatology</v>
      </c>
      <c r="K1192" s="5" t="str">
        <f>IFERROR(__xludf.DUMMYFUNCTION("""COMPUTED_VALUE"""),"Current")</f>
        <v>Current</v>
      </c>
      <c r="L1192" s="5"/>
      <c r="M1192" s="5"/>
      <c r="N1192" s="13">
        <f>IFERROR(__xludf.DUMMYFUNCTION("""COMPUTED_VALUE"""),44545.0)</f>
        <v>44545</v>
      </c>
      <c r="O1192" s="5">
        <v>2021.0</v>
      </c>
      <c r="P1192" s="5" t="str">
        <f>IFERROR(__xludf.DUMMYFUNCTION("""COMPUTED_VALUE"""),"Unavailable")</f>
        <v>Unavailable</v>
      </c>
      <c r="Q1192" s="5" t="s">
        <v>134</v>
      </c>
      <c r="R1192" s="5" t="s">
        <v>136</v>
      </c>
      <c r="S1192" s="11">
        <v>1776.0</v>
      </c>
    </row>
    <row r="1193">
      <c r="A1193" s="5" t="str">
        <f>IFERROR(__xludf.DUMMYFUNCTION("""COMPUTED_VALUE"""),"Methylprednisolone Acetate Injection")</f>
        <v>Methylprednisolone Acetate Injection</v>
      </c>
      <c r="B1193" s="5" t="str">
        <f>IFERROR(__xludf.DUMMYFUNCTION("""COMPUTED_VALUE"""),"Eugia US LLC")</f>
        <v>Eugia US LLC</v>
      </c>
      <c r="C1193" s="5" t="str">
        <f>IFERROR(__xludf.DUMMYFUNCTION("""COMPUTED_VALUE"""),"Methylprednisolone Acetate, Injection, 80 mg/1 mL (NDC 55150-314-01)")</f>
        <v>Methylprednisolone Acetate, Injection, 80 mg/1 mL (NDC 55150-314-01)</v>
      </c>
      <c r="D1193" s="5" t="str">
        <f>IFERROR(__xludf.DUMMYFUNCTION("""COMPUTED_VALUE"""),"Reverified")</f>
        <v>Reverified</v>
      </c>
      <c r="E1193" s="13">
        <f>IFERROR(__xludf.DUMMYFUNCTION("""COMPUTED_VALUE"""),46314.0)</f>
        <v>46314</v>
      </c>
      <c r="F1193" s="5" t="str">
        <f>IFERROR(__xludf.DUMMYFUNCTION("""COMPUTED_VALUE"""),"Unavailable")</f>
        <v>Unavailable</v>
      </c>
      <c r="G1193" s="5" t="str">
        <f>IFERROR(__xludf.DUMMYFUNCTION("""COMPUTED_VALUE"""),"On backorder. Recovery: TBD. Check wholesalers for inventory")</f>
        <v>On backorder. Recovery: TBD. Check wholesalers for inventory</v>
      </c>
      <c r="H1193" s="5"/>
      <c r="I1193" s="5" t="str">
        <f>IFERROR(__xludf.DUMMYFUNCTION("""COMPUTED_VALUE"""),"Demand increase for the drug")</f>
        <v>Demand increase for the drug</v>
      </c>
      <c r="J1193" s="5" t="str">
        <f>IFERROR(__xludf.DUMMYFUNCTION("""COMPUTED_VALUE"""),"Rheumatology")</f>
        <v>Rheumatology</v>
      </c>
      <c r="K1193" s="5" t="str">
        <f>IFERROR(__xludf.DUMMYFUNCTION("""COMPUTED_VALUE"""),"Current")</f>
        <v>Current</v>
      </c>
      <c r="L1193" s="5"/>
      <c r="M1193" s="5"/>
      <c r="N1193" s="13">
        <f>IFERROR(__xludf.DUMMYFUNCTION("""COMPUTED_VALUE"""),44545.0)</f>
        <v>44545</v>
      </c>
      <c r="O1193" s="5">
        <v>2021.0</v>
      </c>
      <c r="P1193" s="5" t="str">
        <f>IFERROR(__xludf.DUMMYFUNCTION("""COMPUTED_VALUE"""),"Unavailable")</f>
        <v>Unavailable</v>
      </c>
      <c r="Q1193" s="5" t="s">
        <v>134</v>
      </c>
      <c r="R1193" s="5" t="s">
        <v>136</v>
      </c>
      <c r="S1193" s="11">
        <v>1776.0</v>
      </c>
    </row>
    <row r="1194">
      <c r="A1194" s="5" t="str">
        <f>IFERROR(__xludf.DUMMYFUNCTION("""COMPUTED_VALUE"""),"Methylprednisolone Acetate Injection")</f>
        <v>Methylprednisolone Acetate Injection</v>
      </c>
      <c r="B1194" s="5" t="str">
        <f>IFERROR(__xludf.DUMMYFUNCTION("""COMPUTED_VALUE"""),"Sagent Pharmaceuticals")</f>
        <v>Sagent Pharmaceuticals</v>
      </c>
      <c r="C1194" s="5" t="str">
        <f>IFERROR(__xludf.DUMMYFUNCTION("""COMPUTED_VALUE"""),"Methylprednisolone Acetate, Injection, 40 mg/1 mL (NDC 25021-820-10)")</f>
        <v>Methylprednisolone Acetate, Injection, 40 mg/1 mL (NDC 25021-820-10)</v>
      </c>
      <c r="D1194" s="5" t="str">
        <f>IFERROR(__xludf.DUMMYFUNCTION("""COMPUTED_VALUE"""),"Revised")</f>
        <v>Revised</v>
      </c>
      <c r="E1194" s="10">
        <f>IFERROR(__xludf.DUMMYFUNCTION("""COMPUTED_VALUE"""),46303.0)</f>
        <v>46303</v>
      </c>
      <c r="F1194" s="5" t="str">
        <f>IFERROR(__xludf.DUMMYFUNCTION("""COMPUTED_VALUE"""),"Limited Availability")</f>
        <v>Limited Availability</v>
      </c>
      <c r="G1194" s="5" t="str">
        <f>IFERROR(__xludf.DUMMYFUNCTION("""COMPUTED_VALUE"""),"Limited product available. Estimated recovery: October 2026")</f>
        <v>Limited product available. Estimated recovery: October 2026</v>
      </c>
      <c r="H1194" s="5"/>
      <c r="I1194" s="5" t="str">
        <f>IFERROR(__xludf.DUMMYFUNCTION("""COMPUTED_VALUE"""),"Shortage of an active ingredient")</f>
        <v>Shortage of an active ingredient</v>
      </c>
      <c r="J1194" s="5" t="str">
        <f>IFERROR(__xludf.DUMMYFUNCTION("""COMPUTED_VALUE"""),"Rheumatology")</f>
        <v>Rheumatology</v>
      </c>
      <c r="K1194" s="5" t="str">
        <f>IFERROR(__xludf.DUMMYFUNCTION("""COMPUTED_VALUE"""),"Current")</f>
        <v>Current</v>
      </c>
      <c r="L1194" s="5"/>
      <c r="M1194" s="5"/>
      <c r="N1194" s="13">
        <f>IFERROR(__xludf.DUMMYFUNCTION("""COMPUTED_VALUE"""),44545.0)</f>
        <v>44545</v>
      </c>
      <c r="O1194" s="5">
        <v>2021.0</v>
      </c>
      <c r="P1194" s="5" t="str">
        <f>IFERROR(__xludf.DUMMYFUNCTION("""COMPUTED_VALUE"""),"Limited Availability")</f>
        <v>Limited Availability</v>
      </c>
      <c r="Q1194" s="5" t="s">
        <v>122</v>
      </c>
      <c r="R1194" s="5" t="s">
        <v>136</v>
      </c>
      <c r="S1194" s="11">
        <v>1776.0</v>
      </c>
    </row>
    <row r="1195">
      <c r="A1195" s="5" t="str">
        <f>IFERROR(__xludf.DUMMYFUNCTION("""COMPUTED_VALUE"""),"Methylprednisolone Acetate Injection")</f>
        <v>Methylprednisolone Acetate Injection</v>
      </c>
      <c r="B1195" s="5" t="str">
        <f>IFERROR(__xludf.DUMMYFUNCTION("""COMPUTED_VALUE"""),"Sagent Pharmaceuticals")</f>
        <v>Sagent Pharmaceuticals</v>
      </c>
      <c r="C1195" s="5" t="str">
        <f>IFERROR(__xludf.DUMMYFUNCTION("""COMPUTED_VALUE"""),"Methylprednisolone Acetate, Injection, 40 mg/1 mL (NDC 25021-820-05)")</f>
        <v>Methylprednisolone Acetate, Injection, 40 mg/1 mL (NDC 25021-820-05)</v>
      </c>
      <c r="D1195" s="5" t="str">
        <f>IFERROR(__xludf.DUMMYFUNCTION("""COMPUTED_VALUE"""),"Revised")</f>
        <v>Revised</v>
      </c>
      <c r="E1195" s="10">
        <f>IFERROR(__xludf.DUMMYFUNCTION("""COMPUTED_VALUE"""),46303.0)</f>
        <v>46303</v>
      </c>
      <c r="F1195" s="5" t="str">
        <f>IFERROR(__xludf.DUMMYFUNCTION("""COMPUTED_VALUE"""),"Available")</f>
        <v>Available</v>
      </c>
      <c r="G1195" s="5"/>
      <c r="H1195" s="5"/>
      <c r="I1195" s="5" t="str">
        <f>IFERROR(__xludf.DUMMYFUNCTION("""COMPUTED_VALUE"""),"Shortage of an active ingredient")</f>
        <v>Shortage of an active ingredient</v>
      </c>
      <c r="J1195" s="5" t="str">
        <f>IFERROR(__xludf.DUMMYFUNCTION("""COMPUTED_VALUE"""),"Rheumatology")</f>
        <v>Rheumatology</v>
      </c>
      <c r="K1195" s="5" t="str">
        <f>IFERROR(__xludf.DUMMYFUNCTION("""COMPUTED_VALUE"""),"Current")</f>
        <v>Current</v>
      </c>
      <c r="L1195" s="5"/>
      <c r="M1195" s="5"/>
      <c r="N1195" s="13">
        <f>IFERROR(__xludf.DUMMYFUNCTION("""COMPUTED_VALUE"""),44545.0)</f>
        <v>44545</v>
      </c>
      <c r="O1195" s="5">
        <v>2021.0</v>
      </c>
      <c r="P1195" s="5" t="str">
        <f>IFERROR(__xludf.DUMMYFUNCTION("""COMPUTED_VALUE"""),"Available")</f>
        <v>Available</v>
      </c>
      <c r="Q1195" s="5" t="s">
        <v>122</v>
      </c>
      <c r="R1195" s="5" t="s">
        <v>136</v>
      </c>
      <c r="S1195" s="11">
        <v>1776.0</v>
      </c>
    </row>
    <row r="1196">
      <c r="A1196" s="5" t="str">
        <f>IFERROR(__xludf.DUMMYFUNCTION("""COMPUTED_VALUE"""),"Methylprednisolone Acetate Injection")</f>
        <v>Methylprednisolone Acetate Injection</v>
      </c>
      <c r="B1196" s="5" t="str">
        <f>IFERROR(__xludf.DUMMYFUNCTION("""COMPUTED_VALUE"""),"Sagent Pharmaceuticals")</f>
        <v>Sagent Pharmaceuticals</v>
      </c>
      <c r="C1196" s="5" t="str">
        <f>IFERROR(__xludf.DUMMYFUNCTION("""COMPUTED_VALUE"""),"Methylprednisolone Acetate, Injection, 80 mg/1 mL (NDC 25021-821-05)")</f>
        <v>Methylprednisolone Acetate, Injection, 80 mg/1 mL (NDC 25021-821-05)</v>
      </c>
      <c r="D1196" s="5" t="str">
        <f>IFERROR(__xludf.DUMMYFUNCTION("""COMPUTED_VALUE"""),"Reverified")</f>
        <v>Reverified</v>
      </c>
      <c r="E1196" s="10">
        <f>IFERROR(__xludf.DUMMYFUNCTION("""COMPUTED_VALUE"""),46303.0)</f>
        <v>46303</v>
      </c>
      <c r="F1196" s="5" t="str">
        <f>IFERROR(__xludf.DUMMYFUNCTION("""COMPUTED_VALUE"""),"Limited Availability")</f>
        <v>Limited Availability</v>
      </c>
      <c r="G1196" s="5" t="str">
        <f>IFERROR(__xludf.DUMMYFUNCTION("""COMPUTED_VALUE"""),"Estimated recovery: November 2026, Product on hand is 8-12 months of dating prior to expiry")</f>
        <v>Estimated recovery: November 2026, Product on hand is 8-12 months of dating prior to expiry</v>
      </c>
      <c r="H1196" s="5"/>
      <c r="I1196" s="5" t="str">
        <f>IFERROR(__xludf.DUMMYFUNCTION("""COMPUTED_VALUE"""),"Shortage of an active ingredient")</f>
        <v>Shortage of an active ingredient</v>
      </c>
      <c r="J1196" s="5" t="str">
        <f>IFERROR(__xludf.DUMMYFUNCTION("""COMPUTED_VALUE"""),"Rheumatology")</f>
        <v>Rheumatology</v>
      </c>
      <c r="K1196" s="5" t="str">
        <f>IFERROR(__xludf.DUMMYFUNCTION("""COMPUTED_VALUE"""),"Current")</f>
        <v>Current</v>
      </c>
      <c r="L1196" s="5"/>
      <c r="M1196" s="5"/>
      <c r="N1196" s="13">
        <f>IFERROR(__xludf.DUMMYFUNCTION("""COMPUTED_VALUE"""),44545.0)</f>
        <v>44545</v>
      </c>
      <c r="O1196" s="5">
        <v>2021.0</v>
      </c>
      <c r="P1196" s="5" t="str">
        <f>IFERROR(__xludf.DUMMYFUNCTION("""COMPUTED_VALUE"""),"Limited Availability")</f>
        <v>Limited Availability</v>
      </c>
      <c r="Q1196" s="5" t="s">
        <v>122</v>
      </c>
      <c r="R1196" s="5" t="s">
        <v>136</v>
      </c>
      <c r="S1196" s="11">
        <v>1776.0</v>
      </c>
    </row>
    <row r="1197">
      <c r="A1197" s="5" t="str">
        <f>IFERROR(__xludf.DUMMYFUNCTION("""COMPUTED_VALUE"""),"Methylprednisolone Acetate Injection")</f>
        <v>Methylprednisolone Acetate Injection</v>
      </c>
      <c r="B1197" s="5" t="str">
        <f>IFERROR(__xludf.DUMMYFUNCTION("""COMPUTED_VALUE"""),"Par Health, USA LLC")</f>
        <v>Par Health, USA LLC</v>
      </c>
      <c r="C1197" s="5" t="str">
        <f>IFERROR(__xludf.DUMMYFUNCTION("""COMPUTED_VALUE"""),"Methylprednisolone Acetate, Injection, 80 mg/1 mL (NDC 42023-240-01)")</f>
        <v>Methylprednisolone Acetate, Injection, 80 mg/1 mL (NDC 42023-240-01)</v>
      </c>
      <c r="D1197" s="5" t="str">
        <f>IFERROR(__xludf.DUMMYFUNCTION("""COMPUTED_VALUE"""),"Reverified")</f>
        <v>Reverified</v>
      </c>
      <c r="E1197" s="13">
        <f>IFERROR(__xludf.DUMMYFUNCTION("""COMPUTED_VALUE"""),46310.0)</f>
        <v>46310</v>
      </c>
      <c r="F1197" s="5" t="str">
        <f>IFERROR(__xludf.DUMMYFUNCTION("""COMPUTED_VALUE"""),"Unavailable")</f>
        <v>Unavailable</v>
      </c>
      <c r="G1197" s="5" t="str">
        <f>IFERROR(__xludf.DUMMYFUNCTION("""COMPUTED_VALUE"""),"Estimated recovery: TBD")</f>
        <v>Estimated recovery: TBD</v>
      </c>
      <c r="H1197" s="5"/>
      <c r="I1197" s="5" t="str">
        <f>IFERROR(__xludf.DUMMYFUNCTION("""COMPUTED_VALUE"""),"Other")</f>
        <v>Other</v>
      </c>
      <c r="J1197" s="5" t="str">
        <f>IFERROR(__xludf.DUMMYFUNCTION("""COMPUTED_VALUE"""),"Rheumatology")</f>
        <v>Rheumatology</v>
      </c>
      <c r="K1197" s="5" t="str">
        <f>IFERROR(__xludf.DUMMYFUNCTION("""COMPUTED_VALUE"""),"Current")</f>
        <v>Current</v>
      </c>
      <c r="L1197" s="5"/>
      <c r="M1197" s="5"/>
      <c r="N1197" s="10">
        <f>IFERROR(__xludf.DUMMYFUNCTION("""COMPUTED_VALUE"""),44728.0)</f>
        <v>44728</v>
      </c>
      <c r="O1197" s="5">
        <v>2022.0</v>
      </c>
      <c r="P1197" s="5" t="str">
        <f>IFERROR(__xludf.DUMMYFUNCTION("""COMPUTED_VALUE"""),"Unavailable")</f>
        <v>Unavailable</v>
      </c>
      <c r="Q1197" s="5" t="s">
        <v>47</v>
      </c>
      <c r="R1197" s="5" t="s">
        <v>136</v>
      </c>
      <c r="S1197" s="11">
        <v>1593.0</v>
      </c>
    </row>
    <row r="1198">
      <c r="A1198" s="5" t="str">
        <f>IFERROR(__xludf.DUMMYFUNCTION("""COMPUTED_VALUE"""),"Methylprednisolone Acetate Injection")</f>
        <v>Methylprednisolone Acetate Injection</v>
      </c>
      <c r="B1198" s="5" t="str">
        <f>IFERROR(__xludf.DUMMYFUNCTION("""COMPUTED_VALUE"""),"Amneal Pharmaceuticals")</f>
        <v>Amneal Pharmaceuticals</v>
      </c>
      <c r="C1198" s="5" t="str">
        <f>IFERROR(__xludf.DUMMYFUNCTION("""COMPUTED_VALUE"""),"Methylprednisolone Acetate, Injection, 40 mg/1 mL (NDC 70121-1573-1)")</f>
        <v>Methylprednisolone Acetate, Injection, 40 mg/1 mL (NDC 70121-1573-1)</v>
      </c>
      <c r="D1198" s="5" t="str">
        <f>IFERROR(__xludf.DUMMYFUNCTION("""COMPUTED_VALUE"""),"Revised")</f>
        <v>Revised</v>
      </c>
      <c r="E1198" s="10">
        <f>IFERROR(__xludf.DUMMYFUNCTION("""COMPUTED_VALUE"""),46301.0)</f>
        <v>46301</v>
      </c>
      <c r="F1198" s="5" t="str">
        <f>IFERROR(__xludf.DUMMYFUNCTION("""COMPUTED_VALUE"""),"Limited Availability")</f>
        <v>Limited Availability</v>
      </c>
      <c r="G1198" s="5" t="str">
        <f>IFERROR(__xludf.DUMMYFUNCTION("""COMPUTED_VALUE"""),"Estimated recovery: late October 2026/November 2026")</f>
        <v>Estimated recovery: late October 2026/November 2026</v>
      </c>
      <c r="H1198" s="5"/>
      <c r="I1198" s="5" t="str">
        <f>IFERROR(__xludf.DUMMYFUNCTION("""COMPUTED_VALUE"""),"Other")</f>
        <v>Other</v>
      </c>
      <c r="J1198" s="5" t="str">
        <f>IFERROR(__xludf.DUMMYFUNCTION("""COMPUTED_VALUE"""),"Rheumatology")</f>
        <v>Rheumatology</v>
      </c>
      <c r="K1198" s="5" t="str">
        <f>IFERROR(__xludf.DUMMYFUNCTION("""COMPUTED_VALUE"""),"Current")</f>
        <v>Current</v>
      </c>
      <c r="L1198" s="5"/>
      <c r="M1198" s="5"/>
      <c r="N1198" s="13">
        <f>IFERROR(__xludf.DUMMYFUNCTION("""COMPUTED_VALUE"""),44545.0)</f>
        <v>44545</v>
      </c>
      <c r="O1198" s="5">
        <v>2021.0</v>
      </c>
      <c r="P1198" s="5" t="str">
        <f>IFERROR(__xludf.DUMMYFUNCTION("""COMPUTED_VALUE"""),"Limited Availability")</f>
        <v>Limited Availability</v>
      </c>
      <c r="Q1198" s="5" t="s">
        <v>47</v>
      </c>
      <c r="R1198" s="5" t="s">
        <v>136</v>
      </c>
      <c r="S1198" s="11">
        <v>1776.0</v>
      </c>
    </row>
    <row r="1199">
      <c r="A1199" s="5" t="str">
        <f>IFERROR(__xludf.DUMMYFUNCTION("""COMPUTED_VALUE"""),"Methylprednisolone Acetate Injection")</f>
        <v>Methylprednisolone Acetate Injection</v>
      </c>
      <c r="B1199" s="5" t="str">
        <f>IFERROR(__xludf.DUMMYFUNCTION("""COMPUTED_VALUE"""),"Amneal Pharmaceuticals")</f>
        <v>Amneal Pharmaceuticals</v>
      </c>
      <c r="C1199" s="5" t="str">
        <f>IFERROR(__xludf.DUMMYFUNCTION("""COMPUTED_VALUE"""),"Methylprednisolone Acetate, Injection, 40 mg/1 mL (NDC 70121-1573-5)")</f>
        <v>Methylprednisolone Acetate, Injection, 40 mg/1 mL (NDC 70121-1573-5)</v>
      </c>
      <c r="D1199" s="5" t="str">
        <f>IFERROR(__xludf.DUMMYFUNCTION("""COMPUTED_VALUE"""),"Revised")</f>
        <v>Revised</v>
      </c>
      <c r="E1199" s="10">
        <f>IFERROR(__xludf.DUMMYFUNCTION("""COMPUTED_VALUE"""),46301.0)</f>
        <v>46301</v>
      </c>
      <c r="F1199" s="5" t="str">
        <f>IFERROR(__xludf.DUMMYFUNCTION("""COMPUTED_VALUE"""),"Available")</f>
        <v>Available</v>
      </c>
      <c r="G1199" s="5"/>
      <c r="H1199" s="5"/>
      <c r="I1199" s="5"/>
      <c r="J1199" s="5" t="str">
        <f>IFERROR(__xludf.DUMMYFUNCTION("""COMPUTED_VALUE"""),"Rheumatology")</f>
        <v>Rheumatology</v>
      </c>
      <c r="K1199" s="5" t="str">
        <f>IFERROR(__xludf.DUMMYFUNCTION("""COMPUTED_VALUE"""),"Current")</f>
        <v>Current</v>
      </c>
      <c r="L1199" s="5"/>
      <c r="M1199" s="5"/>
      <c r="N1199" s="13">
        <f>IFERROR(__xludf.DUMMYFUNCTION("""COMPUTED_VALUE"""),44545.0)</f>
        <v>44545</v>
      </c>
      <c r="O1199" s="5">
        <v>2021.0</v>
      </c>
      <c r="P1199" s="5" t="str">
        <f>IFERROR(__xludf.DUMMYFUNCTION("""COMPUTED_VALUE"""),"Available")</f>
        <v>Available</v>
      </c>
      <c r="Q1199" s="5" t="s">
        <v>135</v>
      </c>
      <c r="R1199" s="5" t="s">
        <v>136</v>
      </c>
      <c r="S1199" s="11">
        <v>1776.0</v>
      </c>
    </row>
    <row r="1200">
      <c r="A1200" s="5" t="str">
        <f>IFERROR(__xludf.DUMMYFUNCTION("""COMPUTED_VALUE"""),"Methylprednisolone Acetate Injection")</f>
        <v>Methylprednisolone Acetate Injection</v>
      </c>
      <c r="B1200" s="5" t="str">
        <f>IFERROR(__xludf.DUMMYFUNCTION("""COMPUTED_VALUE"""),"Amneal Pharmaceuticals")</f>
        <v>Amneal Pharmaceuticals</v>
      </c>
      <c r="C1200" s="5" t="str">
        <f>IFERROR(__xludf.DUMMYFUNCTION("""COMPUTED_VALUE"""),"Methylprednisolone Acetate, Injection, 80 mg/1 mL (NDC 70121-1574-1)")</f>
        <v>Methylprednisolone Acetate, Injection, 80 mg/1 mL (NDC 70121-1574-1)</v>
      </c>
      <c r="D1200" s="5" t="str">
        <f>IFERROR(__xludf.DUMMYFUNCTION("""COMPUTED_VALUE"""),"Revised")</f>
        <v>Revised</v>
      </c>
      <c r="E1200" s="10">
        <f>IFERROR(__xludf.DUMMYFUNCTION("""COMPUTED_VALUE"""),46301.0)</f>
        <v>46301</v>
      </c>
      <c r="F1200" s="5" t="str">
        <f>IFERROR(__xludf.DUMMYFUNCTION("""COMPUTED_VALUE"""),"Available")</f>
        <v>Available</v>
      </c>
      <c r="G1200" s="5"/>
      <c r="H1200" s="5"/>
      <c r="I1200" s="5"/>
      <c r="J1200" s="5" t="str">
        <f>IFERROR(__xludf.DUMMYFUNCTION("""COMPUTED_VALUE"""),"Rheumatology")</f>
        <v>Rheumatology</v>
      </c>
      <c r="K1200" s="5" t="str">
        <f>IFERROR(__xludf.DUMMYFUNCTION("""COMPUTED_VALUE"""),"Current")</f>
        <v>Current</v>
      </c>
      <c r="L1200" s="5"/>
      <c r="M1200" s="5"/>
      <c r="N1200" s="13">
        <f>IFERROR(__xludf.DUMMYFUNCTION("""COMPUTED_VALUE"""),44545.0)</f>
        <v>44545</v>
      </c>
      <c r="O1200" s="5">
        <v>2021.0</v>
      </c>
      <c r="P1200" s="5" t="str">
        <f>IFERROR(__xludf.DUMMYFUNCTION("""COMPUTED_VALUE"""),"Available")</f>
        <v>Available</v>
      </c>
      <c r="Q1200" s="5" t="s">
        <v>135</v>
      </c>
      <c r="R1200" s="5" t="s">
        <v>136</v>
      </c>
      <c r="S1200" s="11">
        <v>1776.0</v>
      </c>
    </row>
    <row r="1201">
      <c r="A1201" s="5" t="str">
        <f>IFERROR(__xludf.DUMMYFUNCTION("""COMPUTED_VALUE"""),"Methylprednisolone Acetate Injection")</f>
        <v>Methylprednisolone Acetate Injection</v>
      </c>
      <c r="B1201" s="5" t="str">
        <f>IFERROR(__xludf.DUMMYFUNCTION("""COMPUTED_VALUE"""),"Amneal Pharmaceuticals")</f>
        <v>Amneal Pharmaceuticals</v>
      </c>
      <c r="C1201" s="5" t="str">
        <f>IFERROR(__xludf.DUMMYFUNCTION("""COMPUTED_VALUE"""),"Methylprednisolone Acetate, Injection, 80 mg/1 mL (NDC 70121-1574-5)")</f>
        <v>Methylprednisolone Acetate, Injection, 80 mg/1 mL (NDC 70121-1574-5)</v>
      </c>
      <c r="D1201" s="5" t="str">
        <f>IFERROR(__xludf.DUMMYFUNCTION("""COMPUTED_VALUE"""),"Revised")</f>
        <v>Revised</v>
      </c>
      <c r="E1201" s="10">
        <f>IFERROR(__xludf.DUMMYFUNCTION("""COMPUTED_VALUE"""),46301.0)</f>
        <v>46301</v>
      </c>
      <c r="F1201" s="5" t="str">
        <f>IFERROR(__xludf.DUMMYFUNCTION("""COMPUTED_VALUE"""),"Available")</f>
        <v>Available</v>
      </c>
      <c r="G1201" s="5"/>
      <c r="H1201" s="5"/>
      <c r="I1201" s="5"/>
      <c r="J1201" s="5" t="str">
        <f>IFERROR(__xludf.DUMMYFUNCTION("""COMPUTED_VALUE"""),"Rheumatology")</f>
        <v>Rheumatology</v>
      </c>
      <c r="K1201" s="5" t="str">
        <f>IFERROR(__xludf.DUMMYFUNCTION("""COMPUTED_VALUE"""),"Current")</f>
        <v>Current</v>
      </c>
      <c r="L1201" s="5"/>
      <c r="M1201" s="5"/>
      <c r="N1201" s="13">
        <f>IFERROR(__xludf.DUMMYFUNCTION("""COMPUTED_VALUE"""),44545.0)</f>
        <v>44545</v>
      </c>
      <c r="O1201" s="5">
        <v>2021.0</v>
      </c>
      <c r="P1201" s="5" t="str">
        <f>IFERROR(__xludf.DUMMYFUNCTION("""COMPUTED_VALUE"""),"Available")</f>
        <v>Available</v>
      </c>
      <c r="Q1201" s="5" t="s">
        <v>135</v>
      </c>
      <c r="R1201" s="5" t="s">
        <v>136</v>
      </c>
      <c r="S1201" s="11">
        <v>1776.0</v>
      </c>
    </row>
    <row r="1202">
      <c r="A1202" s="5" t="str">
        <f>IFERROR(__xludf.DUMMYFUNCTION("""COMPUTED_VALUE"""),"Methylprednisolone Acetate Injection")</f>
        <v>Methylprednisolone Acetate Injection</v>
      </c>
      <c r="B1202" s="5" t="str">
        <f>IFERROR(__xludf.DUMMYFUNCTION("""COMPUTED_VALUE"""),"Pfizer Inc.")</f>
        <v>Pfizer Inc.</v>
      </c>
      <c r="C1202" s="5" t="str">
        <f>IFERROR(__xludf.DUMMYFUNCTION("""COMPUTED_VALUE"""),"Depo-medrol, Injection, 20 mg/1 mL (NDC 0009-0274-01)")</f>
        <v>Depo-medrol, Injection, 20 mg/1 mL (NDC 0009-0274-01)</v>
      </c>
      <c r="D1202" s="5" t="str">
        <f>IFERROR(__xludf.DUMMYFUNCTION("""COMPUTED_VALUE"""),"Reverified")</f>
        <v>Reverified</v>
      </c>
      <c r="E1202" s="13">
        <f>IFERROR(__xludf.DUMMYFUNCTION("""COMPUTED_VALUE"""),46316.0)</f>
        <v>46316</v>
      </c>
      <c r="F1202" s="5" t="str">
        <f>IFERROR(__xludf.DUMMYFUNCTION("""COMPUTED_VALUE"""),"Available")</f>
        <v>Available</v>
      </c>
      <c r="G1202" s="5"/>
      <c r="H1202" s="5"/>
      <c r="I1202" s="5"/>
      <c r="J1202" s="5" t="str">
        <f>IFERROR(__xludf.DUMMYFUNCTION("""COMPUTED_VALUE"""),"Rheumatology")</f>
        <v>Rheumatology</v>
      </c>
      <c r="K1202" s="5" t="str">
        <f>IFERROR(__xludf.DUMMYFUNCTION("""COMPUTED_VALUE"""),"Current")</f>
        <v>Current</v>
      </c>
      <c r="L1202" s="5"/>
      <c r="M1202" s="5"/>
      <c r="N1202" s="13">
        <f>IFERROR(__xludf.DUMMYFUNCTION("""COMPUTED_VALUE"""),44545.0)</f>
        <v>44545</v>
      </c>
      <c r="O1202" s="5">
        <v>2021.0</v>
      </c>
      <c r="P1202" s="5" t="str">
        <f>IFERROR(__xludf.DUMMYFUNCTION("""COMPUTED_VALUE"""),"Available")</f>
        <v>Available</v>
      </c>
      <c r="Q1202" s="5" t="s">
        <v>135</v>
      </c>
      <c r="R1202" s="5" t="s">
        <v>136</v>
      </c>
      <c r="S1202" s="11">
        <v>1776.0</v>
      </c>
    </row>
    <row r="1203">
      <c r="A1203" s="5" t="str">
        <f>IFERROR(__xludf.DUMMYFUNCTION("""COMPUTED_VALUE"""),"Methylprednisolone Acetate Injection")</f>
        <v>Methylprednisolone Acetate Injection</v>
      </c>
      <c r="B1203" s="5" t="str">
        <f>IFERROR(__xludf.DUMMYFUNCTION("""COMPUTED_VALUE"""),"Pfizer Inc.")</f>
        <v>Pfizer Inc.</v>
      </c>
      <c r="C1203" s="5" t="str">
        <f>IFERROR(__xludf.DUMMYFUNCTION("""COMPUTED_VALUE"""),"Depo-medrol, Injection, 40 mg/1 mL (NDC 0009-0280-02)")</f>
        <v>Depo-medrol, Injection, 40 mg/1 mL (NDC 0009-0280-02)</v>
      </c>
      <c r="D1203" s="5" t="str">
        <f>IFERROR(__xludf.DUMMYFUNCTION("""COMPUTED_VALUE"""),"Revised")</f>
        <v>Revised</v>
      </c>
      <c r="E1203" s="13">
        <f>IFERROR(__xludf.DUMMYFUNCTION("""COMPUTED_VALUE"""),46316.0)</f>
        <v>46316</v>
      </c>
      <c r="F1203" s="5" t="str">
        <f>IFERROR(__xludf.DUMMYFUNCTION("""COMPUTED_VALUE"""),"Unavailable")</f>
        <v>Unavailable</v>
      </c>
      <c r="G1203" s="5" t="str">
        <f>IFERROR(__xludf.DUMMYFUNCTION("""COMPUTED_VALUE"""),"Next Delivery: November 2026; Estimated Recovery: December 2026")</f>
        <v>Next Delivery: November 2026; Estimated Recovery: December 2026</v>
      </c>
      <c r="H1203" s="5"/>
      <c r="I1203" s="5" t="str">
        <f>IFERROR(__xludf.DUMMYFUNCTION("""COMPUTED_VALUE"""),"Demand increase for the drug")</f>
        <v>Demand increase for the drug</v>
      </c>
      <c r="J1203" s="5" t="str">
        <f>IFERROR(__xludf.DUMMYFUNCTION("""COMPUTED_VALUE"""),"Rheumatology")</f>
        <v>Rheumatology</v>
      </c>
      <c r="K1203" s="5" t="str">
        <f>IFERROR(__xludf.DUMMYFUNCTION("""COMPUTED_VALUE"""),"Current")</f>
        <v>Current</v>
      </c>
      <c r="L1203" s="5"/>
      <c r="M1203" s="5"/>
      <c r="N1203" s="13">
        <f>IFERROR(__xludf.DUMMYFUNCTION("""COMPUTED_VALUE"""),44545.0)</f>
        <v>44545</v>
      </c>
      <c r="O1203" s="5">
        <v>2021.0</v>
      </c>
      <c r="P1203" s="5" t="str">
        <f>IFERROR(__xludf.DUMMYFUNCTION("""COMPUTED_VALUE"""),"Unavailable")</f>
        <v>Unavailable</v>
      </c>
      <c r="Q1203" s="5" t="s">
        <v>134</v>
      </c>
      <c r="R1203" s="5" t="s">
        <v>136</v>
      </c>
      <c r="S1203" s="11">
        <v>1776.0</v>
      </c>
    </row>
    <row r="1204">
      <c r="A1204" s="5" t="str">
        <f>IFERROR(__xludf.DUMMYFUNCTION("""COMPUTED_VALUE"""),"Methylprednisolone Acetate Injection")</f>
        <v>Methylprednisolone Acetate Injection</v>
      </c>
      <c r="B1204" s="5" t="str">
        <f>IFERROR(__xludf.DUMMYFUNCTION("""COMPUTED_VALUE"""),"Pfizer Inc.")</f>
        <v>Pfizer Inc.</v>
      </c>
      <c r="C1204" s="5" t="str">
        <f>IFERROR(__xludf.DUMMYFUNCTION("""COMPUTED_VALUE"""),"Depo-medrol, Injection, 40 mg/1 mL (NDC 0009-0280-03)")</f>
        <v>Depo-medrol, Injection, 40 mg/1 mL (NDC 0009-0280-03)</v>
      </c>
      <c r="D1204" s="5" t="str">
        <f>IFERROR(__xludf.DUMMYFUNCTION("""COMPUTED_VALUE"""),"Revised")</f>
        <v>Revised</v>
      </c>
      <c r="E1204" s="13">
        <f>IFERROR(__xludf.DUMMYFUNCTION("""COMPUTED_VALUE"""),46316.0)</f>
        <v>46316</v>
      </c>
      <c r="F1204" s="5" t="str">
        <f>IFERROR(__xludf.DUMMYFUNCTION("""COMPUTED_VALUE"""),"Limited Availability")</f>
        <v>Limited Availability</v>
      </c>
      <c r="G1204" s="5" t="str">
        <f>IFERROR(__xludf.DUMMYFUNCTION("""COMPUTED_VALUE"""),"Limited Supply Available. Next Delivery: November 2026; Estimated Recovery: December 2026; Shortage per Manufacturer: Manufacturing Delay")</f>
        <v>Limited Supply Available. Next Delivery: November 2026; Estimated Recovery: December 2026; Shortage per Manufacturer: Manufacturing Delay</v>
      </c>
      <c r="H1204" s="5"/>
      <c r="I1204" s="5" t="str">
        <f>IFERROR(__xludf.DUMMYFUNCTION("""COMPUTED_VALUE"""),"Other")</f>
        <v>Other</v>
      </c>
      <c r="J1204" s="5" t="str">
        <f>IFERROR(__xludf.DUMMYFUNCTION("""COMPUTED_VALUE"""),"Rheumatology")</f>
        <v>Rheumatology</v>
      </c>
      <c r="K1204" s="5" t="str">
        <f>IFERROR(__xludf.DUMMYFUNCTION("""COMPUTED_VALUE"""),"Current")</f>
        <v>Current</v>
      </c>
      <c r="L1204" s="5"/>
      <c r="M1204" s="5"/>
      <c r="N1204" s="13">
        <f>IFERROR(__xludf.DUMMYFUNCTION("""COMPUTED_VALUE"""),44545.0)</f>
        <v>44545</v>
      </c>
      <c r="O1204" s="5">
        <v>2021.0</v>
      </c>
      <c r="P1204" s="5" t="str">
        <f>IFERROR(__xludf.DUMMYFUNCTION("""COMPUTED_VALUE"""),"Limited Availability")</f>
        <v>Limited Availability</v>
      </c>
      <c r="Q1204" s="5" t="s">
        <v>47</v>
      </c>
      <c r="R1204" s="5" t="s">
        <v>136</v>
      </c>
      <c r="S1204" s="11">
        <v>1776.0</v>
      </c>
    </row>
    <row r="1205">
      <c r="A1205" s="5" t="str">
        <f>IFERROR(__xludf.DUMMYFUNCTION("""COMPUTED_VALUE"""),"Methylprednisolone Acetate Injection")</f>
        <v>Methylprednisolone Acetate Injection</v>
      </c>
      <c r="B1205" s="5" t="str">
        <f>IFERROR(__xludf.DUMMYFUNCTION("""COMPUTED_VALUE"""),"Pfizer Inc.")</f>
        <v>Pfizer Inc.</v>
      </c>
      <c r="C1205" s="5" t="str">
        <f>IFERROR(__xludf.DUMMYFUNCTION("""COMPUTED_VALUE"""),"Depo-medrol, Injection, 40 mg/1 mL (NDC 0009-0280-51)")</f>
        <v>Depo-medrol, Injection, 40 mg/1 mL (NDC 0009-0280-51)</v>
      </c>
      <c r="D1205" s="5" t="str">
        <f>IFERROR(__xludf.DUMMYFUNCTION("""COMPUTED_VALUE"""),"Revised")</f>
        <v>Revised</v>
      </c>
      <c r="E1205" s="13">
        <f>IFERROR(__xludf.DUMMYFUNCTION("""COMPUTED_VALUE"""),46316.0)</f>
        <v>46316</v>
      </c>
      <c r="F1205" s="5" t="str">
        <f>IFERROR(__xludf.DUMMYFUNCTION("""COMPUTED_VALUE"""),"Limited Availability")</f>
        <v>Limited Availability</v>
      </c>
      <c r="G1205" s="5" t="str">
        <f>IFERROR(__xludf.DUMMYFUNCTION("""COMPUTED_VALUE"""),"Limited Supply Available. Next Delivery: November 2026; Estimated Recovery: December 2026")</f>
        <v>Limited Supply Available. Next Delivery: November 2026; Estimated Recovery: December 2026</v>
      </c>
      <c r="H1205" s="5"/>
      <c r="I1205" s="5" t="str">
        <f>IFERROR(__xludf.DUMMYFUNCTION("""COMPUTED_VALUE"""),"Demand increase for the drug")</f>
        <v>Demand increase for the drug</v>
      </c>
      <c r="J1205" s="5" t="str">
        <f>IFERROR(__xludf.DUMMYFUNCTION("""COMPUTED_VALUE"""),"Rheumatology")</f>
        <v>Rheumatology</v>
      </c>
      <c r="K1205" s="5" t="str">
        <f>IFERROR(__xludf.DUMMYFUNCTION("""COMPUTED_VALUE"""),"Current")</f>
        <v>Current</v>
      </c>
      <c r="L1205" s="5"/>
      <c r="M1205" s="5"/>
      <c r="N1205" s="13">
        <f>IFERROR(__xludf.DUMMYFUNCTION("""COMPUTED_VALUE"""),44545.0)</f>
        <v>44545</v>
      </c>
      <c r="O1205" s="5">
        <v>2021.0</v>
      </c>
      <c r="P1205" s="5" t="str">
        <f>IFERROR(__xludf.DUMMYFUNCTION("""COMPUTED_VALUE"""),"Limited Availability")</f>
        <v>Limited Availability</v>
      </c>
      <c r="Q1205" s="5" t="s">
        <v>134</v>
      </c>
      <c r="R1205" s="5" t="s">
        <v>136</v>
      </c>
      <c r="S1205" s="11">
        <v>1776.0</v>
      </c>
    </row>
    <row r="1206">
      <c r="A1206" s="5" t="str">
        <f>IFERROR(__xludf.DUMMYFUNCTION("""COMPUTED_VALUE"""),"Methylprednisolone Acetate Injection")</f>
        <v>Methylprednisolone Acetate Injection</v>
      </c>
      <c r="B1206" s="5" t="str">
        <f>IFERROR(__xludf.DUMMYFUNCTION("""COMPUTED_VALUE"""),"Pfizer Inc.")</f>
        <v>Pfizer Inc.</v>
      </c>
      <c r="C1206" s="5" t="str">
        <f>IFERROR(__xludf.DUMMYFUNCTION("""COMPUTED_VALUE"""),"Depo-medrol, Injection, 40 mg/1 mL (NDC 0009-0280-52)")</f>
        <v>Depo-medrol, Injection, 40 mg/1 mL (NDC 0009-0280-52)</v>
      </c>
      <c r="D1206" s="5" t="str">
        <f>IFERROR(__xludf.DUMMYFUNCTION("""COMPUTED_VALUE"""),"Reverified")</f>
        <v>Reverified</v>
      </c>
      <c r="E1206" s="13">
        <f>IFERROR(__xludf.DUMMYFUNCTION("""COMPUTED_VALUE"""),46316.0)</f>
        <v>46316</v>
      </c>
      <c r="F1206" s="5" t="str">
        <f>IFERROR(__xludf.DUMMYFUNCTION("""COMPUTED_VALUE"""),"Available")</f>
        <v>Available</v>
      </c>
      <c r="G1206" s="5"/>
      <c r="H1206" s="5"/>
      <c r="I1206" s="5"/>
      <c r="J1206" s="5" t="str">
        <f>IFERROR(__xludf.DUMMYFUNCTION("""COMPUTED_VALUE"""),"Rheumatology")</f>
        <v>Rheumatology</v>
      </c>
      <c r="K1206" s="5" t="str">
        <f>IFERROR(__xludf.DUMMYFUNCTION("""COMPUTED_VALUE"""),"Current")</f>
        <v>Current</v>
      </c>
      <c r="L1206" s="5"/>
      <c r="M1206" s="5"/>
      <c r="N1206" s="13">
        <f>IFERROR(__xludf.DUMMYFUNCTION("""COMPUTED_VALUE"""),44545.0)</f>
        <v>44545</v>
      </c>
      <c r="O1206" s="5">
        <v>2021.0</v>
      </c>
      <c r="P1206" s="5" t="str">
        <f>IFERROR(__xludf.DUMMYFUNCTION("""COMPUTED_VALUE"""),"Available")</f>
        <v>Available</v>
      </c>
      <c r="Q1206" s="5" t="s">
        <v>135</v>
      </c>
      <c r="R1206" s="5" t="s">
        <v>136</v>
      </c>
      <c r="S1206" s="11">
        <v>1776.0</v>
      </c>
    </row>
    <row r="1207">
      <c r="A1207" s="5" t="str">
        <f>IFERROR(__xludf.DUMMYFUNCTION("""COMPUTED_VALUE"""),"Methylprednisolone Acetate Injection")</f>
        <v>Methylprednisolone Acetate Injection</v>
      </c>
      <c r="B1207" s="5" t="str">
        <f>IFERROR(__xludf.DUMMYFUNCTION("""COMPUTED_VALUE"""),"Pfizer Inc.")</f>
        <v>Pfizer Inc.</v>
      </c>
      <c r="C1207" s="5" t="str">
        <f>IFERROR(__xludf.DUMMYFUNCTION("""COMPUTED_VALUE"""),"Depo-medrol, Injection, 80 mg/1 mL (NDC 0009-0306-02)")</f>
        <v>Depo-medrol, Injection, 80 mg/1 mL (NDC 0009-0306-02)</v>
      </c>
      <c r="D1207" s="5" t="str">
        <f>IFERROR(__xludf.DUMMYFUNCTION("""COMPUTED_VALUE"""),"Reverified")</f>
        <v>Reverified</v>
      </c>
      <c r="E1207" s="13">
        <f>IFERROR(__xludf.DUMMYFUNCTION("""COMPUTED_VALUE"""),46316.0)</f>
        <v>46316</v>
      </c>
      <c r="F1207" s="5" t="str">
        <f>IFERROR(__xludf.DUMMYFUNCTION("""COMPUTED_VALUE"""),"Available")</f>
        <v>Available</v>
      </c>
      <c r="G1207" s="5"/>
      <c r="H1207" s="5"/>
      <c r="I1207" s="5"/>
      <c r="J1207" s="5" t="str">
        <f>IFERROR(__xludf.DUMMYFUNCTION("""COMPUTED_VALUE"""),"Rheumatology")</f>
        <v>Rheumatology</v>
      </c>
      <c r="K1207" s="5" t="str">
        <f>IFERROR(__xludf.DUMMYFUNCTION("""COMPUTED_VALUE"""),"Current")</f>
        <v>Current</v>
      </c>
      <c r="L1207" s="5"/>
      <c r="M1207" s="5"/>
      <c r="N1207" s="13">
        <f>IFERROR(__xludf.DUMMYFUNCTION("""COMPUTED_VALUE"""),44545.0)</f>
        <v>44545</v>
      </c>
      <c r="O1207" s="5">
        <v>2021.0</v>
      </c>
      <c r="P1207" s="5" t="str">
        <f>IFERROR(__xludf.DUMMYFUNCTION("""COMPUTED_VALUE"""),"Available")</f>
        <v>Available</v>
      </c>
      <c r="Q1207" s="5" t="s">
        <v>135</v>
      </c>
      <c r="R1207" s="5" t="s">
        <v>136</v>
      </c>
      <c r="S1207" s="11">
        <v>1776.0</v>
      </c>
    </row>
    <row r="1208">
      <c r="A1208" s="5" t="str">
        <f>IFERROR(__xludf.DUMMYFUNCTION("""COMPUTED_VALUE"""),"Methylprednisolone Acetate Injection")</f>
        <v>Methylprednisolone Acetate Injection</v>
      </c>
      <c r="B1208" s="5" t="str">
        <f>IFERROR(__xludf.DUMMYFUNCTION("""COMPUTED_VALUE"""),"Pfizer Inc.")</f>
        <v>Pfizer Inc.</v>
      </c>
      <c r="C1208" s="5" t="str">
        <f>IFERROR(__xludf.DUMMYFUNCTION("""COMPUTED_VALUE"""),"Depo-medrol, Injection, 80 mg/1 mL (NDC 0009-0306-12)")</f>
        <v>Depo-medrol, Injection, 80 mg/1 mL (NDC 0009-0306-12)</v>
      </c>
      <c r="D1208" s="5" t="str">
        <f>IFERROR(__xludf.DUMMYFUNCTION("""COMPUTED_VALUE"""),"Reverified")</f>
        <v>Reverified</v>
      </c>
      <c r="E1208" s="13">
        <f>IFERROR(__xludf.DUMMYFUNCTION("""COMPUTED_VALUE"""),46316.0)</f>
        <v>46316</v>
      </c>
      <c r="F1208" s="5" t="str">
        <f>IFERROR(__xludf.DUMMYFUNCTION("""COMPUTED_VALUE"""),"Available")</f>
        <v>Available</v>
      </c>
      <c r="G1208" s="5"/>
      <c r="H1208" s="5"/>
      <c r="I1208" s="5"/>
      <c r="J1208" s="5" t="str">
        <f>IFERROR(__xludf.DUMMYFUNCTION("""COMPUTED_VALUE"""),"Rheumatology")</f>
        <v>Rheumatology</v>
      </c>
      <c r="K1208" s="5" t="str">
        <f>IFERROR(__xludf.DUMMYFUNCTION("""COMPUTED_VALUE"""),"Current")</f>
        <v>Current</v>
      </c>
      <c r="L1208" s="5"/>
      <c r="M1208" s="5"/>
      <c r="N1208" s="13">
        <f>IFERROR(__xludf.DUMMYFUNCTION("""COMPUTED_VALUE"""),44545.0)</f>
        <v>44545</v>
      </c>
      <c r="O1208" s="5">
        <v>2021.0</v>
      </c>
      <c r="P1208" s="5" t="str">
        <f>IFERROR(__xludf.DUMMYFUNCTION("""COMPUTED_VALUE"""),"Available")</f>
        <v>Available</v>
      </c>
      <c r="Q1208" s="5" t="s">
        <v>135</v>
      </c>
      <c r="R1208" s="5" t="s">
        <v>136</v>
      </c>
      <c r="S1208" s="11">
        <v>1776.0</v>
      </c>
    </row>
    <row r="1209">
      <c r="A1209" s="5" t="str">
        <f>IFERROR(__xludf.DUMMYFUNCTION("""COMPUTED_VALUE"""),"Methylprednisolone Acetate Injection")</f>
        <v>Methylprednisolone Acetate Injection</v>
      </c>
      <c r="B1209" s="5" t="str">
        <f>IFERROR(__xludf.DUMMYFUNCTION("""COMPUTED_VALUE"""),"Pfizer Inc.")</f>
        <v>Pfizer Inc.</v>
      </c>
      <c r="C1209" s="5" t="str">
        <f>IFERROR(__xludf.DUMMYFUNCTION("""COMPUTED_VALUE"""),"Depo-medrol, Injection, 40 mg/1 mL (NDC 0009-3073-01)")</f>
        <v>Depo-medrol, Injection, 40 mg/1 mL (NDC 0009-3073-01)</v>
      </c>
      <c r="D1209" s="5" t="str">
        <f>IFERROR(__xludf.DUMMYFUNCTION("""COMPUTED_VALUE"""),"Revised")</f>
        <v>Revised</v>
      </c>
      <c r="E1209" s="13">
        <f>IFERROR(__xludf.DUMMYFUNCTION("""COMPUTED_VALUE"""),46316.0)</f>
        <v>46316</v>
      </c>
      <c r="F1209" s="5" t="str">
        <f>IFERROR(__xludf.DUMMYFUNCTION("""COMPUTED_VALUE"""),"Limited Availability")</f>
        <v>Limited Availability</v>
      </c>
      <c r="G1209" s="5" t="str">
        <f>IFERROR(__xludf.DUMMYFUNCTION("""COMPUTED_VALUE"""),"Limited Supply Available. Next Delivery: October 2026; Estimated Recovery: December 2026")</f>
        <v>Limited Supply Available. Next Delivery: October 2026; Estimated Recovery: December 2026</v>
      </c>
      <c r="H1209" s="5"/>
      <c r="I1209" s="5" t="str">
        <f>IFERROR(__xludf.DUMMYFUNCTION("""COMPUTED_VALUE"""),"Demand increase for the drug")</f>
        <v>Demand increase for the drug</v>
      </c>
      <c r="J1209" s="5" t="str">
        <f>IFERROR(__xludf.DUMMYFUNCTION("""COMPUTED_VALUE"""),"Rheumatology")</f>
        <v>Rheumatology</v>
      </c>
      <c r="K1209" s="5" t="str">
        <f>IFERROR(__xludf.DUMMYFUNCTION("""COMPUTED_VALUE"""),"Current")</f>
        <v>Current</v>
      </c>
      <c r="L1209" s="5"/>
      <c r="M1209" s="5"/>
      <c r="N1209" s="13">
        <f>IFERROR(__xludf.DUMMYFUNCTION("""COMPUTED_VALUE"""),44545.0)</f>
        <v>44545</v>
      </c>
      <c r="O1209" s="5">
        <v>2021.0</v>
      </c>
      <c r="P1209" s="5" t="str">
        <f>IFERROR(__xludf.DUMMYFUNCTION("""COMPUTED_VALUE"""),"Limited Availability")</f>
        <v>Limited Availability</v>
      </c>
      <c r="Q1209" s="5" t="s">
        <v>134</v>
      </c>
      <c r="R1209" s="5" t="s">
        <v>136</v>
      </c>
      <c r="S1209" s="11">
        <v>1776.0</v>
      </c>
    </row>
    <row r="1210">
      <c r="A1210" s="5" t="str">
        <f>IFERROR(__xludf.DUMMYFUNCTION("""COMPUTED_VALUE"""),"Methylprednisolone Acetate Injection")</f>
        <v>Methylprednisolone Acetate Injection</v>
      </c>
      <c r="B1210" s="5" t="str">
        <f>IFERROR(__xludf.DUMMYFUNCTION("""COMPUTED_VALUE"""),"Pfizer Inc.")</f>
        <v>Pfizer Inc.</v>
      </c>
      <c r="C1210" s="5" t="str">
        <f>IFERROR(__xludf.DUMMYFUNCTION("""COMPUTED_VALUE"""),"Depo-medrol, Injection, 40 mg/1 mL (NDC 0009-3073-03)")</f>
        <v>Depo-medrol, Injection, 40 mg/1 mL (NDC 0009-3073-03)</v>
      </c>
      <c r="D1210" s="5" t="str">
        <f>IFERROR(__xludf.DUMMYFUNCTION("""COMPUTED_VALUE"""),"Revised")</f>
        <v>Revised</v>
      </c>
      <c r="E1210" s="13">
        <f>IFERROR(__xludf.DUMMYFUNCTION("""COMPUTED_VALUE"""),46316.0)</f>
        <v>46316</v>
      </c>
      <c r="F1210" s="5" t="str">
        <f>IFERROR(__xludf.DUMMYFUNCTION("""COMPUTED_VALUE"""),"Limited Availability")</f>
        <v>Limited Availability</v>
      </c>
      <c r="G1210" s="5" t="str">
        <f>IFERROR(__xludf.DUMMYFUNCTION("""COMPUTED_VALUE"""),"Limited Supply Available. Next Delivery: November 2026; Estimated Recovery: December 2026; Shortage per Manufacturer: Manufacturing Delay")</f>
        <v>Limited Supply Available. Next Delivery: November 2026; Estimated Recovery: December 2026; Shortage per Manufacturer: Manufacturing Delay</v>
      </c>
      <c r="H1210" s="5"/>
      <c r="I1210" s="5" t="str">
        <f>IFERROR(__xludf.DUMMYFUNCTION("""COMPUTED_VALUE"""),"Other")</f>
        <v>Other</v>
      </c>
      <c r="J1210" s="5" t="str">
        <f>IFERROR(__xludf.DUMMYFUNCTION("""COMPUTED_VALUE"""),"Rheumatology")</f>
        <v>Rheumatology</v>
      </c>
      <c r="K1210" s="5" t="str">
        <f>IFERROR(__xludf.DUMMYFUNCTION("""COMPUTED_VALUE"""),"Current")</f>
        <v>Current</v>
      </c>
      <c r="L1210" s="5"/>
      <c r="M1210" s="5"/>
      <c r="N1210" s="13">
        <f>IFERROR(__xludf.DUMMYFUNCTION("""COMPUTED_VALUE"""),44545.0)</f>
        <v>44545</v>
      </c>
      <c r="O1210" s="5">
        <v>2021.0</v>
      </c>
      <c r="P1210" s="5" t="str">
        <f>IFERROR(__xludf.DUMMYFUNCTION("""COMPUTED_VALUE"""),"Limited Availability")</f>
        <v>Limited Availability</v>
      </c>
      <c r="Q1210" s="5" t="s">
        <v>47</v>
      </c>
      <c r="R1210" s="5" t="s">
        <v>136</v>
      </c>
      <c r="S1210" s="11">
        <v>1776.0</v>
      </c>
    </row>
    <row r="1211">
      <c r="A1211" s="5" t="str">
        <f>IFERROR(__xludf.DUMMYFUNCTION("""COMPUTED_VALUE"""),"Methylprednisolone Acetate Injection")</f>
        <v>Methylprednisolone Acetate Injection</v>
      </c>
      <c r="B1211" s="5" t="str">
        <f>IFERROR(__xludf.DUMMYFUNCTION("""COMPUTED_VALUE"""),"Pfizer Inc.")</f>
        <v>Pfizer Inc.</v>
      </c>
      <c r="C1211" s="5" t="str">
        <f>IFERROR(__xludf.DUMMYFUNCTION("""COMPUTED_VALUE"""),"Depo-medrol, Injection, 40 mg/1 mL (NDC 0009-3073-22)")</f>
        <v>Depo-medrol, Injection, 40 mg/1 mL (NDC 0009-3073-22)</v>
      </c>
      <c r="D1211" s="5" t="str">
        <f>IFERROR(__xludf.DUMMYFUNCTION("""COMPUTED_VALUE"""),"Revised")</f>
        <v>Revised</v>
      </c>
      <c r="E1211" s="13">
        <f>IFERROR(__xludf.DUMMYFUNCTION("""COMPUTED_VALUE"""),46316.0)</f>
        <v>46316</v>
      </c>
      <c r="F1211" s="5" t="str">
        <f>IFERROR(__xludf.DUMMYFUNCTION("""COMPUTED_VALUE"""),"Available")</f>
        <v>Available</v>
      </c>
      <c r="G1211" s="5"/>
      <c r="H1211" s="5"/>
      <c r="I1211" s="5"/>
      <c r="J1211" s="5" t="str">
        <f>IFERROR(__xludf.DUMMYFUNCTION("""COMPUTED_VALUE"""),"Rheumatology")</f>
        <v>Rheumatology</v>
      </c>
      <c r="K1211" s="5" t="str">
        <f>IFERROR(__xludf.DUMMYFUNCTION("""COMPUTED_VALUE"""),"Current")</f>
        <v>Current</v>
      </c>
      <c r="L1211" s="5"/>
      <c r="M1211" s="5"/>
      <c r="N1211" s="13">
        <f>IFERROR(__xludf.DUMMYFUNCTION("""COMPUTED_VALUE"""),44545.0)</f>
        <v>44545</v>
      </c>
      <c r="O1211" s="5">
        <v>2021.0</v>
      </c>
      <c r="P1211" s="5" t="str">
        <f>IFERROR(__xludf.DUMMYFUNCTION("""COMPUTED_VALUE"""),"Available")</f>
        <v>Available</v>
      </c>
      <c r="Q1211" s="5" t="s">
        <v>135</v>
      </c>
      <c r="R1211" s="5" t="s">
        <v>136</v>
      </c>
      <c r="S1211" s="11">
        <v>1776.0</v>
      </c>
    </row>
    <row r="1212">
      <c r="A1212" s="5" t="str">
        <f>IFERROR(__xludf.DUMMYFUNCTION("""COMPUTED_VALUE"""),"Methylprednisolone Acetate Injection")</f>
        <v>Methylprednisolone Acetate Injection</v>
      </c>
      <c r="B1212" s="5" t="str">
        <f>IFERROR(__xludf.DUMMYFUNCTION("""COMPUTED_VALUE"""),"Pfizer Inc.")</f>
        <v>Pfizer Inc.</v>
      </c>
      <c r="C1212" s="5" t="str">
        <f>IFERROR(__xludf.DUMMYFUNCTION("""COMPUTED_VALUE"""),"Depo-medrol, Injection, 40 mg/1 mL (NDC 0009-3073-23)")</f>
        <v>Depo-medrol, Injection, 40 mg/1 mL (NDC 0009-3073-23)</v>
      </c>
      <c r="D1212" s="5" t="str">
        <f>IFERROR(__xludf.DUMMYFUNCTION("""COMPUTED_VALUE"""),"Revised")</f>
        <v>Revised</v>
      </c>
      <c r="E1212" s="13">
        <f>IFERROR(__xludf.DUMMYFUNCTION("""COMPUTED_VALUE"""),46316.0)</f>
        <v>46316</v>
      </c>
      <c r="F1212" s="5" t="str">
        <f>IFERROR(__xludf.DUMMYFUNCTION("""COMPUTED_VALUE"""),"Available")</f>
        <v>Available</v>
      </c>
      <c r="G1212" s="5"/>
      <c r="H1212" s="5"/>
      <c r="I1212" s="5"/>
      <c r="J1212" s="5" t="str">
        <f>IFERROR(__xludf.DUMMYFUNCTION("""COMPUTED_VALUE"""),"Rheumatology")</f>
        <v>Rheumatology</v>
      </c>
      <c r="K1212" s="5" t="str">
        <f>IFERROR(__xludf.DUMMYFUNCTION("""COMPUTED_VALUE"""),"Current")</f>
        <v>Current</v>
      </c>
      <c r="L1212" s="5"/>
      <c r="M1212" s="5"/>
      <c r="N1212" s="13">
        <f>IFERROR(__xludf.DUMMYFUNCTION("""COMPUTED_VALUE"""),44545.0)</f>
        <v>44545</v>
      </c>
      <c r="O1212" s="5">
        <v>2021.0</v>
      </c>
      <c r="P1212" s="5" t="str">
        <f>IFERROR(__xludf.DUMMYFUNCTION("""COMPUTED_VALUE"""),"Available")</f>
        <v>Available</v>
      </c>
      <c r="Q1212" s="5" t="s">
        <v>135</v>
      </c>
      <c r="R1212" s="5" t="s">
        <v>136</v>
      </c>
      <c r="S1212" s="11">
        <v>1776.0</v>
      </c>
    </row>
    <row r="1213">
      <c r="A1213" s="5" t="str">
        <f>IFERROR(__xludf.DUMMYFUNCTION("""COMPUTED_VALUE"""),"Methylprednisolone Acetate Injection")</f>
        <v>Methylprednisolone Acetate Injection</v>
      </c>
      <c r="B1213" s="5" t="str">
        <f>IFERROR(__xludf.DUMMYFUNCTION("""COMPUTED_VALUE"""),"Pfizer Inc.")</f>
        <v>Pfizer Inc.</v>
      </c>
      <c r="C1213" s="5" t="str">
        <f>IFERROR(__xludf.DUMMYFUNCTION("""COMPUTED_VALUE"""),"Depo-medrol, Injection, 80 mg/1 mL (NDC 0009-3475-01)")</f>
        <v>Depo-medrol, Injection, 80 mg/1 mL (NDC 0009-3475-01)</v>
      </c>
      <c r="D1213" s="5" t="str">
        <f>IFERROR(__xludf.DUMMYFUNCTION("""COMPUTED_VALUE"""),"Revised")</f>
        <v>Revised</v>
      </c>
      <c r="E1213" s="13">
        <f>IFERROR(__xludf.DUMMYFUNCTION("""COMPUTED_VALUE"""),46316.0)</f>
        <v>46316</v>
      </c>
      <c r="F1213" s="5" t="str">
        <f>IFERROR(__xludf.DUMMYFUNCTION("""COMPUTED_VALUE"""),"Limited Availability")</f>
        <v>Limited Availability</v>
      </c>
      <c r="G1213" s="5" t="str">
        <f>IFERROR(__xludf.DUMMYFUNCTION("""COMPUTED_VALUE"""),"Limited Supply Available. Next Delivery and Estimated Recovery: December 2026")</f>
        <v>Limited Supply Available. Next Delivery and Estimated Recovery: December 2026</v>
      </c>
      <c r="H1213" s="5"/>
      <c r="I1213" s="5" t="str">
        <f>IFERROR(__xludf.DUMMYFUNCTION("""COMPUTED_VALUE"""),"Demand increase for the drug")</f>
        <v>Demand increase for the drug</v>
      </c>
      <c r="J1213" s="5" t="str">
        <f>IFERROR(__xludf.DUMMYFUNCTION("""COMPUTED_VALUE"""),"Rheumatology")</f>
        <v>Rheumatology</v>
      </c>
      <c r="K1213" s="5" t="str">
        <f>IFERROR(__xludf.DUMMYFUNCTION("""COMPUTED_VALUE"""),"Current")</f>
        <v>Current</v>
      </c>
      <c r="L1213" s="5"/>
      <c r="M1213" s="5"/>
      <c r="N1213" s="13">
        <f>IFERROR(__xludf.DUMMYFUNCTION("""COMPUTED_VALUE"""),44545.0)</f>
        <v>44545</v>
      </c>
      <c r="O1213" s="5">
        <v>2021.0</v>
      </c>
      <c r="P1213" s="5" t="str">
        <f>IFERROR(__xludf.DUMMYFUNCTION("""COMPUTED_VALUE"""),"Limited Availability")</f>
        <v>Limited Availability</v>
      </c>
      <c r="Q1213" s="5" t="s">
        <v>134</v>
      </c>
      <c r="R1213" s="5" t="s">
        <v>136</v>
      </c>
      <c r="S1213" s="11">
        <v>1776.0</v>
      </c>
    </row>
    <row r="1214">
      <c r="A1214" s="5" t="str">
        <f>IFERROR(__xludf.DUMMYFUNCTION("""COMPUTED_VALUE"""),"Methylprednisolone Acetate Injection")</f>
        <v>Methylprednisolone Acetate Injection</v>
      </c>
      <c r="B1214" s="5" t="str">
        <f>IFERROR(__xludf.DUMMYFUNCTION("""COMPUTED_VALUE"""),"Pfizer Inc.")</f>
        <v>Pfizer Inc.</v>
      </c>
      <c r="C1214" s="5" t="str">
        <f>IFERROR(__xludf.DUMMYFUNCTION("""COMPUTED_VALUE"""),"Depo-medrol, Injection, 80 mg/1 mL (NDC 0009-3475-03)")</f>
        <v>Depo-medrol, Injection, 80 mg/1 mL (NDC 0009-3475-03)</v>
      </c>
      <c r="D1214" s="5" t="str">
        <f>IFERROR(__xludf.DUMMYFUNCTION("""COMPUTED_VALUE"""),"Revised")</f>
        <v>Revised</v>
      </c>
      <c r="E1214" s="13">
        <f>IFERROR(__xludf.DUMMYFUNCTION("""COMPUTED_VALUE"""),46316.0)</f>
        <v>46316</v>
      </c>
      <c r="F1214" s="5" t="str">
        <f>IFERROR(__xludf.DUMMYFUNCTION("""COMPUTED_VALUE"""),"Limited Availability")</f>
        <v>Limited Availability</v>
      </c>
      <c r="G1214" s="5" t="str">
        <f>IFERROR(__xludf.DUMMYFUNCTION("""COMPUTED_VALUE"""),"Limited Supply Available. Next Delivery: October 2026; Estimated Recovery: December 2026; Shortage per Manufacturer: Manufacturing Delay")</f>
        <v>Limited Supply Available. Next Delivery: October 2026; Estimated Recovery: December 2026; Shortage per Manufacturer: Manufacturing Delay</v>
      </c>
      <c r="H1214" s="5"/>
      <c r="I1214" s="5" t="str">
        <f>IFERROR(__xludf.DUMMYFUNCTION("""COMPUTED_VALUE"""),"Other")</f>
        <v>Other</v>
      </c>
      <c r="J1214" s="5" t="str">
        <f>IFERROR(__xludf.DUMMYFUNCTION("""COMPUTED_VALUE"""),"Rheumatology")</f>
        <v>Rheumatology</v>
      </c>
      <c r="K1214" s="5" t="str">
        <f>IFERROR(__xludf.DUMMYFUNCTION("""COMPUTED_VALUE"""),"Current")</f>
        <v>Current</v>
      </c>
      <c r="L1214" s="5"/>
      <c r="M1214" s="5"/>
      <c r="N1214" s="13">
        <f>IFERROR(__xludf.DUMMYFUNCTION("""COMPUTED_VALUE"""),44545.0)</f>
        <v>44545</v>
      </c>
      <c r="O1214" s="5">
        <v>2021.0</v>
      </c>
      <c r="P1214" s="5" t="str">
        <f>IFERROR(__xludf.DUMMYFUNCTION("""COMPUTED_VALUE"""),"Limited Availability")</f>
        <v>Limited Availability</v>
      </c>
      <c r="Q1214" s="5" t="s">
        <v>47</v>
      </c>
      <c r="R1214" s="5" t="s">
        <v>136</v>
      </c>
      <c r="S1214" s="11">
        <v>1776.0</v>
      </c>
    </row>
    <row r="1215">
      <c r="A1215" s="5" t="str">
        <f>IFERROR(__xludf.DUMMYFUNCTION("""COMPUTED_VALUE"""),"Metoprolol Succinate Tablet, Extended Release")</f>
        <v>Metoprolol Succinate Tablet, Extended Release</v>
      </c>
      <c r="B1215" s="5" t="str">
        <f>IFERROR(__xludf.DUMMYFUNCTION("""COMPUTED_VALUE"""),"Teva Pharmaceuticals USA, Inc.")</f>
        <v>Teva Pharmaceuticals USA, Inc.</v>
      </c>
      <c r="C1215" s="5" t="str">
        <f>IFERROR(__xludf.DUMMYFUNCTION("""COMPUTED_VALUE"""),"Metoprolol Succinate, Tablet, Extended Release, 50 mg (NDC 45963-676-11)")</f>
        <v>Metoprolol Succinate, Tablet, Extended Release, 50 mg (NDC 45963-676-11)</v>
      </c>
      <c r="D1215" s="5" t="str">
        <f>IFERROR(__xludf.DUMMYFUNCTION("""COMPUTED_VALUE"""),"New")</f>
        <v>New</v>
      </c>
      <c r="E1215" s="10">
        <f>IFERROR(__xludf.DUMMYFUNCTION("""COMPUTED_VALUE"""),46265.0)</f>
        <v>46265</v>
      </c>
      <c r="F1215" s="5"/>
      <c r="G1215" s="5" t="str">
        <f>IFERROR(__xludf.DUMMYFUNCTION("""COMPUTED_VALUE"""),"A business decision was made to discontinue manufacture of the drug.")</f>
        <v>A business decision was made to discontinue manufacture of the drug.</v>
      </c>
      <c r="H1215" s="5"/>
      <c r="I1215" s="5"/>
      <c r="J1215" s="5" t="str">
        <f>IFERROR(__xludf.DUMMYFUNCTION("""COMPUTED_VALUE"""),"Cardiovascular")</f>
        <v>Cardiovascular</v>
      </c>
      <c r="K1215" s="5" t="str">
        <f>IFERROR(__xludf.DUMMYFUNCTION("""COMPUTED_VALUE"""),"To Be Discontinued")</f>
        <v>To Be Discontinued</v>
      </c>
      <c r="L1215" s="5"/>
      <c r="M1215" s="10">
        <f>IFERROR(__xludf.DUMMYFUNCTION("""COMPUTED_VALUE"""),46265.0)</f>
        <v>46265</v>
      </c>
      <c r="N1215" s="10">
        <f>IFERROR(__xludf.DUMMYFUNCTION("""COMPUTED_VALUE"""),46265.0)</f>
        <v>46265</v>
      </c>
      <c r="O1215" s="5">
        <v>2026.0</v>
      </c>
      <c r="P1215" s="5" t="str">
        <f>IFERROR(__xludf.DUMMYFUNCTION("""COMPUTED_VALUE"""),"Not stated")</f>
        <v>Not stated</v>
      </c>
      <c r="Q1215" s="5" t="s">
        <v>135</v>
      </c>
      <c r="R1215" s="5" t="s">
        <v>136</v>
      </c>
      <c r="S1215" s="11">
        <v>56.0</v>
      </c>
    </row>
    <row r="1216">
      <c r="A1216" s="5" t="str">
        <f>IFERROR(__xludf.DUMMYFUNCTION("""COMPUTED_VALUE"""),"Metoprolol Succinate Tablet, Extended Release")</f>
        <v>Metoprolol Succinate Tablet, Extended Release</v>
      </c>
      <c r="B1216" s="5" t="str">
        <f>IFERROR(__xludf.DUMMYFUNCTION("""COMPUTED_VALUE"""),"Teva Pharmaceuticals USA, Inc.")</f>
        <v>Teva Pharmaceuticals USA, Inc.</v>
      </c>
      <c r="C1216" s="5" t="str">
        <f>IFERROR(__xludf.DUMMYFUNCTION("""COMPUTED_VALUE"""),"Metoprolol Succinate, Tablet, Extended Release, 50 mg (NDC 45963-676-96)")</f>
        <v>Metoprolol Succinate, Tablet, Extended Release, 50 mg (NDC 45963-676-96)</v>
      </c>
      <c r="D1216" s="5" t="str">
        <f>IFERROR(__xludf.DUMMYFUNCTION("""COMPUTED_VALUE"""),"New")</f>
        <v>New</v>
      </c>
      <c r="E1216" s="10">
        <f>IFERROR(__xludf.DUMMYFUNCTION("""COMPUTED_VALUE"""),46265.0)</f>
        <v>46265</v>
      </c>
      <c r="F1216" s="5"/>
      <c r="G1216" s="5" t="str">
        <f>IFERROR(__xludf.DUMMYFUNCTION("""COMPUTED_VALUE"""),"A business decision was made to discontinue manufacture of the drug.")</f>
        <v>A business decision was made to discontinue manufacture of the drug.</v>
      </c>
      <c r="H1216" s="5"/>
      <c r="I1216" s="5"/>
      <c r="J1216" s="5" t="str">
        <f>IFERROR(__xludf.DUMMYFUNCTION("""COMPUTED_VALUE"""),"Cardiovascular")</f>
        <v>Cardiovascular</v>
      </c>
      <c r="K1216" s="5" t="str">
        <f>IFERROR(__xludf.DUMMYFUNCTION("""COMPUTED_VALUE"""),"To Be Discontinued")</f>
        <v>To Be Discontinued</v>
      </c>
      <c r="L1216" s="5"/>
      <c r="M1216" s="10">
        <f>IFERROR(__xludf.DUMMYFUNCTION("""COMPUTED_VALUE"""),46265.0)</f>
        <v>46265</v>
      </c>
      <c r="N1216" s="10">
        <f>IFERROR(__xludf.DUMMYFUNCTION("""COMPUTED_VALUE"""),46265.0)</f>
        <v>46265</v>
      </c>
      <c r="O1216" s="5">
        <v>2026.0</v>
      </c>
      <c r="P1216" s="5" t="str">
        <f>IFERROR(__xludf.DUMMYFUNCTION("""COMPUTED_VALUE"""),"Not stated")</f>
        <v>Not stated</v>
      </c>
      <c r="Q1216" s="5" t="s">
        <v>135</v>
      </c>
      <c r="R1216" s="5" t="s">
        <v>136</v>
      </c>
      <c r="S1216" s="11">
        <v>56.0</v>
      </c>
    </row>
    <row r="1217">
      <c r="A1217" s="5" t="str">
        <f>IFERROR(__xludf.DUMMYFUNCTION("""COMPUTED_VALUE"""),"Metoprolol Succinate Tablet, Extended Release")</f>
        <v>Metoprolol Succinate Tablet, Extended Release</v>
      </c>
      <c r="B1217" s="5" t="str">
        <f>IFERROR(__xludf.DUMMYFUNCTION("""COMPUTED_VALUE"""),"Teva Pharmaceuticals USA, Inc.")</f>
        <v>Teva Pharmaceuticals USA, Inc.</v>
      </c>
      <c r="C1217" s="5" t="str">
        <f>IFERROR(__xludf.DUMMYFUNCTION("""COMPUTED_VALUE"""),"Metoprolol Succinate, Tablet, Extended Release, 100 mg (NDC 45963-677-11)")</f>
        <v>Metoprolol Succinate, Tablet, Extended Release, 100 mg (NDC 45963-677-11)</v>
      </c>
      <c r="D1217" s="5" t="str">
        <f>IFERROR(__xludf.DUMMYFUNCTION("""COMPUTED_VALUE"""),"New")</f>
        <v>New</v>
      </c>
      <c r="E1217" s="10">
        <f>IFERROR(__xludf.DUMMYFUNCTION("""COMPUTED_VALUE"""),46265.0)</f>
        <v>46265</v>
      </c>
      <c r="F1217" s="5"/>
      <c r="G1217" s="5" t="str">
        <f>IFERROR(__xludf.DUMMYFUNCTION("""COMPUTED_VALUE"""),"A business decision was made to discontinue manufacture of the drug.")</f>
        <v>A business decision was made to discontinue manufacture of the drug.</v>
      </c>
      <c r="H1217" s="5"/>
      <c r="I1217" s="5"/>
      <c r="J1217" s="5" t="str">
        <f>IFERROR(__xludf.DUMMYFUNCTION("""COMPUTED_VALUE"""),"Cardiovascular")</f>
        <v>Cardiovascular</v>
      </c>
      <c r="K1217" s="5" t="str">
        <f>IFERROR(__xludf.DUMMYFUNCTION("""COMPUTED_VALUE"""),"To Be Discontinued")</f>
        <v>To Be Discontinued</v>
      </c>
      <c r="L1217" s="5"/>
      <c r="M1217" s="10">
        <f>IFERROR(__xludf.DUMMYFUNCTION("""COMPUTED_VALUE"""),46265.0)</f>
        <v>46265</v>
      </c>
      <c r="N1217" s="10">
        <f>IFERROR(__xludf.DUMMYFUNCTION("""COMPUTED_VALUE"""),46265.0)</f>
        <v>46265</v>
      </c>
      <c r="O1217" s="5">
        <v>2026.0</v>
      </c>
      <c r="P1217" s="5" t="str">
        <f>IFERROR(__xludf.DUMMYFUNCTION("""COMPUTED_VALUE"""),"Not stated")</f>
        <v>Not stated</v>
      </c>
      <c r="Q1217" s="5" t="s">
        <v>135</v>
      </c>
      <c r="R1217" s="5" t="s">
        <v>136</v>
      </c>
      <c r="S1217" s="11">
        <v>56.0</v>
      </c>
    </row>
    <row r="1218">
      <c r="A1218" s="5" t="str">
        <f>IFERROR(__xludf.DUMMYFUNCTION("""COMPUTED_VALUE"""),"Metoprolol Succinate Tablet, Extended Release")</f>
        <v>Metoprolol Succinate Tablet, Extended Release</v>
      </c>
      <c r="B1218" s="5" t="str">
        <f>IFERROR(__xludf.DUMMYFUNCTION("""COMPUTED_VALUE"""),"Teva Pharmaceuticals USA, Inc.")</f>
        <v>Teva Pharmaceuticals USA, Inc.</v>
      </c>
      <c r="C1218" s="5" t="str">
        <f>IFERROR(__xludf.DUMMYFUNCTION("""COMPUTED_VALUE"""),"Metoprolol Succinate, Tablet, Extended Release, 100 mg (NDC 45963-677-96)")</f>
        <v>Metoprolol Succinate, Tablet, Extended Release, 100 mg (NDC 45963-677-96)</v>
      </c>
      <c r="D1218" s="5" t="str">
        <f>IFERROR(__xludf.DUMMYFUNCTION("""COMPUTED_VALUE"""),"New")</f>
        <v>New</v>
      </c>
      <c r="E1218" s="10">
        <f>IFERROR(__xludf.DUMMYFUNCTION("""COMPUTED_VALUE"""),46265.0)</f>
        <v>46265</v>
      </c>
      <c r="F1218" s="5"/>
      <c r="G1218" s="5" t="str">
        <f>IFERROR(__xludf.DUMMYFUNCTION("""COMPUTED_VALUE"""),"A business decision was made to discontinue manufacture of the drug.")</f>
        <v>A business decision was made to discontinue manufacture of the drug.</v>
      </c>
      <c r="H1218" s="5"/>
      <c r="I1218" s="5"/>
      <c r="J1218" s="5" t="str">
        <f>IFERROR(__xludf.DUMMYFUNCTION("""COMPUTED_VALUE"""),"Cardiovascular")</f>
        <v>Cardiovascular</v>
      </c>
      <c r="K1218" s="5" t="str">
        <f>IFERROR(__xludf.DUMMYFUNCTION("""COMPUTED_VALUE"""),"To Be Discontinued")</f>
        <v>To Be Discontinued</v>
      </c>
      <c r="L1218" s="5"/>
      <c r="M1218" s="10">
        <f>IFERROR(__xludf.DUMMYFUNCTION("""COMPUTED_VALUE"""),46265.0)</f>
        <v>46265</v>
      </c>
      <c r="N1218" s="10">
        <f>IFERROR(__xludf.DUMMYFUNCTION("""COMPUTED_VALUE"""),46265.0)</f>
        <v>46265</v>
      </c>
      <c r="O1218" s="5">
        <v>2026.0</v>
      </c>
      <c r="P1218" s="5" t="str">
        <f>IFERROR(__xludf.DUMMYFUNCTION("""COMPUTED_VALUE"""),"Not stated")</f>
        <v>Not stated</v>
      </c>
      <c r="Q1218" s="5" t="s">
        <v>135</v>
      </c>
      <c r="R1218" s="5" t="s">
        <v>136</v>
      </c>
      <c r="S1218" s="11">
        <v>56.0</v>
      </c>
    </row>
    <row r="1219">
      <c r="A1219" s="5" t="str">
        <f>IFERROR(__xludf.DUMMYFUNCTION("""COMPUTED_VALUE"""),"Metoprolol Succinate Tablet, Extended Release")</f>
        <v>Metoprolol Succinate Tablet, Extended Release</v>
      </c>
      <c r="B1219" s="5" t="str">
        <f>IFERROR(__xludf.DUMMYFUNCTION("""COMPUTED_VALUE"""),"Teva Pharmaceuticals USA, Inc.")</f>
        <v>Teva Pharmaceuticals USA, Inc.</v>
      </c>
      <c r="C1219" s="5" t="str">
        <f>IFERROR(__xludf.DUMMYFUNCTION("""COMPUTED_VALUE"""),"Metoprolol Succinate, Tablet, Extended Release, 200 mg (NDC 45963-678-11)")</f>
        <v>Metoprolol Succinate, Tablet, Extended Release, 200 mg (NDC 45963-678-11)</v>
      </c>
      <c r="D1219" s="5" t="str">
        <f>IFERROR(__xludf.DUMMYFUNCTION("""COMPUTED_VALUE"""),"New")</f>
        <v>New</v>
      </c>
      <c r="E1219" s="10">
        <f>IFERROR(__xludf.DUMMYFUNCTION("""COMPUTED_VALUE"""),46265.0)</f>
        <v>46265</v>
      </c>
      <c r="F1219" s="5"/>
      <c r="G1219" s="5" t="str">
        <f>IFERROR(__xludf.DUMMYFUNCTION("""COMPUTED_VALUE"""),"A business decision was made to discontinue manufacture of the drug.")</f>
        <v>A business decision was made to discontinue manufacture of the drug.</v>
      </c>
      <c r="H1219" s="5"/>
      <c r="I1219" s="5"/>
      <c r="J1219" s="5" t="str">
        <f>IFERROR(__xludf.DUMMYFUNCTION("""COMPUTED_VALUE"""),"Cardiovascular")</f>
        <v>Cardiovascular</v>
      </c>
      <c r="K1219" s="5" t="str">
        <f>IFERROR(__xludf.DUMMYFUNCTION("""COMPUTED_VALUE"""),"To Be Discontinued")</f>
        <v>To Be Discontinued</v>
      </c>
      <c r="L1219" s="5"/>
      <c r="M1219" s="10">
        <f>IFERROR(__xludf.DUMMYFUNCTION("""COMPUTED_VALUE"""),46265.0)</f>
        <v>46265</v>
      </c>
      <c r="N1219" s="10">
        <f>IFERROR(__xludf.DUMMYFUNCTION("""COMPUTED_VALUE"""),46265.0)</f>
        <v>46265</v>
      </c>
      <c r="O1219" s="5">
        <v>2026.0</v>
      </c>
      <c r="P1219" s="5" t="str">
        <f>IFERROR(__xludf.DUMMYFUNCTION("""COMPUTED_VALUE"""),"Not stated")</f>
        <v>Not stated</v>
      </c>
      <c r="Q1219" s="5" t="s">
        <v>135</v>
      </c>
      <c r="R1219" s="5" t="s">
        <v>136</v>
      </c>
      <c r="S1219" s="11">
        <v>56.0</v>
      </c>
    </row>
    <row r="1220">
      <c r="A1220" s="5" t="str">
        <f>IFERROR(__xludf.DUMMYFUNCTION("""COMPUTED_VALUE"""),"Metoprolol Succinate Tablet, Extended Release")</f>
        <v>Metoprolol Succinate Tablet, Extended Release</v>
      </c>
      <c r="B1220" s="5" t="str">
        <f>IFERROR(__xludf.DUMMYFUNCTION("""COMPUTED_VALUE"""),"Teva Pharmaceuticals USA, Inc.")</f>
        <v>Teva Pharmaceuticals USA, Inc.</v>
      </c>
      <c r="C1220" s="5" t="str">
        <f>IFERROR(__xludf.DUMMYFUNCTION("""COMPUTED_VALUE"""),"Metoprolol Succinate, Tablet, Extended Release, 25 mg (NDC 45963-709-11)")</f>
        <v>Metoprolol Succinate, Tablet, Extended Release, 25 mg (NDC 45963-709-11)</v>
      </c>
      <c r="D1220" s="5" t="str">
        <f>IFERROR(__xludf.DUMMYFUNCTION("""COMPUTED_VALUE"""),"New")</f>
        <v>New</v>
      </c>
      <c r="E1220" s="10">
        <f>IFERROR(__xludf.DUMMYFUNCTION("""COMPUTED_VALUE"""),46265.0)</f>
        <v>46265</v>
      </c>
      <c r="F1220" s="5"/>
      <c r="G1220" s="5" t="str">
        <f>IFERROR(__xludf.DUMMYFUNCTION("""COMPUTED_VALUE"""),"A business decision was made to discontinue manufacture of the drug.")</f>
        <v>A business decision was made to discontinue manufacture of the drug.</v>
      </c>
      <c r="H1220" s="5"/>
      <c r="I1220" s="5"/>
      <c r="J1220" s="5" t="str">
        <f>IFERROR(__xludf.DUMMYFUNCTION("""COMPUTED_VALUE"""),"Cardiovascular")</f>
        <v>Cardiovascular</v>
      </c>
      <c r="K1220" s="5" t="str">
        <f>IFERROR(__xludf.DUMMYFUNCTION("""COMPUTED_VALUE"""),"To Be Discontinued")</f>
        <v>To Be Discontinued</v>
      </c>
      <c r="L1220" s="5"/>
      <c r="M1220" s="10">
        <f>IFERROR(__xludf.DUMMYFUNCTION("""COMPUTED_VALUE"""),46265.0)</f>
        <v>46265</v>
      </c>
      <c r="N1220" s="10">
        <f>IFERROR(__xludf.DUMMYFUNCTION("""COMPUTED_VALUE"""),46265.0)</f>
        <v>46265</v>
      </c>
      <c r="O1220" s="5">
        <v>2026.0</v>
      </c>
      <c r="P1220" s="5" t="str">
        <f>IFERROR(__xludf.DUMMYFUNCTION("""COMPUTED_VALUE"""),"Not stated")</f>
        <v>Not stated</v>
      </c>
      <c r="Q1220" s="5" t="s">
        <v>135</v>
      </c>
      <c r="R1220" s="5" t="s">
        <v>136</v>
      </c>
      <c r="S1220" s="11">
        <v>56.0</v>
      </c>
    </row>
    <row r="1221">
      <c r="A1221" s="5" t="str">
        <f>IFERROR(__xludf.DUMMYFUNCTION("""COMPUTED_VALUE"""),"Metoprolol Succinate Tablet, Extended Release")</f>
        <v>Metoprolol Succinate Tablet, Extended Release</v>
      </c>
      <c r="B1221" s="5" t="str">
        <f>IFERROR(__xludf.DUMMYFUNCTION("""COMPUTED_VALUE"""),"Teva Pharmaceuticals USA, Inc.")</f>
        <v>Teva Pharmaceuticals USA, Inc.</v>
      </c>
      <c r="C1221" s="5" t="str">
        <f>IFERROR(__xludf.DUMMYFUNCTION("""COMPUTED_VALUE"""),"Metoprolol Succinate, Tablet, Extended Release, 25 mg (NDC 45963-709-96)")</f>
        <v>Metoprolol Succinate, Tablet, Extended Release, 25 mg (NDC 45963-709-96)</v>
      </c>
      <c r="D1221" s="5" t="str">
        <f>IFERROR(__xludf.DUMMYFUNCTION("""COMPUTED_VALUE"""),"New")</f>
        <v>New</v>
      </c>
      <c r="E1221" s="10">
        <f>IFERROR(__xludf.DUMMYFUNCTION("""COMPUTED_VALUE"""),46265.0)</f>
        <v>46265</v>
      </c>
      <c r="F1221" s="5"/>
      <c r="G1221" s="5" t="str">
        <f>IFERROR(__xludf.DUMMYFUNCTION("""COMPUTED_VALUE"""),"A business decision was made to discontinue manufacture of the drug.")</f>
        <v>A business decision was made to discontinue manufacture of the drug.</v>
      </c>
      <c r="H1221" s="5"/>
      <c r="I1221" s="5"/>
      <c r="J1221" s="5" t="str">
        <f>IFERROR(__xludf.DUMMYFUNCTION("""COMPUTED_VALUE"""),"Cardiovascular")</f>
        <v>Cardiovascular</v>
      </c>
      <c r="K1221" s="5" t="str">
        <f>IFERROR(__xludf.DUMMYFUNCTION("""COMPUTED_VALUE"""),"To Be Discontinued")</f>
        <v>To Be Discontinued</v>
      </c>
      <c r="L1221" s="5"/>
      <c r="M1221" s="10">
        <f>IFERROR(__xludf.DUMMYFUNCTION("""COMPUTED_VALUE"""),46265.0)</f>
        <v>46265</v>
      </c>
      <c r="N1221" s="10">
        <f>IFERROR(__xludf.DUMMYFUNCTION("""COMPUTED_VALUE"""),46265.0)</f>
        <v>46265</v>
      </c>
      <c r="O1221" s="5">
        <v>2026.0</v>
      </c>
      <c r="P1221" s="5" t="str">
        <f>IFERROR(__xludf.DUMMYFUNCTION("""COMPUTED_VALUE"""),"Not stated")</f>
        <v>Not stated</v>
      </c>
      <c r="Q1221" s="5" t="s">
        <v>135</v>
      </c>
      <c r="R1221" s="5" t="s">
        <v>136</v>
      </c>
      <c r="S1221" s="11">
        <v>56.0</v>
      </c>
    </row>
    <row r="1222">
      <c r="A1222" s="5" t="str">
        <f>IFERROR(__xludf.DUMMYFUNCTION("""COMPUTED_VALUE"""),"Metronidazole Injection")</f>
        <v>Metronidazole Injection</v>
      </c>
      <c r="B1222" s="5" t="str">
        <f>IFERROR(__xludf.DUMMYFUNCTION("""COMPUTED_VALUE"""),"Baxter Healthcare")</f>
        <v>Baxter Healthcare</v>
      </c>
      <c r="C1222" s="5" t="str">
        <f>IFERROR(__xludf.DUMMYFUNCTION("""COMPUTED_VALUE"""),"Flagyl I.v. Rtu In Plastic Container, Injection, 500 mg/100 mL (NDC 0338-1055-48)")</f>
        <v>Flagyl I.v. Rtu In Plastic Container, Injection, 500 mg/100 mL (NDC 0338-1055-48)</v>
      </c>
      <c r="D1222" s="5" t="str">
        <f>IFERROR(__xludf.DUMMYFUNCTION("""COMPUTED_VALUE"""),"Reverified")</f>
        <v>Reverified</v>
      </c>
      <c r="E1222" s="13">
        <f>IFERROR(__xludf.DUMMYFUNCTION("""COMPUTED_VALUE"""),46311.0)</f>
        <v>46311</v>
      </c>
      <c r="F1222" s="5" t="str">
        <f>IFERROR(__xludf.DUMMYFUNCTION("""COMPUTED_VALUE"""),"Available")</f>
        <v>Available</v>
      </c>
      <c r="G1222" s="5"/>
      <c r="H1222" s="5"/>
      <c r="I1222" s="5"/>
      <c r="J1222" s="5" t="str">
        <f>IFERROR(__xludf.DUMMYFUNCTION("""COMPUTED_VALUE"""),"Anti-Infective")</f>
        <v>Anti-Infective</v>
      </c>
      <c r="K1222" s="5" t="str">
        <f>IFERROR(__xludf.DUMMYFUNCTION("""COMPUTED_VALUE"""),"Current")</f>
        <v>Current</v>
      </c>
      <c r="L1222" s="5"/>
      <c r="M1222" s="5"/>
      <c r="N1222" s="10">
        <f>IFERROR(__xludf.DUMMYFUNCTION("""COMPUTED_VALUE"""),44574.0)</f>
        <v>44574</v>
      </c>
      <c r="O1222" s="5">
        <v>2022.0</v>
      </c>
      <c r="P1222" s="5" t="str">
        <f>IFERROR(__xludf.DUMMYFUNCTION("""COMPUTED_VALUE"""),"Available")</f>
        <v>Available</v>
      </c>
      <c r="Q1222" s="5" t="s">
        <v>135</v>
      </c>
      <c r="R1222" s="5" t="s">
        <v>136</v>
      </c>
      <c r="S1222" s="11">
        <v>1747.0</v>
      </c>
    </row>
    <row r="1223">
      <c r="A1223" s="5" t="str">
        <f>IFERROR(__xludf.DUMMYFUNCTION("""COMPUTED_VALUE"""),"Metronidazole Injection")</f>
        <v>Metronidazole Injection</v>
      </c>
      <c r="B1223" s="5" t="str">
        <f>IFERROR(__xludf.DUMMYFUNCTION("""COMPUTED_VALUE"""),"Gland Pharma Limited")</f>
        <v>Gland Pharma Limited</v>
      </c>
      <c r="C1223" s="5" t="str">
        <f>IFERROR(__xludf.DUMMYFUNCTION("""COMPUTED_VALUE"""),"Metronidazole In Plastic Container, Injection, 500 mg/100 mL (NDC 47335-993-01)")</f>
        <v>Metronidazole In Plastic Container, Injection, 500 mg/100 mL (NDC 47335-993-01)</v>
      </c>
      <c r="D1223" s="5" t="str">
        <f>IFERROR(__xludf.DUMMYFUNCTION("""COMPUTED_VALUE"""),"Reverified")</f>
        <v>Reverified</v>
      </c>
      <c r="E1223" s="13">
        <f>IFERROR(__xludf.DUMMYFUNCTION("""COMPUTED_VALUE"""),46316.0)</f>
        <v>46316</v>
      </c>
      <c r="F1223" s="5" t="str">
        <f>IFERROR(__xludf.DUMMYFUNCTION("""COMPUTED_VALUE"""),"Unavailable")</f>
        <v>Unavailable</v>
      </c>
      <c r="G1223" s="5" t="str">
        <f>IFERROR(__xludf.DUMMYFUNCTION("""COMPUTED_VALUE"""),"Discontinuation of the manufacture of the drug")</f>
        <v>Discontinuation of the manufacture of the drug</v>
      </c>
      <c r="H1223" s="5"/>
      <c r="I1223" s="5" t="str">
        <f>IFERROR(__xludf.DUMMYFUNCTION("""COMPUTED_VALUE"""),"Discontinuation of the manufacture of the drug")</f>
        <v>Discontinuation of the manufacture of the drug</v>
      </c>
      <c r="J1223" s="5" t="str">
        <f>IFERROR(__xludf.DUMMYFUNCTION("""COMPUTED_VALUE"""),"Anti-Infective")</f>
        <v>Anti-Infective</v>
      </c>
      <c r="K1223" s="5" t="str">
        <f>IFERROR(__xludf.DUMMYFUNCTION("""COMPUTED_VALUE"""),"Current")</f>
        <v>Current</v>
      </c>
      <c r="L1223" s="5"/>
      <c r="M1223" s="5"/>
      <c r="N1223" s="10">
        <f>IFERROR(__xludf.DUMMYFUNCTION("""COMPUTED_VALUE"""),44574.0)</f>
        <v>44574</v>
      </c>
      <c r="O1223" s="5">
        <v>2022.0</v>
      </c>
      <c r="P1223" s="5" t="str">
        <f>IFERROR(__xludf.DUMMYFUNCTION("""COMPUTED_VALUE"""),"Unavailable")</f>
        <v>Unavailable</v>
      </c>
      <c r="Q1223" s="5" t="s">
        <v>33</v>
      </c>
      <c r="R1223" s="5" t="s">
        <v>136</v>
      </c>
      <c r="S1223" s="11">
        <v>1747.0</v>
      </c>
    </row>
    <row r="1224">
      <c r="A1224" s="5" t="str">
        <f>IFERROR(__xludf.DUMMYFUNCTION("""COMPUTED_VALUE"""),"Metronidazole Injection")</f>
        <v>Metronidazole Injection</v>
      </c>
      <c r="B1224" s="5" t="str">
        <f>IFERROR(__xludf.DUMMYFUNCTION("""COMPUTED_VALUE"""),"InfoRLife SA")</f>
        <v>InfoRLife SA</v>
      </c>
      <c r="C1224" s="5" t="str">
        <f>IFERROR(__xludf.DUMMYFUNCTION("""COMPUTED_VALUE"""),"Metronidazole in Flexible Container, Injection, 500 mg/100 mL (NDC 0409-0152-24)")</f>
        <v>Metronidazole in Flexible Container, Injection, 500 mg/100 mL (NDC 0409-0152-24)</v>
      </c>
      <c r="D1224" s="5" t="str">
        <f>IFERROR(__xludf.DUMMYFUNCTION("""COMPUTED_VALUE"""),"Reverified")</f>
        <v>Reverified</v>
      </c>
      <c r="E1224" s="10">
        <f>IFERROR(__xludf.DUMMYFUNCTION("""COMPUTED_VALUE"""),46301.0)</f>
        <v>46301</v>
      </c>
      <c r="F1224" s="5" t="str">
        <f>IFERROR(__xludf.DUMMYFUNCTION("""COMPUTED_VALUE"""),"Limited Availability")</f>
        <v>Limited Availability</v>
      </c>
      <c r="G1224" s="5" t="str">
        <f>IFERROR(__xludf.DUMMYFUNCTION("""COMPUTED_VALUE"""),"Labeler: Hospira Inc.")</f>
        <v>Labeler: Hospira Inc.</v>
      </c>
      <c r="H1224" s="5"/>
      <c r="I1224" s="5" t="str">
        <f>IFERROR(__xludf.DUMMYFUNCTION("""COMPUTED_VALUE"""),"Other")</f>
        <v>Other</v>
      </c>
      <c r="J1224" s="5" t="str">
        <f>IFERROR(__xludf.DUMMYFUNCTION("""COMPUTED_VALUE"""),"Anti-Infective")</f>
        <v>Anti-Infective</v>
      </c>
      <c r="K1224" s="5" t="str">
        <f>IFERROR(__xludf.DUMMYFUNCTION("""COMPUTED_VALUE"""),"Current")</f>
        <v>Current</v>
      </c>
      <c r="L1224" s="5"/>
      <c r="M1224" s="5"/>
      <c r="N1224" s="10">
        <f>IFERROR(__xludf.DUMMYFUNCTION("""COMPUTED_VALUE"""),44574.0)</f>
        <v>44574</v>
      </c>
      <c r="O1224" s="5">
        <v>2022.0</v>
      </c>
      <c r="P1224" s="5" t="str">
        <f>IFERROR(__xludf.DUMMYFUNCTION("""COMPUTED_VALUE"""),"Limited Availability")</f>
        <v>Limited Availability</v>
      </c>
      <c r="Q1224" s="5" t="s">
        <v>47</v>
      </c>
      <c r="R1224" s="5" t="s">
        <v>136</v>
      </c>
      <c r="S1224" s="11">
        <v>1747.0</v>
      </c>
    </row>
    <row r="1225">
      <c r="A1225" s="5" t="str">
        <f>IFERROR(__xludf.DUMMYFUNCTION("""COMPUTED_VALUE"""),"Metronidazole Injection")</f>
        <v>Metronidazole Injection</v>
      </c>
      <c r="B1225" s="5" t="str">
        <f>IFERROR(__xludf.DUMMYFUNCTION("""COMPUTED_VALUE"""),"InfoRLife SA")</f>
        <v>InfoRLife SA</v>
      </c>
      <c r="C1225" s="5" t="str">
        <f>IFERROR(__xludf.DUMMYFUNCTION("""COMPUTED_VALUE"""),"Metronidazole, Injection, 500 mg/100 mL (NDC 25021-131-82)")</f>
        <v>Metronidazole, Injection, 500 mg/100 mL (NDC 25021-131-82)</v>
      </c>
      <c r="D1225" s="5" t="str">
        <f>IFERROR(__xludf.DUMMYFUNCTION("""COMPUTED_VALUE"""),"Revised")</f>
        <v>Revised</v>
      </c>
      <c r="E1225" s="10">
        <f>IFERROR(__xludf.DUMMYFUNCTION("""COMPUTED_VALUE"""),46301.0)</f>
        <v>46301</v>
      </c>
      <c r="F1225" s="5" t="str">
        <f>IFERROR(__xludf.DUMMYFUNCTION("""COMPUTED_VALUE"""),"Limited Availability")</f>
        <v>Limited Availability</v>
      </c>
      <c r="G1225" s="5" t="str">
        <f>IFERROR(__xludf.DUMMYFUNCTION("""COMPUTED_VALUE"""),"Estimated recovery: November 2026; Marketed by Sagent Pharmaceuticals")</f>
        <v>Estimated recovery: November 2026; Marketed by Sagent Pharmaceuticals</v>
      </c>
      <c r="H1225" s="5"/>
      <c r="I1225" s="5" t="str">
        <f>IFERROR(__xludf.DUMMYFUNCTION("""COMPUTED_VALUE"""),"Other")</f>
        <v>Other</v>
      </c>
      <c r="J1225" s="5" t="str">
        <f>IFERROR(__xludf.DUMMYFUNCTION("""COMPUTED_VALUE"""),"Anti-Infective")</f>
        <v>Anti-Infective</v>
      </c>
      <c r="K1225" s="5" t="str">
        <f>IFERROR(__xludf.DUMMYFUNCTION("""COMPUTED_VALUE"""),"Current")</f>
        <v>Current</v>
      </c>
      <c r="L1225" s="5"/>
      <c r="M1225" s="5"/>
      <c r="N1225" s="10">
        <f>IFERROR(__xludf.DUMMYFUNCTION("""COMPUTED_VALUE"""),44574.0)</f>
        <v>44574</v>
      </c>
      <c r="O1225" s="5">
        <v>2022.0</v>
      </c>
      <c r="P1225" s="5" t="str">
        <f>IFERROR(__xludf.DUMMYFUNCTION("""COMPUTED_VALUE"""),"Limited Availability")</f>
        <v>Limited Availability</v>
      </c>
      <c r="Q1225" s="5" t="s">
        <v>47</v>
      </c>
      <c r="R1225" s="5" t="s">
        <v>136</v>
      </c>
      <c r="S1225" s="11">
        <v>1747.0</v>
      </c>
    </row>
    <row r="1226">
      <c r="A1226" s="5" t="str">
        <f>IFERROR(__xludf.DUMMYFUNCTION("""COMPUTED_VALUE"""),"Micafungin Sodium Injection")</f>
        <v>Micafungin Sodium Injection</v>
      </c>
      <c r="B1226" s="5" t="str">
        <f>IFERROR(__xludf.DUMMYFUNCTION("""COMPUTED_VALUE"""),"Par Health, USA LLC")</f>
        <v>Par Health, USA LLC</v>
      </c>
      <c r="C1226" s="5" t="str">
        <f>IFERROR(__xludf.DUMMYFUNCTION("""COMPUTED_VALUE"""),"Micafungin Sodium, Injection, 10 mg/1 mL (NDC 42023-229-10)")</f>
        <v>Micafungin Sodium, Injection, 10 mg/1 mL (NDC 42023-229-10)</v>
      </c>
      <c r="D1226" s="5" t="str">
        <f>IFERROR(__xludf.DUMMYFUNCTION("""COMPUTED_VALUE"""),"New")</f>
        <v>New</v>
      </c>
      <c r="E1226" s="10">
        <f>IFERROR(__xludf.DUMMYFUNCTION("""COMPUTED_VALUE"""),46276.0)</f>
        <v>46276</v>
      </c>
      <c r="F1226" s="5"/>
      <c r="G1226" s="5" t="str">
        <f>IFERROR(__xludf.DUMMYFUNCTION("""COMPUTED_VALUE"""),"A business decision was made to discontinue manufacture of the drug.")</f>
        <v>A business decision was made to discontinue manufacture of the drug.</v>
      </c>
      <c r="H1226" s="5"/>
      <c r="I1226" s="5"/>
      <c r="J1226" s="5" t="str">
        <f>IFERROR(__xludf.DUMMYFUNCTION("""COMPUTED_VALUE"""),"Anti-Infective")</f>
        <v>Anti-Infective</v>
      </c>
      <c r="K1226" s="5" t="str">
        <f>IFERROR(__xludf.DUMMYFUNCTION("""COMPUTED_VALUE"""),"To Be Discontinued")</f>
        <v>To Be Discontinued</v>
      </c>
      <c r="L1226" s="5"/>
      <c r="M1226" s="10">
        <f>IFERROR(__xludf.DUMMYFUNCTION("""COMPUTED_VALUE"""),46276.0)</f>
        <v>46276</v>
      </c>
      <c r="N1226" s="10">
        <f>IFERROR(__xludf.DUMMYFUNCTION("""COMPUTED_VALUE"""),46276.0)</f>
        <v>46276</v>
      </c>
      <c r="O1226" s="5">
        <v>2026.0</v>
      </c>
      <c r="P1226" s="5" t="str">
        <f>IFERROR(__xludf.DUMMYFUNCTION("""COMPUTED_VALUE"""),"Not stated")</f>
        <v>Not stated</v>
      </c>
      <c r="Q1226" s="5" t="s">
        <v>135</v>
      </c>
      <c r="R1226" s="5" t="s">
        <v>136</v>
      </c>
      <c r="S1226" s="11">
        <v>45.0</v>
      </c>
    </row>
    <row r="1227">
      <c r="A1227" s="5" t="str">
        <f>IFERROR(__xludf.DUMMYFUNCTION("""COMPUTED_VALUE"""),"Micafungin Sodium Injection")</f>
        <v>Micafungin Sodium Injection</v>
      </c>
      <c r="B1227" s="5" t="str">
        <f>IFERROR(__xludf.DUMMYFUNCTION("""COMPUTED_VALUE"""),"Par Health, USA LLC")</f>
        <v>Par Health, USA LLC</v>
      </c>
      <c r="C1227" s="5" t="str">
        <f>IFERROR(__xludf.DUMMYFUNCTION("""COMPUTED_VALUE"""),"Micafungin Sodium, Injection, 20 mg/1 mL (NDC 42023-230-10)")</f>
        <v>Micafungin Sodium, Injection, 20 mg/1 mL (NDC 42023-230-10)</v>
      </c>
      <c r="D1227" s="5" t="str">
        <f>IFERROR(__xludf.DUMMYFUNCTION("""COMPUTED_VALUE"""),"New")</f>
        <v>New</v>
      </c>
      <c r="E1227" s="10">
        <f>IFERROR(__xludf.DUMMYFUNCTION("""COMPUTED_VALUE"""),46276.0)</f>
        <v>46276</v>
      </c>
      <c r="F1227" s="5"/>
      <c r="G1227" s="5" t="str">
        <f>IFERROR(__xludf.DUMMYFUNCTION("""COMPUTED_VALUE"""),"A business decision was made to discontinue manufacture of the drug.")</f>
        <v>A business decision was made to discontinue manufacture of the drug.</v>
      </c>
      <c r="H1227" s="5"/>
      <c r="I1227" s="5"/>
      <c r="J1227" s="5" t="str">
        <f>IFERROR(__xludf.DUMMYFUNCTION("""COMPUTED_VALUE"""),"Anti-Infective")</f>
        <v>Anti-Infective</v>
      </c>
      <c r="K1227" s="5" t="str">
        <f>IFERROR(__xludf.DUMMYFUNCTION("""COMPUTED_VALUE"""),"To Be Discontinued")</f>
        <v>To Be Discontinued</v>
      </c>
      <c r="L1227" s="5"/>
      <c r="M1227" s="10">
        <f>IFERROR(__xludf.DUMMYFUNCTION("""COMPUTED_VALUE"""),46276.0)</f>
        <v>46276</v>
      </c>
      <c r="N1227" s="10">
        <f>IFERROR(__xludf.DUMMYFUNCTION("""COMPUTED_VALUE"""),46276.0)</f>
        <v>46276</v>
      </c>
      <c r="O1227" s="5">
        <v>2026.0</v>
      </c>
      <c r="P1227" s="5" t="str">
        <f>IFERROR(__xludf.DUMMYFUNCTION("""COMPUTED_VALUE"""),"Not stated")</f>
        <v>Not stated</v>
      </c>
      <c r="Q1227" s="5" t="s">
        <v>135</v>
      </c>
      <c r="R1227" s="5" t="s">
        <v>136</v>
      </c>
      <c r="S1227" s="11">
        <v>45.0</v>
      </c>
    </row>
    <row r="1228">
      <c r="A1228" s="5" t="str">
        <f>IFERROR(__xludf.DUMMYFUNCTION("""COMPUTED_VALUE"""),"Midazolam Hydrochloride Injection")</f>
        <v>Midazolam Hydrochloride Injection</v>
      </c>
      <c r="B1228" s="5" t="str">
        <f>IFERROR(__xludf.DUMMYFUNCTION("""COMPUTED_VALUE"""),"Hospira, Inc., a Pfizer Company")</f>
        <v>Hospira, Inc., a Pfizer Company</v>
      </c>
      <c r="C1228" s="5" t="str">
        <f>IFERROR(__xludf.DUMMYFUNCTION("""COMPUTED_VALUE"""),"Midazolam Hydrochloride Preservative Free, Injection, 2 mg/2mL (1 mg/mL) (NDC 0409-0001-25)")</f>
        <v>Midazolam Hydrochloride Preservative Free, Injection, 2 mg/2mL (1 mg/mL) (NDC 0409-0001-25)</v>
      </c>
      <c r="D1228" s="5" t="str">
        <f>IFERROR(__xludf.DUMMYFUNCTION("""COMPUTED_VALUE"""),"Revised")</f>
        <v>Revised</v>
      </c>
      <c r="E1228" s="13">
        <f>IFERROR(__xludf.DUMMYFUNCTION("""COMPUTED_VALUE"""),46316.0)</f>
        <v>46316</v>
      </c>
      <c r="F1228" s="5" t="str">
        <f>IFERROR(__xludf.DUMMYFUNCTION("""COMPUTED_VALUE"""),"Limited Availability")</f>
        <v>Limited Availability</v>
      </c>
      <c r="G1228" s="5" t="str">
        <f>IFERROR(__xludf.DUMMYFUNCTION("""COMPUTED_VALUE"""),"Limited Supply Available. Next Delivery: December 2026; Estimated Recovery: March 2027")</f>
        <v>Limited Supply Available. Next Delivery: December 2026; Estimated Recovery: March 2027</v>
      </c>
      <c r="H1228" s="5"/>
      <c r="I1228" s="5" t="str">
        <f>IFERROR(__xludf.DUMMYFUNCTION("""COMPUTED_VALUE"""),"Demand increase for the drug")</f>
        <v>Demand increase for the drug</v>
      </c>
      <c r="J1228" s="5" t="str">
        <f>IFERROR(__xludf.DUMMYFUNCTION("""COMPUTED_VALUE"""),"Anesthesia; Neurology")</f>
        <v>Anesthesia; Neurology</v>
      </c>
      <c r="K1228" s="5" t="str">
        <f>IFERROR(__xludf.DUMMYFUNCTION("""COMPUTED_VALUE"""),"Current")</f>
        <v>Current</v>
      </c>
      <c r="L1228" s="5"/>
      <c r="M1228" s="5"/>
      <c r="N1228" s="10">
        <f>IFERROR(__xludf.DUMMYFUNCTION("""COMPUTED_VALUE"""),43923.0)</f>
        <v>43923</v>
      </c>
      <c r="O1228" s="5">
        <v>2020.0</v>
      </c>
      <c r="P1228" s="5" t="str">
        <f>IFERROR(__xludf.DUMMYFUNCTION("""COMPUTED_VALUE"""),"Limited Availability")</f>
        <v>Limited Availability</v>
      </c>
      <c r="Q1228" s="5" t="s">
        <v>134</v>
      </c>
      <c r="R1228" s="5" t="s">
        <v>136</v>
      </c>
      <c r="S1228" s="11">
        <v>2398.0</v>
      </c>
    </row>
    <row r="1229">
      <c r="A1229" s="5" t="str">
        <f>IFERROR(__xludf.DUMMYFUNCTION("""COMPUTED_VALUE"""),"Midazolam Hydrochloride Injection")</f>
        <v>Midazolam Hydrochloride Injection</v>
      </c>
      <c r="B1229" s="5" t="str">
        <f>IFERROR(__xludf.DUMMYFUNCTION("""COMPUTED_VALUE"""),"Gland Pharma Limited")</f>
        <v>Gland Pharma Limited</v>
      </c>
      <c r="C1229" s="5" t="str">
        <f>IFERROR(__xludf.DUMMYFUNCTION("""COMPUTED_VALUE"""),"Midazolam Hydrochloride, Injection, 1 mg/1 mL (NDC 25021-655-02)")</f>
        <v>Midazolam Hydrochloride, Injection, 1 mg/1 mL (NDC 25021-655-02)</v>
      </c>
      <c r="D1229" s="5" t="str">
        <f>IFERROR(__xludf.DUMMYFUNCTION("""COMPUTED_VALUE"""),"Reverified")</f>
        <v>Reverified</v>
      </c>
      <c r="E1229" s="13">
        <f>IFERROR(__xludf.DUMMYFUNCTION("""COMPUTED_VALUE"""),46316.0)</f>
        <v>46316</v>
      </c>
      <c r="F1229" s="5" t="str">
        <f>IFERROR(__xludf.DUMMYFUNCTION("""COMPUTED_VALUE"""),"Unavailable")</f>
        <v>Unavailable</v>
      </c>
      <c r="G1229" s="5" t="str">
        <f>IFERROR(__xludf.DUMMYFUNCTION("""COMPUTED_VALUE"""),"Estimated recovery: TBD; Distributed by Sagent Pharmaceuticals")</f>
        <v>Estimated recovery: TBD; Distributed by Sagent Pharmaceuticals</v>
      </c>
      <c r="H1229" s="5"/>
      <c r="I1229" s="5" t="str">
        <f>IFERROR(__xludf.DUMMYFUNCTION("""COMPUTED_VALUE"""),"Other")</f>
        <v>Other</v>
      </c>
      <c r="J1229" s="5" t="str">
        <f>IFERROR(__xludf.DUMMYFUNCTION("""COMPUTED_VALUE"""),"Anesthesia; Neurology")</f>
        <v>Anesthesia; Neurology</v>
      </c>
      <c r="K1229" s="5" t="str">
        <f>IFERROR(__xludf.DUMMYFUNCTION("""COMPUTED_VALUE"""),"Current")</f>
        <v>Current</v>
      </c>
      <c r="L1229" s="5"/>
      <c r="M1229" s="5"/>
      <c r="N1229" s="10">
        <f>IFERROR(__xludf.DUMMYFUNCTION("""COMPUTED_VALUE"""),43923.0)</f>
        <v>43923</v>
      </c>
      <c r="O1229" s="5">
        <v>2020.0</v>
      </c>
      <c r="P1229" s="5" t="str">
        <f>IFERROR(__xludf.DUMMYFUNCTION("""COMPUTED_VALUE"""),"Unavailable")</f>
        <v>Unavailable</v>
      </c>
      <c r="Q1229" s="5" t="s">
        <v>47</v>
      </c>
      <c r="R1229" s="5" t="s">
        <v>136</v>
      </c>
      <c r="S1229" s="11">
        <v>2398.0</v>
      </c>
    </row>
    <row r="1230">
      <c r="A1230" s="5" t="str">
        <f>IFERROR(__xludf.DUMMYFUNCTION("""COMPUTED_VALUE"""),"Midazolam Hydrochloride Injection")</f>
        <v>Midazolam Hydrochloride Injection</v>
      </c>
      <c r="B1230" s="5" t="str">
        <f>IFERROR(__xludf.DUMMYFUNCTION("""COMPUTED_VALUE"""),"Gland Pharma Limited")</f>
        <v>Gland Pharma Limited</v>
      </c>
      <c r="C1230" s="5" t="str">
        <f>IFERROR(__xludf.DUMMYFUNCTION("""COMPUTED_VALUE"""),"Midazolam Hydrochloride, Injection, 5 mg/1 mL (NDC 25021-661-10)")</f>
        <v>Midazolam Hydrochloride, Injection, 5 mg/1 mL (NDC 25021-661-10)</v>
      </c>
      <c r="D1230" s="5" t="str">
        <f>IFERROR(__xludf.DUMMYFUNCTION("""COMPUTED_VALUE"""),"Reverified")</f>
        <v>Reverified</v>
      </c>
      <c r="E1230" s="13">
        <f>IFERROR(__xludf.DUMMYFUNCTION("""COMPUTED_VALUE"""),46316.0)</f>
        <v>46316</v>
      </c>
      <c r="F1230" s="5" t="str">
        <f>IFERROR(__xludf.DUMMYFUNCTION("""COMPUTED_VALUE"""),"Unavailable")</f>
        <v>Unavailable</v>
      </c>
      <c r="G1230" s="5" t="str">
        <f>IFERROR(__xludf.DUMMYFUNCTION("""COMPUTED_VALUE"""),"Estimated recovery: TBD; Distributed by Sagent Pharmaceuticals")</f>
        <v>Estimated recovery: TBD; Distributed by Sagent Pharmaceuticals</v>
      </c>
      <c r="H1230" s="5"/>
      <c r="I1230" s="5" t="str">
        <f>IFERROR(__xludf.DUMMYFUNCTION("""COMPUTED_VALUE"""),"Other")</f>
        <v>Other</v>
      </c>
      <c r="J1230" s="5" t="str">
        <f>IFERROR(__xludf.DUMMYFUNCTION("""COMPUTED_VALUE"""),"Anesthesia; Neurology")</f>
        <v>Anesthesia; Neurology</v>
      </c>
      <c r="K1230" s="5" t="str">
        <f>IFERROR(__xludf.DUMMYFUNCTION("""COMPUTED_VALUE"""),"Current")</f>
        <v>Current</v>
      </c>
      <c r="L1230" s="5"/>
      <c r="M1230" s="5"/>
      <c r="N1230" s="10">
        <f>IFERROR(__xludf.DUMMYFUNCTION("""COMPUTED_VALUE"""),43923.0)</f>
        <v>43923</v>
      </c>
      <c r="O1230" s="5">
        <v>2020.0</v>
      </c>
      <c r="P1230" s="5" t="str">
        <f>IFERROR(__xludf.DUMMYFUNCTION("""COMPUTED_VALUE"""),"Unavailable")</f>
        <v>Unavailable</v>
      </c>
      <c r="Q1230" s="5" t="s">
        <v>47</v>
      </c>
      <c r="R1230" s="5" t="s">
        <v>136</v>
      </c>
      <c r="S1230" s="11">
        <v>2398.0</v>
      </c>
    </row>
    <row r="1231">
      <c r="A1231" s="5" t="str">
        <f>IFERROR(__xludf.DUMMYFUNCTION("""COMPUTED_VALUE"""),"Midazolam Hydrochloride Injection")</f>
        <v>Midazolam Hydrochloride Injection</v>
      </c>
      <c r="B1231" s="5" t="str">
        <f>IFERROR(__xludf.DUMMYFUNCTION("""COMPUTED_VALUE"""),"WG Critical Care")</f>
        <v>WG Critical Care</v>
      </c>
      <c r="C1231" s="5" t="str">
        <f>IFERROR(__xludf.DUMMYFUNCTION("""COMPUTED_VALUE"""),"Midazolam In 0.9% Sodium Chloride, Injection, 1 mg/1 mL (NDC 44567-610-10)")</f>
        <v>Midazolam In 0.9% Sodium Chloride, Injection, 1 mg/1 mL (NDC 44567-610-10)</v>
      </c>
      <c r="D1231" s="5" t="str">
        <f>IFERROR(__xludf.DUMMYFUNCTION("""COMPUTED_VALUE"""),"Reverified")</f>
        <v>Reverified</v>
      </c>
      <c r="E1231" s="10">
        <f>IFERROR(__xludf.DUMMYFUNCTION("""COMPUTED_VALUE"""),46296.0)</f>
        <v>46296</v>
      </c>
      <c r="F1231" s="5" t="str">
        <f>IFERROR(__xludf.DUMMYFUNCTION("""COMPUTED_VALUE"""),"Available")</f>
        <v>Available</v>
      </c>
      <c r="G1231" s="5" t="str">
        <f>IFERROR(__xludf.DUMMYFUNCTION("""COMPUTED_VALUE"""),"Please check wholesalers and distributors for inventory.")</f>
        <v>Please check wholesalers and distributors for inventory.</v>
      </c>
      <c r="H1231" s="5"/>
      <c r="I1231" s="5"/>
      <c r="J1231" s="5" t="str">
        <f>IFERROR(__xludf.DUMMYFUNCTION("""COMPUTED_VALUE"""),"Anesthesia; Neurology")</f>
        <v>Anesthesia; Neurology</v>
      </c>
      <c r="K1231" s="5" t="str">
        <f>IFERROR(__xludf.DUMMYFUNCTION("""COMPUTED_VALUE"""),"Current")</f>
        <v>Current</v>
      </c>
      <c r="L1231" s="5"/>
      <c r="M1231" s="5"/>
      <c r="N1231" s="10">
        <f>IFERROR(__xludf.DUMMYFUNCTION("""COMPUTED_VALUE"""),43923.0)</f>
        <v>43923</v>
      </c>
      <c r="O1231" s="5">
        <v>2020.0</v>
      </c>
      <c r="P1231" s="5" t="str">
        <f>IFERROR(__xludf.DUMMYFUNCTION("""COMPUTED_VALUE"""),"Available")</f>
        <v>Available</v>
      </c>
      <c r="Q1231" s="5" t="s">
        <v>135</v>
      </c>
      <c r="R1231" s="5" t="s">
        <v>136</v>
      </c>
      <c r="S1231" s="11">
        <v>2398.0</v>
      </c>
    </row>
    <row r="1232">
      <c r="A1232" s="5" t="str">
        <f>IFERROR(__xludf.DUMMYFUNCTION("""COMPUTED_VALUE"""),"Midazolam Hydrochloride Injection")</f>
        <v>Midazolam Hydrochloride Injection</v>
      </c>
      <c r="B1232" s="5" t="str">
        <f>IFERROR(__xludf.DUMMYFUNCTION("""COMPUTED_VALUE"""),"WG Critical Care")</f>
        <v>WG Critical Care</v>
      </c>
      <c r="C1232" s="5" t="str">
        <f>IFERROR(__xludf.DUMMYFUNCTION("""COMPUTED_VALUE"""),"Midazolam In 0.9% Sodium Chloride, Injection, 1 mg/1 mL (NDC 44567-611-10)")</f>
        <v>Midazolam In 0.9% Sodium Chloride, Injection, 1 mg/1 mL (NDC 44567-611-10)</v>
      </c>
      <c r="D1232" s="5" t="str">
        <f>IFERROR(__xludf.DUMMYFUNCTION("""COMPUTED_VALUE"""),"Reverified")</f>
        <v>Reverified</v>
      </c>
      <c r="E1232" s="10">
        <f>IFERROR(__xludf.DUMMYFUNCTION("""COMPUTED_VALUE"""),46296.0)</f>
        <v>46296</v>
      </c>
      <c r="F1232" s="5" t="str">
        <f>IFERROR(__xludf.DUMMYFUNCTION("""COMPUTED_VALUE"""),"Available")</f>
        <v>Available</v>
      </c>
      <c r="G1232" s="5" t="str">
        <f>IFERROR(__xludf.DUMMYFUNCTION("""COMPUTED_VALUE"""),"Please check wholesalers and distributors for inventory.")</f>
        <v>Please check wholesalers and distributors for inventory.</v>
      </c>
      <c r="H1232" s="5"/>
      <c r="I1232" s="5"/>
      <c r="J1232" s="5" t="str">
        <f>IFERROR(__xludf.DUMMYFUNCTION("""COMPUTED_VALUE"""),"Anesthesia; Neurology")</f>
        <v>Anesthesia; Neurology</v>
      </c>
      <c r="K1232" s="5" t="str">
        <f>IFERROR(__xludf.DUMMYFUNCTION("""COMPUTED_VALUE"""),"Current")</f>
        <v>Current</v>
      </c>
      <c r="L1232" s="5"/>
      <c r="M1232" s="5"/>
      <c r="N1232" s="10">
        <f>IFERROR(__xludf.DUMMYFUNCTION("""COMPUTED_VALUE"""),43923.0)</f>
        <v>43923</v>
      </c>
      <c r="O1232" s="5">
        <v>2020.0</v>
      </c>
      <c r="P1232" s="5" t="str">
        <f>IFERROR(__xludf.DUMMYFUNCTION("""COMPUTED_VALUE"""),"Available")</f>
        <v>Available</v>
      </c>
      <c r="Q1232" s="5" t="s">
        <v>135</v>
      </c>
      <c r="R1232" s="5" t="s">
        <v>136</v>
      </c>
      <c r="S1232" s="11">
        <v>2398.0</v>
      </c>
    </row>
    <row r="1233">
      <c r="A1233" s="5" t="str">
        <f>IFERROR(__xludf.DUMMYFUNCTION("""COMPUTED_VALUE"""),"Midazolam Hydrochloride Injection")</f>
        <v>Midazolam Hydrochloride Injection</v>
      </c>
      <c r="B1233" s="5" t="str">
        <f>IFERROR(__xludf.DUMMYFUNCTION("""COMPUTED_VALUE"""),"Avet Pharmaceuticals, Inc.")</f>
        <v>Avet Pharmaceuticals, Inc.</v>
      </c>
      <c r="C1233" s="5" t="str">
        <f>IFERROR(__xludf.DUMMYFUNCTION("""COMPUTED_VALUE"""),"Midazolam Hydrochloride, Injection, 5 mg/1 mL (NDC 23155-601-42)")</f>
        <v>Midazolam Hydrochloride, Injection, 5 mg/1 mL (NDC 23155-601-42)</v>
      </c>
      <c r="D1233" s="5" t="str">
        <f>IFERROR(__xludf.DUMMYFUNCTION("""COMPUTED_VALUE"""),"Reverified")</f>
        <v>Reverified</v>
      </c>
      <c r="E1233" s="13">
        <f>IFERROR(__xludf.DUMMYFUNCTION("""COMPUTED_VALUE"""),46310.0)</f>
        <v>46310</v>
      </c>
      <c r="F1233" s="5" t="str">
        <f>IFERROR(__xludf.DUMMYFUNCTION("""COMPUTED_VALUE"""),"Available")</f>
        <v>Available</v>
      </c>
      <c r="G1233" s="5"/>
      <c r="H1233" s="5"/>
      <c r="I1233" s="5"/>
      <c r="J1233" s="5" t="str">
        <f>IFERROR(__xludf.DUMMYFUNCTION("""COMPUTED_VALUE"""),"Anesthesia; Neurology")</f>
        <v>Anesthesia; Neurology</v>
      </c>
      <c r="K1233" s="5" t="str">
        <f>IFERROR(__xludf.DUMMYFUNCTION("""COMPUTED_VALUE"""),"Current")</f>
        <v>Current</v>
      </c>
      <c r="L1233" s="5"/>
      <c r="M1233" s="5"/>
      <c r="N1233" s="10">
        <f>IFERROR(__xludf.DUMMYFUNCTION("""COMPUTED_VALUE"""),43923.0)</f>
        <v>43923</v>
      </c>
      <c r="O1233" s="5">
        <v>2020.0</v>
      </c>
      <c r="P1233" s="5" t="str">
        <f>IFERROR(__xludf.DUMMYFUNCTION("""COMPUTED_VALUE"""),"Available")</f>
        <v>Available</v>
      </c>
      <c r="Q1233" s="5" t="s">
        <v>135</v>
      </c>
      <c r="R1233" s="5" t="s">
        <v>136</v>
      </c>
      <c r="S1233" s="11">
        <v>2398.0</v>
      </c>
    </row>
    <row r="1234">
      <c r="A1234" s="5" t="str">
        <f>IFERROR(__xludf.DUMMYFUNCTION("""COMPUTED_VALUE"""),"Midazolam Hydrochloride Injection")</f>
        <v>Midazolam Hydrochloride Injection</v>
      </c>
      <c r="B1234" s="5" t="str">
        <f>IFERROR(__xludf.DUMMYFUNCTION("""COMPUTED_VALUE"""),"Avet Pharmaceuticals, Inc.")</f>
        <v>Avet Pharmaceuticals, Inc.</v>
      </c>
      <c r="C1234" s="5" t="str">
        <f>IFERROR(__xludf.DUMMYFUNCTION("""COMPUTED_VALUE"""),"Midazolam Hydrochloride, Injection, 5 mg/1 mL (NDC 23155-601-41)")</f>
        <v>Midazolam Hydrochloride, Injection, 5 mg/1 mL (NDC 23155-601-41)</v>
      </c>
      <c r="D1234" s="5" t="str">
        <f>IFERROR(__xludf.DUMMYFUNCTION("""COMPUTED_VALUE"""),"Reverified")</f>
        <v>Reverified</v>
      </c>
      <c r="E1234" s="13">
        <f>IFERROR(__xludf.DUMMYFUNCTION("""COMPUTED_VALUE"""),46310.0)</f>
        <v>46310</v>
      </c>
      <c r="F1234" s="5" t="str">
        <f>IFERROR(__xludf.DUMMYFUNCTION("""COMPUTED_VALUE"""),"Available")</f>
        <v>Available</v>
      </c>
      <c r="G1234" s="5"/>
      <c r="H1234" s="5"/>
      <c r="I1234" s="5"/>
      <c r="J1234" s="5" t="str">
        <f>IFERROR(__xludf.DUMMYFUNCTION("""COMPUTED_VALUE"""),"Anesthesia; Neurology")</f>
        <v>Anesthesia; Neurology</v>
      </c>
      <c r="K1234" s="5" t="str">
        <f>IFERROR(__xludf.DUMMYFUNCTION("""COMPUTED_VALUE"""),"Current")</f>
        <v>Current</v>
      </c>
      <c r="L1234" s="5"/>
      <c r="M1234" s="5"/>
      <c r="N1234" s="10">
        <f>IFERROR(__xludf.DUMMYFUNCTION("""COMPUTED_VALUE"""),43923.0)</f>
        <v>43923</v>
      </c>
      <c r="O1234" s="5">
        <v>2020.0</v>
      </c>
      <c r="P1234" s="5" t="str">
        <f>IFERROR(__xludf.DUMMYFUNCTION("""COMPUTED_VALUE"""),"Available")</f>
        <v>Available</v>
      </c>
      <c r="Q1234" s="5" t="s">
        <v>135</v>
      </c>
      <c r="R1234" s="5" t="s">
        <v>136</v>
      </c>
      <c r="S1234" s="11">
        <v>2398.0</v>
      </c>
    </row>
    <row r="1235">
      <c r="A1235" s="5" t="str">
        <f>IFERROR(__xludf.DUMMYFUNCTION("""COMPUTED_VALUE"""),"Midazolam Hydrochloride Injection")</f>
        <v>Midazolam Hydrochloride Injection</v>
      </c>
      <c r="B1235" s="5" t="str">
        <f>IFERROR(__xludf.DUMMYFUNCTION("""COMPUTED_VALUE"""),"Avet Pharmaceuticals, Inc.")</f>
        <v>Avet Pharmaceuticals, Inc.</v>
      </c>
      <c r="C1235" s="5" t="str">
        <f>IFERROR(__xludf.DUMMYFUNCTION("""COMPUTED_VALUE"""),"Midazolam Hydrochloride, Injection, 1 mg/1 mL (NDC 23155-600-41)")</f>
        <v>Midazolam Hydrochloride, Injection, 1 mg/1 mL (NDC 23155-600-41)</v>
      </c>
      <c r="D1235" s="5" t="str">
        <f>IFERROR(__xludf.DUMMYFUNCTION("""COMPUTED_VALUE"""),"Reverified")</f>
        <v>Reverified</v>
      </c>
      <c r="E1235" s="13">
        <f>IFERROR(__xludf.DUMMYFUNCTION("""COMPUTED_VALUE"""),46310.0)</f>
        <v>46310</v>
      </c>
      <c r="F1235" s="5" t="str">
        <f>IFERROR(__xludf.DUMMYFUNCTION("""COMPUTED_VALUE"""),"Available")</f>
        <v>Available</v>
      </c>
      <c r="G1235" s="5"/>
      <c r="H1235" s="5"/>
      <c r="I1235" s="5"/>
      <c r="J1235" s="5" t="str">
        <f>IFERROR(__xludf.DUMMYFUNCTION("""COMPUTED_VALUE"""),"Anesthesia; Neurology")</f>
        <v>Anesthesia; Neurology</v>
      </c>
      <c r="K1235" s="5" t="str">
        <f>IFERROR(__xludf.DUMMYFUNCTION("""COMPUTED_VALUE"""),"Current")</f>
        <v>Current</v>
      </c>
      <c r="L1235" s="5"/>
      <c r="M1235" s="5"/>
      <c r="N1235" s="10">
        <f>IFERROR(__xludf.DUMMYFUNCTION("""COMPUTED_VALUE"""),43923.0)</f>
        <v>43923</v>
      </c>
      <c r="O1235" s="5">
        <v>2020.0</v>
      </c>
      <c r="P1235" s="5" t="str">
        <f>IFERROR(__xludf.DUMMYFUNCTION("""COMPUTED_VALUE"""),"Available")</f>
        <v>Available</v>
      </c>
      <c r="Q1235" s="5" t="s">
        <v>135</v>
      </c>
      <c r="R1235" s="5" t="s">
        <v>136</v>
      </c>
      <c r="S1235" s="11">
        <v>2398.0</v>
      </c>
    </row>
    <row r="1236">
      <c r="A1236" s="5" t="str">
        <f>IFERROR(__xludf.DUMMYFUNCTION("""COMPUTED_VALUE"""),"Midazolam Hydrochloride Injection")</f>
        <v>Midazolam Hydrochloride Injection</v>
      </c>
      <c r="B1236" s="5" t="str">
        <f>IFERROR(__xludf.DUMMYFUNCTION("""COMPUTED_VALUE"""),"Fresenius Kabi USA, LLC")</f>
        <v>Fresenius Kabi USA, LLC</v>
      </c>
      <c r="C1236" s="5" t="str">
        <f>IFERROR(__xludf.DUMMYFUNCTION("""COMPUTED_VALUE"""),"Midazolam Hydrochloride, Injection, 1 mg/1 mL (NDC 63323-411-10)")</f>
        <v>Midazolam Hydrochloride, Injection, 1 mg/1 mL (NDC 63323-411-10)</v>
      </c>
      <c r="D1236" s="5" t="str">
        <f>IFERROR(__xludf.DUMMYFUNCTION("""COMPUTED_VALUE"""),"Reverified")</f>
        <v>Reverified</v>
      </c>
      <c r="E1236" s="13">
        <f>IFERROR(__xludf.DUMMYFUNCTION("""COMPUTED_VALUE"""),46310.0)</f>
        <v>46310</v>
      </c>
      <c r="F1236" s="5" t="str">
        <f>IFERROR(__xludf.DUMMYFUNCTION("""COMPUTED_VALUE"""),"Unavailable")</f>
        <v>Unavailable</v>
      </c>
      <c r="G1236" s="5" t="str">
        <f>IFERROR(__xludf.DUMMYFUNCTION("""COMPUTED_VALUE"""),"Estimated recovery: TBD")</f>
        <v>Estimated recovery: TBD</v>
      </c>
      <c r="H1236" s="5"/>
      <c r="I1236" s="5" t="str">
        <f>IFERROR(__xludf.DUMMYFUNCTION("""COMPUTED_VALUE"""),"Delay in shipping of the drug")</f>
        <v>Delay in shipping of the drug</v>
      </c>
      <c r="J1236" s="5" t="str">
        <f>IFERROR(__xludf.DUMMYFUNCTION("""COMPUTED_VALUE"""),"Anesthesia; Neurology")</f>
        <v>Anesthesia; Neurology</v>
      </c>
      <c r="K1236" s="5" t="str">
        <f>IFERROR(__xludf.DUMMYFUNCTION("""COMPUTED_VALUE"""),"Current")</f>
        <v>Current</v>
      </c>
      <c r="L1236" s="5"/>
      <c r="M1236" s="5"/>
      <c r="N1236" s="10">
        <f>IFERROR(__xludf.DUMMYFUNCTION("""COMPUTED_VALUE"""),43923.0)</f>
        <v>43923</v>
      </c>
      <c r="O1236" s="5">
        <v>2020.0</v>
      </c>
      <c r="P1236" s="5" t="str">
        <f>IFERROR(__xludf.DUMMYFUNCTION("""COMPUTED_VALUE"""),"Unavailable")</f>
        <v>Unavailable</v>
      </c>
      <c r="Q1236" s="5" t="s">
        <v>562</v>
      </c>
      <c r="R1236" s="5" t="s">
        <v>136</v>
      </c>
      <c r="S1236" s="11">
        <v>2398.0</v>
      </c>
    </row>
    <row r="1237">
      <c r="A1237" s="5" t="str">
        <f>IFERROR(__xludf.DUMMYFUNCTION("""COMPUTED_VALUE"""),"Midazolam Hydrochloride Injection")</f>
        <v>Midazolam Hydrochloride Injection</v>
      </c>
      <c r="B1237" s="5" t="str">
        <f>IFERROR(__xludf.DUMMYFUNCTION("""COMPUTED_VALUE"""),"Fresenius Kabi USA, LLC")</f>
        <v>Fresenius Kabi USA, LLC</v>
      </c>
      <c r="C1237" s="5" t="str">
        <f>IFERROR(__xludf.DUMMYFUNCTION("""COMPUTED_VALUE"""),"Midazolam Hydrochloride Preservative Free, Injection, 2 mg/2 mL (NDC 76045-211-20)")</f>
        <v>Midazolam Hydrochloride Preservative Free, Injection, 2 mg/2 mL (NDC 76045-211-20)</v>
      </c>
      <c r="D1237" s="5" t="str">
        <f>IFERROR(__xludf.DUMMYFUNCTION("""COMPUTED_VALUE"""),"Reverified")</f>
        <v>Reverified</v>
      </c>
      <c r="E1237" s="13">
        <f>IFERROR(__xludf.DUMMYFUNCTION("""COMPUTED_VALUE"""),46310.0)</f>
        <v>46310</v>
      </c>
      <c r="F1237" s="5" t="str">
        <f>IFERROR(__xludf.DUMMYFUNCTION("""COMPUTED_VALUE"""),"Unavailable")</f>
        <v>Unavailable</v>
      </c>
      <c r="G1237" s="5" t="str">
        <f>IFERROR(__xludf.DUMMYFUNCTION("""COMPUTED_VALUE"""),"Next release November 2026. Check wholesalers for inventory.")</f>
        <v>Next release November 2026. Check wholesalers for inventory.</v>
      </c>
      <c r="H1237" s="5"/>
      <c r="I1237" s="5" t="str">
        <f>IFERROR(__xludf.DUMMYFUNCTION("""COMPUTED_VALUE"""),"Demand increase for the drug")</f>
        <v>Demand increase for the drug</v>
      </c>
      <c r="J1237" s="5" t="str">
        <f>IFERROR(__xludf.DUMMYFUNCTION("""COMPUTED_VALUE"""),"Anesthesia; Neurology")</f>
        <v>Anesthesia; Neurology</v>
      </c>
      <c r="K1237" s="5" t="str">
        <f>IFERROR(__xludf.DUMMYFUNCTION("""COMPUTED_VALUE"""),"Current")</f>
        <v>Current</v>
      </c>
      <c r="L1237" s="5"/>
      <c r="M1237" s="5"/>
      <c r="N1237" s="10">
        <f>IFERROR(__xludf.DUMMYFUNCTION("""COMPUTED_VALUE"""),43923.0)</f>
        <v>43923</v>
      </c>
      <c r="O1237" s="5">
        <v>2020.0</v>
      </c>
      <c r="P1237" s="5" t="str">
        <f>IFERROR(__xludf.DUMMYFUNCTION("""COMPUTED_VALUE"""),"Unavailable")</f>
        <v>Unavailable</v>
      </c>
      <c r="Q1237" s="5" t="s">
        <v>134</v>
      </c>
      <c r="R1237" s="5" t="s">
        <v>136</v>
      </c>
      <c r="S1237" s="11">
        <v>2398.0</v>
      </c>
    </row>
    <row r="1238">
      <c r="A1238" s="5" t="str">
        <f>IFERROR(__xludf.DUMMYFUNCTION("""COMPUTED_VALUE"""),"Midazolam Hydrochloride Injection")</f>
        <v>Midazolam Hydrochloride Injection</v>
      </c>
      <c r="B1238" s="5" t="str">
        <f>IFERROR(__xludf.DUMMYFUNCTION("""COMPUTED_VALUE"""),"Fresenius Kabi USA, LLC")</f>
        <v>Fresenius Kabi USA, LLC</v>
      </c>
      <c r="C1238" s="5" t="str">
        <f>IFERROR(__xludf.DUMMYFUNCTION("""COMPUTED_VALUE"""),"Midazolam Hydrochloride, Injection, 1 mg/1 mL (NDC 63323-411-12)")</f>
        <v>Midazolam Hydrochloride, Injection, 1 mg/1 mL (NDC 63323-411-12)</v>
      </c>
      <c r="D1238" s="5" t="str">
        <f>IFERROR(__xludf.DUMMYFUNCTION("""COMPUTED_VALUE"""),"Reverified")</f>
        <v>Reverified</v>
      </c>
      <c r="E1238" s="13">
        <f>IFERROR(__xludf.DUMMYFUNCTION("""COMPUTED_VALUE"""),46310.0)</f>
        <v>46310</v>
      </c>
      <c r="F1238" s="5" t="str">
        <f>IFERROR(__xludf.DUMMYFUNCTION("""COMPUTED_VALUE"""),"Available")</f>
        <v>Available</v>
      </c>
      <c r="G1238" s="5" t="str">
        <f>IFERROR(__xludf.DUMMYFUNCTION("""COMPUTED_VALUE"""),"Check wholesalers for inventory")</f>
        <v>Check wholesalers for inventory</v>
      </c>
      <c r="H1238" s="5"/>
      <c r="I1238" s="5"/>
      <c r="J1238" s="5" t="str">
        <f>IFERROR(__xludf.DUMMYFUNCTION("""COMPUTED_VALUE"""),"Anesthesia; Neurology")</f>
        <v>Anesthesia; Neurology</v>
      </c>
      <c r="K1238" s="5" t="str">
        <f>IFERROR(__xludf.DUMMYFUNCTION("""COMPUTED_VALUE"""),"Current")</f>
        <v>Current</v>
      </c>
      <c r="L1238" s="5"/>
      <c r="M1238" s="5"/>
      <c r="N1238" s="10">
        <f>IFERROR(__xludf.DUMMYFUNCTION("""COMPUTED_VALUE"""),43923.0)</f>
        <v>43923</v>
      </c>
      <c r="O1238" s="5">
        <v>2020.0</v>
      </c>
      <c r="P1238" s="5" t="str">
        <f>IFERROR(__xludf.DUMMYFUNCTION("""COMPUTED_VALUE"""),"Available")</f>
        <v>Available</v>
      </c>
      <c r="Q1238" s="5" t="s">
        <v>135</v>
      </c>
      <c r="R1238" s="5" t="s">
        <v>136</v>
      </c>
      <c r="S1238" s="11">
        <v>2398.0</v>
      </c>
    </row>
    <row r="1239">
      <c r="A1239" s="5" t="str">
        <f>IFERROR(__xludf.DUMMYFUNCTION("""COMPUTED_VALUE"""),"Midazolam Hydrochloride Injection")</f>
        <v>Midazolam Hydrochloride Injection</v>
      </c>
      <c r="B1239" s="5" t="str">
        <f>IFERROR(__xludf.DUMMYFUNCTION("""COMPUTED_VALUE"""),"Fresenius Kabi USA, LLC")</f>
        <v>Fresenius Kabi USA, LLC</v>
      </c>
      <c r="C1239" s="5" t="str">
        <f>IFERROR(__xludf.DUMMYFUNCTION("""COMPUTED_VALUE"""),"Midazolam Hydrochloride, Injection, 1 mg/1 mL (NDC 63323-411-25)")</f>
        <v>Midazolam Hydrochloride, Injection, 1 mg/1 mL (NDC 63323-411-25)</v>
      </c>
      <c r="D1239" s="5" t="str">
        <f>IFERROR(__xludf.DUMMYFUNCTION("""COMPUTED_VALUE"""),"Reverified")</f>
        <v>Reverified</v>
      </c>
      <c r="E1239" s="13">
        <f>IFERROR(__xludf.DUMMYFUNCTION("""COMPUTED_VALUE"""),46310.0)</f>
        <v>46310</v>
      </c>
      <c r="F1239" s="5" t="str">
        <f>IFERROR(__xludf.DUMMYFUNCTION("""COMPUTED_VALUE"""),"Available")</f>
        <v>Available</v>
      </c>
      <c r="G1239" s="5" t="str">
        <f>IFERROR(__xludf.DUMMYFUNCTION("""COMPUTED_VALUE"""),"Check wholesalers for inventory")</f>
        <v>Check wholesalers for inventory</v>
      </c>
      <c r="H1239" s="5"/>
      <c r="I1239" s="5"/>
      <c r="J1239" s="5" t="str">
        <f>IFERROR(__xludf.DUMMYFUNCTION("""COMPUTED_VALUE"""),"Anesthesia; Neurology")</f>
        <v>Anesthesia; Neurology</v>
      </c>
      <c r="K1239" s="5" t="str">
        <f>IFERROR(__xludf.DUMMYFUNCTION("""COMPUTED_VALUE"""),"Current")</f>
        <v>Current</v>
      </c>
      <c r="L1239" s="5"/>
      <c r="M1239" s="5"/>
      <c r="N1239" s="10">
        <f>IFERROR(__xludf.DUMMYFUNCTION("""COMPUTED_VALUE"""),43923.0)</f>
        <v>43923</v>
      </c>
      <c r="O1239" s="5">
        <v>2020.0</v>
      </c>
      <c r="P1239" s="5" t="str">
        <f>IFERROR(__xludf.DUMMYFUNCTION("""COMPUTED_VALUE"""),"Available")</f>
        <v>Available</v>
      </c>
      <c r="Q1239" s="5" t="s">
        <v>135</v>
      </c>
      <c r="R1239" s="5" t="s">
        <v>136</v>
      </c>
      <c r="S1239" s="11">
        <v>2398.0</v>
      </c>
    </row>
    <row r="1240">
      <c r="A1240" s="5" t="str">
        <f>IFERROR(__xludf.DUMMYFUNCTION("""COMPUTED_VALUE"""),"Midazolam Hydrochloride Injection")</f>
        <v>Midazolam Hydrochloride Injection</v>
      </c>
      <c r="B1240" s="5" t="str">
        <f>IFERROR(__xludf.DUMMYFUNCTION("""COMPUTED_VALUE"""),"Fresenius Kabi USA, LLC")</f>
        <v>Fresenius Kabi USA, LLC</v>
      </c>
      <c r="C1240" s="5" t="str">
        <f>IFERROR(__xludf.DUMMYFUNCTION("""COMPUTED_VALUE"""),"Midazolam Hydrochloride, Injection, 5 mg/1 mL (NDC 63323-412-25)")</f>
        <v>Midazolam Hydrochloride, Injection, 5 mg/1 mL (NDC 63323-412-25)</v>
      </c>
      <c r="D1240" s="5" t="str">
        <f>IFERROR(__xludf.DUMMYFUNCTION("""COMPUTED_VALUE"""),"Revised")</f>
        <v>Revised</v>
      </c>
      <c r="E1240" s="13">
        <f>IFERROR(__xludf.DUMMYFUNCTION("""COMPUTED_VALUE"""),46310.0)</f>
        <v>46310</v>
      </c>
      <c r="F1240" s="5" t="str">
        <f>IFERROR(__xludf.DUMMYFUNCTION("""COMPUTED_VALUE"""),"Available")</f>
        <v>Available</v>
      </c>
      <c r="G1240" s="5" t="str">
        <f>IFERROR(__xludf.DUMMYFUNCTION("""COMPUTED_VALUE"""),"Check wholesalers for inventory")</f>
        <v>Check wholesalers for inventory</v>
      </c>
      <c r="H1240" s="5"/>
      <c r="I1240" s="5"/>
      <c r="J1240" s="5" t="str">
        <f>IFERROR(__xludf.DUMMYFUNCTION("""COMPUTED_VALUE"""),"Anesthesia; Neurology")</f>
        <v>Anesthesia; Neurology</v>
      </c>
      <c r="K1240" s="5" t="str">
        <f>IFERROR(__xludf.DUMMYFUNCTION("""COMPUTED_VALUE"""),"Current")</f>
        <v>Current</v>
      </c>
      <c r="L1240" s="5"/>
      <c r="M1240" s="5"/>
      <c r="N1240" s="10">
        <f>IFERROR(__xludf.DUMMYFUNCTION("""COMPUTED_VALUE"""),43923.0)</f>
        <v>43923</v>
      </c>
      <c r="O1240" s="5">
        <v>2020.0</v>
      </c>
      <c r="P1240" s="5" t="str">
        <f>IFERROR(__xludf.DUMMYFUNCTION("""COMPUTED_VALUE"""),"Available")</f>
        <v>Available</v>
      </c>
      <c r="Q1240" s="5" t="s">
        <v>135</v>
      </c>
      <c r="R1240" s="5" t="s">
        <v>136</v>
      </c>
      <c r="S1240" s="11">
        <v>2398.0</v>
      </c>
    </row>
    <row r="1241">
      <c r="A1241" s="5" t="str">
        <f>IFERROR(__xludf.DUMMYFUNCTION("""COMPUTED_VALUE"""),"Midazolam Hydrochloride Injection")</f>
        <v>Midazolam Hydrochloride Injection</v>
      </c>
      <c r="B1241" s="5" t="str">
        <f>IFERROR(__xludf.DUMMYFUNCTION("""COMPUTED_VALUE"""),"Fresenius Kabi USA, LLC")</f>
        <v>Fresenius Kabi USA, LLC</v>
      </c>
      <c r="C1241" s="5" t="str">
        <f>IFERROR(__xludf.DUMMYFUNCTION("""COMPUTED_VALUE"""),"Midazolam Hydrochloride, Injection, 5 mg/1 mL (NDC 63323-412-10)")</f>
        <v>Midazolam Hydrochloride, Injection, 5 mg/1 mL (NDC 63323-412-10)</v>
      </c>
      <c r="D1241" s="5" t="str">
        <f>IFERROR(__xludf.DUMMYFUNCTION("""COMPUTED_VALUE"""),"Reverified")</f>
        <v>Reverified</v>
      </c>
      <c r="E1241" s="13">
        <f>IFERROR(__xludf.DUMMYFUNCTION("""COMPUTED_VALUE"""),46310.0)</f>
        <v>46310</v>
      </c>
      <c r="F1241" s="5" t="str">
        <f>IFERROR(__xludf.DUMMYFUNCTION("""COMPUTED_VALUE"""),"Unavailable")</f>
        <v>Unavailable</v>
      </c>
      <c r="G1241" s="5" t="str">
        <f>IFERROR(__xludf.DUMMYFUNCTION("""COMPUTED_VALUE"""),"Estimated recovery: TBD")</f>
        <v>Estimated recovery: TBD</v>
      </c>
      <c r="H1241" s="5"/>
      <c r="I1241" s="5" t="str">
        <f>IFERROR(__xludf.DUMMYFUNCTION("""COMPUTED_VALUE"""),"Demand increase for the drug")</f>
        <v>Demand increase for the drug</v>
      </c>
      <c r="J1241" s="5" t="str">
        <f>IFERROR(__xludf.DUMMYFUNCTION("""COMPUTED_VALUE"""),"Anesthesia; Neurology")</f>
        <v>Anesthesia; Neurology</v>
      </c>
      <c r="K1241" s="5" t="str">
        <f>IFERROR(__xludf.DUMMYFUNCTION("""COMPUTED_VALUE"""),"Current")</f>
        <v>Current</v>
      </c>
      <c r="L1241" s="5"/>
      <c r="M1241" s="5"/>
      <c r="N1241" s="10">
        <f>IFERROR(__xludf.DUMMYFUNCTION("""COMPUTED_VALUE"""),43923.0)</f>
        <v>43923</v>
      </c>
      <c r="O1241" s="5">
        <v>2020.0</v>
      </c>
      <c r="P1241" s="5" t="str">
        <f>IFERROR(__xludf.DUMMYFUNCTION("""COMPUTED_VALUE"""),"Unavailable")</f>
        <v>Unavailable</v>
      </c>
      <c r="Q1241" s="5" t="s">
        <v>134</v>
      </c>
      <c r="R1241" s="5" t="s">
        <v>136</v>
      </c>
      <c r="S1241" s="11">
        <v>2398.0</v>
      </c>
    </row>
    <row r="1242">
      <c r="A1242" s="5" t="str">
        <f>IFERROR(__xludf.DUMMYFUNCTION("""COMPUTED_VALUE"""),"Midazolam Hydrochloride Injection")</f>
        <v>Midazolam Hydrochloride Injection</v>
      </c>
      <c r="B1242" s="5" t="str">
        <f>IFERROR(__xludf.DUMMYFUNCTION("""COMPUTED_VALUE"""),"Fresenius Kabi USA, LLC")</f>
        <v>Fresenius Kabi USA, LLC</v>
      </c>
      <c r="C1242" s="5" t="str">
        <f>IFERROR(__xludf.DUMMYFUNCTION("""COMPUTED_VALUE"""),"Midazolam Hydrochloride, Injection, 5 mg/1 mL (NDC 63323-412-02)")</f>
        <v>Midazolam Hydrochloride, Injection, 5 mg/1 mL (NDC 63323-412-02)</v>
      </c>
      <c r="D1242" s="5" t="str">
        <f>IFERROR(__xludf.DUMMYFUNCTION("""COMPUTED_VALUE"""),"Reverified")</f>
        <v>Reverified</v>
      </c>
      <c r="E1242" s="13">
        <f>IFERROR(__xludf.DUMMYFUNCTION("""COMPUTED_VALUE"""),46310.0)</f>
        <v>46310</v>
      </c>
      <c r="F1242" s="5" t="str">
        <f>IFERROR(__xludf.DUMMYFUNCTION("""COMPUTED_VALUE"""),"Available")</f>
        <v>Available</v>
      </c>
      <c r="G1242" s="5" t="str">
        <f>IFERROR(__xludf.DUMMYFUNCTION("""COMPUTED_VALUE"""),"Check wholesalers for inventory")</f>
        <v>Check wholesalers for inventory</v>
      </c>
      <c r="H1242" s="5"/>
      <c r="I1242" s="5"/>
      <c r="J1242" s="5" t="str">
        <f>IFERROR(__xludf.DUMMYFUNCTION("""COMPUTED_VALUE"""),"Anesthesia; Neurology")</f>
        <v>Anesthesia; Neurology</v>
      </c>
      <c r="K1242" s="5" t="str">
        <f>IFERROR(__xludf.DUMMYFUNCTION("""COMPUTED_VALUE"""),"Current")</f>
        <v>Current</v>
      </c>
      <c r="L1242" s="5"/>
      <c r="M1242" s="5"/>
      <c r="N1242" s="10">
        <f>IFERROR(__xludf.DUMMYFUNCTION("""COMPUTED_VALUE"""),43923.0)</f>
        <v>43923</v>
      </c>
      <c r="O1242" s="5">
        <v>2020.0</v>
      </c>
      <c r="P1242" s="5" t="str">
        <f>IFERROR(__xludf.DUMMYFUNCTION("""COMPUTED_VALUE"""),"Available")</f>
        <v>Available</v>
      </c>
      <c r="Q1242" s="5" t="s">
        <v>135</v>
      </c>
      <c r="R1242" s="5" t="s">
        <v>136</v>
      </c>
      <c r="S1242" s="11">
        <v>2398.0</v>
      </c>
    </row>
    <row r="1243">
      <c r="A1243" s="5" t="str">
        <f>IFERROR(__xludf.DUMMYFUNCTION("""COMPUTED_VALUE"""),"Midazolam Hydrochloride Injection")</f>
        <v>Midazolam Hydrochloride Injection</v>
      </c>
      <c r="B1243" s="5" t="str">
        <f>IFERROR(__xludf.DUMMYFUNCTION("""COMPUTED_VALUE"""),"Hikma Pharmaceuticals USA, Inc.")</f>
        <v>Hikma Pharmaceuticals USA, Inc.</v>
      </c>
      <c r="C1243" s="5" t="str">
        <f>IFERROR(__xludf.DUMMYFUNCTION("""COMPUTED_VALUE"""),"Midazolam Hydrochloride, Injection, 1 mg/1 mL (NDC 0641-6056-10)")</f>
        <v>Midazolam Hydrochloride, Injection, 1 mg/1 mL (NDC 0641-6056-10)</v>
      </c>
      <c r="D1243" s="5" t="str">
        <f>IFERROR(__xludf.DUMMYFUNCTION("""COMPUTED_VALUE"""),"Reverified")</f>
        <v>Reverified</v>
      </c>
      <c r="E1243" s="13">
        <f>IFERROR(__xludf.DUMMYFUNCTION("""COMPUTED_VALUE"""),46309.0)</f>
        <v>46309</v>
      </c>
      <c r="F1243" s="5" t="str">
        <f>IFERROR(__xludf.DUMMYFUNCTION("""COMPUTED_VALUE"""),"Available")</f>
        <v>Available</v>
      </c>
      <c r="G1243" s="5" t="str">
        <f>IFERROR(__xludf.DUMMYFUNCTION("""COMPUTED_VALUE"""),"Additional lots are scheduled to be manufactured. Product will be made available as it is released.")</f>
        <v>Additional lots are scheduled to be manufactured. Product will be made available as it is released.</v>
      </c>
      <c r="H1243" s="5"/>
      <c r="I1243" s="5"/>
      <c r="J1243" s="5" t="str">
        <f>IFERROR(__xludf.DUMMYFUNCTION("""COMPUTED_VALUE"""),"Anesthesia; Neurology")</f>
        <v>Anesthesia; Neurology</v>
      </c>
      <c r="K1243" s="5" t="str">
        <f>IFERROR(__xludf.DUMMYFUNCTION("""COMPUTED_VALUE"""),"Current")</f>
        <v>Current</v>
      </c>
      <c r="L1243" s="5"/>
      <c r="M1243" s="5"/>
      <c r="N1243" s="10">
        <f>IFERROR(__xludf.DUMMYFUNCTION("""COMPUTED_VALUE"""),43923.0)</f>
        <v>43923</v>
      </c>
      <c r="O1243" s="5">
        <v>2020.0</v>
      </c>
      <c r="P1243" s="5" t="str">
        <f>IFERROR(__xludf.DUMMYFUNCTION("""COMPUTED_VALUE"""),"Available")</f>
        <v>Available</v>
      </c>
      <c r="Q1243" s="5" t="s">
        <v>135</v>
      </c>
      <c r="R1243" s="5" t="s">
        <v>136</v>
      </c>
      <c r="S1243" s="11">
        <v>2398.0</v>
      </c>
    </row>
    <row r="1244">
      <c r="A1244" s="5" t="str">
        <f>IFERROR(__xludf.DUMMYFUNCTION("""COMPUTED_VALUE"""),"Midazolam Hydrochloride Injection")</f>
        <v>Midazolam Hydrochloride Injection</v>
      </c>
      <c r="B1244" s="5" t="str">
        <f>IFERROR(__xludf.DUMMYFUNCTION("""COMPUTED_VALUE"""),"Hikma Pharmaceuticals USA, Inc.")</f>
        <v>Hikma Pharmaceuticals USA, Inc.</v>
      </c>
      <c r="C1244" s="5" t="str">
        <f>IFERROR(__xludf.DUMMYFUNCTION("""COMPUTED_VALUE"""),"Midazolam Hydrochloride, Injection, 1 mg/1 mL (NDC 0641-6057-25)")</f>
        <v>Midazolam Hydrochloride, Injection, 1 mg/1 mL (NDC 0641-6057-25)</v>
      </c>
      <c r="D1244" s="5" t="str">
        <f>IFERROR(__xludf.DUMMYFUNCTION("""COMPUTED_VALUE"""),"Reverified")</f>
        <v>Reverified</v>
      </c>
      <c r="E1244" s="13">
        <f>IFERROR(__xludf.DUMMYFUNCTION("""COMPUTED_VALUE"""),46309.0)</f>
        <v>46309</v>
      </c>
      <c r="F1244" s="5" t="str">
        <f>IFERROR(__xludf.DUMMYFUNCTION("""COMPUTED_VALUE"""),"Available")</f>
        <v>Available</v>
      </c>
      <c r="G1244" s="5" t="str">
        <f>IFERROR(__xludf.DUMMYFUNCTION("""COMPUTED_VALUE"""),"Additional lots are scheduled to be manufactured. Product will be made available as it is released.")</f>
        <v>Additional lots are scheduled to be manufactured. Product will be made available as it is released.</v>
      </c>
      <c r="H1244" s="5"/>
      <c r="I1244" s="5"/>
      <c r="J1244" s="5" t="str">
        <f>IFERROR(__xludf.DUMMYFUNCTION("""COMPUTED_VALUE"""),"Anesthesia; Neurology")</f>
        <v>Anesthesia; Neurology</v>
      </c>
      <c r="K1244" s="5" t="str">
        <f>IFERROR(__xludf.DUMMYFUNCTION("""COMPUTED_VALUE"""),"Current")</f>
        <v>Current</v>
      </c>
      <c r="L1244" s="5"/>
      <c r="M1244" s="5"/>
      <c r="N1244" s="10">
        <f>IFERROR(__xludf.DUMMYFUNCTION("""COMPUTED_VALUE"""),43923.0)</f>
        <v>43923</v>
      </c>
      <c r="O1244" s="5">
        <v>2020.0</v>
      </c>
      <c r="P1244" s="5" t="str">
        <f>IFERROR(__xludf.DUMMYFUNCTION("""COMPUTED_VALUE"""),"Available")</f>
        <v>Available</v>
      </c>
      <c r="Q1244" s="5" t="s">
        <v>135</v>
      </c>
      <c r="R1244" s="5" t="s">
        <v>136</v>
      </c>
      <c r="S1244" s="11">
        <v>2398.0</v>
      </c>
    </row>
    <row r="1245">
      <c r="A1245" s="5" t="str">
        <f>IFERROR(__xludf.DUMMYFUNCTION("""COMPUTED_VALUE"""),"Midazolam Hydrochloride Injection")</f>
        <v>Midazolam Hydrochloride Injection</v>
      </c>
      <c r="B1245" s="5" t="str">
        <f>IFERROR(__xludf.DUMMYFUNCTION("""COMPUTED_VALUE"""),"Hikma Pharmaceuticals USA, Inc.")</f>
        <v>Hikma Pharmaceuticals USA, Inc.</v>
      </c>
      <c r="C1245" s="5" t="str">
        <f>IFERROR(__xludf.DUMMYFUNCTION("""COMPUTED_VALUE"""),"Midazolam Hydrochloride, Injection, 1 mg/1 mL (NDC 0641-6059-01)")</f>
        <v>Midazolam Hydrochloride, Injection, 1 mg/1 mL (NDC 0641-6059-01)</v>
      </c>
      <c r="D1245" s="5" t="str">
        <f>IFERROR(__xludf.DUMMYFUNCTION("""COMPUTED_VALUE"""),"Reverified")</f>
        <v>Reverified</v>
      </c>
      <c r="E1245" s="13">
        <f>IFERROR(__xludf.DUMMYFUNCTION("""COMPUTED_VALUE"""),46309.0)</f>
        <v>46309</v>
      </c>
      <c r="F1245" s="5" t="str">
        <f>IFERROR(__xludf.DUMMYFUNCTION("""COMPUTED_VALUE"""),"Available")</f>
        <v>Available</v>
      </c>
      <c r="G1245" s="5" t="str">
        <f>IFERROR(__xludf.DUMMYFUNCTION("""COMPUTED_VALUE"""),"Additional lots are scheduled to be manufactured. Product will be made available as it is released.")</f>
        <v>Additional lots are scheduled to be manufactured. Product will be made available as it is released.</v>
      </c>
      <c r="H1245" s="5"/>
      <c r="I1245" s="5"/>
      <c r="J1245" s="5" t="str">
        <f>IFERROR(__xludf.DUMMYFUNCTION("""COMPUTED_VALUE"""),"Anesthesia; Neurology")</f>
        <v>Anesthesia; Neurology</v>
      </c>
      <c r="K1245" s="5" t="str">
        <f>IFERROR(__xludf.DUMMYFUNCTION("""COMPUTED_VALUE"""),"Current")</f>
        <v>Current</v>
      </c>
      <c r="L1245" s="5"/>
      <c r="M1245" s="5"/>
      <c r="N1245" s="10">
        <f>IFERROR(__xludf.DUMMYFUNCTION("""COMPUTED_VALUE"""),43923.0)</f>
        <v>43923</v>
      </c>
      <c r="O1245" s="5">
        <v>2020.0</v>
      </c>
      <c r="P1245" s="5" t="str">
        <f>IFERROR(__xludf.DUMMYFUNCTION("""COMPUTED_VALUE"""),"Available")</f>
        <v>Available</v>
      </c>
      <c r="Q1245" s="5" t="s">
        <v>135</v>
      </c>
      <c r="R1245" s="5" t="s">
        <v>136</v>
      </c>
      <c r="S1245" s="11">
        <v>2398.0</v>
      </c>
    </row>
    <row r="1246">
      <c r="A1246" s="5" t="str">
        <f>IFERROR(__xludf.DUMMYFUNCTION("""COMPUTED_VALUE"""),"Midazolam Hydrochloride Injection")</f>
        <v>Midazolam Hydrochloride Injection</v>
      </c>
      <c r="B1246" s="5" t="str">
        <f>IFERROR(__xludf.DUMMYFUNCTION("""COMPUTED_VALUE"""),"Hikma Pharmaceuticals USA, Inc.")</f>
        <v>Hikma Pharmaceuticals USA, Inc.</v>
      </c>
      <c r="C1246" s="5" t="str">
        <f>IFERROR(__xludf.DUMMYFUNCTION("""COMPUTED_VALUE"""),"Midazolam Hydrochloride, Injection, 5 mg/1 mL (NDC 0641-6061-25)")</f>
        <v>Midazolam Hydrochloride, Injection, 5 mg/1 mL (NDC 0641-6061-25)</v>
      </c>
      <c r="D1246" s="5" t="str">
        <f>IFERROR(__xludf.DUMMYFUNCTION("""COMPUTED_VALUE"""),"Reverified")</f>
        <v>Reverified</v>
      </c>
      <c r="E1246" s="13">
        <f>IFERROR(__xludf.DUMMYFUNCTION("""COMPUTED_VALUE"""),46309.0)</f>
        <v>46309</v>
      </c>
      <c r="F1246" s="5" t="str">
        <f>IFERROR(__xludf.DUMMYFUNCTION("""COMPUTED_VALUE"""),"Available")</f>
        <v>Available</v>
      </c>
      <c r="G1246" s="5" t="str">
        <f>IFERROR(__xludf.DUMMYFUNCTION("""COMPUTED_VALUE"""),"Additional lots are scheduled to be manufactured.  Product will be made available as it is released.")</f>
        <v>Additional lots are scheduled to be manufactured.  Product will be made available as it is released.</v>
      </c>
      <c r="H1246" s="5"/>
      <c r="I1246" s="5"/>
      <c r="J1246" s="5" t="str">
        <f>IFERROR(__xludf.DUMMYFUNCTION("""COMPUTED_VALUE"""),"Anesthesia; Neurology")</f>
        <v>Anesthesia; Neurology</v>
      </c>
      <c r="K1246" s="5" t="str">
        <f>IFERROR(__xludf.DUMMYFUNCTION("""COMPUTED_VALUE"""),"Current")</f>
        <v>Current</v>
      </c>
      <c r="L1246" s="5"/>
      <c r="M1246" s="5"/>
      <c r="N1246" s="10">
        <f>IFERROR(__xludf.DUMMYFUNCTION("""COMPUTED_VALUE"""),43923.0)</f>
        <v>43923</v>
      </c>
      <c r="O1246" s="5">
        <v>2020.0</v>
      </c>
      <c r="P1246" s="5" t="str">
        <f>IFERROR(__xludf.DUMMYFUNCTION("""COMPUTED_VALUE"""),"Available")</f>
        <v>Available</v>
      </c>
      <c r="Q1246" s="5" t="s">
        <v>135</v>
      </c>
      <c r="R1246" s="5" t="s">
        <v>136</v>
      </c>
      <c r="S1246" s="11">
        <v>2398.0</v>
      </c>
    </row>
    <row r="1247">
      <c r="A1247" s="5" t="str">
        <f>IFERROR(__xludf.DUMMYFUNCTION("""COMPUTED_VALUE"""),"Midazolam Hydrochloride Injection")</f>
        <v>Midazolam Hydrochloride Injection</v>
      </c>
      <c r="B1247" s="5" t="str">
        <f>IFERROR(__xludf.DUMMYFUNCTION("""COMPUTED_VALUE"""),"Hikma Pharmaceuticals USA, Inc.")</f>
        <v>Hikma Pharmaceuticals USA, Inc.</v>
      </c>
      <c r="C1247" s="5" t="str">
        <f>IFERROR(__xludf.DUMMYFUNCTION("""COMPUTED_VALUE"""),"Midazolam Hydrochloride, Injection, 5 mg/1 mL (NDC 0641-6060-10)")</f>
        <v>Midazolam Hydrochloride, Injection, 5 mg/1 mL (NDC 0641-6060-10)</v>
      </c>
      <c r="D1247" s="5" t="str">
        <f>IFERROR(__xludf.DUMMYFUNCTION("""COMPUTED_VALUE"""),"Reverified")</f>
        <v>Reverified</v>
      </c>
      <c r="E1247" s="13">
        <f>IFERROR(__xludf.DUMMYFUNCTION("""COMPUTED_VALUE"""),46309.0)</f>
        <v>46309</v>
      </c>
      <c r="F1247" s="5" t="str">
        <f>IFERROR(__xludf.DUMMYFUNCTION("""COMPUTED_VALUE"""),"Available")</f>
        <v>Available</v>
      </c>
      <c r="G1247" s="5" t="str">
        <f>IFERROR(__xludf.DUMMYFUNCTION("""COMPUTED_VALUE"""),"Additional lots are scheduled to be manufactured.  Product will be made available as it is released.")</f>
        <v>Additional lots are scheduled to be manufactured.  Product will be made available as it is released.</v>
      </c>
      <c r="H1247" s="5"/>
      <c r="I1247" s="5"/>
      <c r="J1247" s="5" t="str">
        <f>IFERROR(__xludf.DUMMYFUNCTION("""COMPUTED_VALUE"""),"Anesthesia; Neurology")</f>
        <v>Anesthesia; Neurology</v>
      </c>
      <c r="K1247" s="5" t="str">
        <f>IFERROR(__xludf.DUMMYFUNCTION("""COMPUTED_VALUE"""),"Current")</f>
        <v>Current</v>
      </c>
      <c r="L1247" s="5"/>
      <c r="M1247" s="5"/>
      <c r="N1247" s="10">
        <f>IFERROR(__xludf.DUMMYFUNCTION("""COMPUTED_VALUE"""),43923.0)</f>
        <v>43923</v>
      </c>
      <c r="O1247" s="5">
        <v>2020.0</v>
      </c>
      <c r="P1247" s="5" t="str">
        <f>IFERROR(__xludf.DUMMYFUNCTION("""COMPUTED_VALUE"""),"Available")</f>
        <v>Available</v>
      </c>
      <c r="Q1247" s="5" t="s">
        <v>135</v>
      </c>
      <c r="R1247" s="5" t="s">
        <v>136</v>
      </c>
      <c r="S1247" s="11">
        <v>2398.0</v>
      </c>
    </row>
    <row r="1248">
      <c r="A1248" s="5" t="str">
        <f>IFERROR(__xludf.DUMMYFUNCTION("""COMPUTED_VALUE"""),"Midazolam Hydrochloride Injection")</f>
        <v>Midazolam Hydrochloride Injection</v>
      </c>
      <c r="B1248" s="5" t="str">
        <f>IFERROR(__xludf.DUMMYFUNCTION("""COMPUTED_VALUE"""),"Hospira, Inc., a Pfizer Company")</f>
        <v>Hospira, Inc., a Pfizer Company</v>
      </c>
      <c r="C1248" s="5" t="str">
        <f>IFERROR(__xludf.DUMMYFUNCTION("""COMPUTED_VALUE"""),"Midazolam Hydrochloride Preservative Free, Injection, 2 mg/2mL (1 mg/mL) (NDC 0409-2305-17)")</f>
        <v>Midazolam Hydrochloride Preservative Free, Injection, 2 mg/2mL (1 mg/mL) (NDC 0409-2305-17)</v>
      </c>
      <c r="D1248" s="5" t="str">
        <f>IFERROR(__xludf.DUMMYFUNCTION("""COMPUTED_VALUE"""),"Reverified")</f>
        <v>Reverified</v>
      </c>
      <c r="E1248" s="13">
        <f>IFERROR(__xludf.DUMMYFUNCTION("""COMPUTED_VALUE"""),46316.0)</f>
        <v>46316</v>
      </c>
      <c r="F1248" s="5" t="str">
        <f>IFERROR(__xludf.DUMMYFUNCTION("""COMPUTED_VALUE"""),"Limited Availability")</f>
        <v>Limited Availability</v>
      </c>
      <c r="G1248" s="5" t="str">
        <f>IFERROR(__xludf.DUMMYFUNCTION("""COMPUTED_VALUE"""),"Next Estimated Delivery and Estimated Recovery: December 2026")</f>
        <v>Next Estimated Delivery and Estimated Recovery: December 2026</v>
      </c>
      <c r="H1248" s="5"/>
      <c r="I1248" s="5" t="str">
        <f>IFERROR(__xludf.DUMMYFUNCTION("""COMPUTED_VALUE"""),"Demand increase for the drug")</f>
        <v>Demand increase for the drug</v>
      </c>
      <c r="J1248" s="5" t="str">
        <f>IFERROR(__xludf.DUMMYFUNCTION("""COMPUTED_VALUE"""),"Anesthesia; Neurology")</f>
        <v>Anesthesia; Neurology</v>
      </c>
      <c r="K1248" s="5" t="str">
        <f>IFERROR(__xludf.DUMMYFUNCTION("""COMPUTED_VALUE"""),"Current")</f>
        <v>Current</v>
      </c>
      <c r="L1248" s="5"/>
      <c r="M1248" s="5"/>
      <c r="N1248" s="10">
        <f>IFERROR(__xludf.DUMMYFUNCTION("""COMPUTED_VALUE"""),43923.0)</f>
        <v>43923</v>
      </c>
      <c r="O1248" s="5">
        <v>2020.0</v>
      </c>
      <c r="P1248" s="5" t="str">
        <f>IFERROR(__xludf.DUMMYFUNCTION("""COMPUTED_VALUE"""),"Limited Availability")</f>
        <v>Limited Availability</v>
      </c>
      <c r="Q1248" s="5" t="s">
        <v>134</v>
      </c>
      <c r="R1248" s="5" t="s">
        <v>136</v>
      </c>
      <c r="S1248" s="11">
        <v>2398.0</v>
      </c>
    </row>
    <row r="1249">
      <c r="A1249" s="5" t="str">
        <f>IFERROR(__xludf.DUMMYFUNCTION("""COMPUTED_VALUE"""),"Midazolam Hydrochloride Injection")</f>
        <v>Midazolam Hydrochloride Injection</v>
      </c>
      <c r="B1249" s="5" t="str">
        <f>IFERROR(__xludf.DUMMYFUNCTION("""COMPUTED_VALUE"""),"Hospira, Inc., a Pfizer Company")</f>
        <v>Hospira, Inc., a Pfizer Company</v>
      </c>
      <c r="C1249" s="5" t="str">
        <f>IFERROR(__xludf.DUMMYFUNCTION("""COMPUTED_VALUE"""),"Midazolam Hydrochloride Preservative Free, Injection, 5 mg/5 mL (1 mg/mL) (NDC 0409-2305-05)")</f>
        <v>Midazolam Hydrochloride Preservative Free, Injection, 5 mg/5 mL (1 mg/mL) (NDC 0409-2305-05)</v>
      </c>
      <c r="D1249" s="5" t="str">
        <f>IFERROR(__xludf.DUMMYFUNCTION("""COMPUTED_VALUE"""),"Revised")</f>
        <v>Revised</v>
      </c>
      <c r="E1249" s="13">
        <f>IFERROR(__xludf.DUMMYFUNCTION("""COMPUTED_VALUE"""),46316.0)</f>
        <v>46316</v>
      </c>
      <c r="F1249" s="5" t="str">
        <f>IFERROR(__xludf.DUMMYFUNCTION("""COMPUTED_VALUE"""),"Limited Availability")</f>
        <v>Limited Availability</v>
      </c>
      <c r="G1249" s="5" t="str">
        <f>IFERROR(__xludf.DUMMYFUNCTION("""COMPUTED_VALUE"""),"Limited Supply Available. Next Delivery: October 2026; Estimated Recovery: March 2027")</f>
        <v>Limited Supply Available. Next Delivery: October 2026; Estimated Recovery: March 2027</v>
      </c>
      <c r="H1249" s="5"/>
      <c r="I1249" s="5" t="str">
        <f>IFERROR(__xludf.DUMMYFUNCTION("""COMPUTED_VALUE"""),"Demand increase for the drug")</f>
        <v>Demand increase for the drug</v>
      </c>
      <c r="J1249" s="5" t="str">
        <f>IFERROR(__xludf.DUMMYFUNCTION("""COMPUTED_VALUE"""),"Anesthesia; Neurology")</f>
        <v>Anesthesia; Neurology</v>
      </c>
      <c r="K1249" s="5" t="str">
        <f>IFERROR(__xludf.DUMMYFUNCTION("""COMPUTED_VALUE"""),"Current")</f>
        <v>Current</v>
      </c>
      <c r="L1249" s="5"/>
      <c r="M1249" s="5"/>
      <c r="N1249" s="10">
        <f>IFERROR(__xludf.DUMMYFUNCTION("""COMPUTED_VALUE"""),43923.0)</f>
        <v>43923</v>
      </c>
      <c r="O1249" s="5">
        <v>2020.0</v>
      </c>
      <c r="P1249" s="5" t="str">
        <f>IFERROR(__xludf.DUMMYFUNCTION("""COMPUTED_VALUE"""),"Limited Availability")</f>
        <v>Limited Availability</v>
      </c>
      <c r="Q1249" s="5" t="s">
        <v>134</v>
      </c>
      <c r="R1249" s="5" t="s">
        <v>136</v>
      </c>
      <c r="S1249" s="11">
        <v>2398.0</v>
      </c>
    </row>
    <row r="1250">
      <c r="A1250" s="5" t="str">
        <f>IFERROR(__xludf.DUMMYFUNCTION("""COMPUTED_VALUE"""),"Midazolam Hydrochloride Injection")</f>
        <v>Midazolam Hydrochloride Injection</v>
      </c>
      <c r="B1250" s="5" t="str">
        <f>IFERROR(__xludf.DUMMYFUNCTION("""COMPUTED_VALUE"""),"Hospira, Inc., a Pfizer Company")</f>
        <v>Hospira, Inc., a Pfizer Company</v>
      </c>
      <c r="C1250" s="5" t="str">
        <f>IFERROR(__xludf.DUMMYFUNCTION("""COMPUTED_VALUE"""),"Midazolam Hydrochloride Preservative Free, Injection, 5 mg/mL (5 mg/mL) (NDC 0409-2308-01)")</f>
        <v>Midazolam Hydrochloride Preservative Free, Injection, 5 mg/mL (5 mg/mL) (NDC 0409-2308-01)</v>
      </c>
      <c r="D1250" s="5" t="str">
        <f>IFERROR(__xludf.DUMMYFUNCTION("""COMPUTED_VALUE"""),"Revised")</f>
        <v>Revised</v>
      </c>
      <c r="E1250" s="13">
        <f>IFERROR(__xludf.DUMMYFUNCTION("""COMPUTED_VALUE"""),46316.0)</f>
        <v>46316</v>
      </c>
      <c r="F1250" s="5" t="str">
        <f>IFERROR(__xludf.DUMMYFUNCTION("""COMPUTED_VALUE"""),"Unavailable")</f>
        <v>Unavailable</v>
      </c>
      <c r="G1250" s="5" t="str">
        <f>IFERROR(__xludf.DUMMYFUNCTION("""COMPUTED_VALUE"""),"Next Delivery: November 2026; Estimated Recovery: December 2026")</f>
        <v>Next Delivery: November 2026; Estimated Recovery: December 2026</v>
      </c>
      <c r="H1250" s="5"/>
      <c r="I1250" s="5" t="str">
        <f>IFERROR(__xludf.DUMMYFUNCTION("""COMPUTED_VALUE"""),"Demand increase for the drug")</f>
        <v>Demand increase for the drug</v>
      </c>
      <c r="J1250" s="5" t="str">
        <f>IFERROR(__xludf.DUMMYFUNCTION("""COMPUTED_VALUE"""),"Anesthesia; Neurology")</f>
        <v>Anesthesia; Neurology</v>
      </c>
      <c r="K1250" s="5" t="str">
        <f>IFERROR(__xludf.DUMMYFUNCTION("""COMPUTED_VALUE"""),"Current")</f>
        <v>Current</v>
      </c>
      <c r="L1250" s="5"/>
      <c r="M1250" s="5"/>
      <c r="N1250" s="10">
        <f>IFERROR(__xludf.DUMMYFUNCTION("""COMPUTED_VALUE"""),43923.0)</f>
        <v>43923</v>
      </c>
      <c r="O1250" s="5">
        <v>2020.0</v>
      </c>
      <c r="P1250" s="5" t="str">
        <f>IFERROR(__xludf.DUMMYFUNCTION("""COMPUTED_VALUE"""),"Unavailable")</f>
        <v>Unavailable</v>
      </c>
      <c r="Q1250" s="5" t="s">
        <v>134</v>
      </c>
      <c r="R1250" s="5" t="s">
        <v>136</v>
      </c>
      <c r="S1250" s="11">
        <v>2398.0</v>
      </c>
    </row>
    <row r="1251">
      <c r="A1251" s="5" t="str">
        <f>IFERROR(__xludf.DUMMYFUNCTION("""COMPUTED_VALUE"""),"Midazolam Hydrochloride Injection")</f>
        <v>Midazolam Hydrochloride Injection</v>
      </c>
      <c r="B1251" s="5" t="str">
        <f>IFERROR(__xludf.DUMMYFUNCTION("""COMPUTED_VALUE"""),"Hospira, Inc., a Pfizer Company")</f>
        <v>Hospira, Inc., a Pfizer Company</v>
      </c>
      <c r="C1251" s="5" t="str">
        <f>IFERROR(__xludf.DUMMYFUNCTION("""COMPUTED_VALUE"""),"Midazolam Hydrochloride, Injection, 50 mg/10 mL (5 mg/mL) (NDC 0409-2596-05)")</f>
        <v>Midazolam Hydrochloride, Injection, 50 mg/10 mL (5 mg/mL) (NDC 0409-2596-05)</v>
      </c>
      <c r="D1251" s="5" t="str">
        <f>IFERROR(__xludf.DUMMYFUNCTION("""COMPUTED_VALUE"""),"Reverified")</f>
        <v>Reverified</v>
      </c>
      <c r="E1251" s="13">
        <f>IFERROR(__xludf.DUMMYFUNCTION("""COMPUTED_VALUE"""),46316.0)</f>
        <v>46316</v>
      </c>
      <c r="F1251" s="5" t="str">
        <f>IFERROR(__xludf.DUMMYFUNCTION("""COMPUTED_VALUE"""),"Available")</f>
        <v>Available</v>
      </c>
      <c r="G1251" s="5"/>
      <c r="H1251" s="5"/>
      <c r="I1251" s="5"/>
      <c r="J1251" s="5" t="str">
        <f>IFERROR(__xludf.DUMMYFUNCTION("""COMPUTED_VALUE"""),"Anesthesia; Neurology")</f>
        <v>Anesthesia; Neurology</v>
      </c>
      <c r="K1251" s="5" t="str">
        <f>IFERROR(__xludf.DUMMYFUNCTION("""COMPUTED_VALUE"""),"Current")</f>
        <v>Current</v>
      </c>
      <c r="L1251" s="5"/>
      <c r="M1251" s="5"/>
      <c r="N1251" s="10">
        <f>IFERROR(__xludf.DUMMYFUNCTION("""COMPUTED_VALUE"""),43923.0)</f>
        <v>43923</v>
      </c>
      <c r="O1251" s="5">
        <v>2020.0</v>
      </c>
      <c r="P1251" s="5" t="str">
        <f>IFERROR(__xludf.DUMMYFUNCTION("""COMPUTED_VALUE"""),"Available")</f>
        <v>Available</v>
      </c>
      <c r="Q1251" s="5" t="s">
        <v>135</v>
      </c>
      <c r="R1251" s="5" t="s">
        <v>136</v>
      </c>
      <c r="S1251" s="11">
        <v>2398.0</v>
      </c>
    </row>
    <row r="1252">
      <c r="A1252" s="5" t="str">
        <f>IFERROR(__xludf.DUMMYFUNCTION("""COMPUTED_VALUE"""),"Midazolam Hydrochloride Injection")</f>
        <v>Midazolam Hydrochloride Injection</v>
      </c>
      <c r="B1252" s="5" t="str">
        <f>IFERROR(__xludf.DUMMYFUNCTION("""COMPUTED_VALUE"""),"Hospira, Inc., a Pfizer Company")</f>
        <v>Hospira, Inc., a Pfizer Company</v>
      </c>
      <c r="C1252" s="5" t="str">
        <f>IFERROR(__xludf.DUMMYFUNCTION("""COMPUTED_VALUE"""),"Midazolam Hydrochloride Preservative Free, Injection, 10 mg/2 mL (5 mg/mL) (NDC 0409-2308-02)")</f>
        <v>Midazolam Hydrochloride Preservative Free, Injection, 10 mg/2 mL (5 mg/mL) (NDC 0409-2308-02)</v>
      </c>
      <c r="D1252" s="5" t="str">
        <f>IFERROR(__xludf.DUMMYFUNCTION("""COMPUTED_VALUE"""),"Revised")</f>
        <v>Revised</v>
      </c>
      <c r="E1252" s="13">
        <f>IFERROR(__xludf.DUMMYFUNCTION("""COMPUTED_VALUE"""),46316.0)</f>
        <v>46316</v>
      </c>
      <c r="F1252" s="5" t="str">
        <f>IFERROR(__xludf.DUMMYFUNCTION("""COMPUTED_VALUE"""),"Unavailable")</f>
        <v>Unavailable</v>
      </c>
      <c r="G1252" s="5" t="str">
        <f>IFERROR(__xludf.DUMMYFUNCTION("""COMPUTED_VALUE"""),"Next Delivery: November 2026; Estimated Recovery: December 2026")</f>
        <v>Next Delivery: November 2026; Estimated Recovery: December 2026</v>
      </c>
      <c r="H1252" s="5"/>
      <c r="I1252" s="5" t="str">
        <f>IFERROR(__xludf.DUMMYFUNCTION("""COMPUTED_VALUE"""),"Demand increase for the drug")</f>
        <v>Demand increase for the drug</v>
      </c>
      <c r="J1252" s="5" t="str">
        <f>IFERROR(__xludf.DUMMYFUNCTION("""COMPUTED_VALUE"""),"Anesthesia; Neurology")</f>
        <v>Anesthesia; Neurology</v>
      </c>
      <c r="K1252" s="5" t="str">
        <f>IFERROR(__xludf.DUMMYFUNCTION("""COMPUTED_VALUE"""),"Current")</f>
        <v>Current</v>
      </c>
      <c r="L1252" s="5"/>
      <c r="M1252" s="5"/>
      <c r="N1252" s="10">
        <f>IFERROR(__xludf.DUMMYFUNCTION("""COMPUTED_VALUE"""),43923.0)</f>
        <v>43923</v>
      </c>
      <c r="O1252" s="5">
        <v>2020.0</v>
      </c>
      <c r="P1252" s="5" t="str">
        <f>IFERROR(__xludf.DUMMYFUNCTION("""COMPUTED_VALUE"""),"Unavailable")</f>
        <v>Unavailable</v>
      </c>
      <c r="Q1252" s="5" t="s">
        <v>134</v>
      </c>
      <c r="R1252" s="5" t="s">
        <v>136</v>
      </c>
      <c r="S1252" s="11">
        <v>2398.0</v>
      </c>
    </row>
    <row r="1253">
      <c r="A1253" s="5" t="str">
        <f>IFERROR(__xludf.DUMMYFUNCTION("""COMPUTED_VALUE"""),"Midazolam Hydrochloride Injection")</f>
        <v>Midazolam Hydrochloride Injection</v>
      </c>
      <c r="B1253" s="5" t="str">
        <f>IFERROR(__xludf.DUMMYFUNCTION("""COMPUTED_VALUE"""),"Hospira, Inc., a Pfizer Company")</f>
        <v>Hospira, Inc., a Pfizer Company</v>
      </c>
      <c r="C1253" s="5" t="str">
        <f>IFERROR(__xludf.DUMMYFUNCTION("""COMPUTED_VALUE"""),"Midazolam Hydrochloride, Injection, 25 mg/5 mL (5 mg/mL) (NDC 0409-2596-03)")</f>
        <v>Midazolam Hydrochloride, Injection, 25 mg/5 mL (5 mg/mL) (NDC 0409-2596-03)</v>
      </c>
      <c r="D1253" s="5" t="str">
        <f>IFERROR(__xludf.DUMMYFUNCTION("""COMPUTED_VALUE"""),"Reverified")</f>
        <v>Reverified</v>
      </c>
      <c r="E1253" s="13">
        <f>IFERROR(__xludf.DUMMYFUNCTION("""COMPUTED_VALUE"""),46316.0)</f>
        <v>46316</v>
      </c>
      <c r="F1253" s="5" t="str">
        <f>IFERROR(__xludf.DUMMYFUNCTION("""COMPUTED_VALUE"""),"Available")</f>
        <v>Available</v>
      </c>
      <c r="G1253" s="5"/>
      <c r="H1253" s="5"/>
      <c r="I1253" s="5"/>
      <c r="J1253" s="5" t="str">
        <f>IFERROR(__xludf.DUMMYFUNCTION("""COMPUTED_VALUE"""),"Anesthesia; Neurology")</f>
        <v>Anesthesia; Neurology</v>
      </c>
      <c r="K1253" s="5" t="str">
        <f>IFERROR(__xludf.DUMMYFUNCTION("""COMPUTED_VALUE"""),"Current")</f>
        <v>Current</v>
      </c>
      <c r="L1253" s="5"/>
      <c r="M1253" s="5"/>
      <c r="N1253" s="10">
        <f>IFERROR(__xludf.DUMMYFUNCTION("""COMPUTED_VALUE"""),43923.0)</f>
        <v>43923</v>
      </c>
      <c r="O1253" s="5">
        <v>2020.0</v>
      </c>
      <c r="P1253" s="5" t="str">
        <f>IFERROR(__xludf.DUMMYFUNCTION("""COMPUTED_VALUE"""),"Available")</f>
        <v>Available</v>
      </c>
      <c r="Q1253" s="5" t="s">
        <v>135</v>
      </c>
      <c r="R1253" s="5" t="s">
        <v>136</v>
      </c>
      <c r="S1253" s="11">
        <v>2398.0</v>
      </c>
    </row>
    <row r="1254">
      <c r="A1254" s="5" t="str">
        <f>IFERROR(__xludf.DUMMYFUNCTION("""COMPUTED_VALUE"""),"Midazolam Hydrochloride Injection")</f>
        <v>Midazolam Hydrochloride Injection</v>
      </c>
      <c r="B1254" s="5" t="str">
        <f>IFERROR(__xludf.DUMMYFUNCTION("""COMPUTED_VALUE"""),"Hospira, Inc., a Pfizer Company")</f>
        <v>Hospira, Inc., a Pfizer Company</v>
      </c>
      <c r="C1254" s="5" t="str">
        <f>IFERROR(__xludf.DUMMYFUNCTION("""COMPUTED_VALUE"""),"Midazolam Hydrochloride, Injection, 10 mg/10 mL (1 mg/mL) (NDC 0409-2587-05)")</f>
        <v>Midazolam Hydrochloride, Injection, 10 mg/10 mL (1 mg/mL) (NDC 0409-2587-05)</v>
      </c>
      <c r="D1254" s="5" t="str">
        <f>IFERROR(__xludf.DUMMYFUNCTION("""COMPUTED_VALUE"""),"Revised")</f>
        <v>Revised</v>
      </c>
      <c r="E1254" s="13">
        <f>IFERROR(__xludf.DUMMYFUNCTION("""COMPUTED_VALUE"""),46316.0)</f>
        <v>46316</v>
      </c>
      <c r="F1254" s="5" t="str">
        <f>IFERROR(__xludf.DUMMYFUNCTION("""COMPUTED_VALUE"""),"Unavailable")</f>
        <v>Unavailable</v>
      </c>
      <c r="G1254" s="5" t="str">
        <f>IFERROR(__xludf.DUMMYFUNCTION("""COMPUTED_VALUE"""),"Next Delivery: January 2027; Estimated Recovery: March 2027")</f>
        <v>Next Delivery: January 2027; Estimated Recovery: March 2027</v>
      </c>
      <c r="H1254" s="5"/>
      <c r="I1254" s="5" t="str">
        <f>IFERROR(__xludf.DUMMYFUNCTION("""COMPUTED_VALUE"""),"Demand increase for the drug")</f>
        <v>Demand increase for the drug</v>
      </c>
      <c r="J1254" s="5" t="str">
        <f>IFERROR(__xludf.DUMMYFUNCTION("""COMPUTED_VALUE"""),"Anesthesia; Neurology")</f>
        <v>Anesthesia; Neurology</v>
      </c>
      <c r="K1254" s="5" t="str">
        <f>IFERROR(__xludf.DUMMYFUNCTION("""COMPUTED_VALUE"""),"Current")</f>
        <v>Current</v>
      </c>
      <c r="L1254" s="5"/>
      <c r="M1254" s="5"/>
      <c r="N1254" s="10">
        <f>IFERROR(__xludf.DUMMYFUNCTION("""COMPUTED_VALUE"""),43923.0)</f>
        <v>43923</v>
      </c>
      <c r="O1254" s="5">
        <v>2020.0</v>
      </c>
      <c r="P1254" s="5" t="str">
        <f>IFERROR(__xludf.DUMMYFUNCTION("""COMPUTED_VALUE"""),"Unavailable")</f>
        <v>Unavailable</v>
      </c>
      <c r="Q1254" s="5" t="s">
        <v>134</v>
      </c>
      <c r="R1254" s="5" t="s">
        <v>136</v>
      </c>
      <c r="S1254" s="11">
        <v>2398.0</v>
      </c>
    </row>
    <row r="1255">
      <c r="A1255" s="5" t="str">
        <f>IFERROR(__xludf.DUMMYFUNCTION("""COMPUTED_VALUE"""),"Mirikizumab-mrkz Injection")</f>
        <v>Mirikizumab-mrkz Injection</v>
      </c>
      <c r="B1255" s="5" t="str">
        <f>IFERROR(__xludf.DUMMYFUNCTION("""COMPUTED_VALUE"""),"Eli Lilly and Co.")</f>
        <v>Eli Lilly and Co.</v>
      </c>
      <c r="C1255" s="5" t="str">
        <f>IFERROR(__xludf.DUMMYFUNCTION("""COMPUTED_VALUE"""),"Omvoh, Injection, 100 mg/1 mL (NDC 0002-8011-27)")</f>
        <v>Omvoh, Injection, 100 mg/1 mL (NDC 0002-8011-27)</v>
      </c>
      <c r="D1255" s="5" t="str">
        <f>IFERROR(__xludf.DUMMYFUNCTION("""COMPUTED_VALUE"""),"New")</f>
        <v>New</v>
      </c>
      <c r="E1255" s="13">
        <f>IFERROR(__xludf.DUMMYFUNCTION("""COMPUTED_VALUE"""),46013.0)</f>
        <v>46013</v>
      </c>
      <c r="F1255" s="5"/>
      <c r="G1255" s="5" t="str">
        <f>IFERROR(__xludf.DUMMYFUNCTION("""COMPUTED_VALUE"""),"A business decision was made to discontinue. Distribution will end April 2026. The 200 mg/2 mL injection presentation (NDC 0002-3116-11) will remain.")</f>
        <v>A business decision was made to discontinue. Distribution will end April 2026. The 200 mg/2 mL injection presentation (NDC 0002-3116-11) will remain.</v>
      </c>
      <c r="H1255" s="5"/>
      <c r="I1255" s="5"/>
      <c r="J1255" s="5" t="str">
        <f>IFERROR(__xludf.DUMMYFUNCTION("""COMPUTED_VALUE"""),"Gastroenterology; Other")</f>
        <v>Gastroenterology; Other</v>
      </c>
      <c r="K1255" s="5" t="str">
        <f>IFERROR(__xludf.DUMMYFUNCTION("""COMPUTED_VALUE"""),"To Be Discontinued")</f>
        <v>To Be Discontinued</v>
      </c>
      <c r="L1255" s="5"/>
      <c r="M1255" s="13">
        <f>IFERROR(__xludf.DUMMYFUNCTION("""COMPUTED_VALUE"""),46013.0)</f>
        <v>46013</v>
      </c>
      <c r="N1255" s="13">
        <f>IFERROR(__xludf.DUMMYFUNCTION("""COMPUTED_VALUE"""),46013.0)</f>
        <v>46013</v>
      </c>
      <c r="O1255" s="5">
        <v>2025.0</v>
      </c>
      <c r="P1255" s="5" t="str">
        <f>IFERROR(__xludf.DUMMYFUNCTION("""COMPUTED_VALUE"""),"Not stated")</f>
        <v>Not stated</v>
      </c>
      <c r="Q1255" s="5" t="s">
        <v>135</v>
      </c>
      <c r="R1255" s="5" t="s">
        <v>136</v>
      </c>
      <c r="S1255" s="11">
        <v>308.0</v>
      </c>
    </row>
    <row r="1256">
      <c r="A1256" s="5" t="str">
        <f>IFERROR(__xludf.DUMMYFUNCTION("""COMPUTED_VALUE"""),"Mirikizumab-mrkz Injection")</f>
        <v>Mirikizumab-mrkz Injection</v>
      </c>
      <c r="B1256" s="5" t="str">
        <f>IFERROR(__xludf.DUMMYFUNCTION("""COMPUTED_VALUE"""),"Eli Lilly and Co.")</f>
        <v>Eli Lilly and Co.</v>
      </c>
      <c r="C1256" s="5" t="str">
        <f>IFERROR(__xludf.DUMMYFUNCTION("""COMPUTED_VALUE"""),"Omvoh, Injection, 100 mg/1 mL (NDC 0002-8870-27)")</f>
        <v>Omvoh, Injection, 100 mg/1 mL (NDC 0002-8870-27)</v>
      </c>
      <c r="D1256" s="5" t="str">
        <f>IFERROR(__xludf.DUMMYFUNCTION("""COMPUTED_VALUE"""),"New")</f>
        <v>New</v>
      </c>
      <c r="E1256" s="13">
        <f>IFERROR(__xludf.DUMMYFUNCTION("""COMPUTED_VALUE"""),46013.0)</f>
        <v>46013</v>
      </c>
      <c r="F1256" s="5"/>
      <c r="G1256" s="5" t="str">
        <f>IFERROR(__xludf.DUMMYFUNCTION("""COMPUTED_VALUE"""),"A business decision was made to discontinue. Distribution will end April 2026. The 200 mg/2 mL injection presentation (NDC 0002-1442-11) will remain.")</f>
        <v>A business decision was made to discontinue. Distribution will end April 2026. The 200 mg/2 mL injection presentation (NDC 0002-1442-11) will remain.</v>
      </c>
      <c r="H1256" s="5"/>
      <c r="I1256" s="5"/>
      <c r="J1256" s="5" t="str">
        <f>IFERROR(__xludf.DUMMYFUNCTION("""COMPUTED_VALUE"""),"Gastroenterology; Other")</f>
        <v>Gastroenterology; Other</v>
      </c>
      <c r="K1256" s="5" t="str">
        <f>IFERROR(__xludf.DUMMYFUNCTION("""COMPUTED_VALUE"""),"To Be Discontinued")</f>
        <v>To Be Discontinued</v>
      </c>
      <c r="L1256" s="5"/>
      <c r="M1256" s="13">
        <f>IFERROR(__xludf.DUMMYFUNCTION("""COMPUTED_VALUE"""),46013.0)</f>
        <v>46013</v>
      </c>
      <c r="N1256" s="13">
        <f>IFERROR(__xludf.DUMMYFUNCTION("""COMPUTED_VALUE"""),46013.0)</f>
        <v>46013</v>
      </c>
      <c r="O1256" s="5">
        <v>2025.0</v>
      </c>
      <c r="P1256" s="5" t="str">
        <f>IFERROR(__xludf.DUMMYFUNCTION("""COMPUTED_VALUE"""),"Not stated")</f>
        <v>Not stated</v>
      </c>
      <c r="Q1256" s="5" t="s">
        <v>135</v>
      </c>
      <c r="R1256" s="5" t="s">
        <v>136</v>
      </c>
      <c r="S1256" s="11">
        <v>308.0</v>
      </c>
    </row>
    <row r="1257">
      <c r="A1257" s="5" t="str">
        <f>IFERROR(__xludf.DUMMYFUNCTION("""COMPUTED_VALUE"""),"Molnupiravir Capsule")</f>
        <v>Molnupiravir Capsule</v>
      </c>
      <c r="B1257" s="5" t="str">
        <f>IFERROR(__xludf.DUMMYFUNCTION("""COMPUTED_VALUE"""),"Merck Sharp &amp; Dohme LLC")</f>
        <v>Merck Sharp &amp; Dohme LLC</v>
      </c>
      <c r="C1257" s="5" t="str">
        <f>IFERROR(__xludf.DUMMYFUNCTION("""COMPUTED_VALUE"""),"Lagevrio, Capsule, 200 mg (NDC 0006-5055-06)")</f>
        <v>Lagevrio, Capsule, 200 mg (NDC 0006-5055-06)</v>
      </c>
      <c r="D1257" s="5" t="str">
        <f>IFERROR(__xludf.DUMMYFUNCTION("""COMPUTED_VALUE"""),"New")</f>
        <v>New</v>
      </c>
      <c r="E1257" s="13">
        <f>IFERROR(__xludf.DUMMYFUNCTION("""COMPUTED_VALUE"""),46315.0)</f>
        <v>46315</v>
      </c>
      <c r="F1257" s="5"/>
      <c r="G1257" s="5" t="str">
        <f>IFERROR(__xludf.DUMMYFUNCTION("""COMPUTED_VALUE"""),"Discontinuation of the manufacture of the drug")</f>
        <v>Discontinuation of the manufacture of the drug</v>
      </c>
      <c r="H1257" s="5"/>
      <c r="I1257" s="5"/>
      <c r="J1257" s="5" t="str">
        <f>IFERROR(__xludf.DUMMYFUNCTION("""COMPUTED_VALUE"""),"Anti-Infective")</f>
        <v>Anti-Infective</v>
      </c>
      <c r="K1257" s="5" t="str">
        <f>IFERROR(__xludf.DUMMYFUNCTION("""COMPUTED_VALUE"""),"To Be Discontinued")</f>
        <v>To Be Discontinued</v>
      </c>
      <c r="L1257" s="5"/>
      <c r="M1257" s="13">
        <f>IFERROR(__xludf.DUMMYFUNCTION("""COMPUTED_VALUE"""),46315.0)</f>
        <v>46315</v>
      </c>
      <c r="N1257" s="13">
        <f>IFERROR(__xludf.DUMMYFUNCTION("""COMPUTED_VALUE"""),46315.0)</f>
        <v>46315</v>
      </c>
      <c r="O1257" s="5">
        <v>2026.0</v>
      </c>
      <c r="P1257" s="5" t="str">
        <f>IFERROR(__xludf.DUMMYFUNCTION("""COMPUTED_VALUE"""),"Not stated")</f>
        <v>Not stated</v>
      </c>
      <c r="Q1257" s="5" t="s">
        <v>135</v>
      </c>
      <c r="R1257" s="5" t="s">
        <v>136</v>
      </c>
      <c r="S1257" s="11">
        <v>6.0</v>
      </c>
    </row>
    <row r="1258">
      <c r="A1258" s="5" t="str">
        <f>IFERROR(__xludf.DUMMYFUNCTION("""COMPUTED_VALUE"""),"Molnupiravir Capsule")</f>
        <v>Molnupiravir Capsule</v>
      </c>
      <c r="B1258" s="5" t="str">
        <f>IFERROR(__xludf.DUMMYFUNCTION("""COMPUTED_VALUE"""),"Merck Sharp &amp; Dohme LLC")</f>
        <v>Merck Sharp &amp; Dohme LLC</v>
      </c>
      <c r="C1258" s="5" t="str">
        <f>IFERROR(__xludf.DUMMYFUNCTION("""COMPUTED_VALUE"""),"Lagevrio, Capsule, 200 mg (NDC 0006-5055-07)")</f>
        <v>Lagevrio, Capsule, 200 mg (NDC 0006-5055-07)</v>
      </c>
      <c r="D1258" s="5" t="str">
        <f>IFERROR(__xludf.DUMMYFUNCTION("""COMPUTED_VALUE"""),"New")</f>
        <v>New</v>
      </c>
      <c r="E1258" s="13">
        <f>IFERROR(__xludf.DUMMYFUNCTION("""COMPUTED_VALUE"""),46315.0)</f>
        <v>46315</v>
      </c>
      <c r="F1258" s="5"/>
      <c r="G1258" s="5" t="str">
        <f>IFERROR(__xludf.DUMMYFUNCTION("""COMPUTED_VALUE"""),"Discontinuation of the manufacture of the drug")</f>
        <v>Discontinuation of the manufacture of the drug</v>
      </c>
      <c r="H1258" s="5"/>
      <c r="I1258" s="5"/>
      <c r="J1258" s="5" t="str">
        <f>IFERROR(__xludf.DUMMYFUNCTION("""COMPUTED_VALUE"""),"Antiviral")</f>
        <v>Antiviral</v>
      </c>
      <c r="K1258" s="5" t="str">
        <f>IFERROR(__xludf.DUMMYFUNCTION("""COMPUTED_VALUE"""),"To Be Discontinued")</f>
        <v>To Be Discontinued</v>
      </c>
      <c r="L1258" s="5"/>
      <c r="M1258" s="13">
        <f>IFERROR(__xludf.DUMMYFUNCTION("""COMPUTED_VALUE"""),46315.0)</f>
        <v>46315</v>
      </c>
      <c r="N1258" s="13">
        <f>IFERROR(__xludf.DUMMYFUNCTION("""COMPUTED_VALUE"""),46315.0)</f>
        <v>46315</v>
      </c>
      <c r="O1258" s="5">
        <v>2026.0</v>
      </c>
      <c r="P1258" s="5" t="str">
        <f>IFERROR(__xludf.DUMMYFUNCTION("""COMPUTED_VALUE"""),"Not stated")</f>
        <v>Not stated</v>
      </c>
      <c r="Q1258" s="5" t="s">
        <v>135</v>
      </c>
      <c r="R1258" s="5" t="s">
        <v>136</v>
      </c>
      <c r="S1258" s="11">
        <v>6.0</v>
      </c>
    </row>
    <row r="1259">
      <c r="A1259" s="5" t="str">
        <f>IFERROR(__xludf.DUMMYFUNCTION("""COMPUTED_VALUE"""),"Molnupiravir Capsule")</f>
        <v>Molnupiravir Capsule</v>
      </c>
      <c r="B1259" s="5" t="str">
        <f>IFERROR(__xludf.DUMMYFUNCTION("""COMPUTED_VALUE"""),"Merck Sharp &amp; Dohme LLC")</f>
        <v>Merck Sharp &amp; Dohme LLC</v>
      </c>
      <c r="C1259" s="5" t="str">
        <f>IFERROR(__xludf.DUMMYFUNCTION("""COMPUTED_VALUE"""),"Lagevrio, Capsule, 200 mg (NDC 0006-5055-09)")</f>
        <v>Lagevrio, Capsule, 200 mg (NDC 0006-5055-09)</v>
      </c>
      <c r="D1259" s="5" t="str">
        <f>IFERROR(__xludf.DUMMYFUNCTION("""COMPUTED_VALUE"""),"New")</f>
        <v>New</v>
      </c>
      <c r="E1259" s="13">
        <f>IFERROR(__xludf.DUMMYFUNCTION("""COMPUTED_VALUE"""),46315.0)</f>
        <v>46315</v>
      </c>
      <c r="F1259" s="5"/>
      <c r="G1259" s="5" t="str">
        <f>IFERROR(__xludf.DUMMYFUNCTION("""COMPUTED_VALUE"""),"Discontinuation of the manufacture of the drug")</f>
        <v>Discontinuation of the manufacture of the drug</v>
      </c>
      <c r="H1259" s="5"/>
      <c r="I1259" s="5"/>
      <c r="J1259" s="5" t="str">
        <f>IFERROR(__xludf.DUMMYFUNCTION("""COMPUTED_VALUE"""),"Antiviral")</f>
        <v>Antiviral</v>
      </c>
      <c r="K1259" s="5" t="str">
        <f>IFERROR(__xludf.DUMMYFUNCTION("""COMPUTED_VALUE"""),"To Be Discontinued")</f>
        <v>To Be Discontinued</v>
      </c>
      <c r="L1259" s="5"/>
      <c r="M1259" s="13">
        <f>IFERROR(__xludf.DUMMYFUNCTION("""COMPUTED_VALUE"""),46315.0)</f>
        <v>46315</v>
      </c>
      <c r="N1259" s="13">
        <f>IFERROR(__xludf.DUMMYFUNCTION("""COMPUTED_VALUE"""),46315.0)</f>
        <v>46315</v>
      </c>
      <c r="O1259" s="5">
        <v>2026.0</v>
      </c>
      <c r="P1259" s="5" t="str">
        <f>IFERROR(__xludf.DUMMYFUNCTION("""COMPUTED_VALUE"""),"Not stated")</f>
        <v>Not stated</v>
      </c>
      <c r="Q1259" s="5" t="s">
        <v>135</v>
      </c>
      <c r="R1259" s="5" t="s">
        <v>136</v>
      </c>
      <c r="S1259" s="11">
        <v>6.0</v>
      </c>
    </row>
    <row r="1260">
      <c r="A1260" s="5" t="str">
        <f>IFERROR(__xludf.DUMMYFUNCTION("""COMPUTED_VALUE"""),"Montelukast Sodium Tablet, Chewable")</f>
        <v>Montelukast Sodium Tablet, Chewable</v>
      </c>
      <c r="B1260" s="5" t="str">
        <f>IFERROR(__xludf.DUMMYFUNCTION("""COMPUTED_VALUE"""),"Organon")</f>
        <v>Organon</v>
      </c>
      <c r="C1260" s="5" t="str">
        <f>IFERROR(__xludf.DUMMYFUNCTION("""COMPUTED_VALUE"""),"Singulair, Tablet, Chewable, 4 mg (NDC 78206-170-01)")</f>
        <v>Singulair, Tablet, Chewable, 4 mg (NDC 78206-170-01)</v>
      </c>
      <c r="D1260" s="5" t="str">
        <f>IFERROR(__xludf.DUMMYFUNCTION("""COMPUTED_VALUE"""),"New")</f>
        <v>New</v>
      </c>
      <c r="E1260" s="13">
        <f>IFERROR(__xludf.DUMMYFUNCTION("""COMPUTED_VALUE"""),45978.0)</f>
        <v>45978</v>
      </c>
      <c r="F1260" s="5"/>
      <c r="G1260" s="5" t="str">
        <f>IFERROR(__xludf.DUMMYFUNCTION("""COMPUTED_VALUE"""),"Discontinuation of the manufacture of the drug")</f>
        <v>Discontinuation of the manufacture of the drug</v>
      </c>
      <c r="H1260" s="5"/>
      <c r="I1260" s="5"/>
      <c r="J1260" s="5" t="str">
        <f>IFERROR(__xludf.DUMMYFUNCTION("""COMPUTED_VALUE"""),"Pulmonary/Allergy")</f>
        <v>Pulmonary/Allergy</v>
      </c>
      <c r="K1260" s="5" t="str">
        <f>IFERROR(__xludf.DUMMYFUNCTION("""COMPUTED_VALUE"""),"To Be Discontinued")</f>
        <v>To Be Discontinued</v>
      </c>
      <c r="L1260" s="5"/>
      <c r="M1260" s="13">
        <f>IFERROR(__xludf.DUMMYFUNCTION("""COMPUTED_VALUE"""),45978.0)</f>
        <v>45978</v>
      </c>
      <c r="N1260" s="13">
        <f>IFERROR(__xludf.DUMMYFUNCTION("""COMPUTED_VALUE"""),45978.0)</f>
        <v>45978</v>
      </c>
      <c r="O1260" s="5">
        <v>2025.0</v>
      </c>
      <c r="P1260" s="5" t="str">
        <f>IFERROR(__xludf.DUMMYFUNCTION("""COMPUTED_VALUE"""),"Not stated")</f>
        <v>Not stated</v>
      </c>
      <c r="Q1260" s="5" t="s">
        <v>135</v>
      </c>
      <c r="R1260" s="5" t="s">
        <v>136</v>
      </c>
      <c r="S1260" s="11">
        <v>343.0</v>
      </c>
    </row>
    <row r="1261">
      <c r="A1261" s="5" t="str">
        <f>IFERROR(__xludf.DUMMYFUNCTION("""COMPUTED_VALUE"""),"Morphine Sulfate Injection")</f>
        <v>Morphine Sulfate Injection</v>
      </c>
      <c r="B1261" s="5" t="str">
        <f>IFERROR(__xludf.DUMMYFUNCTION("""COMPUTED_VALUE"""),"Piramal Critical Care Inc.")</f>
        <v>Piramal Critical Care Inc.</v>
      </c>
      <c r="C1261" s="5" t="str">
        <f>IFERROR(__xludf.DUMMYFUNCTION("""COMPUTED_VALUE"""),"Mitigo, Injection, 200 mg/20 mL (NDC 66794-160-02)")</f>
        <v>Mitigo, Injection, 200 mg/20 mL (NDC 66794-160-02)</v>
      </c>
      <c r="D1261" s="5" t="str">
        <f>IFERROR(__xludf.DUMMYFUNCTION("""COMPUTED_VALUE"""),"Revised")</f>
        <v>Revised</v>
      </c>
      <c r="E1261" s="10">
        <f>IFERROR(__xludf.DUMMYFUNCTION("""COMPUTED_VALUE"""),46280.0)</f>
        <v>46280</v>
      </c>
      <c r="F1261" s="5" t="str">
        <f>IFERROR(__xludf.DUMMYFUNCTION("""COMPUTED_VALUE"""),"Available")</f>
        <v>Available</v>
      </c>
      <c r="G1261" s="5"/>
      <c r="H1261" s="5"/>
      <c r="I1261" s="5"/>
      <c r="J1261" s="5" t="str">
        <f>IFERROR(__xludf.DUMMYFUNCTION("""COMPUTED_VALUE"""),"Analgesia/Addiction")</f>
        <v>Analgesia/Addiction</v>
      </c>
      <c r="K1261" s="5" t="str">
        <f>IFERROR(__xludf.DUMMYFUNCTION("""COMPUTED_VALUE"""),"Current")</f>
        <v>Current</v>
      </c>
      <c r="L1261" s="5"/>
      <c r="M1261" s="5"/>
      <c r="N1261" s="13">
        <f>IFERROR(__xludf.DUMMYFUNCTION("""COMPUTED_VALUE"""),43039.0)</f>
        <v>43039</v>
      </c>
      <c r="O1261" s="5">
        <v>2017.0</v>
      </c>
      <c r="P1261" s="5" t="str">
        <f>IFERROR(__xludf.DUMMYFUNCTION("""COMPUTED_VALUE"""),"Available")</f>
        <v>Available</v>
      </c>
      <c r="Q1261" s="5" t="s">
        <v>135</v>
      </c>
      <c r="R1261" s="5" t="s">
        <v>136</v>
      </c>
      <c r="S1261" s="11">
        <v>3282.0</v>
      </c>
    </row>
    <row r="1262">
      <c r="A1262" s="5" t="str">
        <f>IFERROR(__xludf.DUMMYFUNCTION("""COMPUTED_VALUE"""),"Morphine Sulfate Injection")</f>
        <v>Morphine Sulfate Injection</v>
      </c>
      <c r="B1262" s="5" t="str">
        <f>IFERROR(__xludf.DUMMYFUNCTION("""COMPUTED_VALUE"""),"Piramal Critical Care Inc.")</f>
        <v>Piramal Critical Care Inc.</v>
      </c>
      <c r="C1262" s="5" t="str">
        <f>IFERROR(__xludf.DUMMYFUNCTION("""COMPUTED_VALUE"""),"Mitigo, Injection, 500 mg/20 mL (NDC 66794-162-02)")</f>
        <v>Mitigo, Injection, 500 mg/20 mL (NDC 66794-162-02)</v>
      </c>
      <c r="D1262" s="5" t="str">
        <f>IFERROR(__xludf.DUMMYFUNCTION("""COMPUTED_VALUE"""),"Reverified")</f>
        <v>Reverified</v>
      </c>
      <c r="E1262" s="10">
        <f>IFERROR(__xludf.DUMMYFUNCTION("""COMPUTED_VALUE"""),46280.0)</f>
        <v>46280</v>
      </c>
      <c r="F1262" s="5" t="str">
        <f>IFERROR(__xludf.DUMMYFUNCTION("""COMPUTED_VALUE"""),"Available")</f>
        <v>Available</v>
      </c>
      <c r="G1262" s="5"/>
      <c r="H1262" s="5"/>
      <c r="I1262" s="5"/>
      <c r="J1262" s="5" t="str">
        <f>IFERROR(__xludf.DUMMYFUNCTION("""COMPUTED_VALUE"""),"Analgesia/Addiction")</f>
        <v>Analgesia/Addiction</v>
      </c>
      <c r="K1262" s="5" t="str">
        <f>IFERROR(__xludf.DUMMYFUNCTION("""COMPUTED_VALUE"""),"Current")</f>
        <v>Current</v>
      </c>
      <c r="L1262" s="5"/>
      <c r="M1262" s="5"/>
      <c r="N1262" s="13">
        <f>IFERROR(__xludf.DUMMYFUNCTION("""COMPUTED_VALUE"""),43039.0)</f>
        <v>43039</v>
      </c>
      <c r="O1262" s="5">
        <v>2017.0</v>
      </c>
      <c r="P1262" s="5" t="str">
        <f>IFERROR(__xludf.DUMMYFUNCTION("""COMPUTED_VALUE"""),"Available")</f>
        <v>Available</v>
      </c>
      <c r="Q1262" s="5" t="s">
        <v>135</v>
      </c>
      <c r="R1262" s="5" t="s">
        <v>136</v>
      </c>
      <c r="S1262" s="11">
        <v>3282.0</v>
      </c>
    </row>
    <row r="1263">
      <c r="A1263" s="5" t="str">
        <f>IFERROR(__xludf.DUMMYFUNCTION("""COMPUTED_VALUE"""),"Morphine Sulfate Injection")</f>
        <v>Morphine Sulfate Injection</v>
      </c>
      <c r="B1263" s="5" t="str">
        <f>IFERROR(__xludf.DUMMYFUNCTION("""COMPUTED_VALUE"""),"Hikma Pharmaceuticals USA, Inc.")</f>
        <v>Hikma Pharmaceuticals USA, Inc.</v>
      </c>
      <c r="C1263" s="5" t="str">
        <f>IFERROR(__xludf.DUMMYFUNCTION("""COMPUTED_VALUE"""),"Duramorph, Injection, 1 mg/1 mL (NDC 0641-6019-10)")</f>
        <v>Duramorph, Injection, 1 mg/1 mL (NDC 0641-6019-10)</v>
      </c>
      <c r="D1263" s="5" t="str">
        <f>IFERROR(__xludf.DUMMYFUNCTION("""COMPUTED_VALUE"""),"Reverified")</f>
        <v>Reverified</v>
      </c>
      <c r="E1263" s="13">
        <f>IFERROR(__xludf.DUMMYFUNCTION("""COMPUTED_VALUE"""),46309.0)</f>
        <v>46309</v>
      </c>
      <c r="F1263" s="5" t="str">
        <f>IFERROR(__xludf.DUMMYFUNCTION("""COMPUTED_VALUE"""),"Available")</f>
        <v>Available</v>
      </c>
      <c r="G1263" s="5" t="str">
        <f>IFERROR(__xludf.DUMMYFUNCTION("""COMPUTED_VALUE"""),"Additional lots are scheduled to be manufactured. Product will be made available as it is released.")</f>
        <v>Additional lots are scheduled to be manufactured. Product will be made available as it is released.</v>
      </c>
      <c r="H1263" s="5"/>
      <c r="I1263" s="5"/>
      <c r="J1263" s="5" t="str">
        <f>IFERROR(__xludf.DUMMYFUNCTION("""COMPUTED_VALUE"""),"Analgesia/Addiction")</f>
        <v>Analgesia/Addiction</v>
      </c>
      <c r="K1263" s="5" t="str">
        <f>IFERROR(__xludf.DUMMYFUNCTION("""COMPUTED_VALUE"""),"Current")</f>
        <v>Current</v>
      </c>
      <c r="L1263" s="5"/>
      <c r="M1263" s="5"/>
      <c r="N1263" s="10">
        <f>IFERROR(__xludf.DUMMYFUNCTION("""COMPUTED_VALUE"""),43042.0)</f>
        <v>43042</v>
      </c>
      <c r="O1263" s="5">
        <v>2017.0</v>
      </c>
      <c r="P1263" s="5" t="str">
        <f>IFERROR(__xludf.DUMMYFUNCTION("""COMPUTED_VALUE"""),"Available")</f>
        <v>Available</v>
      </c>
      <c r="Q1263" s="5" t="s">
        <v>135</v>
      </c>
      <c r="R1263" s="5" t="s">
        <v>136</v>
      </c>
      <c r="S1263" s="11">
        <v>3279.0</v>
      </c>
    </row>
    <row r="1264">
      <c r="A1264" s="5" t="str">
        <f>IFERROR(__xludf.DUMMYFUNCTION("""COMPUTED_VALUE"""),"Morphine Sulfate Injection")</f>
        <v>Morphine Sulfate Injection</v>
      </c>
      <c r="B1264" s="5" t="str">
        <f>IFERROR(__xludf.DUMMYFUNCTION("""COMPUTED_VALUE"""),"Hikma Pharmaceuticals USA, Inc.")</f>
        <v>Hikma Pharmaceuticals USA, Inc.</v>
      </c>
      <c r="C1264" s="5" t="str">
        <f>IFERROR(__xludf.DUMMYFUNCTION("""COMPUTED_VALUE"""),"Duramorph, Injection, .5 mg/1 mL (NDC 0641-6020-10)")</f>
        <v>Duramorph, Injection, .5 mg/1 mL (NDC 0641-6020-10)</v>
      </c>
      <c r="D1264" s="5" t="str">
        <f>IFERROR(__xludf.DUMMYFUNCTION("""COMPUTED_VALUE"""),"Reverified")</f>
        <v>Reverified</v>
      </c>
      <c r="E1264" s="13">
        <f>IFERROR(__xludf.DUMMYFUNCTION("""COMPUTED_VALUE"""),46309.0)</f>
        <v>46309</v>
      </c>
      <c r="F1264" s="5" t="str">
        <f>IFERROR(__xludf.DUMMYFUNCTION("""COMPUTED_VALUE"""),"Available")</f>
        <v>Available</v>
      </c>
      <c r="G1264" s="5" t="str">
        <f>IFERROR(__xludf.DUMMYFUNCTION("""COMPUTED_VALUE"""),"Additional lots are scheduled to be manufactured. Product will be made available as it is released.")</f>
        <v>Additional lots are scheduled to be manufactured. Product will be made available as it is released.</v>
      </c>
      <c r="H1264" s="5"/>
      <c r="I1264" s="5"/>
      <c r="J1264" s="5" t="str">
        <f>IFERROR(__xludf.DUMMYFUNCTION("""COMPUTED_VALUE"""),"Analgesia/Addiction")</f>
        <v>Analgesia/Addiction</v>
      </c>
      <c r="K1264" s="5" t="str">
        <f>IFERROR(__xludf.DUMMYFUNCTION("""COMPUTED_VALUE"""),"Current")</f>
        <v>Current</v>
      </c>
      <c r="L1264" s="5"/>
      <c r="M1264" s="5"/>
      <c r="N1264" s="10">
        <f>IFERROR(__xludf.DUMMYFUNCTION("""COMPUTED_VALUE"""),43042.0)</f>
        <v>43042</v>
      </c>
      <c r="O1264" s="5">
        <v>2017.0</v>
      </c>
      <c r="P1264" s="5" t="str">
        <f>IFERROR(__xludf.DUMMYFUNCTION("""COMPUTED_VALUE"""),"Available")</f>
        <v>Available</v>
      </c>
      <c r="Q1264" s="5" t="s">
        <v>135</v>
      </c>
      <c r="R1264" s="5" t="s">
        <v>136</v>
      </c>
      <c r="S1264" s="11">
        <v>3279.0</v>
      </c>
    </row>
    <row r="1265">
      <c r="A1265" s="5" t="str">
        <f>IFERROR(__xludf.DUMMYFUNCTION("""COMPUTED_VALUE"""),"Morphine Sulfate Injection")</f>
        <v>Morphine Sulfate Injection</v>
      </c>
      <c r="B1265" s="5" t="str">
        <f>IFERROR(__xludf.DUMMYFUNCTION("""COMPUTED_VALUE"""),"Hikma Pharmaceuticals USA, Inc.")</f>
        <v>Hikma Pharmaceuticals USA, Inc.</v>
      </c>
      <c r="C1265" s="5" t="str">
        <f>IFERROR(__xludf.DUMMYFUNCTION("""COMPUTED_VALUE"""),"Infumorph 200 (Preservative-Free Morphine Sulfate Sterile Solution), Injection, 10 mg/1 mL (NDC 0641-6039-01)")</f>
        <v>Infumorph 200 (Preservative-Free Morphine Sulfate Sterile Solution), Injection, 10 mg/1 mL (NDC 0641-6039-01)</v>
      </c>
      <c r="D1265" s="5" t="str">
        <f>IFERROR(__xludf.DUMMYFUNCTION("""COMPUTED_VALUE"""),"Revised")</f>
        <v>Revised</v>
      </c>
      <c r="E1265" s="13">
        <f>IFERROR(__xludf.DUMMYFUNCTION("""COMPUTED_VALUE"""),46309.0)</f>
        <v>46309</v>
      </c>
      <c r="F1265" s="5" t="str">
        <f>IFERROR(__xludf.DUMMYFUNCTION("""COMPUTED_VALUE"""),"Unavailable")</f>
        <v>Unavailable</v>
      </c>
      <c r="G1265" s="5" t="str">
        <f>IFERROR(__xludf.DUMMYFUNCTION("""COMPUTED_VALUE"""),"Additional lots will be available in the November 2026 timeframe.  Product will be made available as it is released.")</f>
        <v>Additional lots will be available in the November 2026 timeframe.  Product will be made available as it is released.</v>
      </c>
      <c r="H1265" s="5"/>
      <c r="I1265" s="5" t="str">
        <f>IFERROR(__xludf.DUMMYFUNCTION("""COMPUTED_VALUE"""),"Demand increase for the drug")</f>
        <v>Demand increase for the drug</v>
      </c>
      <c r="J1265" s="5" t="str">
        <f>IFERROR(__xludf.DUMMYFUNCTION("""COMPUTED_VALUE"""),"Analgesia/Addiction")</f>
        <v>Analgesia/Addiction</v>
      </c>
      <c r="K1265" s="5" t="str">
        <f>IFERROR(__xludf.DUMMYFUNCTION("""COMPUTED_VALUE"""),"Current")</f>
        <v>Current</v>
      </c>
      <c r="L1265" s="5"/>
      <c r="M1265" s="5"/>
      <c r="N1265" s="10">
        <f>IFERROR(__xludf.DUMMYFUNCTION("""COMPUTED_VALUE"""),43042.0)</f>
        <v>43042</v>
      </c>
      <c r="O1265" s="5">
        <v>2017.0</v>
      </c>
      <c r="P1265" s="5" t="str">
        <f>IFERROR(__xludf.DUMMYFUNCTION("""COMPUTED_VALUE"""),"Unavailable")</f>
        <v>Unavailable</v>
      </c>
      <c r="Q1265" s="5" t="s">
        <v>134</v>
      </c>
      <c r="R1265" s="5" t="s">
        <v>136</v>
      </c>
      <c r="S1265" s="11">
        <v>3279.0</v>
      </c>
    </row>
    <row r="1266">
      <c r="A1266" s="5" t="str">
        <f>IFERROR(__xludf.DUMMYFUNCTION("""COMPUTED_VALUE"""),"Morphine Sulfate Injection")</f>
        <v>Morphine Sulfate Injection</v>
      </c>
      <c r="B1266" s="5" t="str">
        <f>IFERROR(__xludf.DUMMYFUNCTION("""COMPUTED_VALUE"""),"Hikma Pharmaceuticals USA, Inc.")</f>
        <v>Hikma Pharmaceuticals USA, Inc.</v>
      </c>
      <c r="C1266" s="5" t="str">
        <f>IFERROR(__xludf.DUMMYFUNCTION("""COMPUTED_VALUE"""),"Infumorph 500 (Preservative-Free Morphine Sulfate Sterile Solution), Injection, 25 mg/1 mL (NDC 0641-6040-01)")</f>
        <v>Infumorph 500 (Preservative-Free Morphine Sulfate Sterile Solution), Injection, 25 mg/1 mL (NDC 0641-6040-01)</v>
      </c>
      <c r="D1266" s="5" t="str">
        <f>IFERROR(__xludf.DUMMYFUNCTION("""COMPUTED_VALUE"""),"Reverified")</f>
        <v>Reverified</v>
      </c>
      <c r="E1266" s="13">
        <f>IFERROR(__xludf.DUMMYFUNCTION("""COMPUTED_VALUE"""),46309.0)</f>
        <v>46309</v>
      </c>
      <c r="F1266" s="5" t="str">
        <f>IFERROR(__xludf.DUMMYFUNCTION("""COMPUTED_VALUE"""),"Available")</f>
        <v>Available</v>
      </c>
      <c r="G1266" s="5" t="str">
        <f>IFERROR(__xludf.DUMMYFUNCTION("""COMPUTED_VALUE"""),"Additional lots are scheduled to be manufactured. Product will be made available as it is released.")</f>
        <v>Additional lots are scheduled to be manufactured. Product will be made available as it is released.</v>
      </c>
      <c r="H1266" s="5"/>
      <c r="I1266" s="5"/>
      <c r="J1266" s="5" t="str">
        <f>IFERROR(__xludf.DUMMYFUNCTION("""COMPUTED_VALUE"""),"Analgesia/Addiction")</f>
        <v>Analgesia/Addiction</v>
      </c>
      <c r="K1266" s="5" t="str">
        <f>IFERROR(__xludf.DUMMYFUNCTION("""COMPUTED_VALUE"""),"Current")</f>
        <v>Current</v>
      </c>
      <c r="L1266" s="5"/>
      <c r="M1266" s="5"/>
      <c r="N1266" s="10">
        <f>IFERROR(__xludf.DUMMYFUNCTION("""COMPUTED_VALUE"""),43042.0)</f>
        <v>43042</v>
      </c>
      <c r="O1266" s="5">
        <v>2017.0</v>
      </c>
      <c r="P1266" s="5" t="str">
        <f>IFERROR(__xludf.DUMMYFUNCTION("""COMPUTED_VALUE"""),"Available")</f>
        <v>Available</v>
      </c>
      <c r="Q1266" s="5" t="s">
        <v>135</v>
      </c>
      <c r="R1266" s="5" t="s">
        <v>136</v>
      </c>
      <c r="S1266" s="11">
        <v>3279.0</v>
      </c>
    </row>
    <row r="1267">
      <c r="A1267" s="5" t="str">
        <f>IFERROR(__xludf.DUMMYFUNCTION("""COMPUTED_VALUE"""),"Morphine Sulfate Injection")</f>
        <v>Morphine Sulfate Injection</v>
      </c>
      <c r="B1267" s="5" t="str">
        <f>IFERROR(__xludf.DUMMYFUNCTION("""COMPUTED_VALUE"""),"Amphastar Pharmaceuticals, Inc.")</f>
        <v>Amphastar Pharmaceuticals, Inc.</v>
      </c>
      <c r="C1267" s="5" t="str">
        <f>IFERROR(__xludf.DUMMYFUNCTION("""COMPUTED_VALUE"""),"Morphine Sulfate, Injection, 1 mg/1 mL (NDC 76329-1912-1)")</f>
        <v>Morphine Sulfate, Injection, 1 mg/1 mL (NDC 76329-1912-1)</v>
      </c>
      <c r="D1267" s="5" t="str">
        <f>IFERROR(__xludf.DUMMYFUNCTION("""COMPUTED_VALUE"""),"Reverified")</f>
        <v>Reverified</v>
      </c>
      <c r="E1267" s="13">
        <f>IFERROR(__xludf.DUMMYFUNCTION("""COMPUTED_VALUE"""),46311.0)</f>
        <v>46311</v>
      </c>
      <c r="F1267" s="5" t="str">
        <f>IFERROR(__xludf.DUMMYFUNCTION("""COMPUTED_VALUE"""),"Available")</f>
        <v>Available</v>
      </c>
      <c r="G1267" s="5"/>
      <c r="H1267" s="5"/>
      <c r="I1267" s="5"/>
      <c r="J1267" s="5" t="str">
        <f>IFERROR(__xludf.DUMMYFUNCTION("""COMPUTED_VALUE"""),"Analgesia/Addiction")</f>
        <v>Analgesia/Addiction</v>
      </c>
      <c r="K1267" s="5" t="str">
        <f>IFERROR(__xludf.DUMMYFUNCTION("""COMPUTED_VALUE"""),"Current")</f>
        <v>Current</v>
      </c>
      <c r="L1267" s="5"/>
      <c r="M1267" s="5"/>
      <c r="N1267" s="10">
        <f>IFERROR(__xludf.DUMMYFUNCTION("""COMPUTED_VALUE"""),43440.0)</f>
        <v>43440</v>
      </c>
      <c r="O1267" s="5">
        <v>2018.0</v>
      </c>
      <c r="P1267" s="5" t="str">
        <f>IFERROR(__xludf.DUMMYFUNCTION("""COMPUTED_VALUE"""),"Available")</f>
        <v>Available</v>
      </c>
      <c r="Q1267" s="5" t="s">
        <v>135</v>
      </c>
      <c r="R1267" s="5" t="s">
        <v>136</v>
      </c>
      <c r="S1267" s="11">
        <v>2881.0</v>
      </c>
    </row>
    <row r="1268">
      <c r="A1268" s="5" t="str">
        <f>IFERROR(__xludf.DUMMYFUNCTION("""COMPUTED_VALUE"""),"Morphine Sulfate Injection")</f>
        <v>Morphine Sulfate Injection</v>
      </c>
      <c r="B1268" s="5" t="str">
        <f>IFERROR(__xludf.DUMMYFUNCTION("""COMPUTED_VALUE"""),"Fresenius Kabi USA, LLC")</f>
        <v>Fresenius Kabi USA, LLC</v>
      </c>
      <c r="C1268" s="5" t="str">
        <f>IFERROR(__xludf.DUMMYFUNCTION("""COMPUTED_VALUE"""),"Morphine Sulfate, Injection, 2 mg/1 mL (NDC 63323-452-01)")</f>
        <v>Morphine Sulfate, Injection, 2 mg/1 mL (NDC 63323-452-01)</v>
      </c>
      <c r="D1268" s="5" t="str">
        <f>IFERROR(__xludf.DUMMYFUNCTION("""COMPUTED_VALUE"""),"Reverified")</f>
        <v>Reverified</v>
      </c>
      <c r="E1268" s="13">
        <f>IFERROR(__xludf.DUMMYFUNCTION("""COMPUTED_VALUE"""),46310.0)</f>
        <v>46310</v>
      </c>
      <c r="F1268" s="5" t="str">
        <f>IFERROR(__xludf.DUMMYFUNCTION("""COMPUTED_VALUE"""),"Available")</f>
        <v>Available</v>
      </c>
      <c r="G1268" s="5" t="str">
        <f>IFERROR(__xludf.DUMMYFUNCTION("""COMPUTED_VALUE"""),"Check wholesalers for inventory")</f>
        <v>Check wholesalers for inventory</v>
      </c>
      <c r="H1268" s="5"/>
      <c r="I1268" s="5"/>
      <c r="J1268" s="5" t="str">
        <f>IFERROR(__xludf.DUMMYFUNCTION("""COMPUTED_VALUE"""),"Analgesia/Addiction")</f>
        <v>Analgesia/Addiction</v>
      </c>
      <c r="K1268" s="5" t="str">
        <f>IFERROR(__xludf.DUMMYFUNCTION("""COMPUTED_VALUE"""),"Current")</f>
        <v>Current</v>
      </c>
      <c r="L1268" s="5"/>
      <c r="M1268" s="5"/>
      <c r="N1268" s="13">
        <f>IFERROR(__xludf.DUMMYFUNCTION("""COMPUTED_VALUE"""),43039.0)</f>
        <v>43039</v>
      </c>
      <c r="O1268" s="5">
        <v>2017.0</v>
      </c>
      <c r="P1268" s="5" t="str">
        <f>IFERROR(__xludf.DUMMYFUNCTION("""COMPUTED_VALUE"""),"Available")</f>
        <v>Available</v>
      </c>
      <c r="Q1268" s="5" t="s">
        <v>135</v>
      </c>
      <c r="R1268" s="5" t="s">
        <v>136</v>
      </c>
      <c r="S1268" s="11">
        <v>3282.0</v>
      </c>
    </row>
    <row r="1269">
      <c r="A1269" s="5" t="str">
        <f>IFERROR(__xludf.DUMMYFUNCTION("""COMPUTED_VALUE"""),"Morphine Sulfate Injection")</f>
        <v>Morphine Sulfate Injection</v>
      </c>
      <c r="B1269" s="5" t="str">
        <f>IFERROR(__xludf.DUMMYFUNCTION("""COMPUTED_VALUE"""),"Fresenius Kabi USA, LLC")</f>
        <v>Fresenius Kabi USA, LLC</v>
      </c>
      <c r="C1269" s="5" t="str">
        <f>IFERROR(__xludf.DUMMYFUNCTION("""COMPUTED_VALUE"""),"Morphine Sulfate, Injection, 4 mg/1 mL (NDC 63323-454-01)")</f>
        <v>Morphine Sulfate, Injection, 4 mg/1 mL (NDC 63323-454-01)</v>
      </c>
      <c r="D1269" s="5" t="str">
        <f>IFERROR(__xludf.DUMMYFUNCTION("""COMPUTED_VALUE"""),"Reverified")</f>
        <v>Reverified</v>
      </c>
      <c r="E1269" s="13">
        <f>IFERROR(__xludf.DUMMYFUNCTION("""COMPUTED_VALUE"""),46310.0)</f>
        <v>46310</v>
      </c>
      <c r="F1269" s="5" t="str">
        <f>IFERROR(__xludf.DUMMYFUNCTION("""COMPUTED_VALUE"""),"Unavailable")</f>
        <v>Unavailable</v>
      </c>
      <c r="G1269" s="5" t="str">
        <f>IFERROR(__xludf.DUMMYFUNCTION("""COMPUTED_VALUE"""),"Next release November 2026. Check wholesalers for inventory.")</f>
        <v>Next release November 2026. Check wholesalers for inventory.</v>
      </c>
      <c r="H1269" s="5"/>
      <c r="I1269" s="5" t="str">
        <f>IFERROR(__xludf.DUMMYFUNCTION("""COMPUTED_VALUE"""),"Other")</f>
        <v>Other</v>
      </c>
      <c r="J1269" s="5" t="str">
        <f>IFERROR(__xludf.DUMMYFUNCTION("""COMPUTED_VALUE"""),"Analgesia/Addiction")</f>
        <v>Analgesia/Addiction</v>
      </c>
      <c r="K1269" s="5" t="str">
        <f>IFERROR(__xludf.DUMMYFUNCTION("""COMPUTED_VALUE"""),"Current")</f>
        <v>Current</v>
      </c>
      <c r="L1269" s="5"/>
      <c r="M1269" s="5"/>
      <c r="N1269" s="13">
        <f>IFERROR(__xludf.DUMMYFUNCTION("""COMPUTED_VALUE"""),43039.0)</f>
        <v>43039</v>
      </c>
      <c r="O1269" s="5">
        <v>2017.0</v>
      </c>
      <c r="P1269" s="5" t="str">
        <f>IFERROR(__xludf.DUMMYFUNCTION("""COMPUTED_VALUE"""),"Unavailable")</f>
        <v>Unavailable</v>
      </c>
      <c r="Q1269" s="5" t="s">
        <v>47</v>
      </c>
      <c r="R1269" s="5" t="s">
        <v>136</v>
      </c>
      <c r="S1269" s="11">
        <v>3282.0</v>
      </c>
    </row>
    <row r="1270">
      <c r="A1270" s="5" t="str">
        <f>IFERROR(__xludf.DUMMYFUNCTION("""COMPUTED_VALUE"""),"Morphine Sulfate Injection")</f>
        <v>Morphine Sulfate Injection</v>
      </c>
      <c r="B1270" s="5" t="str">
        <f>IFERROR(__xludf.DUMMYFUNCTION("""COMPUTED_VALUE"""),"Fresenius Kabi USA, LLC")</f>
        <v>Fresenius Kabi USA, LLC</v>
      </c>
      <c r="C1270" s="5" t="str">
        <f>IFERROR(__xludf.DUMMYFUNCTION("""COMPUTED_VALUE"""),"Morphine Sulfate, Injection, 5 mg/1 mL (NDC 63323-455-01)")</f>
        <v>Morphine Sulfate, Injection, 5 mg/1 mL (NDC 63323-455-01)</v>
      </c>
      <c r="D1270" s="5" t="str">
        <f>IFERROR(__xludf.DUMMYFUNCTION("""COMPUTED_VALUE"""),"Reverified")</f>
        <v>Reverified</v>
      </c>
      <c r="E1270" s="13">
        <f>IFERROR(__xludf.DUMMYFUNCTION("""COMPUTED_VALUE"""),46310.0)</f>
        <v>46310</v>
      </c>
      <c r="F1270" s="5" t="str">
        <f>IFERROR(__xludf.DUMMYFUNCTION("""COMPUTED_VALUE"""),"Unavailable")</f>
        <v>Unavailable</v>
      </c>
      <c r="G1270" s="5" t="str">
        <f>IFERROR(__xludf.DUMMYFUNCTION("""COMPUTED_VALUE"""),"Estimated recovery: TBD")</f>
        <v>Estimated recovery: TBD</v>
      </c>
      <c r="H1270" s="5"/>
      <c r="I1270" s="5" t="str">
        <f>IFERROR(__xludf.DUMMYFUNCTION("""COMPUTED_VALUE"""),"Demand increase for the drug")</f>
        <v>Demand increase for the drug</v>
      </c>
      <c r="J1270" s="5" t="str">
        <f>IFERROR(__xludf.DUMMYFUNCTION("""COMPUTED_VALUE"""),"Analgesia/Addiction")</f>
        <v>Analgesia/Addiction</v>
      </c>
      <c r="K1270" s="5" t="str">
        <f>IFERROR(__xludf.DUMMYFUNCTION("""COMPUTED_VALUE"""),"Current")</f>
        <v>Current</v>
      </c>
      <c r="L1270" s="5"/>
      <c r="M1270" s="5"/>
      <c r="N1270" s="13">
        <f>IFERROR(__xludf.DUMMYFUNCTION("""COMPUTED_VALUE"""),43039.0)</f>
        <v>43039</v>
      </c>
      <c r="O1270" s="5">
        <v>2017.0</v>
      </c>
      <c r="P1270" s="5" t="str">
        <f>IFERROR(__xludf.DUMMYFUNCTION("""COMPUTED_VALUE"""),"Unavailable")</f>
        <v>Unavailable</v>
      </c>
      <c r="Q1270" s="5" t="s">
        <v>134</v>
      </c>
      <c r="R1270" s="5" t="s">
        <v>136</v>
      </c>
      <c r="S1270" s="11">
        <v>3282.0</v>
      </c>
    </row>
    <row r="1271">
      <c r="A1271" s="5" t="str">
        <f>IFERROR(__xludf.DUMMYFUNCTION("""COMPUTED_VALUE"""),"Morphine Sulfate Injection")</f>
        <v>Morphine Sulfate Injection</v>
      </c>
      <c r="B1271" s="5" t="str">
        <f>IFERROR(__xludf.DUMMYFUNCTION("""COMPUTED_VALUE"""),"Fresenius Kabi USA, LLC")</f>
        <v>Fresenius Kabi USA, LLC</v>
      </c>
      <c r="C1271" s="5" t="str">
        <f>IFERROR(__xludf.DUMMYFUNCTION("""COMPUTED_VALUE"""),"Morphine Sulfate, Injection, 10 mg/1 mL (NDC 63323-451-01)")</f>
        <v>Morphine Sulfate, Injection, 10 mg/1 mL (NDC 63323-451-01)</v>
      </c>
      <c r="D1271" s="5" t="str">
        <f>IFERROR(__xludf.DUMMYFUNCTION("""COMPUTED_VALUE"""),"Reverified")</f>
        <v>Reverified</v>
      </c>
      <c r="E1271" s="13">
        <f>IFERROR(__xludf.DUMMYFUNCTION("""COMPUTED_VALUE"""),46310.0)</f>
        <v>46310</v>
      </c>
      <c r="F1271" s="5" t="str">
        <f>IFERROR(__xludf.DUMMYFUNCTION("""COMPUTED_VALUE"""),"Available")</f>
        <v>Available</v>
      </c>
      <c r="G1271" s="5" t="str">
        <f>IFERROR(__xludf.DUMMYFUNCTION("""COMPUTED_VALUE"""),"Check wholesalers for inventory")</f>
        <v>Check wholesalers for inventory</v>
      </c>
      <c r="H1271" s="5"/>
      <c r="I1271" s="5"/>
      <c r="J1271" s="5" t="str">
        <f>IFERROR(__xludf.DUMMYFUNCTION("""COMPUTED_VALUE"""),"Analgesia/Addiction")</f>
        <v>Analgesia/Addiction</v>
      </c>
      <c r="K1271" s="5" t="str">
        <f>IFERROR(__xludf.DUMMYFUNCTION("""COMPUTED_VALUE"""),"Current")</f>
        <v>Current</v>
      </c>
      <c r="L1271" s="5"/>
      <c r="M1271" s="5"/>
      <c r="N1271" s="13">
        <f>IFERROR(__xludf.DUMMYFUNCTION("""COMPUTED_VALUE"""),43039.0)</f>
        <v>43039</v>
      </c>
      <c r="O1271" s="5">
        <v>2017.0</v>
      </c>
      <c r="P1271" s="5" t="str">
        <f>IFERROR(__xludf.DUMMYFUNCTION("""COMPUTED_VALUE"""),"Available")</f>
        <v>Available</v>
      </c>
      <c r="Q1271" s="5" t="s">
        <v>135</v>
      </c>
      <c r="R1271" s="5" t="s">
        <v>136</v>
      </c>
      <c r="S1271" s="11">
        <v>3282.0</v>
      </c>
    </row>
    <row r="1272">
      <c r="A1272" s="5" t="str">
        <f>IFERROR(__xludf.DUMMYFUNCTION("""COMPUTED_VALUE"""),"Morphine Sulfate Injection")</f>
        <v>Morphine Sulfate Injection</v>
      </c>
      <c r="B1272" s="5" t="str">
        <f>IFERROR(__xludf.DUMMYFUNCTION("""COMPUTED_VALUE"""),"Hikma Pharmaceuticals USA, Inc.")</f>
        <v>Hikma Pharmaceuticals USA, Inc.</v>
      </c>
      <c r="C1272" s="5" t="str">
        <f>IFERROR(__xludf.DUMMYFUNCTION("""COMPUTED_VALUE"""),"Morphine Sulfate, Injection, 4 mg/1 mL (NDC 0641-6125-25)")</f>
        <v>Morphine Sulfate, Injection, 4 mg/1 mL (NDC 0641-6125-25)</v>
      </c>
      <c r="D1272" s="5" t="str">
        <f>IFERROR(__xludf.DUMMYFUNCTION("""COMPUTED_VALUE"""),"Reverified")</f>
        <v>Reverified</v>
      </c>
      <c r="E1272" s="13">
        <f>IFERROR(__xludf.DUMMYFUNCTION("""COMPUTED_VALUE"""),46309.0)</f>
        <v>46309</v>
      </c>
      <c r="F1272" s="5" t="str">
        <f>IFERROR(__xludf.DUMMYFUNCTION("""COMPUTED_VALUE"""),"Available")</f>
        <v>Available</v>
      </c>
      <c r="G1272" s="5" t="str">
        <f>IFERROR(__xludf.DUMMYFUNCTION("""COMPUTED_VALUE"""),"Additional lots are scheduled to be manufactured. Product will be made available as it is released.")</f>
        <v>Additional lots are scheduled to be manufactured. Product will be made available as it is released.</v>
      </c>
      <c r="H1272" s="5"/>
      <c r="I1272" s="5"/>
      <c r="J1272" s="5" t="str">
        <f>IFERROR(__xludf.DUMMYFUNCTION("""COMPUTED_VALUE"""),"Analgesia/Addiction")</f>
        <v>Analgesia/Addiction</v>
      </c>
      <c r="K1272" s="5" t="str">
        <f>IFERROR(__xludf.DUMMYFUNCTION("""COMPUTED_VALUE"""),"Current")</f>
        <v>Current</v>
      </c>
      <c r="L1272" s="5"/>
      <c r="M1272" s="5"/>
      <c r="N1272" s="10">
        <f>IFERROR(__xludf.DUMMYFUNCTION("""COMPUTED_VALUE"""),43042.0)</f>
        <v>43042</v>
      </c>
      <c r="O1272" s="5">
        <v>2017.0</v>
      </c>
      <c r="P1272" s="5" t="str">
        <f>IFERROR(__xludf.DUMMYFUNCTION("""COMPUTED_VALUE"""),"Available")</f>
        <v>Available</v>
      </c>
      <c r="Q1272" s="5" t="s">
        <v>135</v>
      </c>
      <c r="R1272" s="5" t="s">
        <v>136</v>
      </c>
      <c r="S1272" s="11">
        <v>3279.0</v>
      </c>
    </row>
    <row r="1273">
      <c r="A1273" s="5" t="str">
        <f>IFERROR(__xludf.DUMMYFUNCTION("""COMPUTED_VALUE"""),"Morphine Sulfate Injection")</f>
        <v>Morphine Sulfate Injection</v>
      </c>
      <c r="B1273" s="5" t="str">
        <f>IFERROR(__xludf.DUMMYFUNCTION("""COMPUTED_VALUE"""),"Hikma Pharmaceuticals USA, Inc.")</f>
        <v>Hikma Pharmaceuticals USA, Inc.</v>
      </c>
      <c r="C1273" s="5" t="str">
        <f>IFERROR(__xludf.DUMMYFUNCTION("""COMPUTED_VALUE"""),"Morphine Sulfate, Injection, 8 mg/1 mL (NDC 0641-6126-25)")</f>
        <v>Morphine Sulfate, Injection, 8 mg/1 mL (NDC 0641-6126-25)</v>
      </c>
      <c r="D1273" s="5" t="str">
        <f>IFERROR(__xludf.DUMMYFUNCTION("""COMPUTED_VALUE"""),"Revised")</f>
        <v>Revised</v>
      </c>
      <c r="E1273" s="13">
        <f>IFERROR(__xludf.DUMMYFUNCTION("""COMPUTED_VALUE"""),46309.0)</f>
        <v>46309</v>
      </c>
      <c r="F1273" s="5" t="str">
        <f>IFERROR(__xludf.DUMMYFUNCTION("""COMPUTED_VALUE"""),"Available")</f>
        <v>Available</v>
      </c>
      <c r="G1273" s="5" t="str">
        <f>IFERROR(__xludf.DUMMYFUNCTION("""COMPUTED_VALUE"""),"Additional lots are scheduled to be manufactured. Product will be made available as it is released.")</f>
        <v>Additional lots are scheduled to be manufactured. Product will be made available as it is released.</v>
      </c>
      <c r="H1273" s="5"/>
      <c r="I1273" s="5"/>
      <c r="J1273" s="5" t="str">
        <f>IFERROR(__xludf.DUMMYFUNCTION("""COMPUTED_VALUE"""),"Analgesia/Addiction")</f>
        <v>Analgesia/Addiction</v>
      </c>
      <c r="K1273" s="5" t="str">
        <f>IFERROR(__xludf.DUMMYFUNCTION("""COMPUTED_VALUE"""),"Current")</f>
        <v>Current</v>
      </c>
      <c r="L1273" s="5"/>
      <c r="M1273" s="5"/>
      <c r="N1273" s="10">
        <f>IFERROR(__xludf.DUMMYFUNCTION("""COMPUTED_VALUE"""),43042.0)</f>
        <v>43042</v>
      </c>
      <c r="O1273" s="5">
        <v>2017.0</v>
      </c>
      <c r="P1273" s="5" t="str">
        <f>IFERROR(__xludf.DUMMYFUNCTION("""COMPUTED_VALUE"""),"Available")</f>
        <v>Available</v>
      </c>
      <c r="Q1273" s="5" t="s">
        <v>135</v>
      </c>
      <c r="R1273" s="5" t="s">
        <v>136</v>
      </c>
      <c r="S1273" s="11">
        <v>3279.0</v>
      </c>
    </row>
    <row r="1274">
      <c r="A1274" s="5" t="str">
        <f>IFERROR(__xludf.DUMMYFUNCTION("""COMPUTED_VALUE"""),"Morphine Sulfate Injection")</f>
        <v>Morphine Sulfate Injection</v>
      </c>
      <c r="B1274" s="5" t="str">
        <f>IFERROR(__xludf.DUMMYFUNCTION("""COMPUTED_VALUE"""),"Hikma Pharmaceuticals USA, Inc.")</f>
        <v>Hikma Pharmaceuticals USA, Inc.</v>
      </c>
      <c r="C1274" s="5" t="str">
        <f>IFERROR(__xludf.DUMMYFUNCTION("""COMPUTED_VALUE"""),"Morphine Sulfate, Injection, 10 mg/1 mL (NDC 0641-6127-25)")</f>
        <v>Morphine Sulfate, Injection, 10 mg/1 mL (NDC 0641-6127-25)</v>
      </c>
      <c r="D1274" s="5" t="str">
        <f>IFERROR(__xludf.DUMMYFUNCTION("""COMPUTED_VALUE"""),"Revised")</f>
        <v>Revised</v>
      </c>
      <c r="E1274" s="13">
        <f>IFERROR(__xludf.DUMMYFUNCTION("""COMPUTED_VALUE"""),46309.0)</f>
        <v>46309</v>
      </c>
      <c r="F1274" s="5" t="str">
        <f>IFERROR(__xludf.DUMMYFUNCTION("""COMPUTED_VALUE"""),"Available")</f>
        <v>Available</v>
      </c>
      <c r="G1274" s="5" t="str">
        <f>IFERROR(__xludf.DUMMYFUNCTION("""COMPUTED_VALUE"""),"Additional lots are scheduled to be manufactured. Product will be made available as it is released.")</f>
        <v>Additional lots are scheduled to be manufactured. Product will be made available as it is released.</v>
      </c>
      <c r="H1274" s="5"/>
      <c r="I1274" s="5"/>
      <c r="J1274" s="5" t="str">
        <f>IFERROR(__xludf.DUMMYFUNCTION("""COMPUTED_VALUE"""),"Analgesia/Addiction")</f>
        <v>Analgesia/Addiction</v>
      </c>
      <c r="K1274" s="5" t="str">
        <f>IFERROR(__xludf.DUMMYFUNCTION("""COMPUTED_VALUE"""),"Current")</f>
        <v>Current</v>
      </c>
      <c r="L1274" s="5"/>
      <c r="M1274" s="5"/>
      <c r="N1274" s="10">
        <f>IFERROR(__xludf.DUMMYFUNCTION("""COMPUTED_VALUE"""),43042.0)</f>
        <v>43042</v>
      </c>
      <c r="O1274" s="5">
        <v>2017.0</v>
      </c>
      <c r="P1274" s="5" t="str">
        <f>IFERROR(__xludf.DUMMYFUNCTION("""COMPUTED_VALUE"""),"Available")</f>
        <v>Available</v>
      </c>
      <c r="Q1274" s="5" t="s">
        <v>135</v>
      </c>
      <c r="R1274" s="5" t="s">
        <v>136</v>
      </c>
      <c r="S1274" s="11">
        <v>3279.0</v>
      </c>
    </row>
    <row r="1275">
      <c r="A1275" s="5" t="str">
        <f>IFERROR(__xludf.DUMMYFUNCTION("""COMPUTED_VALUE"""),"Morphine Sulfate Injection")</f>
        <v>Morphine Sulfate Injection</v>
      </c>
      <c r="B1275" s="5" t="str">
        <f>IFERROR(__xludf.DUMMYFUNCTION("""COMPUTED_VALUE"""),"Hospira, Inc., a Pfizer Company")</f>
        <v>Hospira, Inc., a Pfizer Company</v>
      </c>
      <c r="C1275" s="5" t="str">
        <f>IFERROR(__xludf.DUMMYFUNCTION("""COMPUTED_VALUE"""),"Morphine Sulfate, Injection, 2 mg/1 mL Syringes (NDC 0409-1890-01)")</f>
        <v>Morphine Sulfate, Injection, 2 mg/1 mL Syringes (NDC 0409-1890-01)</v>
      </c>
      <c r="D1275" s="5" t="str">
        <f>IFERROR(__xludf.DUMMYFUNCTION("""COMPUTED_VALUE"""),"Reverified")</f>
        <v>Reverified</v>
      </c>
      <c r="E1275" s="13">
        <f>IFERROR(__xludf.DUMMYFUNCTION("""COMPUTED_VALUE"""),46316.0)</f>
        <v>46316</v>
      </c>
      <c r="F1275" s="5" t="str">
        <f>IFERROR(__xludf.DUMMYFUNCTION("""COMPUTED_VALUE"""),"Available")</f>
        <v>Available</v>
      </c>
      <c r="G1275" s="5"/>
      <c r="H1275" s="5"/>
      <c r="I1275" s="5"/>
      <c r="J1275" s="5" t="str">
        <f>IFERROR(__xludf.DUMMYFUNCTION("""COMPUTED_VALUE"""),"Analgesia/Addiction")</f>
        <v>Analgesia/Addiction</v>
      </c>
      <c r="K1275" s="5" t="str">
        <f>IFERROR(__xludf.DUMMYFUNCTION("""COMPUTED_VALUE"""),"Current")</f>
        <v>Current</v>
      </c>
      <c r="L1275" s="5"/>
      <c r="M1275" s="5"/>
      <c r="N1275" s="13">
        <f>IFERROR(__xludf.DUMMYFUNCTION("""COMPUTED_VALUE"""),43039.0)</f>
        <v>43039</v>
      </c>
      <c r="O1275" s="5">
        <v>2017.0</v>
      </c>
      <c r="P1275" s="5" t="str">
        <f>IFERROR(__xludf.DUMMYFUNCTION("""COMPUTED_VALUE"""),"Available")</f>
        <v>Available</v>
      </c>
      <c r="Q1275" s="5" t="s">
        <v>135</v>
      </c>
      <c r="R1275" s="5" t="s">
        <v>136</v>
      </c>
      <c r="S1275" s="11">
        <v>3282.0</v>
      </c>
    </row>
    <row r="1276">
      <c r="A1276" s="5" t="str">
        <f>IFERROR(__xludf.DUMMYFUNCTION("""COMPUTED_VALUE"""),"Morphine Sulfate Injection")</f>
        <v>Morphine Sulfate Injection</v>
      </c>
      <c r="B1276" s="5" t="str">
        <f>IFERROR(__xludf.DUMMYFUNCTION("""COMPUTED_VALUE"""),"Hospira, Inc., a Pfizer Company")</f>
        <v>Hospira, Inc., a Pfizer Company</v>
      </c>
      <c r="C1276" s="5" t="str">
        <f>IFERROR(__xludf.DUMMYFUNCTION("""COMPUTED_VALUE"""),"Morphine Sulfate, Injection, 4 mg/1 mL Syringes (NDC 0409-1891-01)")</f>
        <v>Morphine Sulfate, Injection, 4 mg/1 mL Syringes (NDC 0409-1891-01)</v>
      </c>
      <c r="D1276" s="5" t="str">
        <f>IFERROR(__xludf.DUMMYFUNCTION("""COMPUTED_VALUE"""),"Reverified")</f>
        <v>Reverified</v>
      </c>
      <c r="E1276" s="13">
        <f>IFERROR(__xludf.DUMMYFUNCTION("""COMPUTED_VALUE"""),46316.0)</f>
        <v>46316</v>
      </c>
      <c r="F1276" s="5" t="str">
        <f>IFERROR(__xludf.DUMMYFUNCTION("""COMPUTED_VALUE"""),"Available")</f>
        <v>Available</v>
      </c>
      <c r="G1276" s="5"/>
      <c r="H1276" s="5"/>
      <c r="I1276" s="5"/>
      <c r="J1276" s="5" t="str">
        <f>IFERROR(__xludf.DUMMYFUNCTION("""COMPUTED_VALUE"""),"Analgesia/Addiction")</f>
        <v>Analgesia/Addiction</v>
      </c>
      <c r="K1276" s="5" t="str">
        <f>IFERROR(__xludf.DUMMYFUNCTION("""COMPUTED_VALUE"""),"Current")</f>
        <v>Current</v>
      </c>
      <c r="L1276" s="5"/>
      <c r="M1276" s="5"/>
      <c r="N1276" s="13">
        <f>IFERROR(__xludf.DUMMYFUNCTION("""COMPUTED_VALUE"""),43039.0)</f>
        <v>43039</v>
      </c>
      <c r="O1276" s="5">
        <v>2017.0</v>
      </c>
      <c r="P1276" s="5" t="str">
        <f>IFERROR(__xludf.DUMMYFUNCTION("""COMPUTED_VALUE"""),"Available")</f>
        <v>Available</v>
      </c>
      <c r="Q1276" s="5" t="s">
        <v>135</v>
      </c>
      <c r="R1276" s="5" t="s">
        <v>136</v>
      </c>
      <c r="S1276" s="11">
        <v>3282.0</v>
      </c>
    </row>
    <row r="1277">
      <c r="A1277" s="5" t="str">
        <f>IFERROR(__xludf.DUMMYFUNCTION("""COMPUTED_VALUE"""),"Morphine Sulfate Injection")</f>
        <v>Morphine Sulfate Injection</v>
      </c>
      <c r="B1277" s="5" t="str">
        <f>IFERROR(__xludf.DUMMYFUNCTION("""COMPUTED_VALUE"""),"Hospira, Inc., a Pfizer Company")</f>
        <v>Hospira, Inc., a Pfizer Company</v>
      </c>
      <c r="C1277" s="5" t="str">
        <f>IFERROR(__xludf.DUMMYFUNCTION("""COMPUTED_VALUE"""),"Morphine Sulfate, Injection, 10 mg/1 mL Syringes (NDC 0409-1893-01)")</f>
        <v>Morphine Sulfate, Injection, 10 mg/1 mL Syringes (NDC 0409-1893-01)</v>
      </c>
      <c r="D1277" s="5" t="str">
        <f>IFERROR(__xludf.DUMMYFUNCTION("""COMPUTED_VALUE"""),"Reverified")</f>
        <v>Reverified</v>
      </c>
      <c r="E1277" s="13">
        <f>IFERROR(__xludf.DUMMYFUNCTION("""COMPUTED_VALUE"""),46316.0)</f>
        <v>46316</v>
      </c>
      <c r="F1277" s="5" t="str">
        <f>IFERROR(__xludf.DUMMYFUNCTION("""COMPUTED_VALUE"""),"Unavailable")</f>
        <v>Unavailable</v>
      </c>
      <c r="G1277" s="5" t="str">
        <f>IFERROR(__xludf.DUMMYFUNCTION("""COMPUTED_VALUE"""),"Discontinuation of the manufacture of the drug")</f>
        <v>Discontinuation of the manufacture of the drug</v>
      </c>
      <c r="H1277" s="5"/>
      <c r="I1277" s="5" t="str">
        <f>IFERROR(__xludf.DUMMYFUNCTION("""COMPUTED_VALUE"""),"Discontinuation of the manufacture of the drug")</f>
        <v>Discontinuation of the manufacture of the drug</v>
      </c>
      <c r="J1277" s="5" t="str">
        <f>IFERROR(__xludf.DUMMYFUNCTION("""COMPUTED_VALUE"""),"Analgesia/Addiction")</f>
        <v>Analgesia/Addiction</v>
      </c>
      <c r="K1277" s="5" t="str">
        <f>IFERROR(__xludf.DUMMYFUNCTION("""COMPUTED_VALUE"""),"Current")</f>
        <v>Current</v>
      </c>
      <c r="L1277" s="5"/>
      <c r="M1277" s="5"/>
      <c r="N1277" s="13">
        <f>IFERROR(__xludf.DUMMYFUNCTION("""COMPUTED_VALUE"""),43039.0)</f>
        <v>43039</v>
      </c>
      <c r="O1277" s="5">
        <v>2017.0</v>
      </c>
      <c r="P1277" s="5" t="str">
        <f>IFERROR(__xludf.DUMMYFUNCTION("""COMPUTED_VALUE"""),"Unavailable")</f>
        <v>Unavailable</v>
      </c>
      <c r="Q1277" s="5" t="s">
        <v>33</v>
      </c>
      <c r="R1277" s="5" t="s">
        <v>136</v>
      </c>
      <c r="S1277" s="11">
        <v>3282.0</v>
      </c>
    </row>
    <row r="1278">
      <c r="A1278" s="5" t="str">
        <f>IFERROR(__xludf.DUMMYFUNCTION("""COMPUTED_VALUE"""),"Morphine Sulfate Injection")</f>
        <v>Morphine Sulfate Injection</v>
      </c>
      <c r="B1278" s="5" t="str">
        <f>IFERROR(__xludf.DUMMYFUNCTION("""COMPUTED_VALUE"""),"Hospira, Inc., a Pfizer Company")</f>
        <v>Hospira, Inc., a Pfizer Company</v>
      </c>
      <c r="C1278" s="5" t="str">
        <f>IFERROR(__xludf.DUMMYFUNCTION("""COMPUTED_VALUE"""),"Morphine Sulfate, Injection, 5 mg/10 mL (0.5 mg/mL) (NDC 0409-3814-12)")</f>
        <v>Morphine Sulfate, Injection, 5 mg/10 mL (0.5 mg/mL) (NDC 0409-3814-12)</v>
      </c>
      <c r="D1278" s="5" t="str">
        <f>IFERROR(__xludf.DUMMYFUNCTION("""COMPUTED_VALUE"""),"Reverified")</f>
        <v>Reverified</v>
      </c>
      <c r="E1278" s="13">
        <f>IFERROR(__xludf.DUMMYFUNCTION("""COMPUTED_VALUE"""),46316.0)</f>
        <v>46316</v>
      </c>
      <c r="F1278" s="5" t="str">
        <f>IFERROR(__xludf.DUMMYFUNCTION("""COMPUTED_VALUE"""),"Available")</f>
        <v>Available</v>
      </c>
      <c r="G1278" s="5"/>
      <c r="H1278" s="5"/>
      <c r="I1278" s="5"/>
      <c r="J1278" s="5" t="str">
        <f>IFERROR(__xludf.DUMMYFUNCTION("""COMPUTED_VALUE"""),"Analgesia/Addiction")</f>
        <v>Analgesia/Addiction</v>
      </c>
      <c r="K1278" s="5" t="str">
        <f>IFERROR(__xludf.DUMMYFUNCTION("""COMPUTED_VALUE"""),"Current")</f>
        <v>Current</v>
      </c>
      <c r="L1278" s="5"/>
      <c r="M1278" s="5"/>
      <c r="N1278" s="13">
        <f>IFERROR(__xludf.DUMMYFUNCTION("""COMPUTED_VALUE"""),43039.0)</f>
        <v>43039</v>
      </c>
      <c r="O1278" s="5">
        <v>2017.0</v>
      </c>
      <c r="P1278" s="5" t="str">
        <f>IFERROR(__xludf.DUMMYFUNCTION("""COMPUTED_VALUE"""),"Available")</f>
        <v>Available</v>
      </c>
      <c r="Q1278" s="5" t="s">
        <v>135</v>
      </c>
      <c r="R1278" s="5" t="s">
        <v>136</v>
      </c>
      <c r="S1278" s="11">
        <v>3282.0</v>
      </c>
    </row>
    <row r="1279">
      <c r="A1279" s="5" t="str">
        <f>IFERROR(__xludf.DUMMYFUNCTION("""COMPUTED_VALUE"""),"Morphine Sulfate Injection")</f>
        <v>Morphine Sulfate Injection</v>
      </c>
      <c r="B1279" s="5" t="str">
        <f>IFERROR(__xludf.DUMMYFUNCTION("""COMPUTED_VALUE"""),"Hospira, Inc., a Pfizer Company")</f>
        <v>Hospira, Inc., a Pfizer Company</v>
      </c>
      <c r="C1279" s="5" t="str">
        <f>IFERROR(__xludf.DUMMYFUNCTION("""COMPUTED_VALUE"""),"Morphine Sulfate, Injection, 10 mg/10 mL (1 mg/mL) (NDC 0409-3815-12)")</f>
        <v>Morphine Sulfate, Injection, 10 mg/10 mL (1 mg/mL) (NDC 0409-3815-12)</v>
      </c>
      <c r="D1279" s="5" t="str">
        <f>IFERROR(__xludf.DUMMYFUNCTION("""COMPUTED_VALUE"""),"Revised")</f>
        <v>Revised</v>
      </c>
      <c r="E1279" s="13">
        <f>IFERROR(__xludf.DUMMYFUNCTION("""COMPUTED_VALUE"""),46316.0)</f>
        <v>46316</v>
      </c>
      <c r="F1279" s="5" t="str">
        <f>IFERROR(__xludf.DUMMYFUNCTION("""COMPUTED_VALUE"""),"Limited Availability")</f>
        <v>Limited Availability</v>
      </c>
      <c r="G1279" s="5" t="str">
        <f>IFERROR(__xludf.DUMMYFUNCTION("""COMPUTED_VALUE"""),"Limited Supply Available. Next Delivery and Estimated Recovery: December 2026; Shortage per Manufacturer: Manufacturing Delay")</f>
        <v>Limited Supply Available. Next Delivery and Estimated Recovery: December 2026; Shortage per Manufacturer: Manufacturing Delay</v>
      </c>
      <c r="H1279" s="5"/>
      <c r="I1279" s="5" t="str">
        <f>IFERROR(__xludf.DUMMYFUNCTION("""COMPUTED_VALUE"""),"Other")</f>
        <v>Other</v>
      </c>
      <c r="J1279" s="5" t="str">
        <f>IFERROR(__xludf.DUMMYFUNCTION("""COMPUTED_VALUE"""),"Analgesia/Addiction")</f>
        <v>Analgesia/Addiction</v>
      </c>
      <c r="K1279" s="5" t="str">
        <f>IFERROR(__xludf.DUMMYFUNCTION("""COMPUTED_VALUE"""),"Current")</f>
        <v>Current</v>
      </c>
      <c r="L1279" s="5"/>
      <c r="M1279" s="5"/>
      <c r="N1279" s="13">
        <f>IFERROR(__xludf.DUMMYFUNCTION("""COMPUTED_VALUE"""),43039.0)</f>
        <v>43039</v>
      </c>
      <c r="O1279" s="5">
        <v>2017.0</v>
      </c>
      <c r="P1279" s="5" t="str">
        <f>IFERROR(__xludf.DUMMYFUNCTION("""COMPUTED_VALUE"""),"Limited Availability")</f>
        <v>Limited Availability</v>
      </c>
      <c r="Q1279" s="5" t="s">
        <v>47</v>
      </c>
      <c r="R1279" s="5" t="s">
        <v>136</v>
      </c>
      <c r="S1279" s="11">
        <v>3282.0</v>
      </c>
    </row>
    <row r="1280">
      <c r="A1280" s="5" t="str">
        <f>IFERROR(__xludf.DUMMYFUNCTION("""COMPUTED_VALUE"""),"Morphine Sulfate Injection")</f>
        <v>Morphine Sulfate Injection</v>
      </c>
      <c r="B1280" s="5" t="str">
        <f>IFERROR(__xludf.DUMMYFUNCTION("""COMPUTED_VALUE"""),"Hospira, Inc., a Pfizer Company")</f>
        <v>Hospira, Inc., a Pfizer Company</v>
      </c>
      <c r="C1280" s="5" t="str">
        <f>IFERROR(__xludf.DUMMYFUNCTION("""COMPUTED_VALUE"""),"Morphine Sulfate, Injection, 50 mg/1 mL (NDC 0409-1896-20)")</f>
        <v>Morphine Sulfate, Injection, 50 mg/1 mL (NDC 0409-1896-20)</v>
      </c>
      <c r="D1280" s="5" t="str">
        <f>IFERROR(__xludf.DUMMYFUNCTION("""COMPUTED_VALUE"""),"Revised")</f>
        <v>Revised</v>
      </c>
      <c r="E1280" s="13">
        <f>IFERROR(__xludf.DUMMYFUNCTION("""COMPUTED_VALUE"""),46316.0)</f>
        <v>46316</v>
      </c>
      <c r="F1280" s="5" t="str">
        <f>IFERROR(__xludf.DUMMYFUNCTION("""COMPUTED_VALUE"""),"Unavailable")</f>
        <v>Unavailable</v>
      </c>
      <c r="G1280" s="5" t="str">
        <f>IFERROR(__xludf.DUMMYFUNCTION("""COMPUTED_VALUE"""),"Next Delivery: February 2027; Estimated Recovery: June 2027; Shortage per Manufacturer: Manufacturing Delay")</f>
        <v>Next Delivery: February 2027; Estimated Recovery: June 2027; Shortage per Manufacturer: Manufacturing Delay</v>
      </c>
      <c r="H1280" s="5"/>
      <c r="I1280" s="5" t="str">
        <f>IFERROR(__xludf.DUMMYFUNCTION("""COMPUTED_VALUE"""),"Other")</f>
        <v>Other</v>
      </c>
      <c r="J1280" s="5" t="str">
        <f>IFERROR(__xludf.DUMMYFUNCTION("""COMPUTED_VALUE"""),"Analgesia/Addiction")</f>
        <v>Analgesia/Addiction</v>
      </c>
      <c r="K1280" s="5" t="str">
        <f>IFERROR(__xludf.DUMMYFUNCTION("""COMPUTED_VALUE"""),"Current")</f>
        <v>Current</v>
      </c>
      <c r="L1280" s="5"/>
      <c r="M1280" s="5"/>
      <c r="N1280" s="13">
        <f>IFERROR(__xludf.DUMMYFUNCTION("""COMPUTED_VALUE"""),43039.0)</f>
        <v>43039</v>
      </c>
      <c r="O1280" s="5">
        <v>2017.0</v>
      </c>
      <c r="P1280" s="5" t="str">
        <f>IFERROR(__xludf.DUMMYFUNCTION("""COMPUTED_VALUE"""),"Unavailable")</f>
        <v>Unavailable</v>
      </c>
      <c r="Q1280" s="5" t="s">
        <v>47</v>
      </c>
      <c r="R1280" s="5" t="s">
        <v>136</v>
      </c>
      <c r="S1280" s="11">
        <v>3282.0</v>
      </c>
    </row>
    <row r="1281">
      <c r="A1281" s="5" t="str">
        <f>IFERROR(__xludf.DUMMYFUNCTION("""COMPUTED_VALUE"""),"Morphine Sulfate Injection")</f>
        <v>Morphine Sulfate Injection</v>
      </c>
      <c r="B1281" s="5" t="str">
        <f>IFERROR(__xludf.DUMMYFUNCTION("""COMPUTED_VALUE"""),"Fresenius Kabi USA, LLC")</f>
        <v>Fresenius Kabi USA, LLC</v>
      </c>
      <c r="C1281" s="5" t="str">
        <f>IFERROR(__xludf.DUMMYFUNCTION("""COMPUTED_VALUE"""),"Morphine Sulfate, Injection, 2 mg/1 mL (NDC 76045-004-11)")</f>
        <v>Morphine Sulfate, Injection, 2 mg/1 mL (NDC 76045-004-11)</v>
      </c>
      <c r="D1281" s="5" t="str">
        <f>IFERROR(__xludf.DUMMYFUNCTION("""COMPUTED_VALUE"""),"Reverified")</f>
        <v>Reverified</v>
      </c>
      <c r="E1281" s="13">
        <f>IFERROR(__xludf.DUMMYFUNCTION("""COMPUTED_VALUE"""),46310.0)</f>
        <v>46310</v>
      </c>
      <c r="F1281" s="5" t="str">
        <f>IFERROR(__xludf.DUMMYFUNCTION("""COMPUTED_VALUE"""),"Available")</f>
        <v>Available</v>
      </c>
      <c r="G1281" s="5" t="str">
        <f>IFERROR(__xludf.DUMMYFUNCTION("""COMPUTED_VALUE"""),"Check wholesalers for inventory")</f>
        <v>Check wholesalers for inventory</v>
      </c>
      <c r="H1281" s="5"/>
      <c r="I1281" s="5"/>
      <c r="J1281" s="5" t="str">
        <f>IFERROR(__xludf.DUMMYFUNCTION("""COMPUTED_VALUE"""),"Analgesia/Addiction")</f>
        <v>Analgesia/Addiction</v>
      </c>
      <c r="K1281" s="5" t="str">
        <f>IFERROR(__xludf.DUMMYFUNCTION("""COMPUTED_VALUE"""),"Current")</f>
        <v>Current</v>
      </c>
      <c r="L1281" s="5"/>
      <c r="M1281" s="5"/>
      <c r="N1281" s="13">
        <f>IFERROR(__xludf.DUMMYFUNCTION("""COMPUTED_VALUE"""),43039.0)</f>
        <v>43039</v>
      </c>
      <c r="O1281" s="5">
        <v>2017.0</v>
      </c>
      <c r="P1281" s="5" t="str">
        <f>IFERROR(__xludf.DUMMYFUNCTION("""COMPUTED_VALUE"""),"Available")</f>
        <v>Available</v>
      </c>
      <c r="Q1281" s="5" t="s">
        <v>135</v>
      </c>
      <c r="R1281" s="5" t="s">
        <v>136</v>
      </c>
      <c r="S1281" s="11">
        <v>3282.0</v>
      </c>
    </row>
    <row r="1282">
      <c r="A1282" s="5" t="str">
        <f>IFERROR(__xludf.DUMMYFUNCTION("""COMPUTED_VALUE"""),"Morphine Sulfate Injection")</f>
        <v>Morphine Sulfate Injection</v>
      </c>
      <c r="B1282" s="5" t="str">
        <f>IFERROR(__xludf.DUMMYFUNCTION("""COMPUTED_VALUE"""),"Fresenius Kabi USA, LLC")</f>
        <v>Fresenius Kabi USA, LLC</v>
      </c>
      <c r="C1282" s="5" t="str">
        <f>IFERROR(__xludf.DUMMYFUNCTION("""COMPUTED_VALUE"""),"Morphine Sulfate, Injection, 4 mg/1 mL (NDC 76045-005-11)")</f>
        <v>Morphine Sulfate, Injection, 4 mg/1 mL (NDC 76045-005-11)</v>
      </c>
      <c r="D1282" s="5" t="str">
        <f>IFERROR(__xludf.DUMMYFUNCTION("""COMPUTED_VALUE"""),"Reverified")</f>
        <v>Reverified</v>
      </c>
      <c r="E1282" s="13">
        <f>IFERROR(__xludf.DUMMYFUNCTION("""COMPUTED_VALUE"""),46310.0)</f>
        <v>46310</v>
      </c>
      <c r="F1282" s="5" t="str">
        <f>IFERROR(__xludf.DUMMYFUNCTION("""COMPUTED_VALUE"""),"Available")</f>
        <v>Available</v>
      </c>
      <c r="G1282" s="5" t="str">
        <f>IFERROR(__xludf.DUMMYFUNCTION("""COMPUTED_VALUE"""),"Check wholesalers for inventory")</f>
        <v>Check wholesalers for inventory</v>
      </c>
      <c r="H1282" s="5"/>
      <c r="I1282" s="5"/>
      <c r="J1282" s="5" t="str">
        <f>IFERROR(__xludf.DUMMYFUNCTION("""COMPUTED_VALUE"""),"Analgesia/Addiction")</f>
        <v>Analgesia/Addiction</v>
      </c>
      <c r="K1282" s="5" t="str">
        <f>IFERROR(__xludf.DUMMYFUNCTION("""COMPUTED_VALUE"""),"Current")</f>
        <v>Current</v>
      </c>
      <c r="L1282" s="5"/>
      <c r="M1282" s="5"/>
      <c r="N1282" s="13">
        <f>IFERROR(__xludf.DUMMYFUNCTION("""COMPUTED_VALUE"""),43039.0)</f>
        <v>43039</v>
      </c>
      <c r="O1282" s="5">
        <v>2017.0</v>
      </c>
      <c r="P1282" s="5" t="str">
        <f>IFERROR(__xludf.DUMMYFUNCTION("""COMPUTED_VALUE"""),"Available")</f>
        <v>Available</v>
      </c>
      <c r="Q1282" s="5" t="s">
        <v>135</v>
      </c>
      <c r="R1282" s="5" t="s">
        <v>136</v>
      </c>
      <c r="S1282" s="11">
        <v>3282.0</v>
      </c>
    </row>
    <row r="1283">
      <c r="A1283" s="5" t="str">
        <f>IFERROR(__xludf.DUMMYFUNCTION("""COMPUTED_VALUE"""),"Morphine Sulfate Injection")</f>
        <v>Morphine Sulfate Injection</v>
      </c>
      <c r="B1283" s="5" t="str">
        <f>IFERROR(__xludf.DUMMYFUNCTION("""COMPUTED_VALUE"""),"Hospira, Inc., a Pfizer Company")</f>
        <v>Hospira, Inc., a Pfizer Company</v>
      </c>
      <c r="C1283" s="5" t="str">
        <f>IFERROR(__xludf.DUMMYFUNCTION("""COMPUTED_VALUE"""),"Morphine Sulfate, Injection, 50 mg/1 mL (NDC 0409-2022-01)")</f>
        <v>Morphine Sulfate, Injection, 50 mg/1 mL (NDC 0409-2022-01)</v>
      </c>
      <c r="D1283" s="5" t="str">
        <f>IFERROR(__xludf.DUMMYFUNCTION("""COMPUTED_VALUE"""),"Revised")</f>
        <v>Revised</v>
      </c>
      <c r="E1283" s="13">
        <f>IFERROR(__xludf.DUMMYFUNCTION("""COMPUTED_VALUE"""),46316.0)</f>
        <v>46316</v>
      </c>
      <c r="F1283" s="5" t="str">
        <f>IFERROR(__xludf.DUMMYFUNCTION("""COMPUTED_VALUE"""),"Unavailable")</f>
        <v>Unavailable</v>
      </c>
      <c r="G1283" s="5" t="str">
        <f>IFERROR(__xludf.DUMMYFUNCTION("""COMPUTED_VALUE"""),"Next Delivery: February 2027; Estimated Recovery: June 2027; Shortage per Manufacturer: Manufacturing Delay")</f>
        <v>Next Delivery: February 2027; Estimated Recovery: June 2027; Shortage per Manufacturer: Manufacturing Delay</v>
      </c>
      <c r="H1283" s="5"/>
      <c r="I1283" s="5" t="str">
        <f>IFERROR(__xludf.DUMMYFUNCTION("""COMPUTED_VALUE"""),"Other")</f>
        <v>Other</v>
      </c>
      <c r="J1283" s="5" t="str">
        <f>IFERROR(__xludf.DUMMYFUNCTION("""COMPUTED_VALUE"""),"Analgesia/Addiction")</f>
        <v>Analgesia/Addiction</v>
      </c>
      <c r="K1283" s="5" t="str">
        <f>IFERROR(__xludf.DUMMYFUNCTION("""COMPUTED_VALUE"""),"Current")</f>
        <v>Current</v>
      </c>
      <c r="L1283" s="5"/>
      <c r="M1283" s="5"/>
      <c r="N1283" s="13">
        <f>IFERROR(__xludf.DUMMYFUNCTION("""COMPUTED_VALUE"""),43039.0)</f>
        <v>43039</v>
      </c>
      <c r="O1283" s="5">
        <v>2017.0</v>
      </c>
      <c r="P1283" s="5" t="str">
        <f>IFERROR(__xludf.DUMMYFUNCTION("""COMPUTED_VALUE"""),"Unavailable")</f>
        <v>Unavailable</v>
      </c>
      <c r="Q1283" s="5" t="s">
        <v>47</v>
      </c>
      <c r="R1283" s="5" t="s">
        <v>136</v>
      </c>
      <c r="S1283" s="11">
        <v>3282.0</v>
      </c>
    </row>
    <row r="1284">
      <c r="A1284" s="5" t="str">
        <f>IFERROR(__xludf.DUMMYFUNCTION("""COMPUTED_VALUE"""),"Morphine Sulfate Injection")</f>
        <v>Morphine Sulfate Injection</v>
      </c>
      <c r="B1284" s="5" t="str">
        <f>IFERROR(__xludf.DUMMYFUNCTION("""COMPUTED_VALUE"""),"Hospira, Inc., a Pfizer Company")</f>
        <v>Hospira, Inc., a Pfizer Company</v>
      </c>
      <c r="C1284" s="5" t="str">
        <f>IFERROR(__xludf.DUMMYFUNCTION("""COMPUTED_VALUE"""),"Morphine Sulfate, Injection, 2 mg/1 mL (NDC 0409-1890-23)")</f>
        <v>Morphine Sulfate, Injection, 2 mg/1 mL (NDC 0409-1890-23)</v>
      </c>
      <c r="D1284" s="5" t="str">
        <f>IFERROR(__xludf.DUMMYFUNCTION("""COMPUTED_VALUE"""),"Revised")</f>
        <v>Revised</v>
      </c>
      <c r="E1284" s="13">
        <f>IFERROR(__xludf.DUMMYFUNCTION("""COMPUTED_VALUE"""),46316.0)</f>
        <v>46316</v>
      </c>
      <c r="F1284" s="5" t="str">
        <f>IFERROR(__xludf.DUMMYFUNCTION("""COMPUTED_VALUE"""),"Limited Availability")</f>
        <v>Limited Availability</v>
      </c>
      <c r="G1284" s="5" t="str">
        <f>IFERROR(__xludf.DUMMYFUNCTION("""COMPUTED_VALUE"""),"Limited Supply Available. Next Delivery: November 2026; Estimated Recovery: December 2026; Shortage per Manufacturer: Manufacturing Delay")</f>
        <v>Limited Supply Available. Next Delivery: November 2026; Estimated Recovery: December 2026; Shortage per Manufacturer: Manufacturing Delay</v>
      </c>
      <c r="H1284" s="5"/>
      <c r="I1284" s="5" t="str">
        <f>IFERROR(__xludf.DUMMYFUNCTION("""COMPUTED_VALUE"""),"Other")</f>
        <v>Other</v>
      </c>
      <c r="J1284" s="5" t="str">
        <f>IFERROR(__xludf.DUMMYFUNCTION("""COMPUTED_VALUE"""),"Analgesia/Addiction")</f>
        <v>Analgesia/Addiction</v>
      </c>
      <c r="K1284" s="5" t="str">
        <f>IFERROR(__xludf.DUMMYFUNCTION("""COMPUTED_VALUE"""),"Current")</f>
        <v>Current</v>
      </c>
      <c r="L1284" s="5"/>
      <c r="M1284" s="5"/>
      <c r="N1284" s="13">
        <f>IFERROR(__xludf.DUMMYFUNCTION("""COMPUTED_VALUE"""),43039.0)</f>
        <v>43039</v>
      </c>
      <c r="O1284" s="5">
        <v>2017.0</v>
      </c>
      <c r="P1284" s="5" t="str">
        <f>IFERROR(__xludf.DUMMYFUNCTION("""COMPUTED_VALUE"""),"Limited Availability")</f>
        <v>Limited Availability</v>
      </c>
      <c r="Q1284" s="5" t="s">
        <v>47</v>
      </c>
      <c r="R1284" s="5" t="s">
        <v>136</v>
      </c>
      <c r="S1284" s="11">
        <v>3282.0</v>
      </c>
    </row>
    <row r="1285">
      <c r="A1285" s="5" t="str">
        <f>IFERROR(__xludf.DUMMYFUNCTION("""COMPUTED_VALUE"""),"Morphine Sulfate Suppository")</f>
        <v>Morphine Sulfate Suppository</v>
      </c>
      <c r="B1285" s="5" t="str">
        <f>IFERROR(__xludf.DUMMYFUNCTION("""COMPUTED_VALUE"""),"Padagis US LLC")</f>
        <v>Padagis US LLC</v>
      </c>
      <c r="C1285" s="5" t="str">
        <f>IFERROR(__xludf.DUMMYFUNCTION("""COMPUTED_VALUE"""),"Morphine Sulfate, Suppository, 5 mg (NDC 0574-7110-12)")</f>
        <v>Morphine Sulfate, Suppository, 5 mg (NDC 0574-7110-12)</v>
      </c>
      <c r="D1285" s="5" t="str">
        <f>IFERROR(__xludf.DUMMYFUNCTION("""COMPUTED_VALUE"""),"New")</f>
        <v>New</v>
      </c>
      <c r="E1285" s="10">
        <f>IFERROR(__xludf.DUMMYFUNCTION("""COMPUTED_VALUE"""),46226.0)</f>
        <v>46226</v>
      </c>
      <c r="F1285" s="5"/>
      <c r="G1285" s="5" t="str">
        <f>IFERROR(__xludf.DUMMYFUNCTION("""COMPUTED_VALUE"""),"Discontinuation of the manufacture of the drug")</f>
        <v>Discontinuation of the manufacture of the drug</v>
      </c>
      <c r="H1285" s="5"/>
      <c r="I1285" s="5"/>
      <c r="J1285" s="5" t="str">
        <f>IFERROR(__xludf.DUMMYFUNCTION("""COMPUTED_VALUE"""),"Analgesia/Addiction")</f>
        <v>Analgesia/Addiction</v>
      </c>
      <c r="K1285" s="5" t="str">
        <f>IFERROR(__xludf.DUMMYFUNCTION("""COMPUTED_VALUE"""),"To Be Discontinued")</f>
        <v>To Be Discontinued</v>
      </c>
      <c r="L1285" s="5"/>
      <c r="M1285" s="10">
        <f>IFERROR(__xludf.DUMMYFUNCTION("""COMPUTED_VALUE"""),46226.0)</f>
        <v>46226</v>
      </c>
      <c r="N1285" s="10">
        <f>IFERROR(__xludf.DUMMYFUNCTION("""COMPUTED_VALUE"""),46226.0)</f>
        <v>46226</v>
      </c>
      <c r="O1285" s="5">
        <v>2026.0</v>
      </c>
      <c r="P1285" s="5" t="str">
        <f>IFERROR(__xludf.DUMMYFUNCTION("""COMPUTED_VALUE"""),"Not stated")</f>
        <v>Not stated</v>
      </c>
      <c r="Q1285" s="5" t="s">
        <v>135</v>
      </c>
      <c r="R1285" s="5" t="s">
        <v>136</v>
      </c>
      <c r="S1285" s="11">
        <v>95.0</v>
      </c>
    </row>
    <row r="1286">
      <c r="A1286" s="5" t="str">
        <f>IFERROR(__xludf.DUMMYFUNCTION("""COMPUTED_VALUE"""),"Morphine Sulfate Suppository")</f>
        <v>Morphine Sulfate Suppository</v>
      </c>
      <c r="B1286" s="5" t="str">
        <f>IFERROR(__xludf.DUMMYFUNCTION("""COMPUTED_VALUE"""),"Padagis US LLC")</f>
        <v>Padagis US LLC</v>
      </c>
      <c r="C1286" s="5" t="str">
        <f>IFERROR(__xludf.DUMMYFUNCTION("""COMPUTED_VALUE"""),"Morphine Sulfate, Suppository, 10 mg (NDC 0574-7112-12)")</f>
        <v>Morphine Sulfate, Suppository, 10 mg (NDC 0574-7112-12)</v>
      </c>
      <c r="D1286" s="5" t="str">
        <f>IFERROR(__xludf.DUMMYFUNCTION("""COMPUTED_VALUE"""),"New")</f>
        <v>New</v>
      </c>
      <c r="E1286" s="10">
        <f>IFERROR(__xludf.DUMMYFUNCTION("""COMPUTED_VALUE"""),46226.0)</f>
        <v>46226</v>
      </c>
      <c r="F1286" s="5"/>
      <c r="G1286" s="5" t="str">
        <f>IFERROR(__xludf.DUMMYFUNCTION("""COMPUTED_VALUE"""),"Discontinuation of the manufacture of the drug")</f>
        <v>Discontinuation of the manufacture of the drug</v>
      </c>
      <c r="H1286" s="5"/>
      <c r="I1286" s="5"/>
      <c r="J1286" s="5" t="str">
        <f>IFERROR(__xludf.DUMMYFUNCTION("""COMPUTED_VALUE"""),"Analgesia/Addiction")</f>
        <v>Analgesia/Addiction</v>
      </c>
      <c r="K1286" s="5" t="str">
        <f>IFERROR(__xludf.DUMMYFUNCTION("""COMPUTED_VALUE"""),"To Be Discontinued")</f>
        <v>To Be Discontinued</v>
      </c>
      <c r="L1286" s="5"/>
      <c r="M1286" s="10">
        <f>IFERROR(__xludf.DUMMYFUNCTION("""COMPUTED_VALUE"""),46226.0)</f>
        <v>46226</v>
      </c>
      <c r="N1286" s="10">
        <f>IFERROR(__xludf.DUMMYFUNCTION("""COMPUTED_VALUE"""),46226.0)</f>
        <v>46226</v>
      </c>
      <c r="O1286" s="5">
        <v>2026.0</v>
      </c>
      <c r="P1286" s="5" t="str">
        <f>IFERROR(__xludf.DUMMYFUNCTION("""COMPUTED_VALUE"""),"Not stated")</f>
        <v>Not stated</v>
      </c>
      <c r="Q1286" s="5" t="s">
        <v>135</v>
      </c>
      <c r="R1286" s="5" t="s">
        <v>136</v>
      </c>
      <c r="S1286" s="11">
        <v>95.0</v>
      </c>
    </row>
    <row r="1287">
      <c r="A1287" s="5" t="str">
        <f>IFERROR(__xludf.DUMMYFUNCTION("""COMPUTED_VALUE"""),"Morphine Sulfate Suppository")</f>
        <v>Morphine Sulfate Suppository</v>
      </c>
      <c r="B1287" s="5" t="str">
        <f>IFERROR(__xludf.DUMMYFUNCTION("""COMPUTED_VALUE"""),"Padagis US LLC")</f>
        <v>Padagis US LLC</v>
      </c>
      <c r="C1287" s="5" t="str">
        <f>IFERROR(__xludf.DUMMYFUNCTION("""COMPUTED_VALUE"""),"Morphine Sulfate, Suppository, 20 mg (NDC 0574-7114-12)")</f>
        <v>Morphine Sulfate, Suppository, 20 mg (NDC 0574-7114-12)</v>
      </c>
      <c r="D1287" s="5" t="str">
        <f>IFERROR(__xludf.DUMMYFUNCTION("""COMPUTED_VALUE"""),"New")</f>
        <v>New</v>
      </c>
      <c r="E1287" s="10">
        <f>IFERROR(__xludf.DUMMYFUNCTION("""COMPUTED_VALUE"""),46226.0)</f>
        <v>46226</v>
      </c>
      <c r="F1287" s="5"/>
      <c r="G1287" s="5" t="str">
        <f>IFERROR(__xludf.DUMMYFUNCTION("""COMPUTED_VALUE"""),"Discontinuation of the manufacture of the drug")</f>
        <v>Discontinuation of the manufacture of the drug</v>
      </c>
      <c r="H1287" s="5"/>
      <c r="I1287" s="5"/>
      <c r="J1287" s="5" t="str">
        <f>IFERROR(__xludf.DUMMYFUNCTION("""COMPUTED_VALUE"""),"Analgesia/Addiction")</f>
        <v>Analgesia/Addiction</v>
      </c>
      <c r="K1287" s="5" t="str">
        <f>IFERROR(__xludf.DUMMYFUNCTION("""COMPUTED_VALUE"""),"To Be Discontinued")</f>
        <v>To Be Discontinued</v>
      </c>
      <c r="L1287" s="5"/>
      <c r="M1287" s="10">
        <f>IFERROR(__xludf.DUMMYFUNCTION("""COMPUTED_VALUE"""),46226.0)</f>
        <v>46226</v>
      </c>
      <c r="N1287" s="10">
        <f>IFERROR(__xludf.DUMMYFUNCTION("""COMPUTED_VALUE"""),46226.0)</f>
        <v>46226</v>
      </c>
      <c r="O1287" s="5">
        <v>2026.0</v>
      </c>
      <c r="P1287" s="5" t="str">
        <f>IFERROR(__xludf.DUMMYFUNCTION("""COMPUTED_VALUE"""),"Not stated")</f>
        <v>Not stated</v>
      </c>
      <c r="Q1287" s="5" t="s">
        <v>135</v>
      </c>
      <c r="R1287" s="5" t="s">
        <v>136</v>
      </c>
      <c r="S1287" s="11">
        <v>95.0</v>
      </c>
    </row>
    <row r="1288">
      <c r="A1288" s="5" t="str">
        <f>IFERROR(__xludf.DUMMYFUNCTION("""COMPUTED_VALUE"""),"Morphine Sulfate Suppository")</f>
        <v>Morphine Sulfate Suppository</v>
      </c>
      <c r="B1288" s="5" t="str">
        <f>IFERROR(__xludf.DUMMYFUNCTION("""COMPUTED_VALUE"""),"Padagis US LLC")</f>
        <v>Padagis US LLC</v>
      </c>
      <c r="C1288" s="5" t="str">
        <f>IFERROR(__xludf.DUMMYFUNCTION("""COMPUTED_VALUE"""),"Morphine Sulfate, Suppository, 30 mg (NDC 0574-7116-12)")</f>
        <v>Morphine Sulfate, Suppository, 30 mg (NDC 0574-7116-12)</v>
      </c>
      <c r="D1288" s="5" t="str">
        <f>IFERROR(__xludf.DUMMYFUNCTION("""COMPUTED_VALUE"""),"New")</f>
        <v>New</v>
      </c>
      <c r="E1288" s="10">
        <f>IFERROR(__xludf.DUMMYFUNCTION("""COMPUTED_VALUE"""),46226.0)</f>
        <v>46226</v>
      </c>
      <c r="F1288" s="5"/>
      <c r="G1288" s="5" t="str">
        <f>IFERROR(__xludf.DUMMYFUNCTION("""COMPUTED_VALUE"""),"Discontinuation of the manufacture of the drug")</f>
        <v>Discontinuation of the manufacture of the drug</v>
      </c>
      <c r="H1288" s="5"/>
      <c r="I1288" s="5"/>
      <c r="J1288" s="5" t="str">
        <f>IFERROR(__xludf.DUMMYFUNCTION("""COMPUTED_VALUE"""),"Analgesia/Addiction")</f>
        <v>Analgesia/Addiction</v>
      </c>
      <c r="K1288" s="5" t="str">
        <f>IFERROR(__xludf.DUMMYFUNCTION("""COMPUTED_VALUE"""),"To Be Discontinued")</f>
        <v>To Be Discontinued</v>
      </c>
      <c r="L1288" s="5"/>
      <c r="M1288" s="10">
        <f>IFERROR(__xludf.DUMMYFUNCTION("""COMPUTED_VALUE"""),46226.0)</f>
        <v>46226</v>
      </c>
      <c r="N1288" s="10">
        <f>IFERROR(__xludf.DUMMYFUNCTION("""COMPUTED_VALUE"""),46226.0)</f>
        <v>46226</v>
      </c>
      <c r="O1288" s="5">
        <v>2026.0</v>
      </c>
      <c r="P1288" s="5" t="str">
        <f>IFERROR(__xludf.DUMMYFUNCTION("""COMPUTED_VALUE"""),"Not stated")</f>
        <v>Not stated</v>
      </c>
      <c r="Q1288" s="5" t="s">
        <v>135</v>
      </c>
      <c r="R1288" s="5" t="s">
        <v>136</v>
      </c>
      <c r="S1288" s="11">
        <v>95.0</v>
      </c>
    </row>
    <row r="1289">
      <c r="A1289" s="5" t="str">
        <f>IFERROR(__xludf.DUMMYFUNCTION("""COMPUTED_VALUE"""),"Morphine Sulfate Tablet")</f>
        <v>Morphine Sulfate Tablet</v>
      </c>
      <c r="B1289" s="5" t="str">
        <f>IFERROR(__xludf.DUMMYFUNCTION("""COMPUTED_VALUE"""),"Upsher-Smith Laboratories, LLC")</f>
        <v>Upsher-Smith Laboratories, LLC</v>
      </c>
      <c r="C1289" s="5" t="str">
        <f>IFERROR(__xludf.DUMMYFUNCTION("""COMPUTED_VALUE"""),"Morphine Sulfate, Tablet, 15 mg (NDC 0832-0273-11)")</f>
        <v>Morphine Sulfate, Tablet, 15 mg (NDC 0832-0273-11)</v>
      </c>
      <c r="D1289" s="5" t="str">
        <f>IFERROR(__xludf.DUMMYFUNCTION("""COMPUTED_VALUE"""),"New")</f>
        <v>New</v>
      </c>
      <c r="E1289" s="13">
        <f>IFERROR(__xludf.DUMMYFUNCTION("""COMPUTED_VALUE"""),46013.0)</f>
        <v>46013</v>
      </c>
      <c r="F1289" s="5"/>
      <c r="G1289" s="5" t="str">
        <f>IFERROR(__xludf.DUMMYFUNCTION("""COMPUTED_VALUE"""),"Discontinuation of the manufacture of the drug")</f>
        <v>Discontinuation of the manufacture of the drug</v>
      </c>
      <c r="H1289" s="5"/>
      <c r="I1289" s="5"/>
      <c r="J1289" s="5" t="str">
        <f>IFERROR(__xludf.DUMMYFUNCTION("""COMPUTED_VALUE"""),"Analgesia/Addiction")</f>
        <v>Analgesia/Addiction</v>
      </c>
      <c r="K1289" s="5" t="str">
        <f>IFERROR(__xludf.DUMMYFUNCTION("""COMPUTED_VALUE"""),"To Be Discontinued")</f>
        <v>To Be Discontinued</v>
      </c>
      <c r="L1289" s="5"/>
      <c r="M1289" s="13">
        <f>IFERROR(__xludf.DUMMYFUNCTION("""COMPUTED_VALUE"""),46013.0)</f>
        <v>46013</v>
      </c>
      <c r="N1289" s="13">
        <f>IFERROR(__xludf.DUMMYFUNCTION("""COMPUTED_VALUE"""),46013.0)</f>
        <v>46013</v>
      </c>
      <c r="O1289" s="5">
        <v>2025.0</v>
      </c>
      <c r="P1289" s="5" t="str">
        <f>IFERROR(__xludf.DUMMYFUNCTION("""COMPUTED_VALUE"""),"Not stated")</f>
        <v>Not stated</v>
      </c>
      <c r="Q1289" s="5" t="s">
        <v>135</v>
      </c>
      <c r="R1289" s="5" t="s">
        <v>136</v>
      </c>
      <c r="S1289" s="11">
        <v>308.0</v>
      </c>
    </row>
    <row r="1290">
      <c r="A1290" s="5" t="str">
        <f>IFERROR(__xludf.DUMMYFUNCTION("""COMPUTED_VALUE"""),"Morphine Sulfate Tablet")</f>
        <v>Morphine Sulfate Tablet</v>
      </c>
      <c r="B1290" s="5" t="str">
        <f>IFERROR(__xludf.DUMMYFUNCTION("""COMPUTED_VALUE"""),"Upsher-Smith Laboratories, LLC")</f>
        <v>Upsher-Smith Laboratories, LLC</v>
      </c>
      <c r="C1290" s="5" t="str">
        <f>IFERROR(__xludf.DUMMYFUNCTION("""COMPUTED_VALUE"""),"Morphine Sulfate, Tablet, 30 mg (NDC 0832-0274-11)")</f>
        <v>Morphine Sulfate, Tablet, 30 mg (NDC 0832-0274-11)</v>
      </c>
      <c r="D1290" s="5" t="str">
        <f>IFERROR(__xludf.DUMMYFUNCTION("""COMPUTED_VALUE"""),"New")</f>
        <v>New</v>
      </c>
      <c r="E1290" s="13">
        <f>IFERROR(__xludf.DUMMYFUNCTION("""COMPUTED_VALUE"""),46013.0)</f>
        <v>46013</v>
      </c>
      <c r="F1290" s="5"/>
      <c r="G1290" s="5" t="str">
        <f>IFERROR(__xludf.DUMMYFUNCTION("""COMPUTED_VALUE"""),"Discontinuation of the manufacture of the drug")</f>
        <v>Discontinuation of the manufacture of the drug</v>
      </c>
      <c r="H1290" s="5"/>
      <c r="I1290" s="5"/>
      <c r="J1290" s="5" t="str">
        <f>IFERROR(__xludf.DUMMYFUNCTION("""COMPUTED_VALUE"""),"Analgesia/Addiction")</f>
        <v>Analgesia/Addiction</v>
      </c>
      <c r="K1290" s="5" t="str">
        <f>IFERROR(__xludf.DUMMYFUNCTION("""COMPUTED_VALUE"""),"To Be Discontinued")</f>
        <v>To Be Discontinued</v>
      </c>
      <c r="L1290" s="5"/>
      <c r="M1290" s="13">
        <f>IFERROR(__xludf.DUMMYFUNCTION("""COMPUTED_VALUE"""),46013.0)</f>
        <v>46013</v>
      </c>
      <c r="N1290" s="13">
        <f>IFERROR(__xludf.DUMMYFUNCTION("""COMPUTED_VALUE"""),46013.0)</f>
        <v>46013</v>
      </c>
      <c r="O1290" s="5">
        <v>2025.0</v>
      </c>
      <c r="P1290" s="5" t="str">
        <f>IFERROR(__xludf.DUMMYFUNCTION("""COMPUTED_VALUE"""),"Not stated")</f>
        <v>Not stated</v>
      </c>
      <c r="Q1290" s="5" t="s">
        <v>135</v>
      </c>
      <c r="R1290" s="5" t="s">
        <v>136</v>
      </c>
      <c r="S1290" s="11">
        <v>308.0</v>
      </c>
    </row>
    <row r="1291">
      <c r="A1291" s="5" t="str">
        <f>IFERROR(__xludf.DUMMYFUNCTION("""COMPUTED_VALUE"""),"Moxifloxacin Injection")</f>
        <v>Moxifloxacin Injection</v>
      </c>
      <c r="B1291" s="5" t="str">
        <f>IFERROR(__xludf.DUMMYFUNCTION("""COMPUTED_VALUE"""),"Fresenius Kabi USA, LLC")</f>
        <v>Fresenius Kabi USA, LLC</v>
      </c>
      <c r="C1291" s="5" t="str">
        <f>IFERROR(__xludf.DUMMYFUNCTION("""COMPUTED_VALUE"""),"Moxifloxacin, Injection, 400mg per 250mL (NDC 63323-850-74)")</f>
        <v>Moxifloxacin, Injection, 400mg per 250mL (NDC 63323-850-74)</v>
      </c>
      <c r="D1291" s="5" t="str">
        <f>IFERROR(__xludf.DUMMYFUNCTION("""COMPUTED_VALUE"""),"New")</f>
        <v>New</v>
      </c>
      <c r="E1291" s="13">
        <f>IFERROR(__xludf.DUMMYFUNCTION("""COMPUTED_VALUE"""),45959.0)</f>
        <v>45959</v>
      </c>
      <c r="F1291" s="5"/>
      <c r="G1291" s="5" t="str">
        <f>IFERROR(__xludf.DUMMYFUNCTION("""COMPUTED_VALUE"""),"Discontinuation of the manufacture of the drug")</f>
        <v>Discontinuation of the manufacture of the drug</v>
      </c>
      <c r="H1291" s="5"/>
      <c r="I1291" s="5"/>
      <c r="J1291" s="5" t="str">
        <f>IFERROR(__xludf.DUMMYFUNCTION("""COMPUTED_VALUE"""),"Anti-Infective")</f>
        <v>Anti-Infective</v>
      </c>
      <c r="K1291" s="5" t="str">
        <f>IFERROR(__xludf.DUMMYFUNCTION("""COMPUTED_VALUE"""),"To Be Discontinued")</f>
        <v>To Be Discontinued</v>
      </c>
      <c r="L1291" s="5"/>
      <c r="M1291" s="13">
        <f>IFERROR(__xludf.DUMMYFUNCTION("""COMPUTED_VALUE"""),45959.0)</f>
        <v>45959</v>
      </c>
      <c r="N1291" s="13">
        <f>IFERROR(__xludf.DUMMYFUNCTION("""COMPUTED_VALUE"""),45959.0)</f>
        <v>45959</v>
      </c>
      <c r="O1291" s="5">
        <v>2025.0</v>
      </c>
      <c r="P1291" s="5" t="str">
        <f>IFERROR(__xludf.DUMMYFUNCTION("""COMPUTED_VALUE"""),"Not stated")</f>
        <v>Not stated</v>
      </c>
      <c r="Q1291" s="5" t="s">
        <v>135</v>
      </c>
      <c r="R1291" s="5" t="s">
        <v>136</v>
      </c>
      <c r="S1291" s="11">
        <v>362.0</v>
      </c>
    </row>
    <row r="1292">
      <c r="A1292" s="5" t="str">
        <f>IFERROR(__xludf.DUMMYFUNCTION("""COMPUTED_VALUE"""),"Nebivolol Hydrochloride Tablet")</f>
        <v>Nebivolol Hydrochloride Tablet</v>
      </c>
      <c r="B1292" s="5" t="str">
        <f>IFERROR(__xludf.DUMMYFUNCTION("""COMPUTED_VALUE"""),"Torrent Pharmaceuticals Limited")</f>
        <v>Torrent Pharmaceuticals Limited</v>
      </c>
      <c r="C1292" s="5" t="str">
        <f>IFERROR(__xludf.DUMMYFUNCTION("""COMPUTED_VALUE"""),"Nebivolol Hydrochloride, Tablet, 2.5 mg (NDC 13668-353-01)")</f>
        <v>Nebivolol Hydrochloride, Tablet, 2.5 mg (NDC 13668-353-01)</v>
      </c>
      <c r="D1292" s="5" t="str">
        <f>IFERROR(__xludf.DUMMYFUNCTION("""COMPUTED_VALUE"""),"New")</f>
        <v>New</v>
      </c>
      <c r="E1292" s="10">
        <f>IFERROR(__xludf.DUMMYFUNCTION("""COMPUTED_VALUE"""),46106.0)</f>
        <v>46106</v>
      </c>
      <c r="F1292" s="5"/>
      <c r="G1292" s="5" t="str">
        <f>IFERROR(__xludf.DUMMYFUNCTION("""COMPUTED_VALUE"""),"Discontinuation of the manufacture of the drug")</f>
        <v>Discontinuation of the manufacture of the drug</v>
      </c>
      <c r="H1292" s="5"/>
      <c r="I1292" s="5"/>
      <c r="J1292" s="5" t="str">
        <f>IFERROR(__xludf.DUMMYFUNCTION("""COMPUTED_VALUE"""),"Cardiovascular")</f>
        <v>Cardiovascular</v>
      </c>
      <c r="K1292" s="5" t="str">
        <f>IFERROR(__xludf.DUMMYFUNCTION("""COMPUTED_VALUE"""),"To Be Discontinued")</f>
        <v>To Be Discontinued</v>
      </c>
      <c r="L1292" s="5"/>
      <c r="M1292" s="10">
        <f>IFERROR(__xludf.DUMMYFUNCTION("""COMPUTED_VALUE"""),46106.0)</f>
        <v>46106</v>
      </c>
      <c r="N1292" s="10">
        <f>IFERROR(__xludf.DUMMYFUNCTION("""COMPUTED_VALUE"""),46106.0)</f>
        <v>46106</v>
      </c>
      <c r="O1292" s="5">
        <v>2026.0</v>
      </c>
      <c r="P1292" s="5" t="str">
        <f>IFERROR(__xludf.DUMMYFUNCTION("""COMPUTED_VALUE"""),"Not stated")</f>
        <v>Not stated</v>
      </c>
      <c r="Q1292" s="5" t="s">
        <v>135</v>
      </c>
      <c r="R1292" s="5" t="s">
        <v>136</v>
      </c>
      <c r="S1292" s="11">
        <v>215.0</v>
      </c>
    </row>
    <row r="1293">
      <c r="A1293" s="5" t="str">
        <f>IFERROR(__xludf.DUMMYFUNCTION("""COMPUTED_VALUE"""),"Nebivolol Hydrochloride Tablet")</f>
        <v>Nebivolol Hydrochloride Tablet</v>
      </c>
      <c r="B1293" s="5" t="str">
        <f>IFERROR(__xludf.DUMMYFUNCTION("""COMPUTED_VALUE"""),"Torrent Pharmaceuticals Limited")</f>
        <v>Torrent Pharmaceuticals Limited</v>
      </c>
      <c r="C1293" s="5" t="str">
        <f>IFERROR(__xludf.DUMMYFUNCTION("""COMPUTED_VALUE"""),"Nebivolol Hydrochloride, Tablet, 2.5 mg (NDC 13668-353-05)")</f>
        <v>Nebivolol Hydrochloride, Tablet, 2.5 mg (NDC 13668-353-05)</v>
      </c>
      <c r="D1293" s="5" t="str">
        <f>IFERROR(__xludf.DUMMYFUNCTION("""COMPUTED_VALUE"""),"New")</f>
        <v>New</v>
      </c>
      <c r="E1293" s="10">
        <f>IFERROR(__xludf.DUMMYFUNCTION("""COMPUTED_VALUE"""),46106.0)</f>
        <v>46106</v>
      </c>
      <c r="F1293" s="5"/>
      <c r="G1293" s="5" t="str">
        <f>IFERROR(__xludf.DUMMYFUNCTION("""COMPUTED_VALUE"""),"Discontinuation of the manufacture of the drug")</f>
        <v>Discontinuation of the manufacture of the drug</v>
      </c>
      <c r="H1293" s="5"/>
      <c r="I1293" s="5"/>
      <c r="J1293" s="5" t="str">
        <f>IFERROR(__xludf.DUMMYFUNCTION("""COMPUTED_VALUE"""),"Cardiovascular")</f>
        <v>Cardiovascular</v>
      </c>
      <c r="K1293" s="5" t="str">
        <f>IFERROR(__xludf.DUMMYFUNCTION("""COMPUTED_VALUE"""),"To Be Discontinued")</f>
        <v>To Be Discontinued</v>
      </c>
      <c r="L1293" s="5"/>
      <c r="M1293" s="10">
        <f>IFERROR(__xludf.DUMMYFUNCTION("""COMPUTED_VALUE"""),46106.0)</f>
        <v>46106</v>
      </c>
      <c r="N1293" s="10">
        <f>IFERROR(__xludf.DUMMYFUNCTION("""COMPUTED_VALUE"""),46106.0)</f>
        <v>46106</v>
      </c>
      <c r="O1293" s="5">
        <v>2026.0</v>
      </c>
      <c r="P1293" s="5" t="str">
        <f>IFERROR(__xludf.DUMMYFUNCTION("""COMPUTED_VALUE"""),"Not stated")</f>
        <v>Not stated</v>
      </c>
      <c r="Q1293" s="5" t="s">
        <v>135</v>
      </c>
      <c r="R1293" s="5" t="s">
        <v>136</v>
      </c>
      <c r="S1293" s="11">
        <v>215.0</v>
      </c>
    </row>
    <row r="1294">
      <c r="A1294" s="5" t="str">
        <f>IFERROR(__xludf.DUMMYFUNCTION("""COMPUTED_VALUE"""),"Nebivolol Hydrochloride Tablet")</f>
        <v>Nebivolol Hydrochloride Tablet</v>
      </c>
      <c r="B1294" s="5" t="str">
        <f>IFERROR(__xludf.DUMMYFUNCTION("""COMPUTED_VALUE"""),"Torrent Pharmaceuticals Limited")</f>
        <v>Torrent Pharmaceuticals Limited</v>
      </c>
      <c r="C1294" s="5" t="str">
        <f>IFERROR(__xludf.DUMMYFUNCTION("""COMPUTED_VALUE"""),"Nebivolol Hydrochloride, Tablet, 2.5 mg (NDC 13668-353-30)")</f>
        <v>Nebivolol Hydrochloride, Tablet, 2.5 mg (NDC 13668-353-30)</v>
      </c>
      <c r="D1294" s="5" t="str">
        <f>IFERROR(__xludf.DUMMYFUNCTION("""COMPUTED_VALUE"""),"New")</f>
        <v>New</v>
      </c>
      <c r="E1294" s="10">
        <f>IFERROR(__xludf.DUMMYFUNCTION("""COMPUTED_VALUE"""),46106.0)</f>
        <v>46106</v>
      </c>
      <c r="F1294" s="5"/>
      <c r="G1294" s="5" t="str">
        <f>IFERROR(__xludf.DUMMYFUNCTION("""COMPUTED_VALUE"""),"Discontinuation of the manufacture of the drug")</f>
        <v>Discontinuation of the manufacture of the drug</v>
      </c>
      <c r="H1294" s="5"/>
      <c r="I1294" s="5"/>
      <c r="J1294" s="5" t="str">
        <f>IFERROR(__xludf.DUMMYFUNCTION("""COMPUTED_VALUE"""),"Cardiovascular")</f>
        <v>Cardiovascular</v>
      </c>
      <c r="K1294" s="5" t="str">
        <f>IFERROR(__xludf.DUMMYFUNCTION("""COMPUTED_VALUE"""),"To Be Discontinued")</f>
        <v>To Be Discontinued</v>
      </c>
      <c r="L1294" s="5"/>
      <c r="M1294" s="10">
        <f>IFERROR(__xludf.DUMMYFUNCTION("""COMPUTED_VALUE"""),46106.0)</f>
        <v>46106</v>
      </c>
      <c r="N1294" s="10">
        <f>IFERROR(__xludf.DUMMYFUNCTION("""COMPUTED_VALUE"""),46106.0)</f>
        <v>46106</v>
      </c>
      <c r="O1294" s="5">
        <v>2026.0</v>
      </c>
      <c r="P1294" s="5" t="str">
        <f>IFERROR(__xludf.DUMMYFUNCTION("""COMPUTED_VALUE"""),"Not stated")</f>
        <v>Not stated</v>
      </c>
      <c r="Q1294" s="5" t="s">
        <v>135</v>
      </c>
      <c r="R1294" s="5" t="s">
        <v>136</v>
      </c>
      <c r="S1294" s="11">
        <v>215.0</v>
      </c>
    </row>
    <row r="1295">
      <c r="A1295" s="5" t="str">
        <f>IFERROR(__xludf.DUMMYFUNCTION("""COMPUTED_VALUE"""),"Nebivolol Hydrochloride Tablet")</f>
        <v>Nebivolol Hydrochloride Tablet</v>
      </c>
      <c r="B1295" s="5" t="str">
        <f>IFERROR(__xludf.DUMMYFUNCTION("""COMPUTED_VALUE"""),"Torrent Pharmaceuticals Limited")</f>
        <v>Torrent Pharmaceuticals Limited</v>
      </c>
      <c r="C1295" s="5" t="str">
        <f>IFERROR(__xludf.DUMMYFUNCTION("""COMPUTED_VALUE"""),"Nebivolol Hydrochloride, Tablet, 2.5 mg (NDC 13668-353-90)")</f>
        <v>Nebivolol Hydrochloride, Tablet, 2.5 mg (NDC 13668-353-90)</v>
      </c>
      <c r="D1295" s="5" t="str">
        <f>IFERROR(__xludf.DUMMYFUNCTION("""COMPUTED_VALUE"""),"New")</f>
        <v>New</v>
      </c>
      <c r="E1295" s="10">
        <f>IFERROR(__xludf.DUMMYFUNCTION("""COMPUTED_VALUE"""),46106.0)</f>
        <v>46106</v>
      </c>
      <c r="F1295" s="5"/>
      <c r="G1295" s="5" t="str">
        <f>IFERROR(__xludf.DUMMYFUNCTION("""COMPUTED_VALUE"""),"Discontinuation of the manufacture of the drug")</f>
        <v>Discontinuation of the manufacture of the drug</v>
      </c>
      <c r="H1295" s="5"/>
      <c r="I1295" s="5"/>
      <c r="J1295" s="5" t="str">
        <f>IFERROR(__xludf.DUMMYFUNCTION("""COMPUTED_VALUE"""),"Cardiovascular")</f>
        <v>Cardiovascular</v>
      </c>
      <c r="K1295" s="5" t="str">
        <f>IFERROR(__xludf.DUMMYFUNCTION("""COMPUTED_VALUE"""),"To Be Discontinued")</f>
        <v>To Be Discontinued</v>
      </c>
      <c r="L1295" s="5"/>
      <c r="M1295" s="10">
        <f>IFERROR(__xludf.DUMMYFUNCTION("""COMPUTED_VALUE"""),46106.0)</f>
        <v>46106</v>
      </c>
      <c r="N1295" s="10">
        <f>IFERROR(__xludf.DUMMYFUNCTION("""COMPUTED_VALUE"""),46106.0)</f>
        <v>46106</v>
      </c>
      <c r="O1295" s="5">
        <v>2026.0</v>
      </c>
      <c r="P1295" s="5" t="str">
        <f>IFERROR(__xludf.DUMMYFUNCTION("""COMPUTED_VALUE"""),"Not stated")</f>
        <v>Not stated</v>
      </c>
      <c r="Q1295" s="5" t="s">
        <v>135</v>
      </c>
      <c r="R1295" s="5" t="s">
        <v>136</v>
      </c>
      <c r="S1295" s="11">
        <v>215.0</v>
      </c>
    </row>
    <row r="1296">
      <c r="A1296" s="5" t="str">
        <f>IFERROR(__xludf.DUMMYFUNCTION("""COMPUTED_VALUE"""),"Nebivolol Hydrochloride Tablet")</f>
        <v>Nebivolol Hydrochloride Tablet</v>
      </c>
      <c r="B1296" s="5" t="str">
        <f>IFERROR(__xludf.DUMMYFUNCTION("""COMPUTED_VALUE"""),"Torrent Pharmaceuticals Limited")</f>
        <v>Torrent Pharmaceuticals Limited</v>
      </c>
      <c r="C1296" s="5" t="str">
        <f>IFERROR(__xludf.DUMMYFUNCTION("""COMPUTED_VALUE"""),"Nebivolol Hydrochloride, Tablet, 5 mg (NDC 13668-354-01)")</f>
        <v>Nebivolol Hydrochloride, Tablet, 5 mg (NDC 13668-354-01)</v>
      </c>
      <c r="D1296" s="5" t="str">
        <f>IFERROR(__xludf.DUMMYFUNCTION("""COMPUTED_VALUE"""),"New")</f>
        <v>New</v>
      </c>
      <c r="E1296" s="10">
        <f>IFERROR(__xludf.DUMMYFUNCTION("""COMPUTED_VALUE"""),46106.0)</f>
        <v>46106</v>
      </c>
      <c r="F1296" s="5"/>
      <c r="G1296" s="5" t="str">
        <f>IFERROR(__xludf.DUMMYFUNCTION("""COMPUTED_VALUE"""),"Discontinuation of the manufacture of the drug")</f>
        <v>Discontinuation of the manufacture of the drug</v>
      </c>
      <c r="H1296" s="5"/>
      <c r="I1296" s="5"/>
      <c r="J1296" s="5" t="str">
        <f>IFERROR(__xludf.DUMMYFUNCTION("""COMPUTED_VALUE"""),"Cardiovascular")</f>
        <v>Cardiovascular</v>
      </c>
      <c r="K1296" s="5" t="str">
        <f>IFERROR(__xludf.DUMMYFUNCTION("""COMPUTED_VALUE"""),"To Be Discontinued")</f>
        <v>To Be Discontinued</v>
      </c>
      <c r="L1296" s="5"/>
      <c r="M1296" s="10">
        <f>IFERROR(__xludf.DUMMYFUNCTION("""COMPUTED_VALUE"""),46106.0)</f>
        <v>46106</v>
      </c>
      <c r="N1296" s="10">
        <f>IFERROR(__xludf.DUMMYFUNCTION("""COMPUTED_VALUE"""),46106.0)</f>
        <v>46106</v>
      </c>
      <c r="O1296" s="5">
        <v>2026.0</v>
      </c>
      <c r="P1296" s="5" t="str">
        <f>IFERROR(__xludf.DUMMYFUNCTION("""COMPUTED_VALUE"""),"Not stated")</f>
        <v>Not stated</v>
      </c>
      <c r="Q1296" s="5" t="s">
        <v>135</v>
      </c>
      <c r="R1296" s="5" t="s">
        <v>136</v>
      </c>
      <c r="S1296" s="11">
        <v>215.0</v>
      </c>
    </row>
    <row r="1297">
      <c r="A1297" s="5" t="str">
        <f>IFERROR(__xludf.DUMMYFUNCTION("""COMPUTED_VALUE"""),"Nebivolol Hydrochloride Tablet")</f>
        <v>Nebivolol Hydrochloride Tablet</v>
      </c>
      <c r="B1297" s="5" t="str">
        <f>IFERROR(__xludf.DUMMYFUNCTION("""COMPUTED_VALUE"""),"Torrent Pharmaceuticals Limited")</f>
        <v>Torrent Pharmaceuticals Limited</v>
      </c>
      <c r="C1297" s="5" t="str">
        <f>IFERROR(__xludf.DUMMYFUNCTION("""COMPUTED_VALUE"""),"Nebivolol Hydrochloride, Tablet, 5 mg (NDC 13668-354-05)")</f>
        <v>Nebivolol Hydrochloride, Tablet, 5 mg (NDC 13668-354-05)</v>
      </c>
      <c r="D1297" s="5" t="str">
        <f>IFERROR(__xludf.DUMMYFUNCTION("""COMPUTED_VALUE"""),"New")</f>
        <v>New</v>
      </c>
      <c r="E1297" s="10">
        <f>IFERROR(__xludf.DUMMYFUNCTION("""COMPUTED_VALUE"""),46106.0)</f>
        <v>46106</v>
      </c>
      <c r="F1297" s="5"/>
      <c r="G1297" s="5" t="str">
        <f>IFERROR(__xludf.DUMMYFUNCTION("""COMPUTED_VALUE"""),"Discontinuation of the manufacture of the drug")</f>
        <v>Discontinuation of the manufacture of the drug</v>
      </c>
      <c r="H1297" s="5"/>
      <c r="I1297" s="5"/>
      <c r="J1297" s="5" t="str">
        <f>IFERROR(__xludf.DUMMYFUNCTION("""COMPUTED_VALUE"""),"Cardiovascular")</f>
        <v>Cardiovascular</v>
      </c>
      <c r="K1297" s="5" t="str">
        <f>IFERROR(__xludf.DUMMYFUNCTION("""COMPUTED_VALUE"""),"To Be Discontinued")</f>
        <v>To Be Discontinued</v>
      </c>
      <c r="L1297" s="5"/>
      <c r="M1297" s="10">
        <f>IFERROR(__xludf.DUMMYFUNCTION("""COMPUTED_VALUE"""),46106.0)</f>
        <v>46106</v>
      </c>
      <c r="N1297" s="10">
        <f>IFERROR(__xludf.DUMMYFUNCTION("""COMPUTED_VALUE"""),46106.0)</f>
        <v>46106</v>
      </c>
      <c r="O1297" s="5">
        <v>2026.0</v>
      </c>
      <c r="P1297" s="5" t="str">
        <f>IFERROR(__xludf.DUMMYFUNCTION("""COMPUTED_VALUE"""),"Not stated")</f>
        <v>Not stated</v>
      </c>
      <c r="Q1297" s="5" t="s">
        <v>135</v>
      </c>
      <c r="R1297" s="5" t="s">
        <v>136</v>
      </c>
      <c r="S1297" s="11">
        <v>215.0</v>
      </c>
    </row>
    <row r="1298">
      <c r="A1298" s="5" t="str">
        <f>IFERROR(__xludf.DUMMYFUNCTION("""COMPUTED_VALUE"""),"Nebivolol Hydrochloride Tablet")</f>
        <v>Nebivolol Hydrochloride Tablet</v>
      </c>
      <c r="B1298" s="5" t="str">
        <f>IFERROR(__xludf.DUMMYFUNCTION("""COMPUTED_VALUE"""),"Torrent Pharmaceuticals Limited")</f>
        <v>Torrent Pharmaceuticals Limited</v>
      </c>
      <c r="C1298" s="5" t="str">
        <f>IFERROR(__xludf.DUMMYFUNCTION("""COMPUTED_VALUE"""),"Nebivolol Hydrochloride, Tablet, 5 mg (NDC 13668-354-30)")</f>
        <v>Nebivolol Hydrochloride, Tablet, 5 mg (NDC 13668-354-30)</v>
      </c>
      <c r="D1298" s="5" t="str">
        <f>IFERROR(__xludf.DUMMYFUNCTION("""COMPUTED_VALUE"""),"New")</f>
        <v>New</v>
      </c>
      <c r="E1298" s="10">
        <f>IFERROR(__xludf.DUMMYFUNCTION("""COMPUTED_VALUE"""),46106.0)</f>
        <v>46106</v>
      </c>
      <c r="F1298" s="5"/>
      <c r="G1298" s="5" t="str">
        <f>IFERROR(__xludf.DUMMYFUNCTION("""COMPUTED_VALUE"""),"Discontinuation of the manufacture of the drug")</f>
        <v>Discontinuation of the manufacture of the drug</v>
      </c>
      <c r="H1298" s="5"/>
      <c r="I1298" s="5"/>
      <c r="J1298" s="5" t="str">
        <f>IFERROR(__xludf.DUMMYFUNCTION("""COMPUTED_VALUE"""),"Cardiovascular")</f>
        <v>Cardiovascular</v>
      </c>
      <c r="K1298" s="5" t="str">
        <f>IFERROR(__xludf.DUMMYFUNCTION("""COMPUTED_VALUE"""),"To Be Discontinued")</f>
        <v>To Be Discontinued</v>
      </c>
      <c r="L1298" s="5"/>
      <c r="M1298" s="10">
        <f>IFERROR(__xludf.DUMMYFUNCTION("""COMPUTED_VALUE"""),46106.0)</f>
        <v>46106</v>
      </c>
      <c r="N1298" s="10">
        <f>IFERROR(__xludf.DUMMYFUNCTION("""COMPUTED_VALUE"""),46106.0)</f>
        <v>46106</v>
      </c>
      <c r="O1298" s="5">
        <v>2026.0</v>
      </c>
      <c r="P1298" s="5" t="str">
        <f>IFERROR(__xludf.DUMMYFUNCTION("""COMPUTED_VALUE"""),"Not stated")</f>
        <v>Not stated</v>
      </c>
      <c r="Q1298" s="5" t="s">
        <v>135</v>
      </c>
      <c r="R1298" s="5" t="s">
        <v>136</v>
      </c>
      <c r="S1298" s="11">
        <v>215.0</v>
      </c>
    </row>
    <row r="1299">
      <c r="A1299" s="5" t="str">
        <f>IFERROR(__xludf.DUMMYFUNCTION("""COMPUTED_VALUE"""),"Nebivolol Hydrochloride Tablet")</f>
        <v>Nebivolol Hydrochloride Tablet</v>
      </c>
      <c r="B1299" s="5" t="str">
        <f>IFERROR(__xludf.DUMMYFUNCTION("""COMPUTED_VALUE"""),"Torrent Pharmaceuticals Limited")</f>
        <v>Torrent Pharmaceuticals Limited</v>
      </c>
      <c r="C1299" s="5" t="str">
        <f>IFERROR(__xludf.DUMMYFUNCTION("""COMPUTED_VALUE"""),"Nebivolol Hydrochloride, Tablet, 5 mg (NDC 13668-354-90)")</f>
        <v>Nebivolol Hydrochloride, Tablet, 5 mg (NDC 13668-354-90)</v>
      </c>
      <c r="D1299" s="5" t="str">
        <f>IFERROR(__xludf.DUMMYFUNCTION("""COMPUTED_VALUE"""),"New")</f>
        <v>New</v>
      </c>
      <c r="E1299" s="10">
        <f>IFERROR(__xludf.DUMMYFUNCTION("""COMPUTED_VALUE"""),46106.0)</f>
        <v>46106</v>
      </c>
      <c r="F1299" s="5"/>
      <c r="G1299" s="5" t="str">
        <f>IFERROR(__xludf.DUMMYFUNCTION("""COMPUTED_VALUE"""),"Discontinuation of the manufacture of the drug")</f>
        <v>Discontinuation of the manufacture of the drug</v>
      </c>
      <c r="H1299" s="5"/>
      <c r="I1299" s="5"/>
      <c r="J1299" s="5" t="str">
        <f>IFERROR(__xludf.DUMMYFUNCTION("""COMPUTED_VALUE"""),"Cardiovascular")</f>
        <v>Cardiovascular</v>
      </c>
      <c r="K1299" s="5" t="str">
        <f>IFERROR(__xludf.DUMMYFUNCTION("""COMPUTED_VALUE"""),"To Be Discontinued")</f>
        <v>To Be Discontinued</v>
      </c>
      <c r="L1299" s="5"/>
      <c r="M1299" s="10">
        <f>IFERROR(__xludf.DUMMYFUNCTION("""COMPUTED_VALUE"""),46106.0)</f>
        <v>46106</v>
      </c>
      <c r="N1299" s="10">
        <f>IFERROR(__xludf.DUMMYFUNCTION("""COMPUTED_VALUE"""),46106.0)</f>
        <v>46106</v>
      </c>
      <c r="O1299" s="5">
        <v>2026.0</v>
      </c>
      <c r="P1299" s="5" t="str">
        <f>IFERROR(__xludf.DUMMYFUNCTION("""COMPUTED_VALUE"""),"Not stated")</f>
        <v>Not stated</v>
      </c>
      <c r="Q1299" s="5" t="s">
        <v>135</v>
      </c>
      <c r="R1299" s="5" t="s">
        <v>136</v>
      </c>
      <c r="S1299" s="11">
        <v>215.0</v>
      </c>
    </row>
    <row r="1300">
      <c r="A1300" s="5" t="str">
        <f>IFERROR(__xludf.DUMMYFUNCTION("""COMPUTED_VALUE"""),"Nebivolol Hydrochloride Tablet")</f>
        <v>Nebivolol Hydrochloride Tablet</v>
      </c>
      <c r="B1300" s="5" t="str">
        <f>IFERROR(__xludf.DUMMYFUNCTION("""COMPUTED_VALUE"""),"Torrent Pharmaceuticals Limited")</f>
        <v>Torrent Pharmaceuticals Limited</v>
      </c>
      <c r="C1300" s="5" t="str">
        <f>IFERROR(__xludf.DUMMYFUNCTION("""COMPUTED_VALUE"""),"Nebivolol Hydrochloride, Tablet, 10 mg (NDC 13668-355-01)")</f>
        <v>Nebivolol Hydrochloride, Tablet, 10 mg (NDC 13668-355-01)</v>
      </c>
      <c r="D1300" s="5" t="str">
        <f>IFERROR(__xludf.DUMMYFUNCTION("""COMPUTED_VALUE"""),"New")</f>
        <v>New</v>
      </c>
      <c r="E1300" s="10">
        <f>IFERROR(__xludf.DUMMYFUNCTION("""COMPUTED_VALUE"""),46106.0)</f>
        <v>46106</v>
      </c>
      <c r="F1300" s="5"/>
      <c r="G1300" s="5" t="str">
        <f>IFERROR(__xludf.DUMMYFUNCTION("""COMPUTED_VALUE"""),"Discontinuation of the manufacture of the drug")</f>
        <v>Discontinuation of the manufacture of the drug</v>
      </c>
      <c r="H1300" s="5"/>
      <c r="I1300" s="5"/>
      <c r="J1300" s="5" t="str">
        <f>IFERROR(__xludf.DUMMYFUNCTION("""COMPUTED_VALUE"""),"Cardiovascular")</f>
        <v>Cardiovascular</v>
      </c>
      <c r="K1300" s="5" t="str">
        <f>IFERROR(__xludf.DUMMYFUNCTION("""COMPUTED_VALUE"""),"To Be Discontinued")</f>
        <v>To Be Discontinued</v>
      </c>
      <c r="L1300" s="5"/>
      <c r="M1300" s="10">
        <f>IFERROR(__xludf.DUMMYFUNCTION("""COMPUTED_VALUE"""),46106.0)</f>
        <v>46106</v>
      </c>
      <c r="N1300" s="10">
        <f>IFERROR(__xludf.DUMMYFUNCTION("""COMPUTED_VALUE"""),46106.0)</f>
        <v>46106</v>
      </c>
      <c r="O1300" s="5">
        <v>2026.0</v>
      </c>
      <c r="P1300" s="5" t="str">
        <f>IFERROR(__xludf.DUMMYFUNCTION("""COMPUTED_VALUE"""),"Not stated")</f>
        <v>Not stated</v>
      </c>
      <c r="Q1300" s="5" t="s">
        <v>135</v>
      </c>
      <c r="R1300" s="5" t="s">
        <v>136</v>
      </c>
      <c r="S1300" s="11">
        <v>215.0</v>
      </c>
    </row>
    <row r="1301">
      <c r="A1301" s="5" t="str">
        <f>IFERROR(__xludf.DUMMYFUNCTION("""COMPUTED_VALUE"""),"Nebivolol Hydrochloride Tablet")</f>
        <v>Nebivolol Hydrochloride Tablet</v>
      </c>
      <c r="B1301" s="5" t="str">
        <f>IFERROR(__xludf.DUMMYFUNCTION("""COMPUTED_VALUE"""),"Torrent Pharmaceuticals Limited")</f>
        <v>Torrent Pharmaceuticals Limited</v>
      </c>
      <c r="C1301" s="5" t="str">
        <f>IFERROR(__xludf.DUMMYFUNCTION("""COMPUTED_VALUE"""),"Nebivolol Hydrochloride, Tablet, 10 mg (NDC 13668-355-05)")</f>
        <v>Nebivolol Hydrochloride, Tablet, 10 mg (NDC 13668-355-05)</v>
      </c>
      <c r="D1301" s="5" t="str">
        <f>IFERROR(__xludf.DUMMYFUNCTION("""COMPUTED_VALUE"""),"New")</f>
        <v>New</v>
      </c>
      <c r="E1301" s="10">
        <f>IFERROR(__xludf.DUMMYFUNCTION("""COMPUTED_VALUE"""),46106.0)</f>
        <v>46106</v>
      </c>
      <c r="F1301" s="5"/>
      <c r="G1301" s="5" t="str">
        <f>IFERROR(__xludf.DUMMYFUNCTION("""COMPUTED_VALUE"""),"Discontinuation of the manufacture of the drug")</f>
        <v>Discontinuation of the manufacture of the drug</v>
      </c>
      <c r="H1301" s="5"/>
      <c r="I1301" s="5"/>
      <c r="J1301" s="5" t="str">
        <f>IFERROR(__xludf.DUMMYFUNCTION("""COMPUTED_VALUE"""),"Cardiovascular")</f>
        <v>Cardiovascular</v>
      </c>
      <c r="K1301" s="5" t="str">
        <f>IFERROR(__xludf.DUMMYFUNCTION("""COMPUTED_VALUE"""),"To Be Discontinued")</f>
        <v>To Be Discontinued</v>
      </c>
      <c r="L1301" s="5"/>
      <c r="M1301" s="10">
        <f>IFERROR(__xludf.DUMMYFUNCTION("""COMPUTED_VALUE"""),46106.0)</f>
        <v>46106</v>
      </c>
      <c r="N1301" s="10">
        <f>IFERROR(__xludf.DUMMYFUNCTION("""COMPUTED_VALUE"""),46106.0)</f>
        <v>46106</v>
      </c>
      <c r="O1301" s="5">
        <v>2026.0</v>
      </c>
      <c r="P1301" s="5" t="str">
        <f>IFERROR(__xludf.DUMMYFUNCTION("""COMPUTED_VALUE"""),"Not stated")</f>
        <v>Not stated</v>
      </c>
      <c r="Q1301" s="5" t="s">
        <v>135</v>
      </c>
      <c r="R1301" s="5" t="s">
        <v>136</v>
      </c>
      <c r="S1301" s="11">
        <v>215.0</v>
      </c>
    </row>
    <row r="1302">
      <c r="A1302" s="5" t="str">
        <f>IFERROR(__xludf.DUMMYFUNCTION("""COMPUTED_VALUE"""),"Nebivolol Hydrochloride Tablet")</f>
        <v>Nebivolol Hydrochloride Tablet</v>
      </c>
      <c r="B1302" s="5" t="str">
        <f>IFERROR(__xludf.DUMMYFUNCTION("""COMPUTED_VALUE"""),"Torrent Pharmaceuticals Limited")</f>
        <v>Torrent Pharmaceuticals Limited</v>
      </c>
      <c r="C1302" s="5" t="str">
        <f>IFERROR(__xludf.DUMMYFUNCTION("""COMPUTED_VALUE"""),"Nebivolol Hydrochloride, Tablet, 10 mg (NDC 13668-355-30)")</f>
        <v>Nebivolol Hydrochloride, Tablet, 10 mg (NDC 13668-355-30)</v>
      </c>
      <c r="D1302" s="5" t="str">
        <f>IFERROR(__xludf.DUMMYFUNCTION("""COMPUTED_VALUE"""),"New")</f>
        <v>New</v>
      </c>
      <c r="E1302" s="10">
        <f>IFERROR(__xludf.DUMMYFUNCTION("""COMPUTED_VALUE"""),46106.0)</f>
        <v>46106</v>
      </c>
      <c r="F1302" s="5"/>
      <c r="G1302" s="5" t="str">
        <f>IFERROR(__xludf.DUMMYFUNCTION("""COMPUTED_VALUE"""),"Discontinuation of the manufacture of the drug")</f>
        <v>Discontinuation of the manufacture of the drug</v>
      </c>
      <c r="H1302" s="5"/>
      <c r="I1302" s="5"/>
      <c r="J1302" s="5" t="str">
        <f>IFERROR(__xludf.DUMMYFUNCTION("""COMPUTED_VALUE"""),"Cardiovascular")</f>
        <v>Cardiovascular</v>
      </c>
      <c r="K1302" s="5" t="str">
        <f>IFERROR(__xludf.DUMMYFUNCTION("""COMPUTED_VALUE"""),"To Be Discontinued")</f>
        <v>To Be Discontinued</v>
      </c>
      <c r="L1302" s="5"/>
      <c r="M1302" s="10">
        <f>IFERROR(__xludf.DUMMYFUNCTION("""COMPUTED_VALUE"""),46106.0)</f>
        <v>46106</v>
      </c>
      <c r="N1302" s="10">
        <f>IFERROR(__xludf.DUMMYFUNCTION("""COMPUTED_VALUE"""),46106.0)</f>
        <v>46106</v>
      </c>
      <c r="O1302" s="5">
        <v>2026.0</v>
      </c>
      <c r="P1302" s="5" t="str">
        <f>IFERROR(__xludf.DUMMYFUNCTION("""COMPUTED_VALUE"""),"Not stated")</f>
        <v>Not stated</v>
      </c>
      <c r="Q1302" s="5" t="s">
        <v>135</v>
      </c>
      <c r="R1302" s="5" t="s">
        <v>136</v>
      </c>
      <c r="S1302" s="11">
        <v>215.0</v>
      </c>
    </row>
    <row r="1303">
      <c r="A1303" s="5" t="str">
        <f>IFERROR(__xludf.DUMMYFUNCTION("""COMPUTED_VALUE"""),"Nebivolol Hydrochloride Tablet")</f>
        <v>Nebivolol Hydrochloride Tablet</v>
      </c>
      <c r="B1303" s="5" t="str">
        <f>IFERROR(__xludf.DUMMYFUNCTION("""COMPUTED_VALUE"""),"Torrent Pharmaceuticals Limited")</f>
        <v>Torrent Pharmaceuticals Limited</v>
      </c>
      <c r="C1303" s="5" t="str">
        <f>IFERROR(__xludf.DUMMYFUNCTION("""COMPUTED_VALUE"""),"Nebivolol Hydrochloride, Tablet, 10 mg (NDC 13668-355-90)")</f>
        <v>Nebivolol Hydrochloride, Tablet, 10 mg (NDC 13668-355-90)</v>
      </c>
      <c r="D1303" s="5" t="str">
        <f>IFERROR(__xludf.DUMMYFUNCTION("""COMPUTED_VALUE"""),"New")</f>
        <v>New</v>
      </c>
      <c r="E1303" s="10">
        <f>IFERROR(__xludf.DUMMYFUNCTION("""COMPUTED_VALUE"""),46106.0)</f>
        <v>46106</v>
      </c>
      <c r="F1303" s="5"/>
      <c r="G1303" s="5" t="str">
        <f>IFERROR(__xludf.DUMMYFUNCTION("""COMPUTED_VALUE"""),"Discontinuation of the manufacture of the drug")</f>
        <v>Discontinuation of the manufacture of the drug</v>
      </c>
      <c r="H1303" s="5"/>
      <c r="I1303" s="5"/>
      <c r="J1303" s="5" t="str">
        <f>IFERROR(__xludf.DUMMYFUNCTION("""COMPUTED_VALUE"""),"Cardiovascular")</f>
        <v>Cardiovascular</v>
      </c>
      <c r="K1303" s="5" t="str">
        <f>IFERROR(__xludf.DUMMYFUNCTION("""COMPUTED_VALUE"""),"To Be Discontinued")</f>
        <v>To Be Discontinued</v>
      </c>
      <c r="L1303" s="5"/>
      <c r="M1303" s="10">
        <f>IFERROR(__xludf.DUMMYFUNCTION("""COMPUTED_VALUE"""),46106.0)</f>
        <v>46106</v>
      </c>
      <c r="N1303" s="10">
        <f>IFERROR(__xludf.DUMMYFUNCTION("""COMPUTED_VALUE"""),46106.0)</f>
        <v>46106</v>
      </c>
      <c r="O1303" s="5">
        <v>2026.0</v>
      </c>
      <c r="P1303" s="5" t="str">
        <f>IFERROR(__xludf.DUMMYFUNCTION("""COMPUTED_VALUE"""),"Not stated")</f>
        <v>Not stated</v>
      </c>
      <c r="Q1303" s="5" t="s">
        <v>135</v>
      </c>
      <c r="R1303" s="5" t="s">
        <v>136</v>
      </c>
      <c r="S1303" s="11">
        <v>215.0</v>
      </c>
    </row>
    <row r="1304">
      <c r="A1304" s="5" t="str">
        <f>IFERROR(__xludf.DUMMYFUNCTION("""COMPUTED_VALUE"""),"Nebivolol Hydrochloride Tablet")</f>
        <v>Nebivolol Hydrochloride Tablet</v>
      </c>
      <c r="B1304" s="5" t="str">
        <f>IFERROR(__xludf.DUMMYFUNCTION("""COMPUTED_VALUE"""),"Torrent Pharmaceuticals Limited")</f>
        <v>Torrent Pharmaceuticals Limited</v>
      </c>
      <c r="C1304" s="5" t="str">
        <f>IFERROR(__xludf.DUMMYFUNCTION("""COMPUTED_VALUE"""),"Nebivolol Hydrochloride, Tablet, 20 mg (NDC 13668-356-01)")</f>
        <v>Nebivolol Hydrochloride, Tablet, 20 mg (NDC 13668-356-01)</v>
      </c>
      <c r="D1304" s="5" t="str">
        <f>IFERROR(__xludf.DUMMYFUNCTION("""COMPUTED_VALUE"""),"New")</f>
        <v>New</v>
      </c>
      <c r="E1304" s="10">
        <f>IFERROR(__xludf.DUMMYFUNCTION("""COMPUTED_VALUE"""),46106.0)</f>
        <v>46106</v>
      </c>
      <c r="F1304" s="5"/>
      <c r="G1304" s="5" t="str">
        <f>IFERROR(__xludf.DUMMYFUNCTION("""COMPUTED_VALUE"""),"Discontinuation of the manufacture of the drug")</f>
        <v>Discontinuation of the manufacture of the drug</v>
      </c>
      <c r="H1304" s="5"/>
      <c r="I1304" s="5"/>
      <c r="J1304" s="5" t="str">
        <f>IFERROR(__xludf.DUMMYFUNCTION("""COMPUTED_VALUE"""),"Cardiovascular")</f>
        <v>Cardiovascular</v>
      </c>
      <c r="K1304" s="5" t="str">
        <f>IFERROR(__xludf.DUMMYFUNCTION("""COMPUTED_VALUE"""),"To Be Discontinued")</f>
        <v>To Be Discontinued</v>
      </c>
      <c r="L1304" s="5"/>
      <c r="M1304" s="10">
        <f>IFERROR(__xludf.DUMMYFUNCTION("""COMPUTED_VALUE"""),46106.0)</f>
        <v>46106</v>
      </c>
      <c r="N1304" s="10">
        <f>IFERROR(__xludf.DUMMYFUNCTION("""COMPUTED_VALUE"""),46106.0)</f>
        <v>46106</v>
      </c>
      <c r="O1304" s="5">
        <v>2026.0</v>
      </c>
      <c r="P1304" s="5" t="str">
        <f>IFERROR(__xludf.DUMMYFUNCTION("""COMPUTED_VALUE"""),"Not stated")</f>
        <v>Not stated</v>
      </c>
      <c r="Q1304" s="5" t="s">
        <v>135</v>
      </c>
      <c r="R1304" s="5" t="s">
        <v>136</v>
      </c>
      <c r="S1304" s="11">
        <v>215.0</v>
      </c>
    </row>
    <row r="1305">
      <c r="A1305" s="5" t="str">
        <f>IFERROR(__xludf.DUMMYFUNCTION("""COMPUTED_VALUE"""),"Nebivolol Hydrochloride Tablet")</f>
        <v>Nebivolol Hydrochloride Tablet</v>
      </c>
      <c r="B1305" s="5" t="str">
        <f>IFERROR(__xludf.DUMMYFUNCTION("""COMPUTED_VALUE"""),"Torrent Pharmaceuticals Limited")</f>
        <v>Torrent Pharmaceuticals Limited</v>
      </c>
      <c r="C1305" s="5" t="str">
        <f>IFERROR(__xludf.DUMMYFUNCTION("""COMPUTED_VALUE"""),"Nebivolol Hydrochloride, Tablet, 20 mg (NDC 13668-356-05)")</f>
        <v>Nebivolol Hydrochloride, Tablet, 20 mg (NDC 13668-356-05)</v>
      </c>
      <c r="D1305" s="5" t="str">
        <f>IFERROR(__xludf.DUMMYFUNCTION("""COMPUTED_VALUE"""),"New")</f>
        <v>New</v>
      </c>
      <c r="E1305" s="10">
        <f>IFERROR(__xludf.DUMMYFUNCTION("""COMPUTED_VALUE"""),46106.0)</f>
        <v>46106</v>
      </c>
      <c r="F1305" s="5"/>
      <c r="G1305" s="5" t="str">
        <f>IFERROR(__xludf.DUMMYFUNCTION("""COMPUTED_VALUE"""),"Discontinuation of the manufacture of the drug")</f>
        <v>Discontinuation of the manufacture of the drug</v>
      </c>
      <c r="H1305" s="5"/>
      <c r="I1305" s="5"/>
      <c r="J1305" s="5" t="str">
        <f>IFERROR(__xludf.DUMMYFUNCTION("""COMPUTED_VALUE"""),"Cardiovascular")</f>
        <v>Cardiovascular</v>
      </c>
      <c r="K1305" s="5" t="str">
        <f>IFERROR(__xludf.DUMMYFUNCTION("""COMPUTED_VALUE"""),"To Be Discontinued")</f>
        <v>To Be Discontinued</v>
      </c>
      <c r="L1305" s="5"/>
      <c r="M1305" s="10">
        <f>IFERROR(__xludf.DUMMYFUNCTION("""COMPUTED_VALUE"""),46106.0)</f>
        <v>46106</v>
      </c>
      <c r="N1305" s="10">
        <f>IFERROR(__xludf.DUMMYFUNCTION("""COMPUTED_VALUE"""),46106.0)</f>
        <v>46106</v>
      </c>
      <c r="O1305" s="5">
        <v>2026.0</v>
      </c>
      <c r="P1305" s="5" t="str">
        <f>IFERROR(__xludf.DUMMYFUNCTION("""COMPUTED_VALUE"""),"Not stated")</f>
        <v>Not stated</v>
      </c>
      <c r="Q1305" s="5" t="s">
        <v>135</v>
      </c>
      <c r="R1305" s="5" t="s">
        <v>136</v>
      </c>
      <c r="S1305" s="11">
        <v>215.0</v>
      </c>
    </row>
    <row r="1306">
      <c r="A1306" s="5" t="str">
        <f>IFERROR(__xludf.DUMMYFUNCTION("""COMPUTED_VALUE"""),"Nebivolol Hydrochloride Tablet")</f>
        <v>Nebivolol Hydrochloride Tablet</v>
      </c>
      <c r="B1306" s="5" t="str">
        <f>IFERROR(__xludf.DUMMYFUNCTION("""COMPUTED_VALUE"""),"Torrent Pharmaceuticals Limited")</f>
        <v>Torrent Pharmaceuticals Limited</v>
      </c>
      <c r="C1306" s="5" t="str">
        <f>IFERROR(__xludf.DUMMYFUNCTION("""COMPUTED_VALUE"""),"Nebivolol Hydrochloride, Tablet, 20 mg (NDC 13668-356-30)")</f>
        <v>Nebivolol Hydrochloride, Tablet, 20 mg (NDC 13668-356-30)</v>
      </c>
      <c r="D1306" s="5" t="str">
        <f>IFERROR(__xludf.DUMMYFUNCTION("""COMPUTED_VALUE"""),"New")</f>
        <v>New</v>
      </c>
      <c r="E1306" s="10">
        <f>IFERROR(__xludf.DUMMYFUNCTION("""COMPUTED_VALUE"""),46106.0)</f>
        <v>46106</v>
      </c>
      <c r="F1306" s="5"/>
      <c r="G1306" s="5" t="str">
        <f>IFERROR(__xludf.DUMMYFUNCTION("""COMPUTED_VALUE"""),"Discontinuation of the manufacture of the drug")</f>
        <v>Discontinuation of the manufacture of the drug</v>
      </c>
      <c r="H1306" s="5"/>
      <c r="I1306" s="5"/>
      <c r="J1306" s="5" t="str">
        <f>IFERROR(__xludf.DUMMYFUNCTION("""COMPUTED_VALUE"""),"Cardiovascular")</f>
        <v>Cardiovascular</v>
      </c>
      <c r="K1306" s="5" t="str">
        <f>IFERROR(__xludf.DUMMYFUNCTION("""COMPUTED_VALUE"""),"To Be Discontinued")</f>
        <v>To Be Discontinued</v>
      </c>
      <c r="L1306" s="5"/>
      <c r="M1306" s="10">
        <f>IFERROR(__xludf.DUMMYFUNCTION("""COMPUTED_VALUE"""),46106.0)</f>
        <v>46106</v>
      </c>
      <c r="N1306" s="10">
        <f>IFERROR(__xludf.DUMMYFUNCTION("""COMPUTED_VALUE"""),46106.0)</f>
        <v>46106</v>
      </c>
      <c r="O1306" s="5">
        <v>2026.0</v>
      </c>
      <c r="P1306" s="5" t="str">
        <f>IFERROR(__xludf.DUMMYFUNCTION("""COMPUTED_VALUE"""),"Not stated")</f>
        <v>Not stated</v>
      </c>
      <c r="Q1306" s="5" t="s">
        <v>135</v>
      </c>
      <c r="R1306" s="5" t="s">
        <v>136</v>
      </c>
      <c r="S1306" s="11">
        <v>215.0</v>
      </c>
    </row>
    <row r="1307">
      <c r="A1307" s="5" t="str">
        <f>IFERROR(__xludf.DUMMYFUNCTION("""COMPUTED_VALUE"""),"Nebivolol Hydrochloride Tablet")</f>
        <v>Nebivolol Hydrochloride Tablet</v>
      </c>
      <c r="B1307" s="5" t="str">
        <f>IFERROR(__xludf.DUMMYFUNCTION("""COMPUTED_VALUE"""),"Torrent Pharmaceuticals Limited")</f>
        <v>Torrent Pharmaceuticals Limited</v>
      </c>
      <c r="C1307" s="5" t="str">
        <f>IFERROR(__xludf.DUMMYFUNCTION("""COMPUTED_VALUE"""),"Nebivolol Hydrochloride, Tablet, 20 mg (NDC 13668-356-90)")</f>
        <v>Nebivolol Hydrochloride, Tablet, 20 mg (NDC 13668-356-90)</v>
      </c>
      <c r="D1307" s="5" t="str">
        <f>IFERROR(__xludf.DUMMYFUNCTION("""COMPUTED_VALUE"""),"New")</f>
        <v>New</v>
      </c>
      <c r="E1307" s="10">
        <f>IFERROR(__xludf.DUMMYFUNCTION("""COMPUTED_VALUE"""),46106.0)</f>
        <v>46106</v>
      </c>
      <c r="F1307" s="5"/>
      <c r="G1307" s="5" t="str">
        <f>IFERROR(__xludf.DUMMYFUNCTION("""COMPUTED_VALUE"""),"Discontinuation of the manufacture of the drug")</f>
        <v>Discontinuation of the manufacture of the drug</v>
      </c>
      <c r="H1307" s="5"/>
      <c r="I1307" s="5"/>
      <c r="J1307" s="5" t="str">
        <f>IFERROR(__xludf.DUMMYFUNCTION("""COMPUTED_VALUE"""),"Cardiovascular")</f>
        <v>Cardiovascular</v>
      </c>
      <c r="K1307" s="5" t="str">
        <f>IFERROR(__xludf.DUMMYFUNCTION("""COMPUTED_VALUE"""),"To Be Discontinued")</f>
        <v>To Be Discontinued</v>
      </c>
      <c r="L1307" s="5"/>
      <c r="M1307" s="10">
        <f>IFERROR(__xludf.DUMMYFUNCTION("""COMPUTED_VALUE"""),46106.0)</f>
        <v>46106</v>
      </c>
      <c r="N1307" s="10">
        <f>IFERROR(__xludf.DUMMYFUNCTION("""COMPUTED_VALUE"""),46106.0)</f>
        <v>46106</v>
      </c>
      <c r="O1307" s="5">
        <v>2026.0</v>
      </c>
      <c r="P1307" s="5" t="str">
        <f>IFERROR(__xludf.DUMMYFUNCTION("""COMPUTED_VALUE"""),"Not stated")</f>
        <v>Not stated</v>
      </c>
      <c r="Q1307" s="5" t="s">
        <v>135</v>
      </c>
      <c r="R1307" s="5" t="s">
        <v>136</v>
      </c>
      <c r="S1307" s="11">
        <v>215.0</v>
      </c>
    </row>
    <row r="1308">
      <c r="A1308" s="5" t="str">
        <f>IFERROR(__xludf.DUMMYFUNCTION("""COMPUTED_VALUE"""),"Neostigmine Methylsulfate Injection")</f>
        <v>Neostigmine Methylsulfate Injection</v>
      </c>
      <c r="B1308" s="5" t="str">
        <f>IFERROR(__xludf.DUMMYFUNCTION("""COMPUTED_VALUE"""),"Fresenius Kabi USA, LLC")</f>
        <v>Fresenius Kabi USA, LLC</v>
      </c>
      <c r="C1308" s="5" t="str">
        <f>IFERROR(__xludf.DUMMYFUNCTION("""COMPUTED_VALUE"""),"Neostigmine Methylsulfate, Injection, .5 mg/1 mL (NDC 63323-413-10)")</f>
        <v>Neostigmine Methylsulfate, Injection, .5 mg/1 mL (NDC 63323-413-10)</v>
      </c>
      <c r="D1308" s="5" t="str">
        <f>IFERROR(__xludf.DUMMYFUNCTION("""COMPUTED_VALUE"""),"New")</f>
        <v>New</v>
      </c>
      <c r="E1308" s="10">
        <f>IFERROR(__xludf.DUMMYFUNCTION("""COMPUTED_VALUE"""),46034.0)</f>
        <v>46034</v>
      </c>
      <c r="F1308" s="5"/>
      <c r="G1308" s="5" t="str">
        <f>IFERROR(__xludf.DUMMYFUNCTION("""COMPUTED_VALUE"""),"Discontinuation of the manufacture of the drug")</f>
        <v>Discontinuation of the manufacture of the drug</v>
      </c>
      <c r="H1308" s="5"/>
      <c r="I1308" s="5"/>
      <c r="J1308" s="5" t="str">
        <f>IFERROR(__xludf.DUMMYFUNCTION("""COMPUTED_VALUE"""),"Analgesia/Addiction")</f>
        <v>Analgesia/Addiction</v>
      </c>
      <c r="K1308" s="5" t="str">
        <f>IFERROR(__xludf.DUMMYFUNCTION("""COMPUTED_VALUE"""),"To Be Discontinued")</f>
        <v>To Be Discontinued</v>
      </c>
      <c r="L1308" s="5"/>
      <c r="M1308" s="10">
        <f>IFERROR(__xludf.DUMMYFUNCTION("""COMPUTED_VALUE"""),46034.0)</f>
        <v>46034</v>
      </c>
      <c r="N1308" s="10">
        <f>IFERROR(__xludf.DUMMYFUNCTION("""COMPUTED_VALUE"""),46034.0)</f>
        <v>46034</v>
      </c>
      <c r="O1308" s="5">
        <v>2026.0</v>
      </c>
      <c r="P1308" s="5" t="str">
        <f>IFERROR(__xludf.DUMMYFUNCTION("""COMPUTED_VALUE"""),"Not stated")</f>
        <v>Not stated</v>
      </c>
      <c r="Q1308" s="5" t="s">
        <v>135</v>
      </c>
      <c r="R1308" s="5" t="s">
        <v>136</v>
      </c>
      <c r="S1308" s="11">
        <v>287.0</v>
      </c>
    </row>
    <row r="1309">
      <c r="A1309" s="5" t="str">
        <f>IFERROR(__xludf.DUMMYFUNCTION("""COMPUTED_VALUE"""),"Nilutamide Tablet")</f>
        <v>Nilutamide Tablet</v>
      </c>
      <c r="B1309" s="5" t="str">
        <f>IFERROR(__xludf.DUMMYFUNCTION("""COMPUTED_VALUE"""),"Advanz Pharma (US) Corp.")</f>
        <v>Advanz Pharma (US) Corp.</v>
      </c>
      <c r="C1309" s="5" t="str">
        <f>IFERROR(__xludf.DUMMYFUNCTION("""COMPUTED_VALUE"""),"Nilandron, Tablet, 150 mg (NDC 59212-111-14)")</f>
        <v>Nilandron, Tablet, 150 mg (NDC 59212-111-14)</v>
      </c>
      <c r="D1309" s="5" t="str">
        <f>IFERROR(__xludf.DUMMYFUNCTION("""COMPUTED_VALUE"""),"New")</f>
        <v>New</v>
      </c>
      <c r="E1309" s="10">
        <f>IFERROR(__xludf.DUMMYFUNCTION("""COMPUTED_VALUE"""),45992.0)</f>
        <v>45992</v>
      </c>
      <c r="F1309" s="5"/>
      <c r="G1309" s="5" t="str">
        <f>IFERROR(__xludf.DUMMYFUNCTION("""COMPUTED_VALUE"""),"Product to expire in March 2026; Discontinuation of the manufacture of the drug")</f>
        <v>Product to expire in March 2026; Discontinuation of the manufacture of the drug</v>
      </c>
      <c r="H1309" s="5"/>
      <c r="I1309" s="5"/>
      <c r="J1309" s="5" t="str">
        <f>IFERROR(__xludf.DUMMYFUNCTION("""COMPUTED_VALUE"""),"Oncology")</f>
        <v>Oncology</v>
      </c>
      <c r="K1309" s="5" t="str">
        <f>IFERROR(__xludf.DUMMYFUNCTION("""COMPUTED_VALUE"""),"To Be Discontinued")</f>
        <v>To Be Discontinued</v>
      </c>
      <c r="L1309" s="5"/>
      <c r="M1309" s="10">
        <f>IFERROR(__xludf.DUMMYFUNCTION("""COMPUTED_VALUE"""),45992.0)</f>
        <v>45992</v>
      </c>
      <c r="N1309" s="10">
        <f>IFERROR(__xludf.DUMMYFUNCTION("""COMPUTED_VALUE"""),45992.0)</f>
        <v>45992</v>
      </c>
      <c r="O1309" s="5">
        <v>2025.0</v>
      </c>
      <c r="P1309" s="5" t="str">
        <f>IFERROR(__xludf.DUMMYFUNCTION("""COMPUTED_VALUE"""),"Not stated")</f>
        <v>Not stated</v>
      </c>
      <c r="Q1309" s="5" t="s">
        <v>135</v>
      </c>
      <c r="R1309" s="5" t="s">
        <v>136</v>
      </c>
      <c r="S1309" s="11">
        <v>329.0</v>
      </c>
    </row>
    <row r="1310">
      <c r="A1310" s="5" t="str">
        <f>IFERROR(__xludf.DUMMYFUNCTION("""COMPUTED_VALUE"""),"Nilutamide Tablet")</f>
        <v>Nilutamide Tablet</v>
      </c>
      <c r="B1310" s="5" t="str">
        <f>IFERROR(__xludf.DUMMYFUNCTION("""COMPUTED_VALUE"""),"Advanz Pharma (US) Corp.")</f>
        <v>Advanz Pharma (US) Corp.</v>
      </c>
      <c r="C1310" s="5" t="str">
        <f>IFERROR(__xludf.DUMMYFUNCTION("""COMPUTED_VALUE"""),"Nilandron, Tablet, 150 mg (NDC 66993-212-38)")</f>
        <v>Nilandron, Tablet, 150 mg (NDC 66993-212-38)</v>
      </c>
      <c r="D1310" s="5" t="str">
        <f>IFERROR(__xludf.DUMMYFUNCTION("""COMPUTED_VALUE"""),"New")</f>
        <v>New</v>
      </c>
      <c r="E1310" s="10">
        <f>IFERROR(__xludf.DUMMYFUNCTION("""COMPUTED_VALUE"""),45992.0)</f>
        <v>45992</v>
      </c>
      <c r="F1310" s="5"/>
      <c r="G1310" s="5" t="str">
        <f>IFERROR(__xludf.DUMMYFUNCTION("""COMPUTED_VALUE"""),"Product to expire in March 2026; Discontinuation of the manufacture of the drug")</f>
        <v>Product to expire in March 2026; Discontinuation of the manufacture of the drug</v>
      </c>
      <c r="H1310" s="5"/>
      <c r="I1310" s="5"/>
      <c r="J1310" s="5" t="str">
        <f>IFERROR(__xludf.DUMMYFUNCTION("""COMPUTED_VALUE"""),"Oncology")</f>
        <v>Oncology</v>
      </c>
      <c r="K1310" s="5" t="str">
        <f>IFERROR(__xludf.DUMMYFUNCTION("""COMPUTED_VALUE"""),"To Be Discontinued")</f>
        <v>To Be Discontinued</v>
      </c>
      <c r="L1310" s="5"/>
      <c r="M1310" s="10">
        <f>IFERROR(__xludf.DUMMYFUNCTION("""COMPUTED_VALUE"""),45992.0)</f>
        <v>45992</v>
      </c>
      <c r="N1310" s="10">
        <f>IFERROR(__xludf.DUMMYFUNCTION("""COMPUTED_VALUE"""),45992.0)</f>
        <v>45992</v>
      </c>
      <c r="O1310" s="5">
        <v>2025.0</v>
      </c>
      <c r="P1310" s="5" t="str">
        <f>IFERROR(__xludf.DUMMYFUNCTION("""COMPUTED_VALUE"""),"Not stated")</f>
        <v>Not stated</v>
      </c>
      <c r="Q1310" s="5" t="s">
        <v>135</v>
      </c>
      <c r="R1310" s="5" t="s">
        <v>136</v>
      </c>
      <c r="S1310" s="11">
        <v>329.0</v>
      </c>
    </row>
    <row r="1311">
      <c r="A1311" s="5" t="str">
        <f>IFERROR(__xludf.DUMMYFUNCTION("""COMPUTED_VALUE"""),"Nitrofurantoin Oral Suspension")</f>
        <v>Nitrofurantoin Oral Suspension</v>
      </c>
      <c r="B1311" s="5" t="str">
        <f>IFERROR(__xludf.DUMMYFUNCTION("""COMPUTED_VALUE"""),"Amneal Pharmaceuticals")</f>
        <v>Amneal Pharmaceuticals</v>
      </c>
      <c r="C1311" s="5" t="str">
        <f>IFERROR(__xludf.DUMMYFUNCTION("""COMPUTED_VALUE"""),"Nitrofurantoin, Oral Suspension, 25 mg/5 mL (NDC 69238-2512-9)")</f>
        <v>Nitrofurantoin, Oral Suspension, 25 mg/5 mL (NDC 69238-2512-9)</v>
      </c>
      <c r="D1311" s="5" t="str">
        <f>IFERROR(__xludf.DUMMYFUNCTION("""COMPUTED_VALUE"""),"New")</f>
        <v>New</v>
      </c>
      <c r="E1311" s="10">
        <f>IFERROR(__xludf.DUMMYFUNCTION("""COMPUTED_VALUE"""),46122.0)</f>
        <v>46122</v>
      </c>
      <c r="F1311" s="5"/>
      <c r="G1311" s="5" t="str">
        <f>IFERROR(__xludf.DUMMYFUNCTION("""COMPUTED_VALUE"""),"Discontinuation of the manufacture of the drug")</f>
        <v>Discontinuation of the manufacture of the drug</v>
      </c>
      <c r="H1311" s="5"/>
      <c r="I1311" s="5"/>
      <c r="J1311" s="5" t="str">
        <f>IFERROR(__xludf.DUMMYFUNCTION("""COMPUTED_VALUE"""),"Anti-Infective; Other")</f>
        <v>Anti-Infective; Other</v>
      </c>
      <c r="K1311" s="5" t="str">
        <f>IFERROR(__xludf.DUMMYFUNCTION("""COMPUTED_VALUE"""),"To Be Discontinued")</f>
        <v>To Be Discontinued</v>
      </c>
      <c r="L1311" s="5"/>
      <c r="M1311" s="10">
        <f>IFERROR(__xludf.DUMMYFUNCTION("""COMPUTED_VALUE"""),46122.0)</f>
        <v>46122</v>
      </c>
      <c r="N1311" s="10">
        <f>IFERROR(__xludf.DUMMYFUNCTION("""COMPUTED_VALUE"""),46122.0)</f>
        <v>46122</v>
      </c>
      <c r="O1311" s="5">
        <v>2026.0</v>
      </c>
      <c r="P1311" s="5" t="str">
        <f>IFERROR(__xludf.DUMMYFUNCTION("""COMPUTED_VALUE"""),"Not stated")</f>
        <v>Not stated</v>
      </c>
      <c r="Q1311" s="5" t="s">
        <v>135</v>
      </c>
      <c r="R1311" s="5" t="s">
        <v>136</v>
      </c>
      <c r="S1311" s="11">
        <v>199.0</v>
      </c>
    </row>
    <row r="1312">
      <c r="A1312" s="5" t="str">
        <f>IFERROR(__xludf.DUMMYFUNCTION("""COMPUTED_VALUE"""),"Nitroglycerin Ointment")</f>
        <v>Nitroglycerin Ointment</v>
      </c>
      <c r="B1312" s="5" t="str">
        <f>IFERROR(__xludf.DUMMYFUNCTION("""COMPUTED_VALUE"""),"AbbVie Inc.")</f>
        <v>AbbVie Inc.</v>
      </c>
      <c r="C1312" s="5" t="str">
        <f>IFERROR(__xludf.DUMMYFUNCTION("""COMPUTED_VALUE"""),"Rectiv, Ointment, 0.4% (NDC 58914-301-80)")</f>
        <v>Rectiv, Ointment, 0.4% (NDC 58914-301-80)</v>
      </c>
      <c r="D1312" s="5" t="str">
        <f>IFERROR(__xludf.DUMMYFUNCTION("""COMPUTED_VALUE"""),"New")</f>
        <v>New</v>
      </c>
      <c r="E1312" s="10">
        <f>IFERROR(__xludf.DUMMYFUNCTION("""COMPUTED_VALUE"""),46126.0)</f>
        <v>46126</v>
      </c>
      <c r="F1312" s="5"/>
      <c r="G1312" s="5" t="str">
        <f>IFERROR(__xludf.DUMMYFUNCTION("""COMPUTED_VALUE"""),"Discontinuation of the manufacture of the drug")</f>
        <v>Discontinuation of the manufacture of the drug</v>
      </c>
      <c r="H1312" s="5"/>
      <c r="I1312" s="5"/>
      <c r="J1312" s="5" t="str">
        <f>IFERROR(__xludf.DUMMYFUNCTION("""COMPUTED_VALUE"""),"Analgesia/Addiction")</f>
        <v>Analgesia/Addiction</v>
      </c>
      <c r="K1312" s="5" t="str">
        <f>IFERROR(__xludf.DUMMYFUNCTION("""COMPUTED_VALUE"""),"To Be Discontinued")</f>
        <v>To Be Discontinued</v>
      </c>
      <c r="L1312" s="5"/>
      <c r="M1312" s="10">
        <f>IFERROR(__xludf.DUMMYFUNCTION("""COMPUTED_VALUE"""),46126.0)</f>
        <v>46126</v>
      </c>
      <c r="N1312" s="10">
        <f>IFERROR(__xludf.DUMMYFUNCTION("""COMPUTED_VALUE"""),46126.0)</f>
        <v>46126</v>
      </c>
      <c r="O1312" s="5">
        <v>2026.0</v>
      </c>
      <c r="P1312" s="5" t="str">
        <f>IFERROR(__xludf.DUMMYFUNCTION("""COMPUTED_VALUE"""),"Not stated")</f>
        <v>Not stated</v>
      </c>
      <c r="Q1312" s="5" t="s">
        <v>135</v>
      </c>
      <c r="R1312" s="5" t="s">
        <v>136</v>
      </c>
      <c r="S1312" s="11">
        <v>195.0</v>
      </c>
    </row>
    <row r="1313">
      <c r="A1313" s="5" t="str">
        <f>IFERROR(__xludf.DUMMYFUNCTION("""COMPUTED_VALUE"""),"Oxaliplatin Injection")</f>
        <v>Oxaliplatin Injection</v>
      </c>
      <c r="B1313" s="5" t="str">
        <f>IFERROR(__xludf.DUMMYFUNCTION("""COMPUTED_VALUE"""),"Fresenius Kabi USA, LLC")</f>
        <v>Fresenius Kabi USA, LLC</v>
      </c>
      <c r="C1313" s="5" t="str">
        <f>IFERROR(__xludf.DUMMYFUNCTION("""COMPUTED_VALUE"""),"Oxaliplatin, Injection, 5 mg/mL (NDC 63323-750-10)")</f>
        <v>Oxaliplatin, Injection, 5 mg/mL (NDC 63323-750-10)</v>
      </c>
      <c r="D1313" s="5" t="str">
        <f>IFERROR(__xludf.DUMMYFUNCTION("""COMPUTED_VALUE"""),"New")</f>
        <v>New</v>
      </c>
      <c r="E1313" s="10">
        <f>IFERROR(__xludf.DUMMYFUNCTION("""COMPUTED_VALUE"""),46078.0)</f>
        <v>46078</v>
      </c>
      <c r="F1313" s="5"/>
      <c r="G1313" s="5" t="str">
        <f>IFERROR(__xludf.DUMMYFUNCTION("""COMPUTED_VALUE"""),"A business decision was made to discontinue manufacture of the drug.")</f>
        <v>A business decision was made to discontinue manufacture of the drug.</v>
      </c>
      <c r="H1313" s="5"/>
      <c r="I1313" s="5"/>
      <c r="J1313" s="5" t="str">
        <f>IFERROR(__xludf.DUMMYFUNCTION("""COMPUTED_VALUE"""),"Oncology")</f>
        <v>Oncology</v>
      </c>
      <c r="K1313" s="5" t="str">
        <f>IFERROR(__xludf.DUMMYFUNCTION("""COMPUTED_VALUE"""),"To Be Discontinued")</f>
        <v>To Be Discontinued</v>
      </c>
      <c r="L1313" s="5"/>
      <c r="M1313" s="10">
        <f>IFERROR(__xludf.DUMMYFUNCTION("""COMPUTED_VALUE"""),46078.0)</f>
        <v>46078</v>
      </c>
      <c r="N1313" s="10">
        <f>IFERROR(__xludf.DUMMYFUNCTION("""COMPUTED_VALUE"""),46078.0)</f>
        <v>46078</v>
      </c>
      <c r="O1313" s="5">
        <v>2026.0</v>
      </c>
      <c r="P1313" s="5" t="str">
        <f>IFERROR(__xludf.DUMMYFUNCTION("""COMPUTED_VALUE"""),"Not stated")</f>
        <v>Not stated</v>
      </c>
      <c r="Q1313" s="5" t="s">
        <v>135</v>
      </c>
      <c r="R1313" s="5" t="s">
        <v>136</v>
      </c>
      <c r="S1313" s="11">
        <v>243.0</v>
      </c>
    </row>
    <row r="1314">
      <c r="A1314" s="5" t="str">
        <f>IFERROR(__xludf.DUMMYFUNCTION("""COMPUTED_VALUE"""),"Oxaliplatin Injection")</f>
        <v>Oxaliplatin Injection</v>
      </c>
      <c r="B1314" s="5" t="str">
        <f>IFERROR(__xludf.DUMMYFUNCTION("""COMPUTED_VALUE"""),"Fresenius Kabi USA, LLC")</f>
        <v>Fresenius Kabi USA, LLC</v>
      </c>
      <c r="C1314" s="5" t="str">
        <f>IFERROR(__xludf.DUMMYFUNCTION("""COMPUTED_VALUE"""),"Oxaliplatin, Injection, 5 mg/mL (NDC 63323-750-20)")</f>
        <v>Oxaliplatin, Injection, 5 mg/mL (NDC 63323-750-20)</v>
      </c>
      <c r="D1314" s="5" t="str">
        <f>IFERROR(__xludf.DUMMYFUNCTION("""COMPUTED_VALUE"""),"New")</f>
        <v>New</v>
      </c>
      <c r="E1314" s="10">
        <f>IFERROR(__xludf.DUMMYFUNCTION("""COMPUTED_VALUE"""),46078.0)</f>
        <v>46078</v>
      </c>
      <c r="F1314" s="5"/>
      <c r="G1314" s="5" t="str">
        <f>IFERROR(__xludf.DUMMYFUNCTION("""COMPUTED_VALUE"""),"A business decision was made to discontinue manufacture of the drug.")</f>
        <v>A business decision was made to discontinue manufacture of the drug.</v>
      </c>
      <c r="H1314" s="5"/>
      <c r="I1314" s="5"/>
      <c r="J1314" s="5" t="str">
        <f>IFERROR(__xludf.DUMMYFUNCTION("""COMPUTED_VALUE"""),"Oncology")</f>
        <v>Oncology</v>
      </c>
      <c r="K1314" s="5" t="str">
        <f>IFERROR(__xludf.DUMMYFUNCTION("""COMPUTED_VALUE"""),"To Be Discontinued")</f>
        <v>To Be Discontinued</v>
      </c>
      <c r="L1314" s="5"/>
      <c r="M1314" s="10">
        <f>IFERROR(__xludf.DUMMYFUNCTION("""COMPUTED_VALUE"""),46078.0)</f>
        <v>46078</v>
      </c>
      <c r="N1314" s="10">
        <f>IFERROR(__xludf.DUMMYFUNCTION("""COMPUTED_VALUE"""),46078.0)</f>
        <v>46078</v>
      </c>
      <c r="O1314" s="5">
        <v>2026.0</v>
      </c>
      <c r="P1314" s="5" t="str">
        <f>IFERROR(__xludf.DUMMYFUNCTION("""COMPUTED_VALUE"""),"Not stated")</f>
        <v>Not stated</v>
      </c>
      <c r="Q1314" s="5" t="s">
        <v>135</v>
      </c>
      <c r="R1314" s="5" t="s">
        <v>136</v>
      </c>
      <c r="S1314" s="11">
        <v>243.0</v>
      </c>
    </row>
    <row r="1315">
      <c r="A1315" s="5" t="str">
        <f>IFERROR(__xludf.DUMMYFUNCTION("""COMPUTED_VALUE"""),"Oxaliplatin Injection")</f>
        <v>Oxaliplatin Injection</v>
      </c>
      <c r="B1315" s="5" t="str">
        <f>IFERROR(__xludf.DUMMYFUNCTION("""COMPUTED_VALUE"""),"Jiangsu Hengrui Pharmaceuticals Co., Ltd.")</f>
        <v>Jiangsu Hengrui Pharmaceuticals Co., Ltd.</v>
      </c>
      <c r="C1315" s="5" t="str">
        <f>IFERROR(__xludf.DUMMYFUNCTION("""COMPUTED_VALUE"""),"Oxaliplatin, Injection, 5 mg/1 mL (NDC 25021-233-10)")</f>
        <v>Oxaliplatin, Injection, 5 mg/1 mL (NDC 25021-233-10)</v>
      </c>
      <c r="D1315" s="5" t="str">
        <f>IFERROR(__xludf.DUMMYFUNCTION("""COMPUTED_VALUE"""),"New")</f>
        <v>New</v>
      </c>
      <c r="E1315" s="10">
        <f>IFERROR(__xludf.DUMMYFUNCTION("""COMPUTED_VALUE"""),46202.0)</f>
        <v>46202</v>
      </c>
      <c r="F1315" s="5"/>
      <c r="G1315" s="5" t="str">
        <f>IFERROR(__xludf.DUMMYFUNCTION("""COMPUTED_VALUE"""),"Marketed by Sagent Pharmaceuticals; Discontinuation of the manufacture of the drug")</f>
        <v>Marketed by Sagent Pharmaceuticals; Discontinuation of the manufacture of the drug</v>
      </c>
      <c r="H1315" s="5"/>
      <c r="I1315" s="5"/>
      <c r="J1315" s="5" t="str">
        <f>IFERROR(__xludf.DUMMYFUNCTION("""COMPUTED_VALUE"""),"Oncology")</f>
        <v>Oncology</v>
      </c>
      <c r="K1315" s="5" t="str">
        <f>IFERROR(__xludf.DUMMYFUNCTION("""COMPUTED_VALUE"""),"To Be Discontinued")</f>
        <v>To Be Discontinued</v>
      </c>
      <c r="L1315" s="5"/>
      <c r="M1315" s="10">
        <f>IFERROR(__xludf.DUMMYFUNCTION("""COMPUTED_VALUE"""),46202.0)</f>
        <v>46202</v>
      </c>
      <c r="N1315" s="10">
        <f>IFERROR(__xludf.DUMMYFUNCTION("""COMPUTED_VALUE"""),46202.0)</f>
        <v>46202</v>
      </c>
      <c r="O1315" s="5">
        <v>2026.0</v>
      </c>
      <c r="P1315" s="5" t="str">
        <f>IFERROR(__xludf.DUMMYFUNCTION("""COMPUTED_VALUE"""),"Not stated")</f>
        <v>Not stated</v>
      </c>
      <c r="Q1315" s="5" t="s">
        <v>135</v>
      </c>
      <c r="R1315" s="5" t="s">
        <v>136</v>
      </c>
      <c r="S1315" s="11">
        <v>119.0</v>
      </c>
    </row>
    <row r="1316">
      <c r="A1316" s="5" t="str">
        <f>IFERROR(__xludf.DUMMYFUNCTION("""COMPUTED_VALUE"""),"Oxaliplatin Injection")</f>
        <v>Oxaliplatin Injection</v>
      </c>
      <c r="B1316" s="5" t="str">
        <f>IFERROR(__xludf.DUMMYFUNCTION("""COMPUTED_VALUE"""),"Jiangsu Hengrui Pharmaceuticals Co., Ltd.")</f>
        <v>Jiangsu Hengrui Pharmaceuticals Co., Ltd.</v>
      </c>
      <c r="C1316" s="5" t="str">
        <f>IFERROR(__xludf.DUMMYFUNCTION("""COMPUTED_VALUE"""),"Oxaliplatin, Injection, 5 mg/1 mL (NDC 25021-233-20)")</f>
        <v>Oxaliplatin, Injection, 5 mg/1 mL (NDC 25021-233-20)</v>
      </c>
      <c r="D1316" s="5" t="str">
        <f>IFERROR(__xludf.DUMMYFUNCTION("""COMPUTED_VALUE"""),"New")</f>
        <v>New</v>
      </c>
      <c r="E1316" s="10">
        <f>IFERROR(__xludf.DUMMYFUNCTION("""COMPUTED_VALUE"""),46202.0)</f>
        <v>46202</v>
      </c>
      <c r="F1316" s="5"/>
      <c r="G1316" s="5" t="str">
        <f>IFERROR(__xludf.DUMMYFUNCTION("""COMPUTED_VALUE"""),"Marketed by Sagent Pharmaceuticals; Discontinuation of the manufacture of the drug")</f>
        <v>Marketed by Sagent Pharmaceuticals; Discontinuation of the manufacture of the drug</v>
      </c>
      <c r="H1316" s="5"/>
      <c r="I1316" s="5"/>
      <c r="J1316" s="5" t="str">
        <f>IFERROR(__xludf.DUMMYFUNCTION("""COMPUTED_VALUE"""),"Oncology")</f>
        <v>Oncology</v>
      </c>
      <c r="K1316" s="5" t="str">
        <f>IFERROR(__xludf.DUMMYFUNCTION("""COMPUTED_VALUE"""),"To Be Discontinued")</f>
        <v>To Be Discontinued</v>
      </c>
      <c r="L1316" s="5"/>
      <c r="M1316" s="10">
        <f>IFERROR(__xludf.DUMMYFUNCTION("""COMPUTED_VALUE"""),46202.0)</f>
        <v>46202</v>
      </c>
      <c r="N1316" s="10">
        <f>IFERROR(__xludf.DUMMYFUNCTION("""COMPUTED_VALUE"""),46202.0)</f>
        <v>46202</v>
      </c>
      <c r="O1316" s="5">
        <v>2026.0</v>
      </c>
      <c r="P1316" s="5" t="str">
        <f>IFERROR(__xludf.DUMMYFUNCTION("""COMPUTED_VALUE"""),"Not stated")</f>
        <v>Not stated</v>
      </c>
      <c r="Q1316" s="5" t="s">
        <v>135</v>
      </c>
      <c r="R1316" s="5" t="s">
        <v>136</v>
      </c>
      <c r="S1316" s="11">
        <v>119.0</v>
      </c>
    </row>
    <row r="1317">
      <c r="A1317" s="5" t="str">
        <f>IFERROR(__xludf.DUMMYFUNCTION("""COMPUTED_VALUE"""),"Palbociclib Capsule")</f>
        <v>Palbociclib Capsule</v>
      </c>
      <c r="B1317" s="5" t="str">
        <f>IFERROR(__xludf.DUMMYFUNCTION("""COMPUTED_VALUE"""),"Pfizer Inc.")</f>
        <v>Pfizer Inc.</v>
      </c>
      <c r="C1317" s="5" t="str">
        <f>IFERROR(__xludf.DUMMYFUNCTION("""COMPUTED_VALUE"""),"Ibrance, Capsule, 75 mg (NDC 0069-0187-21)")</f>
        <v>Ibrance, Capsule, 75 mg (NDC 0069-0187-21)</v>
      </c>
      <c r="D1317" s="5" t="str">
        <f>IFERROR(__xludf.DUMMYFUNCTION("""COMPUTED_VALUE"""),"New")</f>
        <v>New</v>
      </c>
      <c r="E1317" s="10">
        <f>IFERROR(__xludf.DUMMYFUNCTION("""COMPUTED_VALUE"""),46134.0)</f>
        <v>46134</v>
      </c>
      <c r="F1317" s="5"/>
      <c r="G1317" s="5" t="str">
        <f>IFERROR(__xludf.DUMMYFUNCTION("""COMPUTED_VALUE"""),"Discontinuation of the manufacturing of the capsule presentation. 75 mg Tablet 
NDC 0069-0284-03 will continue to be manufactured.")</f>
        <v>Discontinuation of the manufacturing of the capsule presentation. 75 mg Tablet 
NDC 0069-0284-03 will continue to be manufactured.</v>
      </c>
      <c r="H1317" s="5"/>
      <c r="I1317" s="5"/>
      <c r="J1317" s="5" t="str">
        <f>IFERROR(__xludf.DUMMYFUNCTION("""COMPUTED_VALUE"""),"Oncology")</f>
        <v>Oncology</v>
      </c>
      <c r="K1317" s="5" t="str">
        <f>IFERROR(__xludf.DUMMYFUNCTION("""COMPUTED_VALUE"""),"To Be Discontinued")</f>
        <v>To Be Discontinued</v>
      </c>
      <c r="L1317" s="5"/>
      <c r="M1317" s="10">
        <f>IFERROR(__xludf.DUMMYFUNCTION("""COMPUTED_VALUE"""),46134.0)</f>
        <v>46134</v>
      </c>
      <c r="N1317" s="10">
        <f>IFERROR(__xludf.DUMMYFUNCTION("""COMPUTED_VALUE"""),46134.0)</f>
        <v>46134</v>
      </c>
      <c r="O1317" s="5">
        <v>2026.0</v>
      </c>
      <c r="P1317" s="5" t="str">
        <f>IFERROR(__xludf.DUMMYFUNCTION("""COMPUTED_VALUE"""),"Not stated")</f>
        <v>Not stated</v>
      </c>
      <c r="Q1317" s="5" t="s">
        <v>135</v>
      </c>
      <c r="R1317" s="5" t="s">
        <v>136</v>
      </c>
      <c r="S1317" s="11">
        <v>187.0</v>
      </c>
    </row>
    <row r="1318">
      <c r="A1318" s="5" t="str">
        <f>IFERROR(__xludf.DUMMYFUNCTION("""COMPUTED_VALUE"""),"Palbociclib Capsule")</f>
        <v>Palbociclib Capsule</v>
      </c>
      <c r="B1318" s="5" t="str">
        <f>IFERROR(__xludf.DUMMYFUNCTION("""COMPUTED_VALUE"""),"Pfizer Inc.")</f>
        <v>Pfizer Inc.</v>
      </c>
      <c r="C1318" s="5" t="str">
        <f>IFERROR(__xludf.DUMMYFUNCTION("""COMPUTED_VALUE"""),"Ibrance, Capsule, 100 mg (NDC 0069-0188-21)")</f>
        <v>Ibrance, Capsule, 100 mg (NDC 0069-0188-21)</v>
      </c>
      <c r="D1318" s="5" t="str">
        <f>IFERROR(__xludf.DUMMYFUNCTION("""COMPUTED_VALUE"""),"New")</f>
        <v>New</v>
      </c>
      <c r="E1318" s="10">
        <f>IFERROR(__xludf.DUMMYFUNCTION("""COMPUTED_VALUE"""),46134.0)</f>
        <v>46134</v>
      </c>
      <c r="F1318" s="5"/>
      <c r="G1318" s="5" t="str">
        <f>IFERROR(__xludf.DUMMYFUNCTION("""COMPUTED_VALUE"""),"Discontinuation of the manufacturing of the capsule presentation. 100 mg Tablet NDC 0069-0486-03 will continue to be manufactured.")</f>
        <v>Discontinuation of the manufacturing of the capsule presentation. 100 mg Tablet NDC 0069-0486-03 will continue to be manufactured.</v>
      </c>
      <c r="H1318" s="5"/>
      <c r="I1318" s="5"/>
      <c r="J1318" s="5" t="str">
        <f>IFERROR(__xludf.DUMMYFUNCTION("""COMPUTED_VALUE"""),"Oncology")</f>
        <v>Oncology</v>
      </c>
      <c r="K1318" s="5" t="str">
        <f>IFERROR(__xludf.DUMMYFUNCTION("""COMPUTED_VALUE"""),"To Be Discontinued")</f>
        <v>To Be Discontinued</v>
      </c>
      <c r="L1318" s="5"/>
      <c r="M1318" s="10">
        <f>IFERROR(__xludf.DUMMYFUNCTION("""COMPUTED_VALUE"""),46134.0)</f>
        <v>46134</v>
      </c>
      <c r="N1318" s="10">
        <f>IFERROR(__xludf.DUMMYFUNCTION("""COMPUTED_VALUE"""),46134.0)</f>
        <v>46134</v>
      </c>
      <c r="O1318" s="5">
        <v>2026.0</v>
      </c>
      <c r="P1318" s="5" t="str">
        <f>IFERROR(__xludf.DUMMYFUNCTION("""COMPUTED_VALUE"""),"Not stated")</f>
        <v>Not stated</v>
      </c>
      <c r="Q1318" s="5" t="s">
        <v>135</v>
      </c>
      <c r="R1318" s="5" t="s">
        <v>136</v>
      </c>
      <c r="S1318" s="11">
        <v>187.0</v>
      </c>
    </row>
    <row r="1319">
      <c r="A1319" s="5" t="str">
        <f>IFERROR(__xludf.DUMMYFUNCTION("""COMPUTED_VALUE"""),"Palonosetron Hydrochloride Injection")</f>
        <v>Palonosetron Hydrochloride Injection</v>
      </c>
      <c r="B1319" s="5" t="str">
        <f>IFERROR(__xludf.DUMMYFUNCTION("""COMPUTED_VALUE"""),"Teva Pharmaceuticals USA, Inc.")</f>
        <v>Teva Pharmaceuticals USA, Inc.</v>
      </c>
      <c r="C1319" s="5" t="str">
        <f>IFERROR(__xludf.DUMMYFUNCTION("""COMPUTED_VALUE"""),"Palonosetron Hydrochloride, Injection, .25 mg/5 mL (NDC 0703-4094-01)")</f>
        <v>Palonosetron Hydrochloride, Injection, .25 mg/5 mL (NDC 0703-4094-01)</v>
      </c>
      <c r="D1319" s="5" t="str">
        <f>IFERROR(__xludf.DUMMYFUNCTION("""COMPUTED_VALUE"""),"New")</f>
        <v>New</v>
      </c>
      <c r="E1319" s="13">
        <f>IFERROR(__xludf.DUMMYFUNCTION("""COMPUTED_VALUE"""),45975.0)</f>
        <v>45975</v>
      </c>
      <c r="F1319" s="5"/>
      <c r="G1319" s="5" t="str">
        <f>IFERROR(__xludf.DUMMYFUNCTION("""COMPUTED_VALUE"""),"Discontinuation of the manufacture of the drug")</f>
        <v>Discontinuation of the manufacture of the drug</v>
      </c>
      <c r="H1319" s="5"/>
      <c r="I1319" s="5"/>
      <c r="J1319" s="5" t="str">
        <f>IFERROR(__xludf.DUMMYFUNCTION("""COMPUTED_VALUE"""),"Gastroenterology")</f>
        <v>Gastroenterology</v>
      </c>
      <c r="K1319" s="5" t="str">
        <f>IFERROR(__xludf.DUMMYFUNCTION("""COMPUTED_VALUE"""),"To Be Discontinued")</f>
        <v>To Be Discontinued</v>
      </c>
      <c r="L1319" s="5"/>
      <c r="M1319" s="13">
        <f>IFERROR(__xludf.DUMMYFUNCTION("""COMPUTED_VALUE"""),45975.0)</f>
        <v>45975</v>
      </c>
      <c r="N1319" s="13">
        <f>IFERROR(__xludf.DUMMYFUNCTION("""COMPUTED_VALUE"""),45975.0)</f>
        <v>45975</v>
      </c>
      <c r="O1319" s="5">
        <v>2025.0</v>
      </c>
      <c r="P1319" s="5" t="str">
        <f>IFERROR(__xludf.DUMMYFUNCTION("""COMPUTED_VALUE"""),"Not stated")</f>
        <v>Not stated</v>
      </c>
      <c r="Q1319" s="5" t="s">
        <v>135</v>
      </c>
      <c r="R1319" s="5" t="s">
        <v>136</v>
      </c>
      <c r="S1319" s="11">
        <v>346.0</v>
      </c>
    </row>
    <row r="1320">
      <c r="A1320" s="5" t="str">
        <f>IFERROR(__xludf.DUMMYFUNCTION("""COMPUTED_VALUE"""),"Palovarotene Capsule")</f>
        <v>Palovarotene Capsule</v>
      </c>
      <c r="B1320" s="5" t="str">
        <f>IFERROR(__xludf.DUMMYFUNCTION("""COMPUTED_VALUE"""),"Ipsen Biopharmaceuticals, Inc.")</f>
        <v>Ipsen Biopharmaceuticals, Inc.</v>
      </c>
      <c r="C1320" s="5" t="str">
        <f>IFERROR(__xludf.DUMMYFUNCTION("""COMPUTED_VALUE"""),"SOHONOS, Capsule, 2.5 mg (NDC 15054-0025-1)")</f>
        <v>SOHONOS, Capsule, 2.5 mg (NDC 15054-0025-1)</v>
      </c>
      <c r="D1320" s="5" t="str">
        <f>IFERROR(__xludf.DUMMYFUNCTION("""COMPUTED_VALUE"""),"New")</f>
        <v>New</v>
      </c>
      <c r="E1320" s="10">
        <f>IFERROR(__xludf.DUMMYFUNCTION("""COMPUTED_VALUE"""),46265.0)</f>
        <v>46265</v>
      </c>
      <c r="F1320" s="5"/>
      <c r="G1320" s="5" t="str">
        <f>IFERROR(__xludf.DUMMYFUNCTION("""COMPUTED_VALUE"""),"Discontinuation of the manufacture of the drug")</f>
        <v>Discontinuation of the manufacture of the drug</v>
      </c>
      <c r="H1320" s="5"/>
      <c r="I1320" s="5"/>
      <c r="J1320" s="5" t="str">
        <f>IFERROR(__xludf.DUMMYFUNCTION("""COMPUTED_VALUE"""),"Musculoskeletal")</f>
        <v>Musculoskeletal</v>
      </c>
      <c r="K1320" s="5" t="str">
        <f>IFERROR(__xludf.DUMMYFUNCTION("""COMPUTED_VALUE"""),"To Be Discontinued")</f>
        <v>To Be Discontinued</v>
      </c>
      <c r="L1320" s="5"/>
      <c r="M1320" s="10">
        <f>IFERROR(__xludf.DUMMYFUNCTION("""COMPUTED_VALUE"""),46265.0)</f>
        <v>46265</v>
      </c>
      <c r="N1320" s="10">
        <f>IFERROR(__xludf.DUMMYFUNCTION("""COMPUTED_VALUE"""),46265.0)</f>
        <v>46265</v>
      </c>
      <c r="O1320" s="5">
        <v>2026.0</v>
      </c>
      <c r="P1320" s="5" t="str">
        <f>IFERROR(__xludf.DUMMYFUNCTION("""COMPUTED_VALUE"""),"Not stated")</f>
        <v>Not stated</v>
      </c>
      <c r="Q1320" s="5" t="s">
        <v>135</v>
      </c>
      <c r="R1320" s="5" t="s">
        <v>136</v>
      </c>
      <c r="S1320" s="11">
        <v>56.0</v>
      </c>
    </row>
    <row r="1321">
      <c r="A1321" s="5" t="str">
        <f>IFERROR(__xludf.DUMMYFUNCTION("""COMPUTED_VALUE"""),"Peginterferon alfa-2a Injection")</f>
        <v>Peginterferon alfa-2a Injection</v>
      </c>
      <c r="B1321" s="5" t="str">
        <f>IFERROR(__xludf.DUMMYFUNCTION("""COMPUTED_VALUE"""),"pharmaand GmbH (pharma&amp;)")</f>
        <v>pharmaand GmbH (pharma&amp;)</v>
      </c>
      <c r="C1321" s="5" t="str">
        <f>IFERROR(__xludf.DUMMYFUNCTION("""COMPUTED_VALUE"""),"Pegasys, Injection, 180 ug/1 mL (NDC 82154-0449-1)")</f>
        <v>Pegasys, Injection, 180 ug/1 mL (NDC 82154-0449-1)</v>
      </c>
      <c r="D1321" s="5" t="str">
        <f>IFERROR(__xludf.DUMMYFUNCTION("""COMPUTED_VALUE"""),"Revised")</f>
        <v>Revised</v>
      </c>
      <c r="E1321" s="10">
        <f>IFERROR(__xludf.DUMMYFUNCTION("""COMPUTED_VALUE"""),46261.0)</f>
        <v>46261</v>
      </c>
      <c r="F1321" s="5"/>
      <c r="G1321" s="5"/>
      <c r="H1321" s="5" t="str">
        <f>IFERROR(__xludf.DUMMYFUNCTION("""COMPUTED_VALUE"""),"(NDC 82154-0451-4) – Available")</f>
        <v>(NDC 82154-0451-4) – Available</v>
      </c>
      <c r="I1321" s="5"/>
      <c r="J1321" s="5" t="str">
        <f>IFERROR(__xludf.DUMMYFUNCTION("""COMPUTED_VALUE"""),"Antiviral")</f>
        <v>Antiviral</v>
      </c>
      <c r="K1321" s="5" t="str">
        <f>IFERROR(__xludf.DUMMYFUNCTION("""COMPUTED_VALUE"""),"Resolved")</f>
        <v>Resolved</v>
      </c>
      <c r="L1321" s="10">
        <f>IFERROR(__xludf.DUMMYFUNCTION("""COMPUTED_VALUE"""),46261.0)</f>
        <v>46261</v>
      </c>
      <c r="M1321" s="5"/>
      <c r="N1321" s="10">
        <f>IFERROR(__xludf.DUMMYFUNCTION("""COMPUTED_VALUE"""),45681.0)</f>
        <v>45681</v>
      </c>
      <c r="O1321" s="5">
        <v>2025.0</v>
      </c>
      <c r="P1321" s="5" t="str">
        <f>IFERROR(__xludf.DUMMYFUNCTION("""COMPUTED_VALUE"""),"Not stated")</f>
        <v>Not stated</v>
      </c>
      <c r="Q1321" s="5" t="s">
        <v>135</v>
      </c>
      <c r="R1321" s="5" t="s">
        <v>136</v>
      </c>
      <c r="S1321" s="11">
        <v>640.0</v>
      </c>
    </row>
    <row r="1322">
      <c r="A1322" s="5" t="str">
        <f>IFERROR(__xludf.DUMMYFUNCTION("""COMPUTED_VALUE"""),"Peginterferon alfa-2a Injection")</f>
        <v>Peginterferon alfa-2a Injection</v>
      </c>
      <c r="B1322" s="5" t="str">
        <f>IFERROR(__xludf.DUMMYFUNCTION("""COMPUTED_VALUE"""),"pharmaand GmbH (pharma&amp;)")</f>
        <v>pharmaand GmbH (pharma&amp;)</v>
      </c>
      <c r="C1322" s="5" t="str">
        <f>IFERROR(__xludf.DUMMYFUNCTION("""COMPUTED_VALUE"""),"Pegasys, Injection, 180 ug/.5 mL (NDC 82154-0451-4)")</f>
        <v>Pegasys, Injection, 180 ug/.5 mL (NDC 82154-0451-4)</v>
      </c>
      <c r="D1322" s="5" t="str">
        <f>IFERROR(__xludf.DUMMYFUNCTION("""COMPUTED_VALUE"""),"Revised")</f>
        <v>Revised</v>
      </c>
      <c r="E1322" s="10">
        <f>IFERROR(__xludf.DUMMYFUNCTION("""COMPUTED_VALUE"""),46261.0)</f>
        <v>46261</v>
      </c>
      <c r="F1322" s="5"/>
      <c r="G1322" s="5"/>
      <c r="H1322" s="5" t="str">
        <f>IFERROR(__xludf.DUMMYFUNCTION("""COMPUTED_VALUE"""),"(NDC 82154-0451-4) – Available")</f>
        <v>(NDC 82154-0451-4) – Available</v>
      </c>
      <c r="I1322" s="5"/>
      <c r="J1322" s="5" t="str">
        <f>IFERROR(__xludf.DUMMYFUNCTION("""COMPUTED_VALUE"""),"Antiviral")</f>
        <v>Antiviral</v>
      </c>
      <c r="K1322" s="5" t="str">
        <f>IFERROR(__xludf.DUMMYFUNCTION("""COMPUTED_VALUE"""),"Resolved")</f>
        <v>Resolved</v>
      </c>
      <c r="L1322" s="10">
        <f>IFERROR(__xludf.DUMMYFUNCTION("""COMPUTED_VALUE"""),46261.0)</f>
        <v>46261</v>
      </c>
      <c r="M1322" s="5"/>
      <c r="N1322" s="10">
        <f>IFERROR(__xludf.DUMMYFUNCTION("""COMPUTED_VALUE"""),45681.0)</f>
        <v>45681</v>
      </c>
      <c r="O1322" s="5">
        <v>2025.0</v>
      </c>
      <c r="P1322" s="5" t="str">
        <f>IFERROR(__xludf.DUMMYFUNCTION("""COMPUTED_VALUE"""),"Not stated")</f>
        <v>Not stated</v>
      </c>
      <c r="Q1322" s="5" t="s">
        <v>135</v>
      </c>
      <c r="R1322" s="5" t="s">
        <v>136</v>
      </c>
      <c r="S1322" s="11">
        <v>640.0</v>
      </c>
    </row>
    <row r="1323">
      <c r="A1323" s="5" t="str">
        <f>IFERROR(__xludf.DUMMYFUNCTION("""COMPUTED_VALUE"""),"Penicillin G Benzathine Injection")</f>
        <v>Penicillin G Benzathine Injection</v>
      </c>
      <c r="B1323" s="5" t="str">
        <f>IFERROR(__xludf.DUMMYFUNCTION("""COMPUTED_VALUE"""),"Laboratorios Atral")</f>
        <v>Laboratorios Atral</v>
      </c>
      <c r="C1323" s="5" t="str">
        <f>IFERROR(__xludf.DUMMYFUNCTION("""COMPUTED_VALUE"""),"Lentocilin, Injection, 1200000 U/4 mL (NDC 84383-110-01)")</f>
        <v>Lentocilin, Injection, 1200000 U/4 mL (NDC 84383-110-01)</v>
      </c>
      <c r="D1323" s="5" t="str">
        <f>IFERROR(__xludf.DUMMYFUNCTION("""COMPUTED_VALUE"""),"Reverified")</f>
        <v>Reverified</v>
      </c>
      <c r="E1323" s="10">
        <f>IFERROR(__xludf.DUMMYFUNCTION("""COMPUTED_VALUE"""),46280.0)</f>
        <v>46280</v>
      </c>
      <c r="F1323" s="5" t="str">
        <f>IFERROR(__xludf.DUMMYFUNCTION("""COMPUTED_VALUE"""),"Available")</f>
        <v>Available</v>
      </c>
      <c r="G1323" s="5"/>
      <c r="H1323" s="5"/>
      <c r="I1323" s="5"/>
      <c r="J1323" s="5" t="str">
        <f>IFERROR(__xludf.DUMMYFUNCTION("""COMPUTED_VALUE"""),"Anti-Infective")</f>
        <v>Anti-Infective</v>
      </c>
      <c r="K1323" s="5" t="str">
        <f>IFERROR(__xludf.DUMMYFUNCTION("""COMPUTED_VALUE"""),"Current")</f>
        <v>Current</v>
      </c>
      <c r="L1323" s="5"/>
      <c r="M1323" s="5"/>
      <c r="N1323" s="10">
        <f>IFERROR(__xludf.DUMMYFUNCTION("""COMPUTED_VALUE"""),45042.0)</f>
        <v>45042</v>
      </c>
      <c r="O1323" s="5">
        <v>2023.0</v>
      </c>
      <c r="P1323" s="5" t="str">
        <f>IFERROR(__xludf.DUMMYFUNCTION("""COMPUTED_VALUE"""),"Available")</f>
        <v>Available</v>
      </c>
      <c r="Q1323" s="5" t="s">
        <v>135</v>
      </c>
      <c r="R1323" s="5" t="s">
        <v>136</v>
      </c>
      <c r="S1323" s="11">
        <v>1279.0</v>
      </c>
    </row>
    <row r="1324">
      <c r="A1324" s="5" t="str">
        <f>IFERROR(__xludf.DUMMYFUNCTION("""COMPUTED_VALUE"""),"Penicillin G Benzathine Injection")</f>
        <v>Penicillin G Benzathine Injection</v>
      </c>
      <c r="B1324" s="5" t="str">
        <f>IFERROR(__xludf.DUMMYFUNCTION("""COMPUTED_VALUE"""),"Pfizer Inc.")</f>
        <v>Pfizer Inc.</v>
      </c>
      <c r="C1324" s="5" t="str">
        <f>IFERROR(__xludf.DUMMYFUNCTION("""COMPUTED_VALUE"""),"Bicillin L-A, Injection, 600000 [iU]/1 mL (NDC 60793-700-10)")</f>
        <v>Bicillin L-A, Injection, 600000 [iU]/1 mL (NDC 60793-700-10)</v>
      </c>
      <c r="D1324" s="5" t="str">
        <f>IFERROR(__xludf.DUMMYFUNCTION("""COMPUTED_VALUE"""),"Revised")</f>
        <v>Revised</v>
      </c>
      <c r="E1324" s="13">
        <f>IFERROR(__xludf.DUMMYFUNCTION("""COMPUTED_VALUE"""),46316.0)</f>
        <v>46316</v>
      </c>
      <c r="F1324" s="5" t="str">
        <f>IFERROR(__xludf.DUMMYFUNCTION("""COMPUTED_VALUE"""),"Unavailable")</f>
        <v>Unavailable</v>
      </c>
      <c r="G1324" s="5" t="str">
        <f>IFERROR(__xludf.DUMMYFUNCTION("""COMPUTED_VALUE"""),"Next Delivery: October 2027; Estimated Recovery: December 2027; Shortage per Manufacturer: Manufacturing Delay")</f>
        <v>Next Delivery: October 2027; Estimated Recovery: December 2027; Shortage per Manufacturer: Manufacturing Delay</v>
      </c>
      <c r="H1324" s="5"/>
      <c r="I1324" s="5" t="str">
        <f>IFERROR(__xludf.DUMMYFUNCTION("""COMPUTED_VALUE"""),"Other")</f>
        <v>Other</v>
      </c>
      <c r="J1324" s="5" t="str">
        <f>IFERROR(__xludf.DUMMYFUNCTION("""COMPUTED_VALUE"""),"Anti-Infective")</f>
        <v>Anti-Infective</v>
      </c>
      <c r="K1324" s="5" t="str">
        <f>IFERROR(__xludf.DUMMYFUNCTION("""COMPUTED_VALUE"""),"Current")</f>
        <v>Current</v>
      </c>
      <c r="L1324" s="5"/>
      <c r="M1324" s="5"/>
      <c r="N1324" s="10">
        <f>IFERROR(__xludf.DUMMYFUNCTION("""COMPUTED_VALUE"""),45042.0)</f>
        <v>45042</v>
      </c>
      <c r="O1324" s="5">
        <v>2023.0</v>
      </c>
      <c r="P1324" s="5" t="str">
        <f>IFERROR(__xludf.DUMMYFUNCTION("""COMPUTED_VALUE"""),"Unavailable")</f>
        <v>Unavailable</v>
      </c>
      <c r="Q1324" s="5" t="s">
        <v>47</v>
      </c>
      <c r="R1324" s="5" t="s">
        <v>136</v>
      </c>
      <c r="S1324" s="11">
        <v>1279.0</v>
      </c>
    </row>
    <row r="1325">
      <c r="A1325" s="5" t="str">
        <f>IFERROR(__xludf.DUMMYFUNCTION("""COMPUTED_VALUE"""),"Penicillin G Benzathine Injection")</f>
        <v>Penicillin G Benzathine Injection</v>
      </c>
      <c r="B1325" s="5" t="str">
        <f>IFERROR(__xludf.DUMMYFUNCTION("""COMPUTED_VALUE"""),"Pfizer Inc.")</f>
        <v>Pfizer Inc.</v>
      </c>
      <c r="C1325" s="5" t="str">
        <f>IFERROR(__xludf.DUMMYFUNCTION("""COMPUTED_VALUE"""),"Bicillin L-A, Injection, 1200000 [iU]/2 mL (NDC 60793-701-10)")</f>
        <v>Bicillin L-A, Injection, 1200000 [iU]/2 mL (NDC 60793-701-10)</v>
      </c>
      <c r="D1325" s="5" t="str">
        <f>IFERROR(__xludf.DUMMYFUNCTION("""COMPUTED_VALUE"""),"Revised")</f>
        <v>Revised</v>
      </c>
      <c r="E1325" s="13">
        <f>IFERROR(__xludf.DUMMYFUNCTION("""COMPUTED_VALUE"""),46316.0)</f>
        <v>46316</v>
      </c>
      <c r="F1325" s="5" t="str">
        <f>IFERROR(__xludf.DUMMYFUNCTION("""COMPUTED_VALUE"""),"Limited Availability")</f>
        <v>Limited Availability</v>
      </c>
      <c r="G1325" s="5" t="str">
        <f>IFERROR(__xludf.DUMMYFUNCTION("""COMPUTED_VALUE"""),"Limited Supply Available. Next Delivery: November 2026; Estimated Recovery: September 2027; Shortage per Manufacturer: Manufacturing Delay")</f>
        <v>Limited Supply Available. Next Delivery: November 2026; Estimated Recovery: September 2027; Shortage per Manufacturer: Manufacturing Delay</v>
      </c>
      <c r="H1325" s="5"/>
      <c r="I1325" s="5" t="str">
        <f>IFERROR(__xludf.DUMMYFUNCTION("""COMPUTED_VALUE"""),"Other")</f>
        <v>Other</v>
      </c>
      <c r="J1325" s="5" t="str">
        <f>IFERROR(__xludf.DUMMYFUNCTION("""COMPUTED_VALUE"""),"Anti-Infective")</f>
        <v>Anti-Infective</v>
      </c>
      <c r="K1325" s="5" t="str">
        <f>IFERROR(__xludf.DUMMYFUNCTION("""COMPUTED_VALUE"""),"Current")</f>
        <v>Current</v>
      </c>
      <c r="L1325" s="5"/>
      <c r="M1325" s="5"/>
      <c r="N1325" s="10">
        <f>IFERROR(__xludf.DUMMYFUNCTION("""COMPUTED_VALUE"""),45042.0)</f>
        <v>45042</v>
      </c>
      <c r="O1325" s="5">
        <v>2023.0</v>
      </c>
      <c r="P1325" s="5" t="str">
        <f>IFERROR(__xludf.DUMMYFUNCTION("""COMPUTED_VALUE"""),"Limited Availability")</f>
        <v>Limited Availability</v>
      </c>
      <c r="Q1325" s="5" t="s">
        <v>47</v>
      </c>
      <c r="R1325" s="5" t="s">
        <v>136</v>
      </c>
      <c r="S1325" s="11">
        <v>1279.0</v>
      </c>
    </row>
    <row r="1326">
      <c r="A1326" s="5" t="str">
        <f>IFERROR(__xludf.DUMMYFUNCTION("""COMPUTED_VALUE"""),"Penicillin G Benzathine Injection")</f>
        <v>Penicillin G Benzathine Injection</v>
      </c>
      <c r="B1326" s="5" t="str">
        <f>IFERROR(__xludf.DUMMYFUNCTION("""COMPUTED_VALUE"""),"Pfizer Inc.")</f>
        <v>Pfizer Inc.</v>
      </c>
      <c r="C1326" s="5" t="str">
        <f>IFERROR(__xludf.DUMMYFUNCTION("""COMPUTED_VALUE"""),"Bicillin L-A, Injection, 2400000 [iU]/4 mL (NDC 60793-702-10)")</f>
        <v>Bicillin L-A, Injection, 2400000 [iU]/4 mL (NDC 60793-702-10)</v>
      </c>
      <c r="D1326" s="5" t="str">
        <f>IFERROR(__xludf.DUMMYFUNCTION("""COMPUTED_VALUE"""),"Revised")</f>
        <v>Revised</v>
      </c>
      <c r="E1326" s="13">
        <f>IFERROR(__xludf.DUMMYFUNCTION("""COMPUTED_VALUE"""),46316.0)</f>
        <v>46316</v>
      </c>
      <c r="F1326" s="5" t="str">
        <f>IFERROR(__xludf.DUMMYFUNCTION("""COMPUTED_VALUE"""),"Limited Availability")</f>
        <v>Limited Availability</v>
      </c>
      <c r="G1326" s="5" t="str">
        <f>IFERROR(__xludf.DUMMYFUNCTION("""COMPUTED_VALUE"""),"Limited Supply Available. Next Delivery: November 2026; Estimated Recovery: September 2027; Shortage per Manufacturer: Manufacturing Delay")</f>
        <v>Limited Supply Available. Next Delivery: November 2026; Estimated Recovery: September 2027; Shortage per Manufacturer: Manufacturing Delay</v>
      </c>
      <c r="H1326" s="5"/>
      <c r="I1326" s="5" t="str">
        <f>IFERROR(__xludf.DUMMYFUNCTION("""COMPUTED_VALUE"""),"Other")</f>
        <v>Other</v>
      </c>
      <c r="J1326" s="5" t="str">
        <f>IFERROR(__xludf.DUMMYFUNCTION("""COMPUTED_VALUE"""),"Anti-Infective")</f>
        <v>Anti-Infective</v>
      </c>
      <c r="K1326" s="5" t="str">
        <f>IFERROR(__xludf.DUMMYFUNCTION("""COMPUTED_VALUE"""),"Current")</f>
        <v>Current</v>
      </c>
      <c r="L1326" s="5"/>
      <c r="M1326" s="5"/>
      <c r="N1326" s="10">
        <f>IFERROR(__xludf.DUMMYFUNCTION("""COMPUTED_VALUE"""),45042.0)</f>
        <v>45042</v>
      </c>
      <c r="O1326" s="5">
        <v>2023.0</v>
      </c>
      <c r="P1326" s="5" t="str">
        <f>IFERROR(__xludf.DUMMYFUNCTION("""COMPUTED_VALUE"""),"Limited Availability")</f>
        <v>Limited Availability</v>
      </c>
      <c r="Q1326" s="5" t="s">
        <v>47</v>
      </c>
      <c r="R1326" s="5" t="s">
        <v>136</v>
      </c>
      <c r="S1326" s="11">
        <v>1279.0</v>
      </c>
    </row>
    <row r="1327">
      <c r="A1327" s="5" t="str">
        <f>IFERROR(__xludf.DUMMYFUNCTION("""COMPUTED_VALUE"""),"Pentamidine Isethionate Injection")</f>
        <v>Pentamidine Isethionate Injection</v>
      </c>
      <c r="B1327" s="5" t="str">
        <f>IFERROR(__xludf.DUMMYFUNCTION("""COMPUTED_VALUE"""),"XGen Pharmaceuticals DJB, Inc.")</f>
        <v>XGen Pharmaceuticals DJB, Inc.</v>
      </c>
      <c r="C1327" s="5" t="str">
        <f>IFERROR(__xludf.DUMMYFUNCTION("""COMPUTED_VALUE"""),"Pentamidine Isethionate, Injection, 300 mg/3 mL (NDC 39822-3050-2)")</f>
        <v>Pentamidine Isethionate, Injection, 300 mg/3 mL (NDC 39822-3050-2)</v>
      </c>
      <c r="D1327" s="5" t="str">
        <f>IFERROR(__xludf.DUMMYFUNCTION("""COMPUTED_VALUE"""),"New")</f>
        <v>New</v>
      </c>
      <c r="E1327" s="10">
        <f>IFERROR(__xludf.DUMMYFUNCTION("""COMPUTED_VALUE"""),46104.0)</f>
        <v>46104</v>
      </c>
      <c r="F1327" s="5"/>
      <c r="G1327" s="5" t="str">
        <f>IFERROR(__xludf.DUMMYFUNCTION("""COMPUTED_VALUE"""),"A business decision was made to discontinue manufacture of the drug.")</f>
        <v>A business decision was made to discontinue manufacture of the drug.</v>
      </c>
      <c r="H1327" s="5"/>
      <c r="I1327" s="5"/>
      <c r="J1327" s="5" t="str">
        <f>IFERROR(__xludf.DUMMYFUNCTION("""COMPUTED_VALUE"""),"Anti-Infective")</f>
        <v>Anti-Infective</v>
      </c>
      <c r="K1327" s="5" t="str">
        <f>IFERROR(__xludf.DUMMYFUNCTION("""COMPUTED_VALUE"""),"To Be Discontinued")</f>
        <v>To Be Discontinued</v>
      </c>
      <c r="L1327" s="5"/>
      <c r="M1327" s="10">
        <f>IFERROR(__xludf.DUMMYFUNCTION("""COMPUTED_VALUE"""),46104.0)</f>
        <v>46104</v>
      </c>
      <c r="N1327" s="10">
        <f>IFERROR(__xludf.DUMMYFUNCTION("""COMPUTED_VALUE"""),46104.0)</f>
        <v>46104</v>
      </c>
      <c r="O1327" s="5">
        <v>2026.0</v>
      </c>
      <c r="P1327" s="5" t="str">
        <f>IFERROR(__xludf.DUMMYFUNCTION("""COMPUTED_VALUE"""),"Not stated")</f>
        <v>Not stated</v>
      </c>
      <c r="Q1327" s="5" t="s">
        <v>135</v>
      </c>
      <c r="R1327" s="5" t="s">
        <v>136</v>
      </c>
      <c r="S1327" s="11">
        <v>217.0</v>
      </c>
    </row>
    <row r="1328">
      <c r="A1328" s="5" t="str">
        <f>IFERROR(__xludf.DUMMYFUNCTION("""COMPUTED_VALUE"""),"Pentostatin Injection")</f>
        <v>Pentostatin Injection</v>
      </c>
      <c r="B1328" s="5" t="str">
        <f>IFERROR(__xludf.DUMMYFUNCTION("""COMPUTED_VALUE"""),"Hospira, Inc., a Pfizer Company")</f>
        <v>Hospira, Inc., a Pfizer Company</v>
      </c>
      <c r="C1328" s="5" t="str">
        <f>IFERROR(__xludf.DUMMYFUNCTION("""COMPUTED_VALUE"""),"Nipent, Injection, 10 mg, single dose vial (NDC 0409-0801-01)")</f>
        <v>Nipent, Injection, 10 mg, single dose vial (NDC 0409-0801-01)</v>
      </c>
      <c r="D1328" s="5" t="str">
        <f>IFERROR(__xludf.DUMMYFUNCTION("""COMPUTED_VALUE"""),"Revised")</f>
        <v>Revised</v>
      </c>
      <c r="E1328" s="13">
        <f>IFERROR(__xludf.DUMMYFUNCTION("""COMPUTED_VALUE"""),46316.0)</f>
        <v>46316</v>
      </c>
      <c r="F1328" s="5" t="str">
        <f>IFERROR(__xludf.DUMMYFUNCTION("""COMPUTED_VALUE"""),"Unavailable")</f>
        <v>Unavailable</v>
      </c>
      <c r="G1328" s="5" t="str">
        <f>IFERROR(__xludf.DUMMYFUNCTION("""COMPUTED_VALUE"""),"Next Delivery and Estimated Recovery: December 2028; Shortage per Manufacturer: Manufacturing Delay")</f>
        <v>Next Delivery and Estimated Recovery: December 2028; Shortage per Manufacturer: Manufacturing Delay</v>
      </c>
      <c r="H1328" s="5"/>
      <c r="I1328" s="5" t="str">
        <f>IFERROR(__xludf.DUMMYFUNCTION("""COMPUTED_VALUE"""),"Other")</f>
        <v>Other</v>
      </c>
      <c r="J1328" s="5" t="str">
        <f>IFERROR(__xludf.DUMMYFUNCTION("""COMPUTED_VALUE"""),"Oncology")</f>
        <v>Oncology</v>
      </c>
      <c r="K1328" s="5" t="str">
        <f>IFERROR(__xludf.DUMMYFUNCTION("""COMPUTED_VALUE"""),"Current")</f>
        <v>Current</v>
      </c>
      <c r="L1328" s="5"/>
      <c r="M1328" s="5"/>
      <c r="N1328" s="10">
        <f>IFERROR(__xludf.DUMMYFUNCTION("""COMPUTED_VALUE"""),46261.0)</f>
        <v>46261</v>
      </c>
      <c r="O1328" s="5">
        <v>2026.0</v>
      </c>
      <c r="P1328" s="5" t="str">
        <f>IFERROR(__xludf.DUMMYFUNCTION("""COMPUTED_VALUE"""),"Unavailable")</f>
        <v>Unavailable</v>
      </c>
      <c r="Q1328" s="5" t="s">
        <v>47</v>
      </c>
      <c r="R1328" s="5" t="s">
        <v>136</v>
      </c>
      <c r="S1328" s="11">
        <v>60.0</v>
      </c>
    </row>
    <row r="1329">
      <c r="A1329" s="5" t="str">
        <f>IFERROR(__xludf.DUMMYFUNCTION("""COMPUTED_VALUE"""),"Peritoneal Dialysis Solution")</f>
        <v>Peritoneal Dialysis Solution</v>
      </c>
      <c r="B1329" s="5" t="str">
        <f>IFERROR(__xludf.DUMMYFUNCTION("""COMPUTED_VALUE"""),"Fresenius Medical Care North America")</f>
        <v>Fresenius Medical Care North America</v>
      </c>
      <c r="C1329" s="5" t="str">
        <f>IFERROR(__xludf.DUMMYFUNCTION("""COMPUTED_VALUE"""),"DELFLEX® w/Dextrose, Solution, 1.5% Low Mg/Low Ca 2L, 5/cs (NDC 46163-206-92)")</f>
        <v>DELFLEX® w/Dextrose, Solution, 1.5% Low Mg/Low Ca 2L, 5/cs (NDC 46163-206-92)</v>
      </c>
      <c r="D1329" s="5" t="str">
        <f>IFERROR(__xludf.DUMMYFUNCTION("""COMPUTED_VALUE"""),"New")</f>
        <v>New</v>
      </c>
      <c r="E1329" s="10">
        <f>IFERROR(__xludf.DUMMYFUNCTION("""COMPUTED_VALUE"""),46091.0)</f>
        <v>46091</v>
      </c>
      <c r="F1329" s="5"/>
      <c r="G1329" s="5" t="str">
        <f>IFERROR(__xludf.DUMMYFUNCTION("""COMPUTED_VALUE"""),"The NDC codes are being discontinued, to be replaced with NDC labeler code #46163.")</f>
        <v>The NDC codes are being discontinued, to be replaced with NDC labeler code #46163.</v>
      </c>
      <c r="H1329" s="5"/>
      <c r="I1329" s="5"/>
      <c r="J1329" s="5" t="str">
        <f>IFERROR(__xludf.DUMMYFUNCTION("""COMPUTED_VALUE"""),"Renal")</f>
        <v>Renal</v>
      </c>
      <c r="K1329" s="5" t="str">
        <f>IFERROR(__xludf.DUMMYFUNCTION("""COMPUTED_VALUE"""),"To Be Discontinued")</f>
        <v>To Be Discontinued</v>
      </c>
      <c r="L1329" s="5"/>
      <c r="M1329" s="10">
        <f>IFERROR(__xludf.DUMMYFUNCTION("""COMPUTED_VALUE"""),46091.0)</f>
        <v>46091</v>
      </c>
      <c r="N1329" s="10">
        <f>IFERROR(__xludf.DUMMYFUNCTION("""COMPUTED_VALUE"""),46091.0)</f>
        <v>46091</v>
      </c>
      <c r="O1329" s="5">
        <v>2026.0</v>
      </c>
      <c r="P1329" s="5" t="str">
        <f>IFERROR(__xludf.DUMMYFUNCTION("""COMPUTED_VALUE"""),"Not stated")</f>
        <v>Not stated</v>
      </c>
      <c r="Q1329" s="5" t="s">
        <v>135</v>
      </c>
      <c r="R1329" s="5" t="s">
        <v>136</v>
      </c>
      <c r="S1329" s="11">
        <v>230.0</v>
      </c>
    </row>
    <row r="1330">
      <c r="A1330" s="5" t="str">
        <f>IFERROR(__xludf.DUMMYFUNCTION("""COMPUTED_VALUE"""),"Peritoneal Dialysis Solution")</f>
        <v>Peritoneal Dialysis Solution</v>
      </c>
      <c r="B1330" s="5" t="str">
        <f>IFERROR(__xludf.DUMMYFUNCTION("""COMPUTED_VALUE"""),"Fresenius Medical Care North America")</f>
        <v>Fresenius Medical Care North America</v>
      </c>
      <c r="C1330" s="5" t="str">
        <f>IFERROR(__xludf.DUMMYFUNCTION("""COMPUTED_VALUE"""),"DELFLEX® w/Dextrose, Solution, 4.25% Low Mg/Low Ca 2L, 5/cs (NDC 46163-212-92)")</f>
        <v>DELFLEX® w/Dextrose, Solution, 4.25% Low Mg/Low Ca 2L, 5/cs (NDC 46163-212-92)</v>
      </c>
      <c r="D1330" s="5" t="str">
        <f>IFERROR(__xludf.DUMMYFUNCTION("""COMPUTED_VALUE"""),"New")</f>
        <v>New</v>
      </c>
      <c r="E1330" s="10">
        <f>IFERROR(__xludf.DUMMYFUNCTION("""COMPUTED_VALUE"""),46091.0)</f>
        <v>46091</v>
      </c>
      <c r="F1330" s="5"/>
      <c r="G1330" s="5" t="str">
        <f>IFERROR(__xludf.DUMMYFUNCTION("""COMPUTED_VALUE"""),"The NDC codes are being discontinued, to be replaced with NDC labeler code #46163.")</f>
        <v>The NDC codes are being discontinued, to be replaced with NDC labeler code #46163.</v>
      </c>
      <c r="H1330" s="5"/>
      <c r="I1330" s="5"/>
      <c r="J1330" s="5" t="str">
        <f>IFERROR(__xludf.DUMMYFUNCTION("""COMPUTED_VALUE"""),"Renal")</f>
        <v>Renal</v>
      </c>
      <c r="K1330" s="5" t="str">
        <f>IFERROR(__xludf.DUMMYFUNCTION("""COMPUTED_VALUE"""),"To Be Discontinued")</f>
        <v>To Be Discontinued</v>
      </c>
      <c r="L1330" s="5"/>
      <c r="M1330" s="10">
        <f>IFERROR(__xludf.DUMMYFUNCTION("""COMPUTED_VALUE"""),46091.0)</f>
        <v>46091</v>
      </c>
      <c r="N1330" s="10">
        <f>IFERROR(__xludf.DUMMYFUNCTION("""COMPUTED_VALUE"""),46091.0)</f>
        <v>46091</v>
      </c>
      <c r="O1330" s="5">
        <v>2026.0</v>
      </c>
      <c r="P1330" s="5" t="str">
        <f>IFERROR(__xludf.DUMMYFUNCTION("""COMPUTED_VALUE"""),"Not stated")</f>
        <v>Not stated</v>
      </c>
      <c r="Q1330" s="5" t="s">
        <v>135</v>
      </c>
      <c r="R1330" s="5" t="s">
        <v>136</v>
      </c>
      <c r="S1330" s="11">
        <v>230.0</v>
      </c>
    </row>
    <row r="1331">
      <c r="A1331" s="5" t="str">
        <f>IFERROR(__xludf.DUMMYFUNCTION("""COMPUTED_VALUE"""),"Peritoneal Dialysis Solution")</f>
        <v>Peritoneal Dialysis Solution</v>
      </c>
      <c r="B1331" s="5" t="str">
        <f>IFERROR(__xludf.DUMMYFUNCTION("""COMPUTED_VALUE"""),"Fresenius Medical Care North America")</f>
        <v>Fresenius Medical Care North America</v>
      </c>
      <c r="C1331" s="5" t="str">
        <f>IFERROR(__xludf.DUMMYFUNCTION("""COMPUTED_VALUE"""),"DELFLEX® w/Dextrose, Solution, 4.25% Low Mg/Low Ca 2.5L/3L, 5/cs (NDC 46163-212-94)")</f>
        <v>DELFLEX® w/Dextrose, Solution, 4.25% Low Mg/Low Ca 2.5L/3L, 5/cs (NDC 46163-212-94)</v>
      </c>
      <c r="D1331" s="5" t="str">
        <f>IFERROR(__xludf.DUMMYFUNCTION("""COMPUTED_VALUE"""),"New")</f>
        <v>New</v>
      </c>
      <c r="E1331" s="10">
        <f>IFERROR(__xludf.DUMMYFUNCTION("""COMPUTED_VALUE"""),46091.0)</f>
        <v>46091</v>
      </c>
      <c r="F1331" s="5"/>
      <c r="G1331" s="5" t="str">
        <f>IFERROR(__xludf.DUMMYFUNCTION("""COMPUTED_VALUE"""),"The NDC codes are being discontinued, to be replaced with NDC labeler code #46163.")</f>
        <v>The NDC codes are being discontinued, to be replaced with NDC labeler code #46163.</v>
      </c>
      <c r="H1331" s="5"/>
      <c r="I1331" s="5"/>
      <c r="J1331" s="5" t="str">
        <f>IFERROR(__xludf.DUMMYFUNCTION("""COMPUTED_VALUE"""),"Renal")</f>
        <v>Renal</v>
      </c>
      <c r="K1331" s="5" t="str">
        <f>IFERROR(__xludf.DUMMYFUNCTION("""COMPUTED_VALUE"""),"To Be Discontinued")</f>
        <v>To Be Discontinued</v>
      </c>
      <c r="L1331" s="5"/>
      <c r="M1331" s="10">
        <f>IFERROR(__xludf.DUMMYFUNCTION("""COMPUTED_VALUE"""),46091.0)</f>
        <v>46091</v>
      </c>
      <c r="N1331" s="10">
        <f>IFERROR(__xludf.DUMMYFUNCTION("""COMPUTED_VALUE"""),46091.0)</f>
        <v>46091</v>
      </c>
      <c r="O1331" s="5">
        <v>2026.0</v>
      </c>
      <c r="P1331" s="5" t="str">
        <f>IFERROR(__xludf.DUMMYFUNCTION("""COMPUTED_VALUE"""),"Not stated")</f>
        <v>Not stated</v>
      </c>
      <c r="Q1331" s="5" t="s">
        <v>135</v>
      </c>
      <c r="R1331" s="5" t="s">
        <v>136</v>
      </c>
      <c r="S1331" s="11">
        <v>230.0</v>
      </c>
    </row>
    <row r="1332">
      <c r="A1332" s="5" t="str">
        <f>IFERROR(__xludf.DUMMYFUNCTION("""COMPUTED_VALUE"""),"Peritoneal Dialysis Solution")</f>
        <v>Peritoneal Dialysis Solution</v>
      </c>
      <c r="B1332" s="5" t="str">
        <f>IFERROR(__xludf.DUMMYFUNCTION("""COMPUTED_VALUE"""),"Fresenius Medical Care North America")</f>
        <v>Fresenius Medical Care North America</v>
      </c>
      <c r="C1332" s="5" t="str">
        <f>IFERROR(__xludf.DUMMYFUNCTION("""COMPUTED_VALUE"""),"DELFLEX® w/Dextrose, Solution, 1.5% Low Mg/Low Ca 2.5L/3L, 5/cs (NDC 49230-206-94)")</f>
        <v>DELFLEX® w/Dextrose, Solution, 1.5% Low Mg/Low Ca 2.5L/3L, 5/cs (NDC 49230-206-94)</v>
      </c>
      <c r="D1332" s="5" t="str">
        <f>IFERROR(__xludf.DUMMYFUNCTION("""COMPUTED_VALUE"""),"New")</f>
        <v>New</v>
      </c>
      <c r="E1332" s="10">
        <f>IFERROR(__xludf.DUMMYFUNCTION("""COMPUTED_VALUE"""),46091.0)</f>
        <v>46091</v>
      </c>
      <c r="F1332" s="5"/>
      <c r="G1332" s="5" t="str">
        <f>IFERROR(__xludf.DUMMYFUNCTION("""COMPUTED_VALUE"""),"The NDC codes are being discontinued, to be replaced with NDC labeler code #46163.")</f>
        <v>The NDC codes are being discontinued, to be replaced with NDC labeler code #46163.</v>
      </c>
      <c r="H1332" s="5"/>
      <c r="I1332" s="5"/>
      <c r="J1332" s="5" t="str">
        <f>IFERROR(__xludf.DUMMYFUNCTION("""COMPUTED_VALUE"""),"Renal")</f>
        <v>Renal</v>
      </c>
      <c r="K1332" s="5" t="str">
        <f>IFERROR(__xludf.DUMMYFUNCTION("""COMPUTED_VALUE"""),"To Be Discontinued")</f>
        <v>To Be Discontinued</v>
      </c>
      <c r="L1332" s="5"/>
      <c r="M1332" s="10">
        <f>IFERROR(__xludf.DUMMYFUNCTION("""COMPUTED_VALUE"""),46091.0)</f>
        <v>46091</v>
      </c>
      <c r="N1332" s="10">
        <f>IFERROR(__xludf.DUMMYFUNCTION("""COMPUTED_VALUE"""),46091.0)</f>
        <v>46091</v>
      </c>
      <c r="O1332" s="5">
        <v>2026.0</v>
      </c>
      <c r="P1332" s="5" t="str">
        <f>IFERROR(__xludf.DUMMYFUNCTION("""COMPUTED_VALUE"""),"Not stated")</f>
        <v>Not stated</v>
      </c>
      <c r="Q1332" s="5" t="s">
        <v>135</v>
      </c>
      <c r="R1332" s="5" t="s">
        <v>136</v>
      </c>
      <c r="S1332" s="11">
        <v>230.0</v>
      </c>
    </row>
    <row r="1333">
      <c r="A1333" s="5" t="str">
        <f>IFERROR(__xludf.DUMMYFUNCTION("""COMPUTED_VALUE"""),"Peritoneal Dialysis Solution")</f>
        <v>Peritoneal Dialysis Solution</v>
      </c>
      <c r="B1333" s="5" t="str">
        <f>IFERROR(__xludf.DUMMYFUNCTION("""COMPUTED_VALUE"""),"Fresenius Medical Care North America")</f>
        <v>Fresenius Medical Care North America</v>
      </c>
      <c r="C1333" s="5" t="str">
        <f>IFERROR(__xludf.DUMMYFUNCTION("""COMPUTED_VALUE"""),"DELFLEX® w/Dextrose, Solution, 2.5% Low Mg/Low Ca 2L, 5/cs (NDC 49230-209-92)")</f>
        <v>DELFLEX® w/Dextrose, Solution, 2.5% Low Mg/Low Ca 2L, 5/cs (NDC 49230-209-92)</v>
      </c>
      <c r="D1333" s="5" t="str">
        <f>IFERROR(__xludf.DUMMYFUNCTION("""COMPUTED_VALUE"""),"New")</f>
        <v>New</v>
      </c>
      <c r="E1333" s="10">
        <f>IFERROR(__xludf.DUMMYFUNCTION("""COMPUTED_VALUE"""),46091.0)</f>
        <v>46091</v>
      </c>
      <c r="F1333" s="5"/>
      <c r="G1333" s="5" t="str">
        <f>IFERROR(__xludf.DUMMYFUNCTION("""COMPUTED_VALUE"""),"The NDC codes are being discontinued, to be replaced with NDC labeler code #46163.")</f>
        <v>The NDC codes are being discontinued, to be replaced with NDC labeler code #46163.</v>
      </c>
      <c r="H1333" s="5"/>
      <c r="I1333" s="5"/>
      <c r="J1333" s="5" t="str">
        <f>IFERROR(__xludf.DUMMYFUNCTION("""COMPUTED_VALUE"""),"Renal")</f>
        <v>Renal</v>
      </c>
      <c r="K1333" s="5" t="str">
        <f>IFERROR(__xludf.DUMMYFUNCTION("""COMPUTED_VALUE"""),"To Be Discontinued")</f>
        <v>To Be Discontinued</v>
      </c>
      <c r="L1333" s="5"/>
      <c r="M1333" s="10">
        <f>IFERROR(__xludf.DUMMYFUNCTION("""COMPUTED_VALUE"""),46091.0)</f>
        <v>46091</v>
      </c>
      <c r="N1333" s="10">
        <f>IFERROR(__xludf.DUMMYFUNCTION("""COMPUTED_VALUE"""),46091.0)</f>
        <v>46091</v>
      </c>
      <c r="O1333" s="5">
        <v>2026.0</v>
      </c>
      <c r="P1333" s="5" t="str">
        <f>IFERROR(__xludf.DUMMYFUNCTION("""COMPUTED_VALUE"""),"Not stated")</f>
        <v>Not stated</v>
      </c>
      <c r="Q1333" s="5" t="s">
        <v>135</v>
      </c>
      <c r="R1333" s="5" t="s">
        <v>136</v>
      </c>
      <c r="S1333" s="11">
        <v>230.0</v>
      </c>
    </row>
    <row r="1334">
      <c r="A1334" s="5" t="str">
        <f>IFERROR(__xludf.DUMMYFUNCTION("""COMPUTED_VALUE"""),"Peritoneal Dialysis Solution")</f>
        <v>Peritoneal Dialysis Solution</v>
      </c>
      <c r="B1334" s="5" t="str">
        <f>IFERROR(__xludf.DUMMYFUNCTION("""COMPUTED_VALUE"""),"Fresenius Medical Care North America")</f>
        <v>Fresenius Medical Care North America</v>
      </c>
      <c r="C1334" s="5" t="str">
        <f>IFERROR(__xludf.DUMMYFUNCTION("""COMPUTED_VALUE"""),"DELFLEX® w/Dextrose, Solution, 2.5% Low Mg/Low Ca 2.5L/3L, 5/cs (NDC 49230-209-94)")</f>
        <v>DELFLEX® w/Dextrose, Solution, 2.5% Low Mg/Low Ca 2.5L/3L, 5/cs (NDC 49230-209-94)</v>
      </c>
      <c r="D1334" s="5" t="str">
        <f>IFERROR(__xludf.DUMMYFUNCTION("""COMPUTED_VALUE"""),"New")</f>
        <v>New</v>
      </c>
      <c r="E1334" s="10">
        <f>IFERROR(__xludf.DUMMYFUNCTION("""COMPUTED_VALUE"""),46091.0)</f>
        <v>46091</v>
      </c>
      <c r="F1334" s="5"/>
      <c r="G1334" s="5" t="str">
        <f>IFERROR(__xludf.DUMMYFUNCTION("""COMPUTED_VALUE"""),"The NDC codes are being discontinued, to be replaced with NDC labeler code #46163.")</f>
        <v>The NDC codes are being discontinued, to be replaced with NDC labeler code #46163.</v>
      </c>
      <c r="H1334" s="5"/>
      <c r="I1334" s="5"/>
      <c r="J1334" s="5" t="str">
        <f>IFERROR(__xludf.DUMMYFUNCTION("""COMPUTED_VALUE"""),"Renal")</f>
        <v>Renal</v>
      </c>
      <c r="K1334" s="5" t="str">
        <f>IFERROR(__xludf.DUMMYFUNCTION("""COMPUTED_VALUE"""),"To Be Discontinued")</f>
        <v>To Be Discontinued</v>
      </c>
      <c r="L1334" s="5"/>
      <c r="M1334" s="10">
        <f>IFERROR(__xludf.DUMMYFUNCTION("""COMPUTED_VALUE"""),46091.0)</f>
        <v>46091</v>
      </c>
      <c r="N1334" s="10">
        <f>IFERROR(__xludf.DUMMYFUNCTION("""COMPUTED_VALUE"""),46091.0)</f>
        <v>46091</v>
      </c>
      <c r="O1334" s="5">
        <v>2026.0</v>
      </c>
      <c r="P1334" s="5" t="str">
        <f>IFERROR(__xludf.DUMMYFUNCTION("""COMPUTED_VALUE"""),"Not stated")</f>
        <v>Not stated</v>
      </c>
      <c r="Q1334" s="5" t="s">
        <v>135</v>
      </c>
      <c r="R1334" s="5" t="s">
        <v>136</v>
      </c>
      <c r="S1334" s="11">
        <v>230.0</v>
      </c>
    </row>
    <row r="1335">
      <c r="A1335" s="5" t="str">
        <f>IFERROR(__xludf.DUMMYFUNCTION("""COMPUTED_VALUE"""),"Phenobarbital Tablet")</f>
        <v>Phenobarbital Tablet</v>
      </c>
      <c r="B1335" s="5" t="str">
        <f>IFERROR(__xludf.DUMMYFUNCTION("""COMPUTED_VALUE"""),"Endo Pharmaceuticals, Inc.")</f>
        <v>Endo Pharmaceuticals, Inc.</v>
      </c>
      <c r="C1335" s="5" t="str">
        <f>IFERROR(__xludf.DUMMYFUNCTION("""COMPUTED_VALUE"""),"Phenobarbital, Tablet, 16.2 mg (NDC 0603-5165-21)")</f>
        <v>Phenobarbital, Tablet, 16.2 mg (NDC 0603-5165-21)</v>
      </c>
      <c r="D1335" s="5" t="str">
        <f>IFERROR(__xludf.DUMMYFUNCTION("""COMPUTED_VALUE"""),"New")</f>
        <v>New</v>
      </c>
      <c r="E1335" s="13">
        <f>IFERROR(__xludf.DUMMYFUNCTION("""COMPUTED_VALUE"""),45961.0)</f>
        <v>45961</v>
      </c>
      <c r="F1335" s="5"/>
      <c r="G1335" s="5" t="str">
        <f>IFERROR(__xludf.DUMMYFUNCTION("""COMPUTED_VALUE"""),"Discontinuation of the manufacture of the drug")</f>
        <v>Discontinuation of the manufacture of the drug</v>
      </c>
      <c r="H1335" s="5"/>
      <c r="I1335" s="5"/>
      <c r="J1335" s="5" t="str">
        <f>IFERROR(__xludf.DUMMYFUNCTION("""COMPUTED_VALUE"""),"Analgesia/Addiction; Neurology; Other")</f>
        <v>Analgesia/Addiction; Neurology; Other</v>
      </c>
      <c r="K1335" s="5" t="str">
        <f>IFERROR(__xludf.DUMMYFUNCTION("""COMPUTED_VALUE"""),"To Be Discontinued")</f>
        <v>To Be Discontinued</v>
      </c>
      <c r="L1335" s="5"/>
      <c r="M1335" s="13">
        <f>IFERROR(__xludf.DUMMYFUNCTION("""COMPUTED_VALUE"""),45961.0)</f>
        <v>45961</v>
      </c>
      <c r="N1335" s="13">
        <f>IFERROR(__xludf.DUMMYFUNCTION("""COMPUTED_VALUE"""),45961.0)</f>
        <v>45961</v>
      </c>
      <c r="O1335" s="5">
        <v>2025.0</v>
      </c>
      <c r="P1335" s="5" t="str">
        <f>IFERROR(__xludf.DUMMYFUNCTION("""COMPUTED_VALUE"""),"Not stated")</f>
        <v>Not stated</v>
      </c>
      <c r="Q1335" s="5" t="s">
        <v>135</v>
      </c>
      <c r="R1335" s="5" t="s">
        <v>136</v>
      </c>
      <c r="S1335" s="11">
        <v>360.0</v>
      </c>
    </row>
    <row r="1336">
      <c r="A1336" s="5" t="str">
        <f>IFERROR(__xludf.DUMMYFUNCTION("""COMPUTED_VALUE"""),"Phenobarbital Tablet")</f>
        <v>Phenobarbital Tablet</v>
      </c>
      <c r="B1336" s="5" t="str">
        <f>IFERROR(__xludf.DUMMYFUNCTION("""COMPUTED_VALUE"""),"Endo Pharmaceuticals, Inc.")</f>
        <v>Endo Pharmaceuticals, Inc.</v>
      </c>
      <c r="C1336" s="5" t="str">
        <f>IFERROR(__xludf.DUMMYFUNCTION("""COMPUTED_VALUE"""),"Phenobarbital, Tablet, 16.2 mg (NDC 0603-5165-32)")</f>
        <v>Phenobarbital, Tablet, 16.2 mg (NDC 0603-5165-32)</v>
      </c>
      <c r="D1336" s="5" t="str">
        <f>IFERROR(__xludf.DUMMYFUNCTION("""COMPUTED_VALUE"""),"New")</f>
        <v>New</v>
      </c>
      <c r="E1336" s="13">
        <f>IFERROR(__xludf.DUMMYFUNCTION("""COMPUTED_VALUE"""),45961.0)</f>
        <v>45961</v>
      </c>
      <c r="F1336" s="5"/>
      <c r="G1336" s="5" t="str">
        <f>IFERROR(__xludf.DUMMYFUNCTION("""COMPUTED_VALUE"""),"Discontinuation of the manufacture of the drug")</f>
        <v>Discontinuation of the manufacture of the drug</v>
      </c>
      <c r="H1336" s="5"/>
      <c r="I1336" s="5"/>
      <c r="J1336" s="5" t="str">
        <f>IFERROR(__xludf.DUMMYFUNCTION("""COMPUTED_VALUE"""),"Analgesia/Addiction; Neurology; Other")</f>
        <v>Analgesia/Addiction; Neurology; Other</v>
      </c>
      <c r="K1336" s="5" t="str">
        <f>IFERROR(__xludf.DUMMYFUNCTION("""COMPUTED_VALUE"""),"To Be Discontinued")</f>
        <v>To Be Discontinued</v>
      </c>
      <c r="L1336" s="5"/>
      <c r="M1336" s="13">
        <f>IFERROR(__xludf.DUMMYFUNCTION("""COMPUTED_VALUE"""),45961.0)</f>
        <v>45961</v>
      </c>
      <c r="N1336" s="13">
        <f>IFERROR(__xludf.DUMMYFUNCTION("""COMPUTED_VALUE"""),45961.0)</f>
        <v>45961</v>
      </c>
      <c r="O1336" s="5">
        <v>2025.0</v>
      </c>
      <c r="P1336" s="5" t="str">
        <f>IFERROR(__xludf.DUMMYFUNCTION("""COMPUTED_VALUE"""),"Not stated")</f>
        <v>Not stated</v>
      </c>
      <c r="Q1336" s="5" t="s">
        <v>135</v>
      </c>
      <c r="R1336" s="5" t="s">
        <v>136</v>
      </c>
      <c r="S1336" s="11">
        <v>360.0</v>
      </c>
    </row>
    <row r="1337">
      <c r="A1337" s="5" t="str">
        <f>IFERROR(__xludf.DUMMYFUNCTION("""COMPUTED_VALUE"""),"Phenobarbital Tablet")</f>
        <v>Phenobarbital Tablet</v>
      </c>
      <c r="B1337" s="5" t="str">
        <f>IFERROR(__xludf.DUMMYFUNCTION("""COMPUTED_VALUE"""),"Endo Pharmaceuticals, Inc.")</f>
        <v>Endo Pharmaceuticals, Inc.</v>
      </c>
      <c r="C1337" s="5" t="str">
        <f>IFERROR(__xludf.DUMMYFUNCTION("""COMPUTED_VALUE"""),"Phenobarbital, Tablet, 32.4 mg (NDC 0603-5166-21)")</f>
        <v>Phenobarbital, Tablet, 32.4 mg (NDC 0603-5166-21)</v>
      </c>
      <c r="D1337" s="5" t="str">
        <f>IFERROR(__xludf.DUMMYFUNCTION("""COMPUTED_VALUE"""),"New")</f>
        <v>New</v>
      </c>
      <c r="E1337" s="13">
        <f>IFERROR(__xludf.DUMMYFUNCTION("""COMPUTED_VALUE"""),45961.0)</f>
        <v>45961</v>
      </c>
      <c r="F1337" s="5"/>
      <c r="G1337" s="5" t="str">
        <f>IFERROR(__xludf.DUMMYFUNCTION("""COMPUTED_VALUE"""),"Discontinuation of the manufacture of the drug")</f>
        <v>Discontinuation of the manufacture of the drug</v>
      </c>
      <c r="H1337" s="5"/>
      <c r="I1337" s="5"/>
      <c r="J1337" s="5" t="str">
        <f>IFERROR(__xludf.DUMMYFUNCTION("""COMPUTED_VALUE"""),"Analgesia/Addiction; Neurology; Other")</f>
        <v>Analgesia/Addiction; Neurology; Other</v>
      </c>
      <c r="K1337" s="5" t="str">
        <f>IFERROR(__xludf.DUMMYFUNCTION("""COMPUTED_VALUE"""),"To Be Discontinued")</f>
        <v>To Be Discontinued</v>
      </c>
      <c r="L1337" s="5"/>
      <c r="M1337" s="13">
        <f>IFERROR(__xludf.DUMMYFUNCTION("""COMPUTED_VALUE"""),45961.0)</f>
        <v>45961</v>
      </c>
      <c r="N1337" s="13">
        <f>IFERROR(__xludf.DUMMYFUNCTION("""COMPUTED_VALUE"""),45961.0)</f>
        <v>45961</v>
      </c>
      <c r="O1337" s="5">
        <v>2025.0</v>
      </c>
      <c r="P1337" s="5" t="str">
        <f>IFERROR(__xludf.DUMMYFUNCTION("""COMPUTED_VALUE"""),"Not stated")</f>
        <v>Not stated</v>
      </c>
      <c r="Q1337" s="5" t="s">
        <v>135</v>
      </c>
      <c r="R1337" s="5" t="s">
        <v>136</v>
      </c>
      <c r="S1337" s="11">
        <v>360.0</v>
      </c>
    </row>
    <row r="1338">
      <c r="A1338" s="5" t="str">
        <f>IFERROR(__xludf.DUMMYFUNCTION("""COMPUTED_VALUE"""),"Phenobarbital Tablet")</f>
        <v>Phenobarbital Tablet</v>
      </c>
      <c r="B1338" s="5" t="str">
        <f>IFERROR(__xludf.DUMMYFUNCTION("""COMPUTED_VALUE"""),"Endo Pharmaceuticals, Inc.")</f>
        <v>Endo Pharmaceuticals, Inc.</v>
      </c>
      <c r="C1338" s="5" t="str">
        <f>IFERROR(__xludf.DUMMYFUNCTION("""COMPUTED_VALUE"""),"Phenobarbital, Tablet, 32.4 mg (NDC 0603-5166-32)")</f>
        <v>Phenobarbital, Tablet, 32.4 mg (NDC 0603-5166-32)</v>
      </c>
      <c r="D1338" s="5" t="str">
        <f>IFERROR(__xludf.DUMMYFUNCTION("""COMPUTED_VALUE"""),"New")</f>
        <v>New</v>
      </c>
      <c r="E1338" s="13">
        <f>IFERROR(__xludf.DUMMYFUNCTION("""COMPUTED_VALUE"""),45961.0)</f>
        <v>45961</v>
      </c>
      <c r="F1338" s="5"/>
      <c r="G1338" s="5" t="str">
        <f>IFERROR(__xludf.DUMMYFUNCTION("""COMPUTED_VALUE"""),"Discontinuation of the manufacture of the drug")</f>
        <v>Discontinuation of the manufacture of the drug</v>
      </c>
      <c r="H1338" s="5"/>
      <c r="I1338" s="5"/>
      <c r="J1338" s="5" t="str">
        <f>IFERROR(__xludf.DUMMYFUNCTION("""COMPUTED_VALUE"""),"Analgesia/Addiction; Neurology; Other")</f>
        <v>Analgesia/Addiction; Neurology; Other</v>
      </c>
      <c r="K1338" s="5" t="str">
        <f>IFERROR(__xludf.DUMMYFUNCTION("""COMPUTED_VALUE"""),"To Be Discontinued")</f>
        <v>To Be Discontinued</v>
      </c>
      <c r="L1338" s="5"/>
      <c r="M1338" s="13">
        <f>IFERROR(__xludf.DUMMYFUNCTION("""COMPUTED_VALUE"""),45961.0)</f>
        <v>45961</v>
      </c>
      <c r="N1338" s="13">
        <f>IFERROR(__xludf.DUMMYFUNCTION("""COMPUTED_VALUE"""),45961.0)</f>
        <v>45961</v>
      </c>
      <c r="O1338" s="5">
        <v>2025.0</v>
      </c>
      <c r="P1338" s="5" t="str">
        <f>IFERROR(__xludf.DUMMYFUNCTION("""COMPUTED_VALUE"""),"Not stated")</f>
        <v>Not stated</v>
      </c>
      <c r="Q1338" s="5" t="s">
        <v>135</v>
      </c>
      <c r="R1338" s="5" t="s">
        <v>136</v>
      </c>
      <c r="S1338" s="11">
        <v>360.0</v>
      </c>
    </row>
    <row r="1339">
      <c r="A1339" s="5" t="str">
        <f>IFERROR(__xludf.DUMMYFUNCTION("""COMPUTED_VALUE"""),"Phenobarbital Tablet")</f>
        <v>Phenobarbital Tablet</v>
      </c>
      <c r="B1339" s="5" t="str">
        <f>IFERROR(__xludf.DUMMYFUNCTION("""COMPUTED_VALUE"""),"Endo Pharmaceuticals, Inc.")</f>
        <v>Endo Pharmaceuticals, Inc.</v>
      </c>
      <c r="C1339" s="5" t="str">
        <f>IFERROR(__xludf.DUMMYFUNCTION("""COMPUTED_VALUE"""),"Phenobarbital, Tablet, 64.8 mg (NDC 0603-5167-21)")</f>
        <v>Phenobarbital, Tablet, 64.8 mg (NDC 0603-5167-21)</v>
      </c>
      <c r="D1339" s="5" t="str">
        <f>IFERROR(__xludf.DUMMYFUNCTION("""COMPUTED_VALUE"""),"New")</f>
        <v>New</v>
      </c>
      <c r="E1339" s="13">
        <f>IFERROR(__xludf.DUMMYFUNCTION("""COMPUTED_VALUE"""),45961.0)</f>
        <v>45961</v>
      </c>
      <c r="F1339" s="5"/>
      <c r="G1339" s="5" t="str">
        <f>IFERROR(__xludf.DUMMYFUNCTION("""COMPUTED_VALUE"""),"Discontinuation of the manufacture of the drug")</f>
        <v>Discontinuation of the manufacture of the drug</v>
      </c>
      <c r="H1339" s="5"/>
      <c r="I1339" s="5"/>
      <c r="J1339" s="5" t="str">
        <f>IFERROR(__xludf.DUMMYFUNCTION("""COMPUTED_VALUE"""),"Analgesia/Addiction; Neurology; Other")</f>
        <v>Analgesia/Addiction; Neurology; Other</v>
      </c>
      <c r="K1339" s="5" t="str">
        <f>IFERROR(__xludf.DUMMYFUNCTION("""COMPUTED_VALUE"""),"To Be Discontinued")</f>
        <v>To Be Discontinued</v>
      </c>
      <c r="L1339" s="5"/>
      <c r="M1339" s="13">
        <f>IFERROR(__xludf.DUMMYFUNCTION("""COMPUTED_VALUE"""),45961.0)</f>
        <v>45961</v>
      </c>
      <c r="N1339" s="13">
        <f>IFERROR(__xludf.DUMMYFUNCTION("""COMPUTED_VALUE"""),45961.0)</f>
        <v>45961</v>
      </c>
      <c r="O1339" s="5">
        <v>2025.0</v>
      </c>
      <c r="P1339" s="5" t="str">
        <f>IFERROR(__xludf.DUMMYFUNCTION("""COMPUTED_VALUE"""),"Not stated")</f>
        <v>Not stated</v>
      </c>
      <c r="Q1339" s="5" t="s">
        <v>135</v>
      </c>
      <c r="R1339" s="5" t="s">
        <v>136</v>
      </c>
      <c r="S1339" s="11">
        <v>360.0</v>
      </c>
    </row>
    <row r="1340">
      <c r="A1340" s="5" t="str">
        <f>IFERROR(__xludf.DUMMYFUNCTION("""COMPUTED_VALUE"""),"Phenobarbital Tablet")</f>
        <v>Phenobarbital Tablet</v>
      </c>
      <c r="B1340" s="5" t="str">
        <f>IFERROR(__xludf.DUMMYFUNCTION("""COMPUTED_VALUE"""),"Endo Pharmaceuticals, Inc.")</f>
        <v>Endo Pharmaceuticals, Inc.</v>
      </c>
      <c r="C1340" s="5" t="str">
        <f>IFERROR(__xludf.DUMMYFUNCTION("""COMPUTED_VALUE"""),"Phenobarbital, Tablet, 64.8 mg (NDC 0603-5167-32)")</f>
        <v>Phenobarbital, Tablet, 64.8 mg (NDC 0603-5167-32)</v>
      </c>
      <c r="D1340" s="5" t="str">
        <f>IFERROR(__xludf.DUMMYFUNCTION("""COMPUTED_VALUE"""),"New")</f>
        <v>New</v>
      </c>
      <c r="E1340" s="13">
        <f>IFERROR(__xludf.DUMMYFUNCTION("""COMPUTED_VALUE"""),45961.0)</f>
        <v>45961</v>
      </c>
      <c r="F1340" s="5"/>
      <c r="G1340" s="5" t="str">
        <f>IFERROR(__xludf.DUMMYFUNCTION("""COMPUTED_VALUE"""),"Discontinuation of the manufacture of the drug")</f>
        <v>Discontinuation of the manufacture of the drug</v>
      </c>
      <c r="H1340" s="5"/>
      <c r="I1340" s="5"/>
      <c r="J1340" s="5" t="str">
        <f>IFERROR(__xludf.DUMMYFUNCTION("""COMPUTED_VALUE"""),"Analgesia/Addiction; Neurology; Other")</f>
        <v>Analgesia/Addiction; Neurology; Other</v>
      </c>
      <c r="K1340" s="5" t="str">
        <f>IFERROR(__xludf.DUMMYFUNCTION("""COMPUTED_VALUE"""),"To Be Discontinued")</f>
        <v>To Be Discontinued</v>
      </c>
      <c r="L1340" s="5"/>
      <c r="M1340" s="13">
        <f>IFERROR(__xludf.DUMMYFUNCTION("""COMPUTED_VALUE"""),45961.0)</f>
        <v>45961</v>
      </c>
      <c r="N1340" s="13">
        <f>IFERROR(__xludf.DUMMYFUNCTION("""COMPUTED_VALUE"""),45961.0)</f>
        <v>45961</v>
      </c>
      <c r="O1340" s="5">
        <v>2025.0</v>
      </c>
      <c r="P1340" s="5" t="str">
        <f>IFERROR(__xludf.DUMMYFUNCTION("""COMPUTED_VALUE"""),"Not stated")</f>
        <v>Not stated</v>
      </c>
      <c r="Q1340" s="5" t="s">
        <v>135</v>
      </c>
      <c r="R1340" s="5" t="s">
        <v>136</v>
      </c>
      <c r="S1340" s="11">
        <v>360.0</v>
      </c>
    </row>
    <row r="1341">
      <c r="A1341" s="5" t="str">
        <f>IFERROR(__xludf.DUMMYFUNCTION("""COMPUTED_VALUE"""),"Phenobarbital Tablet")</f>
        <v>Phenobarbital Tablet</v>
      </c>
      <c r="B1341" s="5" t="str">
        <f>IFERROR(__xludf.DUMMYFUNCTION("""COMPUTED_VALUE"""),"Endo Pharmaceuticals, Inc.")</f>
        <v>Endo Pharmaceuticals, Inc.</v>
      </c>
      <c r="C1341" s="5" t="str">
        <f>IFERROR(__xludf.DUMMYFUNCTION("""COMPUTED_VALUE"""),"Phenobarbital, Tablet, 97.2 mg (NDC 0603-5168-21)")</f>
        <v>Phenobarbital, Tablet, 97.2 mg (NDC 0603-5168-21)</v>
      </c>
      <c r="D1341" s="5" t="str">
        <f>IFERROR(__xludf.DUMMYFUNCTION("""COMPUTED_VALUE"""),"New")</f>
        <v>New</v>
      </c>
      <c r="E1341" s="13">
        <f>IFERROR(__xludf.DUMMYFUNCTION("""COMPUTED_VALUE"""),45961.0)</f>
        <v>45961</v>
      </c>
      <c r="F1341" s="5"/>
      <c r="G1341" s="5" t="str">
        <f>IFERROR(__xludf.DUMMYFUNCTION("""COMPUTED_VALUE"""),"Discontinuation of the manufacture of the drug")</f>
        <v>Discontinuation of the manufacture of the drug</v>
      </c>
      <c r="H1341" s="5"/>
      <c r="I1341" s="5"/>
      <c r="J1341" s="5" t="str">
        <f>IFERROR(__xludf.DUMMYFUNCTION("""COMPUTED_VALUE"""),"Analgesia/Addiction; Neurology; Other")</f>
        <v>Analgesia/Addiction; Neurology; Other</v>
      </c>
      <c r="K1341" s="5" t="str">
        <f>IFERROR(__xludf.DUMMYFUNCTION("""COMPUTED_VALUE"""),"To Be Discontinued")</f>
        <v>To Be Discontinued</v>
      </c>
      <c r="L1341" s="5"/>
      <c r="M1341" s="13">
        <f>IFERROR(__xludf.DUMMYFUNCTION("""COMPUTED_VALUE"""),45961.0)</f>
        <v>45961</v>
      </c>
      <c r="N1341" s="13">
        <f>IFERROR(__xludf.DUMMYFUNCTION("""COMPUTED_VALUE"""),45961.0)</f>
        <v>45961</v>
      </c>
      <c r="O1341" s="5">
        <v>2025.0</v>
      </c>
      <c r="P1341" s="5" t="str">
        <f>IFERROR(__xludf.DUMMYFUNCTION("""COMPUTED_VALUE"""),"Not stated")</f>
        <v>Not stated</v>
      </c>
      <c r="Q1341" s="5" t="s">
        <v>135</v>
      </c>
      <c r="R1341" s="5" t="s">
        <v>136</v>
      </c>
      <c r="S1341" s="11">
        <v>360.0</v>
      </c>
    </row>
    <row r="1342">
      <c r="A1342" s="5" t="str">
        <f>IFERROR(__xludf.DUMMYFUNCTION("""COMPUTED_VALUE"""),"Phenobarbital Tablet")</f>
        <v>Phenobarbital Tablet</v>
      </c>
      <c r="B1342" s="5" t="str">
        <f>IFERROR(__xludf.DUMMYFUNCTION("""COMPUTED_VALUE"""),"Endo Pharmaceuticals, Inc.")</f>
        <v>Endo Pharmaceuticals, Inc.</v>
      </c>
      <c r="C1342" s="5" t="str">
        <f>IFERROR(__xludf.DUMMYFUNCTION("""COMPUTED_VALUE"""),"Phenobarbital, Tablet, 97.2 mg (NDC 0603-5168-32)")</f>
        <v>Phenobarbital, Tablet, 97.2 mg (NDC 0603-5168-32)</v>
      </c>
      <c r="D1342" s="5" t="str">
        <f>IFERROR(__xludf.DUMMYFUNCTION("""COMPUTED_VALUE"""),"New")</f>
        <v>New</v>
      </c>
      <c r="E1342" s="13">
        <f>IFERROR(__xludf.DUMMYFUNCTION("""COMPUTED_VALUE"""),45961.0)</f>
        <v>45961</v>
      </c>
      <c r="F1342" s="5"/>
      <c r="G1342" s="5" t="str">
        <f>IFERROR(__xludf.DUMMYFUNCTION("""COMPUTED_VALUE"""),"Discontinuation of the manufacture of the drug")</f>
        <v>Discontinuation of the manufacture of the drug</v>
      </c>
      <c r="H1342" s="5"/>
      <c r="I1342" s="5"/>
      <c r="J1342" s="5" t="str">
        <f>IFERROR(__xludf.DUMMYFUNCTION("""COMPUTED_VALUE"""),"Analgesia/Addiction; Neurology; Other")</f>
        <v>Analgesia/Addiction; Neurology; Other</v>
      </c>
      <c r="K1342" s="5" t="str">
        <f>IFERROR(__xludf.DUMMYFUNCTION("""COMPUTED_VALUE"""),"To Be Discontinued")</f>
        <v>To Be Discontinued</v>
      </c>
      <c r="L1342" s="5"/>
      <c r="M1342" s="13">
        <f>IFERROR(__xludf.DUMMYFUNCTION("""COMPUTED_VALUE"""),45961.0)</f>
        <v>45961</v>
      </c>
      <c r="N1342" s="13">
        <f>IFERROR(__xludf.DUMMYFUNCTION("""COMPUTED_VALUE"""),45961.0)</f>
        <v>45961</v>
      </c>
      <c r="O1342" s="5">
        <v>2025.0</v>
      </c>
      <c r="P1342" s="5" t="str">
        <f>IFERROR(__xludf.DUMMYFUNCTION("""COMPUTED_VALUE"""),"Not stated")</f>
        <v>Not stated</v>
      </c>
      <c r="Q1342" s="5" t="s">
        <v>135</v>
      </c>
      <c r="R1342" s="5" t="s">
        <v>136</v>
      </c>
      <c r="S1342" s="11">
        <v>360.0</v>
      </c>
    </row>
    <row r="1343">
      <c r="A1343" s="5" t="str">
        <f>IFERROR(__xludf.DUMMYFUNCTION("""COMPUTED_VALUE"""),"Phenoxybenzamine Hydrochloride Capsule")</f>
        <v>Phenoxybenzamine Hydrochloride Capsule</v>
      </c>
      <c r="B1343" s="5" t="str">
        <f>IFERROR(__xludf.DUMMYFUNCTION("""COMPUTED_VALUE"""),"Advanz Pharma (US) Corp.")</f>
        <v>Advanz Pharma (US) Corp.</v>
      </c>
      <c r="C1343" s="5" t="str">
        <f>IFERROR(__xludf.DUMMYFUNCTION("""COMPUTED_VALUE"""),"Dibenzyline, Capsule, 10 mg (NDC 59212-001-01)")</f>
        <v>Dibenzyline, Capsule, 10 mg (NDC 59212-001-01)</v>
      </c>
      <c r="D1343" s="5" t="str">
        <f>IFERROR(__xludf.DUMMYFUNCTION("""COMPUTED_VALUE"""),"New")</f>
        <v>New</v>
      </c>
      <c r="E1343" s="10">
        <f>IFERROR(__xludf.DUMMYFUNCTION("""COMPUTED_VALUE"""),45992.0)</f>
        <v>45992</v>
      </c>
      <c r="F1343" s="5"/>
      <c r="G1343" s="5" t="str">
        <f>IFERROR(__xludf.DUMMYFUNCTION("""COMPUTED_VALUE"""),"Discontinuation of the manufacture of the drug")</f>
        <v>Discontinuation of the manufacture of the drug</v>
      </c>
      <c r="H1343" s="5"/>
      <c r="I1343" s="5"/>
      <c r="J1343" s="5" t="str">
        <f>IFERROR(__xludf.DUMMYFUNCTION("""COMPUTED_VALUE"""),"Cardiovascular")</f>
        <v>Cardiovascular</v>
      </c>
      <c r="K1343" s="5" t="str">
        <f>IFERROR(__xludf.DUMMYFUNCTION("""COMPUTED_VALUE"""),"To Be Discontinued")</f>
        <v>To Be Discontinued</v>
      </c>
      <c r="L1343" s="5"/>
      <c r="M1343" s="10">
        <f>IFERROR(__xludf.DUMMYFUNCTION("""COMPUTED_VALUE"""),45992.0)</f>
        <v>45992</v>
      </c>
      <c r="N1343" s="10">
        <f>IFERROR(__xludf.DUMMYFUNCTION("""COMPUTED_VALUE"""),45992.0)</f>
        <v>45992</v>
      </c>
      <c r="O1343" s="5">
        <v>2025.0</v>
      </c>
      <c r="P1343" s="5" t="str">
        <f>IFERROR(__xludf.DUMMYFUNCTION("""COMPUTED_VALUE"""),"Not stated")</f>
        <v>Not stated</v>
      </c>
      <c r="Q1343" s="5" t="s">
        <v>135</v>
      </c>
      <c r="R1343" s="5" t="s">
        <v>136</v>
      </c>
      <c r="S1343" s="11">
        <v>329.0</v>
      </c>
    </row>
    <row r="1344">
      <c r="A1344" s="5" t="str">
        <f>IFERROR(__xludf.DUMMYFUNCTION("""COMPUTED_VALUE"""),"Phenoxybenzamine Hydrochloride Capsule")</f>
        <v>Phenoxybenzamine Hydrochloride Capsule</v>
      </c>
      <c r="B1344" s="5" t="str">
        <f>IFERROR(__xludf.DUMMYFUNCTION("""COMPUTED_VALUE"""),"Advanz Pharma (US) Corp.")</f>
        <v>Advanz Pharma (US) Corp.</v>
      </c>
      <c r="C1344" s="5" t="str">
        <f>IFERROR(__xludf.DUMMYFUNCTION("""COMPUTED_VALUE"""),"Dibenzyline, Capsule, 10 mg (NDC 59212-001-02)")</f>
        <v>Dibenzyline, Capsule, 10 mg (NDC 59212-001-02)</v>
      </c>
      <c r="D1344" s="5" t="str">
        <f>IFERROR(__xludf.DUMMYFUNCTION("""COMPUTED_VALUE"""),"New")</f>
        <v>New</v>
      </c>
      <c r="E1344" s="10">
        <f>IFERROR(__xludf.DUMMYFUNCTION("""COMPUTED_VALUE"""),45992.0)</f>
        <v>45992</v>
      </c>
      <c r="F1344" s="5"/>
      <c r="G1344" s="5" t="str">
        <f>IFERROR(__xludf.DUMMYFUNCTION("""COMPUTED_VALUE"""),"Discontinuation of the manufacture of the drug")</f>
        <v>Discontinuation of the manufacture of the drug</v>
      </c>
      <c r="H1344" s="5"/>
      <c r="I1344" s="5"/>
      <c r="J1344" s="5" t="str">
        <f>IFERROR(__xludf.DUMMYFUNCTION("""COMPUTED_VALUE"""),"Cardiovascular")</f>
        <v>Cardiovascular</v>
      </c>
      <c r="K1344" s="5" t="str">
        <f>IFERROR(__xludf.DUMMYFUNCTION("""COMPUTED_VALUE"""),"To Be Discontinued")</f>
        <v>To Be Discontinued</v>
      </c>
      <c r="L1344" s="5"/>
      <c r="M1344" s="10">
        <f>IFERROR(__xludf.DUMMYFUNCTION("""COMPUTED_VALUE"""),45992.0)</f>
        <v>45992</v>
      </c>
      <c r="N1344" s="10">
        <f>IFERROR(__xludf.DUMMYFUNCTION("""COMPUTED_VALUE"""),45992.0)</f>
        <v>45992</v>
      </c>
      <c r="O1344" s="5">
        <v>2025.0</v>
      </c>
      <c r="P1344" s="5" t="str">
        <f>IFERROR(__xludf.DUMMYFUNCTION("""COMPUTED_VALUE"""),"Not stated")</f>
        <v>Not stated</v>
      </c>
      <c r="Q1344" s="5" t="s">
        <v>135</v>
      </c>
      <c r="R1344" s="5" t="s">
        <v>136</v>
      </c>
      <c r="S1344" s="11">
        <v>329.0</v>
      </c>
    </row>
    <row r="1345">
      <c r="A1345" s="5" t="str">
        <f>IFERROR(__xludf.DUMMYFUNCTION("""COMPUTED_VALUE"""),"Phenoxybenzamine Hydrochloride Capsule")</f>
        <v>Phenoxybenzamine Hydrochloride Capsule</v>
      </c>
      <c r="B1345" s="5" t="str">
        <f>IFERROR(__xludf.DUMMYFUNCTION("""COMPUTED_VALUE"""),"Advanz Pharma (US) Corp.")</f>
        <v>Advanz Pharma (US) Corp.</v>
      </c>
      <c r="C1345" s="5" t="str">
        <f>IFERROR(__xludf.DUMMYFUNCTION("""COMPUTED_VALUE"""),"Dibenzyline, Capsule, 10 mg (NDC 66993-066-02)")</f>
        <v>Dibenzyline, Capsule, 10 mg (NDC 66993-066-02)</v>
      </c>
      <c r="D1345" s="5" t="str">
        <f>IFERROR(__xludf.DUMMYFUNCTION("""COMPUTED_VALUE"""),"New")</f>
        <v>New</v>
      </c>
      <c r="E1345" s="10">
        <f>IFERROR(__xludf.DUMMYFUNCTION("""COMPUTED_VALUE"""),45992.0)</f>
        <v>45992</v>
      </c>
      <c r="F1345" s="5"/>
      <c r="G1345" s="5" t="str">
        <f>IFERROR(__xludf.DUMMYFUNCTION("""COMPUTED_VALUE"""),"Discontinuation of the manufacture of the drug")</f>
        <v>Discontinuation of the manufacture of the drug</v>
      </c>
      <c r="H1345" s="5"/>
      <c r="I1345" s="5"/>
      <c r="J1345" s="5" t="str">
        <f>IFERROR(__xludf.DUMMYFUNCTION("""COMPUTED_VALUE"""),"Cardiovascular")</f>
        <v>Cardiovascular</v>
      </c>
      <c r="K1345" s="5" t="str">
        <f>IFERROR(__xludf.DUMMYFUNCTION("""COMPUTED_VALUE"""),"To Be Discontinued")</f>
        <v>To Be Discontinued</v>
      </c>
      <c r="L1345" s="5"/>
      <c r="M1345" s="10">
        <f>IFERROR(__xludf.DUMMYFUNCTION("""COMPUTED_VALUE"""),45992.0)</f>
        <v>45992</v>
      </c>
      <c r="N1345" s="10">
        <f>IFERROR(__xludf.DUMMYFUNCTION("""COMPUTED_VALUE"""),45992.0)</f>
        <v>45992</v>
      </c>
      <c r="O1345" s="5">
        <v>2025.0</v>
      </c>
      <c r="P1345" s="5" t="str">
        <f>IFERROR(__xludf.DUMMYFUNCTION("""COMPUTED_VALUE"""),"Not stated")</f>
        <v>Not stated</v>
      </c>
      <c r="Q1345" s="5" t="s">
        <v>135</v>
      </c>
      <c r="R1345" s="5" t="s">
        <v>136</v>
      </c>
      <c r="S1345" s="11">
        <v>329.0</v>
      </c>
    </row>
    <row r="1346">
      <c r="A1346" s="5" t="str">
        <f>IFERROR(__xludf.DUMMYFUNCTION("""COMPUTED_VALUE"""),"Pilocarpine Hydrochloride Ophthalmic Solution")</f>
        <v>Pilocarpine Hydrochloride Ophthalmic Solution</v>
      </c>
      <c r="B1346" s="5" t="str">
        <f>IFERROR(__xludf.DUMMYFUNCTION("""COMPUTED_VALUE"""),"AbbVie Inc.")</f>
        <v>AbbVie Inc.</v>
      </c>
      <c r="C1346" s="5" t="str">
        <f>IFERROR(__xludf.DUMMYFUNCTION("""COMPUTED_VALUE"""),"Vuity, Ophthalmic Solution, 12.5 mg/1 mL (NDC 0074-7098-01)")</f>
        <v>Vuity, Ophthalmic Solution, 12.5 mg/1 mL (NDC 0074-7098-01)</v>
      </c>
      <c r="D1346" s="5" t="str">
        <f>IFERROR(__xludf.DUMMYFUNCTION("""COMPUTED_VALUE"""),"New")</f>
        <v>New</v>
      </c>
      <c r="E1346" s="10">
        <f>IFERROR(__xludf.DUMMYFUNCTION("""COMPUTED_VALUE"""),46105.0)</f>
        <v>46105</v>
      </c>
      <c r="F1346" s="5"/>
      <c r="G1346" s="5" t="str">
        <f>IFERROR(__xludf.DUMMYFUNCTION("""COMPUTED_VALUE"""),"Discontinuation of the manufacture of the drug")</f>
        <v>Discontinuation of the manufacture of the drug</v>
      </c>
      <c r="H1346" s="5"/>
      <c r="I1346" s="5"/>
      <c r="J1346" s="5" t="str">
        <f>IFERROR(__xludf.DUMMYFUNCTION("""COMPUTED_VALUE"""),"Ophthalmology")</f>
        <v>Ophthalmology</v>
      </c>
      <c r="K1346" s="5" t="str">
        <f>IFERROR(__xludf.DUMMYFUNCTION("""COMPUTED_VALUE"""),"To Be Discontinued")</f>
        <v>To Be Discontinued</v>
      </c>
      <c r="L1346" s="5"/>
      <c r="M1346" s="10">
        <f>IFERROR(__xludf.DUMMYFUNCTION("""COMPUTED_VALUE"""),46105.0)</f>
        <v>46105</v>
      </c>
      <c r="N1346" s="10">
        <f>IFERROR(__xludf.DUMMYFUNCTION("""COMPUTED_VALUE"""),46105.0)</f>
        <v>46105</v>
      </c>
      <c r="O1346" s="5">
        <v>2026.0</v>
      </c>
      <c r="P1346" s="5" t="str">
        <f>IFERROR(__xludf.DUMMYFUNCTION("""COMPUTED_VALUE"""),"Not stated")</f>
        <v>Not stated</v>
      </c>
      <c r="Q1346" s="5" t="s">
        <v>135</v>
      </c>
      <c r="R1346" s="5" t="s">
        <v>136</v>
      </c>
      <c r="S1346" s="11">
        <v>216.0</v>
      </c>
    </row>
    <row r="1347">
      <c r="A1347" s="5" t="str">
        <f>IFERROR(__xludf.DUMMYFUNCTION("""COMPUTED_VALUE"""),"Pilocarpine Hydrochloride Ophthalmic Solution")</f>
        <v>Pilocarpine Hydrochloride Ophthalmic Solution</v>
      </c>
      <c r="B1347" s="5" t="str">
        <f>IFERROR(__xludf.DUMMYFUNCTION("""COMPUTED_VALUE"""),"AbbVie Inc.")</f>
        <v>AbbVie Inc.</v>
      </c>
      <c r="C1347" s="5" t="str">
        <f>IFERROR(__xludf.DUMMYFUNCTION("""COMPUTED_VALUE"""),"Vuity, Ophthalmic Solution, 12.5 mg/1 mL (NDC 0074-7098-03)")</f>
        <v>Vuity, Ophthalmic Solution, 12.5 mg/1 mL (NDC 0074-7098-03)</v>
      </c>
      <c r="D1347" s="5" t="str">
        <f>IFERROR(__xludf.DUMMYFUNCTION("""COMPUTED_VALUE"""),"New")</f>
        <v>New</v>
      </c>
      <c r="E1347" s="10">
        <f>IFERROR(__xludf.DUMMYFUNCTION("""COMPUTED_VALUE"""),46105.0)</f>
        <v>46105</v>
      </c>
      <c r="F1347" s="5"/>
      <c r="G1347" s="5" t="str">
        <f>IFERROR(__xludf.DUMMYFUNCTION("""COMPUTED_VALUE"""),"Discontinuation of the manufacture of the drug")</f>
        <v>Discontinuation of the manufacture of the drug</v>
      </c>
      <c r="H1347" s="5"/>
      <c r="I1347" s="5"/>
      <c r="J1347" s="5" t="str">
        <f>IFERROR(__xludf.DUMMYFUNCTION("""COMPUTED_VALUE"""),"Ophthalmology")</f>
        <v>Ophthalmology</v>
      </c>
      <c r="K1347" s="5" t="str">
        <f>IFERROR(__xludf.DUMMYFUNCTION("""COMPUTED_VALUE"""),"To Be Discontinued")</f>
        <v>To Be Discontinued</v>
      </c>
      <c r="L1347" s="5"/>
      <c r="M1347" s="10">
        <f>IFERROR(__xludf.DUMMYFUNCTION("""COMPUTED_VALUE"""),46105.0)</f>
        <v>46105</v>
      </c>
      <c r="N1347" s="10">
        <f>IFERROR(__xludf.DUMMYFUNCTION("""COMPUTED_VALUE"""),46105.0)</f>
        <v>46105</v>
      </c>
      <c r="O1347" s="5">
        <v>2026.0</v>
      </c>
      <c r="P1347" s="5" t="str">
        <f>IFERROR(__xludf.DUMMYFUNCTION("""COMPUTED_VALUE"""),"Not stated")</f>
        <v>Not stated</v>
      </c>
      <c r="Q1347" s="5" t="s">
        <v>135</v>
      </c>
      <c r="R1347" s="5" t="s">
        <v>136</v>
      </c>
      <c r="S1347" s="11">
        <v>216.0</v>
      </c>
    </row>
    <row r="1348">
      <c r="A1348" s="5" t="str">
        <f>IFERROR(__xludf.DUMMYFUNCTION("""COMPUTED_VALUE"""),"Pilocarpine Hydrochloride Ophthalmic Solution")</f>
        <v>Pilocarpine Hydrochloride Ophthalmic Solution</v>
      </c>
      <c r="B1348" s="5" t="str">
        <f>IFERROR(__xludf.DUMMYFUNCTION("""COMPUTED_VALUE"""),"AbbVie Inc.")</f>
        <v>AbbVie Inc.</v>
      </c>
      <c r="C1348" s="5" t="str">
        <f>IFERROR(__xludf.DUMMYFUNCTION("""COMPUTED_VALUE"""),"Vuity, Ophthalmic Solution, 12.5 mg/1 mL (NDC 0074-7098-04)")</f>
        <v>Vuity, Ophthalmic Solution, 12.5 mg/1 mL (NDC 0074-7098-04)</v>
      </c>
      <c r="D1348" s="5" t="str">
        <f>IFERROR(__xludf.DUMMYFUNCTION("""COMPUTED_VALUE"""),"New")</f>
        <v>New</v>
      </c>
      <c r="E1348" s="10">
        <f>IFERROR(__xludf.DUMMYFUNCTION("""COMPUTED_VALUE"""),46105.0)</f>
        <v>46105</v>
      </c>
      <c r="F1348" s="5"/>
      <c r="G1348" s="5" t="str">
        <f>IFERROR(__xludf.DUMMYFUNCTION("""COMPUTED_VALUE"""),"Discontinuation of the manufacture of the drug")</f>
        <v>Discontinuation of the manufacture of the drug</v>
      </c>
      <c r="H1348" s="5"/>
      <c r="I1348" s="5"/>
      <c r="J1348" s="5" t="str">
        <f>IFERROR(__xludf.DUMMYFUNCTION("""COMPUTED_VALUE"""),"Ophthalmology")</f>
        <v>Ophthalmology</v>
      </c>
      <c r="K1348" s="5" t="str">
        <f>IFERROR(__xludf.DUMMYFUNCTION("""COMPUTED_VALUE"""),"To Be Discontinued")</f>
        <v>To Be Discontinued</v>
      </c>
      <c r="L1348" s="5"/>
      <c r="M1348" s="10">
        <f>IFERROR(__xludf.DUMMYFUNCTION("""COMPUTED_VALUE"""),46105.0)</f>
        <v>46105</v>
      </c>
      <c r="N1348" s="10">
        <f>IFERROR(__xludf.DUMMYFUNCTION("""COMPUTED_VALUE"""),46105.0)</f>
        <v>46105</v>
      </c>
      <c r="O1348" s="5">
        <v>2026.0</v>
      </c>
      <c r="P1348" s="5" t="str">
        <f>IFERROR(__xludf.DUMMYFUNCTION("""COMPUTED_VALUE"""),"Not stated")</f>
        <v>Not stated</v>
      </c>
      <c r="Q1348" s="5" t="s">
        <v>135</v>
      </c>
      <c r="R1348" s="5" t="s">
        <v>136</v>
      </c>
      <c r="S1348" s="11">
        <v>216.0</v>
      </c>
    </row>
    <row r="1349">
      <c r="A1349" s="5" t="str">
        <f>IFERROR(__xludf.DUMMYFUNCTION("""COMPUTED_VALUE"""),"Pilocarpine Hydrochloride Ophthalmic Solution")</f>
        <v>Pilocarpine Hydrochloride Ophthalmic Solution</v>
      </c>
      <c r="B1349" s="5" t="str">
        <f>IFERROR(__xludf.DUMMYFUNCTION("""COMPUTED_VALUE"""),"AbbVie Inc.")</f>
        <v>AbbVie Inc.</v>
      </c>
      <c r="C1349" s="5" t="str">
        <f>IFERROR(__xludf.DUMMYFUNCTION("""COMPUTED_VALUE"""),"Vuity, Ophthalmic Solution, 12.5 mg/1 mL (NDC 0074-7098-05)")</f>
        <v>Vuity, Ophthalmic Solution, 12.5 mg/1 mL (NDC 0074-7098-05)</v>
      </c>
      <c r="D1349" s="5" t="str">
        <f>IFERROR(__xludf.DUMMYFUNCTION("""COMPUTED_VALUE"""),"New")</f>
        <v>New</v>
      </c>
      <c r="E1349" s="10">
        <f>IFERROR(__xludf.DUMMYFUNCTION("""COMPUTED_VALUE"""),46105.0)</f>
        <v>46105</v>
      </c>
      <c r="F1349" s="5"/>
      <c r="G1349" s="5" t="str">
        <f>IFERROR(__xludf.DUMMYFUNCTION("""COMPUTED_VALUE"""),"Discontinuation of the manufacture of the drug")</f>
        <v>Discontinuation of the manufacture of the drug</v>
      </c>
      <c r="H1349" s="5"/>
      <c r="I1349" s="5"/>
      <c r="J1349" s="5" t="str">
        <f>IFERROR(__xludf.DUMMYFUNCTION("""COMPUTED_VALUE"""),"Ophthalmology")</f>
        <v>Ophthalmology</v>
      </c>
      <c r="K1349" s="5" t="str">
        <f>IFERROR(__xludf.DUMMYFUNCTION("""COMPUTED_VALUE"""),"To Be Discontinued")</f>
        <v>To Be Discontinued</v>
      </c>
      <c r="L1349" s="5"/>
      <c r="M1349" s="10">
        <f>IFERROR(__xludf.DUMMYFUNCTION("""COMPUTED_VALUE"""),46105.0)</f>
        <v>46105</v>
      </c>
      <c r="N1349" s="10">
        <f>IFERROR(__xludf.DUMMYFUNCTION("""COMPUTED_VALUE"""),46105.0)</f>
        <v>46105</v>
      </c>
      <c r="O1349" s="5">
        <v>2026.0</v>
      </c>
      <c r="P1349" s="5" t="str">
        <f>IFERROR(__xludf.DUMMYFUNCTION("""COMPUTED_VALUE"""),"Not stated")</f>
        <v>Not stated</v>
      </c>
      <c r="Q1349" s="5" t="s">
        <v>135</v>
      </c>
      <c r="R1349" s="5" t="s">
        <v>136</v>
      </c>
      <c r="S1349" s="11">
        <v>216.0</v>
      </c>
    </row>
    <row r="1350">
      <c r="A1350" s="5" t="str">
        <f>IFERROR(__xludf.DUMMYFUNCTION("""COMPUTED_VALUE"""),"Pilocarpine Hydrochloride Ophthalmic Solution")</f>
        <v>Pilocarpine Hydrochloride Ophthalmic Solution</v>
      </c>
      <c r="B1350" s="5" t="str">
        <f>IFERROR(__xludf.DUMMYFUNCTION("""COMPUTED_VALUE"""),"AbbVie Inc.")</f>
        <v>AbbVie Inc.</v>
      </c>
      <c r="C1350" s="5" t="str">
        <f>IFERROR(__xludf.DUMMYFUNCTION("""COMPUTED_VALUE"""),"Vuity, Ophthalmic Solution, 12.5 mg/1 mL (NDC 0074-7098-06)")</f>
        <v>Vuity, Ophthalmic Solution, 12.5 mg/1 mL (NDC 0074-7098-06)</v>
      </c>
      <c r="D1350" s="5" t="str">
        <f>IFERROR(__xludf.DUMMYFUNCTION("""COMPUTED_VALUE"""),"New")</f>
        <v>New</v>
      </c>
      <c r="E1350" s="10">
        <f>IFERROR(__xludf.DUMMYFUNCTION("""COMPUTED_VALUE"""),46105.0)</f>
        <v>46105</v>
      </c>
      <c r="F1350" s="5"/>
      <c r="G1350" s="5" t="str">
        <f>IFERROR(__xludf.DUMMYFUNCTION("""COMPUTED_VALUE"""),"Discontinuation of the manufacture of the drug")</f>
        <v>Discontinuation of the manufacture of the drug</v>
      </c>
      <c r="H1350" s="5"/>
      <c r="I1350" s="5"/>
      <c r="J1350" s="5" t="str">
        <f>IFERROR(__xludf.DUMMYFUNCTION("""COMPUTED_VALUE"""),"Ophthalmology")</f>
        <v>Ophthalmology</v>
      </c>
      <c r="K1350" s="5" t="str">
        <f>IFERROR(__xludf.DUMMYFUNCTION("""COMPUTED_VALUE"""),"To Be Discontinued")</f>
        <v>To Be Discontinued</v>
      </c>
      <c r="L1350" s="5"/>
      <c r="M1350" s="10">
        <f>IFERROR(__xludf.DUMMYFUNCTION("""COMPUTED_VALUE"""),46105.0)</f>
        <v>46105</v>
      </c>
      <c r="N1350" s="10">
        <f>IFERROR(__xludf.DUMMYFUNCTION("""COMPUTED_VALUE"""),46105.0)</f>
        <v>46105</v>
      </c>
      <c r="O1350" s="5">
        <v>2026.0</v>
      </c>
      <c r="P1350" s="5" t="str">
        <f>IFERROR(__xludf.DUMMYFUNCTION("""COMPUTED_VALUE"""),"Not stated")</f>
        <v>Not stated</v>
      </c>
      <c r="Q1350" s="5" t="s">
        <v>135</v>
      </c>
      <c r="R1350" s="5" t="s">
        <v>136</v>
      </c>
      <c r="S1350" s="11">
        <v>216.0</v>
      </c>
    </row>
    <row r="1351">
      <c r="A1351" s="5" t="str">
        <f>IFERROR(__xludf.DUMMYFUNCTION("""COMPUTED_VALUE"""),"Pindolol Tablet")</f>
        <v>Pindolol Tablet</v>
      </c>
      <c r="B1351" s="5" t="str">
        <f>IFERROR(__xludf.DUMMYFUNCTION("""COMPUTED_VALUE"""),"Sun Pharmaceutical Industries, Inc.")</f>
        <v>Sun Pharmaceutical Industries, Inc.</v>
      </c>
      <c r="C1351" s="5" t="str">
        <f>IFERROR(__xludf.DUMMYFUNCTION("""COMPUTED_VALUE"""),"Pindolol, Tablet, 5 mg (NDC 57664-655-88)")</f>
        <v>Pindolol, Tablet, 5 mg (NDC 57664-655-88)</v>
      </c>
      <c r="D1351" s="5" t="str">
        <f>IFERROR(__xludf.DUMMYFUNCTION("""COMPUTED_VALUE"""),"New")</f>
        <v>New</v>
      </c>
      <c r="E1351" s="10">
        <f>IFERROR(__xludf.DUMMYFUNCTION("""COMPUTED_VALUE"""),46052.0)</f>
        <v>46052</v>
      </c>
      <c r="F1351" s="5"/>
      <c r="G1351" s="5" t="str">
        <f>IFERROR(__xludf.DUMMYFUNCTION("""COMPUTED_VALUE"""),"Discontinuation of the manufacture of the drug; Expiry date of last distributed batch January 2027")</f>
        <v>Discontinuation of the manufacture of the drug; Expiry date of last distributed batch January 2027</v>
      </c>
      <c r="H1351" s="5"/>
      <c r="I1351" s="5"/>
      <c r="J1351" s="5" t="str">
        <f>IFERROR(__xludf.DUMMYFUNCTION("""COMPUTED_VALUE"""),"Cardiovascular")</f>
        <v>Cardiovascular</v>
      </c>
      <c r="K1351" s="5" t="str">
        <f>IFERROR(__xludf.DUMMYFUNCTION("""COMPUTED_VALUE"""),"To Be Discontinued")</f>
        <v>To Be Discontinued</v>
      </c>
      <c r="L1351" s="5"/>
      <c r="M1351" s="10">
        <f>IFERROR(__xludf.DUMMYFUNCTION("""COMPUTED_VALUE"""),46052.0)</f>
        <v>46052</v>
      </c>
      <c r="N1351" s="10">
        <f>IFERROR(__xludf.DUMMYFUNCTION("""COMPUTED_VALUE"""),46052.0)</f>
        <v>46052</v>
      </c>
      <c r="O1351" s="5">
        <v>2026.0</v>
      </c>
      <c r="P1351" s="5" t="str">
        <f>IFERROR(__xludf.DUMMYFUNCTION("""COMPUTED_VALUE"""),"Not stated")</f>
        <v>Not stated</v>
      </c>
      <c r="Q1351" s="5" t="s">
        <v>135</v>
      </c>
      <c r="R1351" s="5" t="s">
        <v>136</v>
      </c>
      <c r="S1351" s="11">
        <v>269.0</v>
      </c>
    </row>
    <row r="1352">
      <c r="A1352" s="5" t="str">
        <f>IFERROR(__xludf.DUMMYFUNCTION("""COMPUTED_VALUE"""),"Pindolol Tablet")</f>
        <v>Pindolol Tablet</v>
      </c>
      <c r="B1352" s="5" t="str">
        <f>IFERROR(__xludf.DUMMYFUNCTION("""COMPUTED_VALUE"""),"Sun Pharmaceutical Industries, Inc.")</f>
        <v>Sun Pharmaceutical Industries, Inc.</v>
      </c>
      <c r="C1352" s="5" t="str">
        <f>IFERROR(__xludf.DUMMYFUNCTION("""COMPUTED_VALUE"""),"Pindolol, Tablet, 10 mg (NDC 57664-656-88)")</f>
        <v>Pindolol, Tablet, 10 mg (NDC 57664-656-88)</v>
      </c>
      <c r="D1352" s="5" t="str">
        <f>IFERROR(__xludf.DUMMYFUNCTION("""COMPUTED_VALUE"""),"New")</f>
        <v>New</v>
      </c>
      <c r="E1352" s="10">
        <f>IFERROR(__xludf.DUMMYFUNCTION("""COMPUTED_VALUE"""),46052.0)</f>
        <v>46052</v>
      </c>
      <c r="F1352" s="5"/>
      <c r="G1352" s="5" t="str">
        <f>IFERROR(__xludf.DUMMYFUNCTION("""COMPUTED_VALUE"""),"Discontinuation of the manufacture of the drug; Expiry date of last distributed batch October 2026")</f>
        <v>Discontinuation of the manufacture of the drug; Expiry date of last distributed batch October 2026</v>
      </c>
      <c r="H1352" s="5"/>
      <c r="I1352" s="5"/>
      <c r="J1352" s="5" t="str">
        <f>IFERROR(__xludf.DUMMYFUNCTION("""COMPUTED_VALUE"""),"Cardiovascular")</f>
        <v>Cardiovascular</v>
      </c>
      <c r="K1352" s="5" t="str">
        <f>IFERROR(__xludf.DUMMYFUNCTION("""COMPUTED_VALUE"""),"To Be Discontinued")</f>
        <v>To Be Discontinued</v>
      </c>
      <c r="L1352" s="5"/>
      <c r="M1352" s="10">
        <f>IFERROR(__xludf.DUMMYFUNCTION("""COMPUTED_VALUE"""),46052.0)</f>
        <v>46052</v>
      </c>
      <c r="N1352" s="10">
        <f>IFERROR(__xludf.DUMMYFUNCTION("""COMPUTED_VALUE"""),46052.0)</f>
        <v>46052</v>
      </c>
      <c r="O1352" s="5">
        <v>2026.0</v>
      </c>
      <c r="P1352" s="5" t="str">
        <f>IFERROR(__xludf.DUMMYFUNCTION("""COMPUTED_VALUE"""),"Not stated")</f>
        <v>Not stated</v>
      </c>
      <c r="Q1352" s="5" t="s">
        <v>135</v>
      </c>
      <c r="R1352" s="5" t="s">
        <v>136</v>
      </c>
      <c r="S1352" s="11">
        <v>269.0</v>
      </c>
    </row>
    <row r="1353">
      <c r="A1353" s="5" t="str">
        <f>IFERROR(__xludf.DUMMYFUNCTION("""COMPUTED_VALUE"""),"Piperacillin and Tazobactam Injection")</f>
        <v>Piperacillin and Tazobactam Injection</v>
      </c>
      <c r="B1353" s="5" t="str">
        <f>IFERROR(__xludf.DUMMYFUNCTION("""COMPUTED_VALUE"""),"Fresenius Kabi USA, LLC")</f>
        <v>Fresenius Kabi USA, LLC</v>
      </c>
      <c r="C1353" s="5" t="str">
        <f>IFERROR(__xludf.DUMMYFUNCTION("""COMPUTED_VALUE"""),"Piperacillin and Tazobactam, Injection, 2.25 g vial (NDC 65219-434-20)")</f>
        <v>Piperacillin and Tazobactam, Injection, 2.25 g vial (NDC 65219-434-20)</v>
      </c>
      <c r="D1353" s="5" t="str">
        <f>IFERROR(__xludf.DUMMYFUNCTION("""COMPUTED_VALUE"""),"New")</f>
        <v>New</v>
      </c>
      <c r="E1353" s="10">
        <f>IFERROR(__xludf.DUMMYFUNCTION("""COMPUTED_VALUE"""),46042.0)</f>
        <v>46042</v>
      </c>
      <c r="F1353" s="5"/>
      <c r="G1353" s="5" t="str">
        <f>IFERROR(__xludf.DUMMYFUNCTION("""COMPUTED_VALUE"""),"Discontinuation of the manufacture of the drug")</f>
        <v>Discontinuation of the manufacture of the drug</v>
      </c>
      <c r="H1353" s="5"/>
      <c r="I1353" s="5"/>
      <c r="J1353" s="5" t="str">
        <f>IFERROR(__xludf.DUMMYFUNCTION("""COMPUTED_VALUE"""),"Anti-Infective")</f>
        <v>Anti-Infective</v>
      </c>
      <c r="K1353" s="5" t="str">
        <f>IFERROR(__xludf.DUMMYFUNCTION("""COMPUTED_VALUE"""),"To Be Discontinued")</f>
        <v>To Be Discontinued</v>
      </c>
      <c r="L1353" s="5"/>
      <c r="M1353" s="10">
        <f>IFERROR(__xludf.DUMMYFUNCTION("""COMPUTED_VALUE"""),46042.0)</f>
        <v>46042</v>
      </c>
      <c r="N1353" s="10">
        <f>IFERROR(__xludf.DUMMYFUNCTION("""COMPUTED_VALUE"""),46042.0)</f>
        <v>46042</v>
      </c>
      <c r="O1353" s="5">
        <v>2026.0</v>
      </c>
      <c r="P1353" s="5" t="str">
        <f>IFERROR(__xludf.DUMMYFUNCTION("""COMPUTED_VALUE"""),"Not stated")</f>
        <v>Not stated</v>
      </c>
      <c r="Q1353" s="5" t="s">
        <v>135</v>
      </c>
      <c r="R1353" s="5" t="s">
        <v>136</v>
      </c>
      <c r="S1353" s="11">
        <v>279.0</v>
      </c>
    </row>
    <row r="1354">
      <c r="A1354" s="5" t="str">
        <f>IFERROR(__xludf.DUMMYFUNCTION("""COMPUTED_VALUE"""),"Plerixafor Injection")</f>
        <v>Plerixafor Injection</v>
      </c>
      <c r="B1354" s="5" t="str">
        <f>IFERROR(__xludf.DUMMYFUNCTION("""COMPUTED_VALUE"""),"Fresenius Kabi USA, LLC")</f>
        <v>Fresenius Kabi USA, LLC</v>
      </c>
      <c r="C1354" s="5" t="str">
        <f>IFERROR(__xludf.DUMMYFUNCTION("""COMPUTED_VALUE"""),"Plerixafor, Injection, 24 mg per 1.2 mL (20 mg per mL) (NDC 65219-284-12)")</f>
        <v>Plerixafor, Injection, 24 mg per 1.2 mL (20 mg per mL) (NDC 65219-284-12)</v>
      </c>
      <c r="D1354" s="5" t="str">
        <f>IFERROR(__xludf.DUMMYFUNCTION("""COMPUTED_VALUE"""),"New")</f>
        <v>New</v>
      </c>
      <c r="E1354" s="10">
        <f>IFERROR(__xludf.DUMMYFUNCTION("""COMPUTED_VALUE"""),46094.0)</f>
        <v>46094</v>
      </c>
      <c r="F1354" s="5"/>
      <c r="G1354" s="5" t="str">
        <f>IFERROR(__xludf.DUMMYFUNCTION("""COMPUTED_VALUE"""),"A business decision was made to discontinue manufacture of the drug.")</f>
        <v>A business decision was made to discontinue manufacture of the drug.</v>
      </c>
      <c r="H1354" s="5"/>
      <c r="I1354" s="5"/>
      <c r="J1354" s="5" t="str">
        <f>IFERROR(__xludf.DUMMYFUNCTION("""COMPUTED_VALUE"""),"Hematology")</f>
        <v>Hematology</v>
      </c>
      <c r="K1354" s="5" t="str">
        <f>IFERROR(__xludf.DUMMYFUNCTION("""COMPUTED_VALUE"""),"To Be Discontinued")</f>
        <v>To Be Discontinued</v>
      </c>
      <c r="L1354" s="5"/>
      <c r="M1354" s="10">
        <f>IFERROR(__xludf.DUMMYFUNCTION("""COMPUTED_VALUE"""),46094.0)</f>
        <v>46094</v>
      </c>
      <c r="N1354" s="10">
        <f>IFERROR(__xludf.DUMMYFUNCTION("""COMPUTED_VALUE"""),46094.0)</f>
        <v>46094</v>
      </c>
      <c r="O1354" s="5">
        <v>2026.0</v>
      </c>
      <c r="P1354" s="5" t="str">
        <f>IFERROR(__xludf.DUMMYFUNCTION("""COMPUTED_VALUE"""),"Not stated")</f>
        <v>Not stated</v>
      </c>
      <c r="Q1354" s="5" t="s">
        <v>135</v>
      </c>
      <c r="R1354" s="5" t="s">
        <v>136</v>
      </c>
      <c r="S1354" s="11">
        <v>227.0</v>
      </c>
    </row>
    <row r="1355">
      <c r="A1355" s="5" t="str">
        <f>IFERROR(__xludf.DUMMYFUNCTION("""COMPUTED_VALUE"""),"Podofilox Topical Gel")</f>
        <v>Podofilox Topical Gel</v>
      </c>
      <c r="B1355" s="5" t="str">
        <f>IFERROR(__xludf.DUMMYFUNCTION("""COMPUTED_VALUE"""),"AbbVie Inc.")</f>
        <v>AbbVie Inc.</v>
      </c>
      <c r="C1355" s="5" t="str">
        <f>IFERROR(__xludf.DUMMYFUNCTION("""COMPUTED_VALUE"""),"Condylox , Topical Gel, 0.5% (NDC 0023-6118-03)")</f>
        <v>Condylox , Topical Gel, 0.5% (NDC 0023-6118-03)</v>
      </c>
      <c r="D1355" s="5" t="str">
        <f>IFERROR(__xludf.DUMMYFUNCTION("""COMPUTED_VALUE"""),"New")</f>
        <v>New</v>
      </c>
      <c r="E1355" s="10">
        <f>IFERROR(__xludf.DUMMYFUNCTION("""COMPUTED_VALUE"""),46050.0)</f>
        <v>46050</v>
      </c>
      <c r="F1355" s="5"/>
      <c r="G1355" s="5" t="str">
        <f>IFERROR(__xludf.DUMMYFUNCTION("""COMPUTED_VALUE"""),"Discontinuation of the manufacture of the drug")</f>
        <v>Discontinuation of the manufacture of the drug</v>
      </c>
      <c r="H1355" s="5"/>
      <c r="I1355" s="5"/>
      <c r="J1355" s="5" t="str">
        <f>IFERROR(__xludf.DUMMYFUNCTION("""COMPUTED_VALUE"""),"Dermatology; Other")</f>
        <v>Dermatology; Other</v>
      </c>
      <c r="K1355" s="5" t="str">
        <f>IFERROR(__xludf.DUMMYFUNCTION("""COMPUTED_VALUE"""),"To Be Discontinued")</f>
        <v>To Be Discontinued</v>
      </c>
      <c r="L1355" s="5"/>
      <c r="M1355" s="10">
        <f>IFERROR(__xludf.DUMMYFUNCTION("""COMPUTED_VALUE"""),46050.0)</f>
        <v>46050</v>
      </c>
      <c r="N1355" s="10">
        <f>IFERROR(__xludf.DUMMYFUNCTION("""COMPUTED_VALUE"""),46050.0)</f>
        <v>46050</v>
      </c>
      <c r="O1355" s="5">
        <v>2026.0</v>
      </c>
      <c r="P1355" s="5" t="str">
        <f>IFERROR(__xludf.DUMMYFUNCTION("""COMPUTED_VALUE"""),"Not stated")</f>
        <v>Not stated</v>
      </c>
      <c r="Q1355" s="5" t="s">
        <v>135</v>
      </c>
      <c r="R1355" s="5" t="s">
        <v>136</v>
      </c>
      <c r="S1355" s="11">
        <v>271.0</v>
      </c>
    </row>
    <row r="1356">
      <c r="A1356" s="5" t="str">
        <f>IFERROR(__xludf.DUMMYFUNCTION("""COMPUTED_VALUE"""),"Podophyllum Resin Topical Tincture")</f>
        <v>Podophyllum Resin Topical Tincture</v>
      </c>
      <c r="B1356" s="5" t="str">
        <f>IFERROR(__xludf.DUMMYFUNCTION("""COMPUTED_VALUE"""),"Padagis US LLC")</f>
        <v>Padagis US LLC</v>
      </c>
      <c r="C1356" s="5" t="str">
        <f>IFERROR(__xludf.DUMMYFUNCTION("""COMPUTED_VALUE"""),"Podocon 25, Topical Tincture, 1 mg/4 mL (NDC 0574-0601-15)")</f>
        <v>Podocon 25, Topical Tincture, 1 mg/4 mL (NDC 0574-0601-15)</v>
      </c>
      <c r="D1356" s="5" t="str">
        <f>IFERROR(__xludf.DUMMYFUNCTION("""COMPUTED_VALUE"""),"New")</f>
        <v>New</v>
      </c>
      <c r="E1356" s="10">
        <f>IFERROR(__xludf.DUMMYFUNCTION("""COMPUTED_VALUE"""),46226.0)</f>
        <v>46226</v>
      </c>
      <c r="F1356" s="5"/>
      <c r="G1356" s="5" t="str">
        <f>IFERROR(__xludf.DUMMYFUNCTION("""COMPUTED_VALUE"""),"Discontinuation of the manufacture of the drug")</f>
        <v>Discontinuation of the manufacture of the drug</v>
      </c>
      <c r="H1356" s="5"/>
      <c r="I1356" s="5"/>
      <c r="J1356" s="5" t="str">
        <f>IFERROR(__xludf.DUMMYFUNCTION("""COMPUTED_VALUE"""),"Dermatology")</f>
        <v>Dermatology</v>
      </c>
      <c r="K1356" s="5" t="str">
        <f>IFERROR(__xludf.DUMMYFUNCTION("""COMPUTED_VALUE"""),"To Be Discontinued")</f>
        <v>To Be Discontinued</v>
      </c>
      <c r="L1356" s="5"/>
      <c r="M1356" s="10">
        <f>IFERROR(__xludf.DUMMYFUNCTION("""COMPUTED_VALUE"""),46226.0)</f>
        <v>46226</v>
      </c>
      <c r="N1356" s="10">
        <f>IFERROR(__xludf.DUMMYFUNCTION("""COMPUTED_VALUE"""),46226.0)</f>
        <v>46226</v>
      </c>
      <c r="O1356" s="5">
        <v>2026.0</v>
      </c>
      <c r="P1356" s="5" t="str">
        <f>IFERROR(__xludf.DUMMYFUNCTION("""COMPUTED_VALUE"""),"Not stated")</f>
        <v>Not stated</v>
      </c>
      <c r="Q1356" s="5" t="s">
        <v>135</v>
      </c>
      <c r="R1356" s="5" t="s">
        <v>136</v>
      </c>
      <c r="S1356" s="11">
        <v>95.0</v>
      </c>
    </row>
    <row r="1357">
      <c r="A1357" s="5" t="str">
        <f>IFERROR(__xludf.DUMMYFUNCTION("""COMPUTED_VALUE"""),"Polyethylene glycol 3350, Sodium Ascorbate, Sodium Sulfate Anhydrous, Ascorbic Acid, Sodium Chloride, and Potassium Chloride  Oral Solution")</f>
        <v>Polyethylene glycol 3350, Sodium Ascorbate, Sodium Sulfate Anhydrous, Ascorbic Acid, Sodium Chloride, and Potassium Chloride  Oral Solution</v>
      </c>
      <c r="B1357" s="5" t="str">
        <f>IFERROR(__xludf.DUMMYFUNCTION("""COMPUTED_VALUE"""),"Salix Pharmaceuticals, a division of Bausch Health US, LLC")</f>
        <v>Salix Pharmaceuticals, a division of Bausch Health US, LLC</v>
      </c>
      <c r="C1357" s="5" t="str">
        <f>IFERROR(__xludf.DUMMYFUNCTION("""COMPUTED_VALUE"""),"Plenvu, Oral Solution, KIT (NDC 65649-400-01)")</f>
        <v>Plenvu, Oral Solution, KIT (NDC 65649-400-01)</v>
      </c>
      <c r="D1357" s="5" t="str">
        <f>IFERROR(__xludf.DUMMYFUNCTION("""COMPUTED_VALUE"""),"New")</f>
        <v>New</v>
      </c>
      <c r="E1357" s="10">
        <f>IFERROR(__xludf.DUMMYFUNCTION("""COMPUTED_VALUE"""),46247.0)</f>
        <v>46247</v>
      </c>
      <c r="F1357" s="5"/>
      <c r="G1357" s="5" t="str">
        <f>IFERROR(__xludf.DUMMYFUNCTION("""COMPUTED_VALUE"""),"A business decision was made to discontinue manufacture of the drug.")</f>
        <v>A business decision was made to discontinue manufacture of the drug.</v>
      </c>
      <c r="H1357" s="5"/>
      <c r="I1357" s="5"/>
      <c r="J1357" s="5" t="str">
        <f>IFERROR(__xludf.DUMMYFUNCTION("""COMPUTED_VALUE"""),"Gastroenterology")</f>
        <v>Gastroenterology</v>
      </c>
      <c r="K1357" s="5" t="str">
        <f>IFERROR(__xludf.DUMMYFUNCTION("""COMPUTED_VALUE"""),"To Be Discontinued")</f>
        <v>To Be Discontinued</v>
      </c>
      <c r="L1357" s="5"/>
      <c r="M1357" s="10">
        <f>IFERROR(__xludf.DUMMYFUNCTION("""COMPUTED_VALUE"""),46247.0)</f>
        <v>46247</v>
      </c>
      <c r="N1357" s="10">
        <f>IFERROR(__xludf.DUMMYFUNCTION("""COMPUTED_VALUE"""),46247.0)</f>
        <v>46247</v>
      </c>
      <c r="O1357" s="5">
        <v>2026.0</v>
      </c>
      <c r="P1357" s="5" t="str">
        <f>IFERROR(__xludf.DUMMYFUNCTION("""COMPUTED_VALUE"""),"Not stated")</f>
        <v>Not stated</v>
      </c>
      <c r="Q1357" s="5" t="s">
        <v>135</v>
      </c>
      <c r="R1357" s="5" t="s">
        <v>136</v>
      </c>
      <c r="S1357" s="11">
        <v>74.0</v>
      </c>
    </row>
    <row r="1358">
      <c r="A1358" s="5" t="str">
        <f>IFERROR(__xludf.DUMMYFUNCTION("""COMPUTED_VALUE"""),"Posaconazole Injection")</f>
        <v>Posaconazole Injection</v>
      </c>
      <c r="B1358" s="5" t="str">
        <f>IFERROR(__xludf.DUMMYFUNCTION("""COMPUTED_VALUE"""),"Merck Sharp &amp; Dohme Corp.")</f>
        <v>Merck Sharp &amp; Dohme Corp.</v>
      </c>
      <c r="C1358" s="5" t="str">
        <f>IFERROR(__xludf.DUMMYFUNCTION("""COMPUTED_VALUE"""),"Noxafil, Injection, 18 mg/1 mL (NDC 0085-4331-01)")</f>
        <v>Noxafil, Injection, 18 mg/1 mL (NDC 0085-4331-01)</v>
      </c>
      <c r="D1358" s="5" t="str">
        <f>IFERROR(__xludf.DUMMYFUNCTION("""COMPUTED_VALUE"""),"New")</f>
        <v>New</v>
      </c>
      <c r="E1358" s="10">
        <f>IFERROR(__xludf.DUMMYFUNCTION("""COMPUTED_VALUE"""),45993.0)</f>
        <v>45993</v>
      </c>
      <c r="F1358" s="5"/>
      <c r="G1358" s="5" t="str">
        <f>IFERROR(__xludf.DUMMYFUNCTION("""COMPUTED_VALUE"""),"Discontinuation of the manufacture of the drug")</f>
        <v>Discontinuation of the manufacture of the drug</v>
      </c>
      <c r="H1358" s="5"/>
      <c r="I1358" s="5"/>
      <c r="J1358" s="5" t="str">
        <f>IFERROR(__xludf.DUMMYFUNCTION("""COMPUTED_VALUE"""),"Anti-Infective")</f>
        <v>Anti-Infective</v>
      </c>
      <c r="K1358" s="5" t="str">
        <f>IFERROR(__xludf.DUMMYFUNCTION("""COMPUTED_VALUE"""),"To Be Discontinued")</f>
        <v>To Be Discontinued</v>
      </c>
      <c r="L1358" s="5"/>
      <c r="M1358" s="10">
        <f>IFERROR(__xludf.DUMMYFUNCTION("""COMPUTED_VALUE"""),45993.0)</f>
        <v>45993</v>
      </c>
      <c r="N1358" s="10">
        <f>IFERROR(__xludf.DUMMYFUNCTION("""COMPUTED_VALUE"""),45993.0)</f>
        <v>45993</v>
      </c>
      <c r="O1358" s="5">
        <v>2025.0</v>
      </c>
      <c r="P1358" s="5" t="str">
        <f>IFERROR(__xludf.DUMMYFUNCTION("""COMPUTED_VALUE"""),"Not stated")</f>
        <v>Not stated</v>
      </c>
      <c r="Q1358" s="5" t="s">
        <v>135</v>
      </c>
      <c r="R1358" s="5" t="s">
        <v>136</v>
      </c>
      <c r="S1358" s="11">
        <v>328.0</v>
      </c>
    </row>
    <row r="1359">
      <c r="A1359" s="5" t="str">
        <f>IFERROR(__xludf.DUMMYFUNCTION("""COMPUTED_VALUE"""),"Potassium Chloride Tablet, Extended Release")</f>
        <v>Potassium Chloride Tablet, Extended Release</v>
      </c>
      <c r="B1359" s="5" t="str">
        <f>IFERROR(__xludf.DUMMYFUNCTION("""COMPUTED_VALUE"""),"Teva Pharmaceuticals USA, Inc.")</f>
        <v>Teva Pharmaceuticals USA, Inc.</v>
      </c>
      <c r="C1359" s="5" t="str">
        <f>IFERROR(__xludf.DUMMYFUNCTION("""COMPUTED_VALUE"""),"Potassium Chloride, Tablet, Extended Release, 10 meq (NDC 62037-710-01)")</f>
        <v>Potassium Chloride, Tablet, Extended Release, 10 meq (NDC 62037-710-01)</v>
      </c>
      <c r="D1359" s="5" t="str">
        <f>IFERROR(__xludf.DUMMYFUNCTION("""COMPUTED_VALUE"""),"New")</f>
        <v>New</v>
      </c>
      <c r="E1359" s="13">
        <f>IFERROR(__xludf.DUMMYFUNCTION("""COMPUTED_VALUE"""),45982.0)</f>
        <v>45982</v>
      </c>
      <c r="F1359" s="5"/>
      <c r="G1359" s="5" t="str">
        <f>IFERROR(__xludf.DUMMYFUNCTION("""COMPUTED_VALUE"""),"Discontinuation of the manufacture of the drug")</f>
        <v>Discontinuation of the manufacture of the drug</v>
      </c>
      <c r="H1359" s="5"/>
      <c r="I1359" s="5"/>
      <c r="J1359" s="5" t="str">
        <f>IFERROR(__xludf.DUMMYFUNCTION("""COMPUTED_VALUE"""),"Endocrinology/Metabolism; Gastroenterology")</f>
        <v>Endocrinology/Metabolism; Gastroenterology</v>
      </c>
      <c r="K1359" s="5" t="str">
        <f>IFERROR(__xludf.DUMMYFUNCTION("""COMPUTED_VALUE"""),"To Be Discontinued")</f>
        <v>To Be Discontinued</v>
      </c>
      <c r="L1359" s="5"/>
      <c r="M1359" s="13">
        <f>IFERROR(__xludf.DUMMYFUNCTION("""COMPUTED_VALUE"""),45982.0)</f>
        <v>45982</v>
      </c>
      <c r="N1359" s="13">
        <f>IFERROR(__xludf.DUMMYFUNCTION("""COMPUTED_VALUE"""),45982.0)</f>
        <v>45982</v>
      </c>
      <c r="O1359" s="5">
        <v>2025.0</v>
      </c>
      <c r="P1359" s="5" t="str">
        <f>IFERROR(__xludf.DUMMYFUNCTION("""COMPUTED_VALUE"""),"Not stated")</f>
        <v>Not stated</v>
      </c>
      <c r="Q1359" s="5" t="s">
        <v>135</v>
      </c>
      <c r="R1359" s="5" t="s">
        <v>136</v>
      </c>
      <c r="S1359" s="11">
        <v>339.0</v>
      </c>
    </row>
    <row r="1360">
      <c r="A1360" s="5" t="str">
        <f>IFERROR(__xludf.DUMMYFUNCTION("""COMPUTED_VALUE"""),"Potassium Chloride Tablet, Extended Release")</f>
        <v>Potassium Chloride Tablet, Extended Release</v>
      </c>
      <c r="B1360" s="5" t="str">
        <f>IFERROR(__xludf.DUMMYFUNCTION("""COMPUTED_VALUE"""),"Teva Pharmaceuticals USA, Inc.")</f>
        <v>Teva Pharmaceuticals USA, Inc.</v>
      </c>
      <c r="C1360" s="5" t="str">
        <f>IFERROR(__xludf.DUMMYFUNCTION("""COMPUTED_VALUE"""),"Potassium Chloride, Tablet, Extended Release, 20 meq (NDC 62037-720-01)")</f>
        <v>Potassium Chloride, Tablet, Extended Release, 20 meq (NDC 62037-720-01)</v>
      </c>
      <c r="D1360" s="5" t="str">
        <f>IFERROR(__xludf.DUMMYFUNCTION("""COMPUTED_VALUE"""),"New")</f>
        <v>New</v>
      </c>
      <c r="E1360" s="13">
        <f>IFERROR(__xludf.DUMMYFUNCTION("""COMPUTED_VALUE"""),45982.0)</f>
        <v>45982</v>
      </c>
      <c r="F1360" s="5"/>
      <c r="G1360" s="5" t="str">
        <f>IFERROR(__xludf.DUMMYFUNCTION("""COMPUTED_VALUE"""),"Discontinuation of the manufacture of the drug")</f>
        <v>Discontinuation of the manufacture of the drug</v>
      </c>
      <c r="H1360" s="5"/>
      <c r="I1360" s="5"/>
      <c r="J1360" s="5" t="str">
        <f>IFERROR(__xludf.DUMMYFUNCTION("""COMPUTED_VALUE"""),"Endocrinology/Metabolism; Gastroenterology")</f>
        <v>Endocrinology/Metabolism; Gastroenterology</v>
      </c>
      <c r="K1360" s="5" t="str">
        <f>IFERROR(__xludf.DUMMYFUNCTION("""COMPUTED_VALUE"""),"To Be Discontinued")</f>
        <v>To Be Discontinued</v>
      </c>
      <c r="L1360" s="5"/>
      <c r="M1360" s="13">
        <f>IFERROR(__xludf.DUMMYFUNCTION("""COMPUTED_VALUE"""),45982.0)</f>
        <v>45982</v>
      </c>
      <c r="N1360" s="13">
        <f>IFERROR(__xludf.DUMMYFUNCTION("""COMPUTED_VALUE"""),45982.0)</f>
        <v>45982</v>
      </c>
      <c r="O1360" s="5">
        <v>2025.0</v>
      </c>
      <c r="P1360" s="5" t="str">
        <f>IFERROR(__xludf.DUMMYFUNCTION("""COMPUTED_VALUE"""),"Not stated")</f>
        <v>Not stated</v>
      </c>
      <c r="Q1360" s="5" t="s">
        <v>135</v>
      </c>
      <c r="R1360" s="5" t="s">
        <v>136</v>
      </c>
      <c r="S1360" s="11">
        <v>339.0</v>
      </c>
    </row>
    <row r="1361">
      <c r="A1361" s="5" t="str">
        <f>IFERROR(__xludf.DUMMYFUNCTION("""COMPUTED_VALUE"""),"Potassium Chloride Tablet, Extended Release")</f>
        <v>Potassium Chloride Tablet, Extended Release</v>
      </c>
      <c r="B1361" s="5" t="str">
        <f>IFERROR(__xludf.DUMMYFUNCTION("""COMPUTED_VALUE"""),"Teva Pharmaceuticals USA, Inc.")</f>
        <v>Teva Pharmaceuticals USA, Inc.</v>
      </c>
      <c r="C1361" s="5" t="str">
        <f>IFERROR(__xludf.DUMMYFUNCTION("""COMPUTED_VALUE"""),"Potassium Chloride, Tablet, Extended Release, 20 meq (NDC 62037-720-05)")</f>
        <v>Potassium Chloride, Tablet, Extended Release, 20 meq (NDC 62037-720-05)</v>
      </c>
      <c r="D1361" s="5" t="str">
        <f>IFERROR(__xludf.DUMMYFUNCTION("""COMPUTED_VALUE"""),"New")</f>
        <v>New</v>
      </c>
      <c r="E1361" s="13">
        <f>IFERROR(__xludf.DUMMYFUNCTION("""COMPUTED_VALUE"""),45982.0)</f>
        <v>45982</v>
      </c>
      <c r="F1361" s="5"/>
      <c r="G1361" s="5" t="str">
        <f>IFERROR(__xludf.DUMMYFUNCTION("""COMPUTED_VALUE"""),"Discontinuation of the manufacture of the drug")</f>
        <v>Discontinuation of the manufacture of the drug</v>
      </c>
      <c r="H1361" s="5"/>
      <c r="I1361" s="5"/>
      <c r="J1361" s="5" t="str">
        <f>IFERROR(__xludf.DUMMYFUNCTION("""COMPUTED_VALUE"""),"Endocrinology/Metabolism; Gastroenterology")</f>
        <v>Endocrinology/Metabolism; Gastroenterology</v>
      </c>
      <c r="K1361" s="5" t="str">
        <f>IFERROR(__xludf.DUMMYFUNCTION("""COMPUTED_VALUE"""),"To Be Discontinued")</f>
        <v>To Be Discontinued</v>
      </c>
      <c r="L1361" s="5"/>
      <c r="M1361" s="13">
        <f>IFERROR(__xludf.DUMMYFUNCTION("""COMPUTED_VALUE"""),45982.0)</f>
        <v>45982</v>
      </c>
      <c r="N1361" s="13">
        <f>IFERROR(__xludf.DUMMYFUNCTION("""COMPUTED_VALUE"""),45982.0)</f>
        <v>45982</v>
      </c>
      <c r="O1361" s="5">
        <v>2025.0</v>
      </c>
      <c r="P1361" s="5" t="str">
        <f>IFERROR(__xludf.DUMMYFUNCTION("""COMPUTED_VALUE"""),"Not stated")</f>
        <v>Not stated</v>
      </c>
      <c r="Q1361" s="5" t="s">
        <v>135</v>
      </c>
      <c r="R1361" s="5" t="s">
        <v>136</v>
      </c>
      <c r="S1361" s="11">
        <v>339.0</v>
      </c>
    </row>
    <row r="1362">
      <c r="A1362" s="5" t="str">
        <f>IFERROR(__xludf.DUMMYFUNCTION("""COMPUTED_VALUE"""),"Potassium Chloride Tablet, Extended Release")</f>
        <v>Potassium Chloride Tablet, Extended Release</v>
      </c>
      <c r="B1362" s="5" t="str">
        <f>IFERROR(__xludf.DUMMYFUNCTION("""COMPUTED_VALUE"""),"Teva Pharmaceuticals USA, Inc.")</f>
        <v>Teva Pharmaceuticals USA, Inc.</v>
      </c>
      <c r="C1362" s="5" t="str">
        <f>IFERROR(__xludf.DUMMYFUNCTION("""COMPUTED_VALUE"""),"Potassium Chloride, Tablet, Extended Release, 20 meq (NDC 62037-720-10)")</f>
        <v>Potassium Chloride, Tablet, Extended Release, 20 meq (NDC 62037-720-10)</v>
      </c>
      <c r="D1362" s="5" t="str">
        <f>IFERROR(__xludf.DUMMYFUNCTION("""COMPUTED_VALUE"""),"New")</f>
        <v>New</v>
      </c>
      <c r="E1362" s="13">
        <f>IFERROR(__xludf.DUMMYFUNCTION("""COMPUTED_VALUE"""),45982.0)</f>
        <v>45982</v>
      </c>
      <c r="F1362" s="5"/>
      <c r="G1362" s="5" t="str">
        <f>IFERROR(__xludf.DUMMYFUNCTION("""COMPUTED_VALUE"""),"Discontinuation of the manufacture of the drug")</f>
        <v>Discontinuation of the manufacture of the drug</v>
      </c>
      <c r="H1362" s="5"/>
      <c r="I1362" s="5"/>
      <c r="J1362" s="5" t="str">
        <f>IFERROR(__xludf.DUMMYFUNCTION("""COMPUTED_VALUE"""),"Endocrinology/Metabolism; Gastroenterology")</f>
        <v>Endocrinology/Metabolism; Gastroenterology</v>
      </c>
      <c r="K1362" s="5" t="str">
        <f>IFERROR(__xludf.DUMMYFUNCTION("""COMPUTED_VALUE"""),"To Be Discontinued")</f>
        <v>To Be Discontinued</v>
      </c>
      <c r="L1362" s="5"/>
      <c r="M1362" s="13">
        <f>IFERROR(__xludf.DUMMYFUNCTION("""COMPUTED_VALUE"""),45982.0)</f>
        <v>45982</v>
      </c>
      <c r="N1362" s="13">
        <f>IFERROR(__xludf.DUMMYFUNCTION("""COMPUTED_VALUE"""),45982.0)</f>
        <v>45982</v>
      </c>
      <c r="O1362" s="5">
        <v>2025.0</v>
      </c>
      <c r="P1362" s="5" t="str">
        <f>IFERROR(__xludf.DUMMYFUNCTION("""COMPUTED_VALUE"""),"Not stated")</f>
        <v>Not stated</v>
      </c>
      <c r="Q1362" s="5" t="s">
        <v>135</v>
      </c>
      <c r="R1362" s="5" t="s">
        <v>136</v>
      </c>
      <c r="S1362" s="11">
        <v>339.0</v>
      </c>
    </row>
    <row r="1363">
      <c r="A1363" s="5" t="str">
        <f>IFERROR(__xludf.DUMMYFUNCTION("""COMPUTED_VALUE"""),"Potassium Chloride, Sodium Chloride, Calcium Chloride, and Magnesium Chloride Injection, Solution")</f>
        <v>Potassium Chloride, Sodium Chloride, Calcium Chloride, and Magnesium Chloride Injection, Solution</v>
      </c>
      <c r="B1363" s="5" t="str">
        <f>IFERROR(__xludf.DUMMYFUNCTION("""COMPUTED_VALUE"""),"Fresenius Kabi USA, LLC")</f>
        <v>Fresenius Kabi USA, LLC</v>
      </c>
      <c r="C1363" s="5" t="str">
        <f>IFERROR(__xludf.DUMMYFUNCTION("""COMPUTED_VALUE"""),"Cardioplegic Solution, Injection, Solution, 17.6 mg/100 mL; 325.3 mg/100 mL; 119.3 mg/100 mL; 643 mg/100 mL (NDC 65219-258-10)")</f>
        <v>Cardioplegic Solution, Injection, Solution, 17.6 mg/100 mL; 325.3 mg/100 mL; 119.3 mg/100 mL; 643 mg/100 mL (NDC 65219-258-10)</v>
      </c>
      <c r="D1363" s="5" t="str">
        <f>IFERROR(__xludf.DUMMYFUNCTION("""COMPUTED_VALUE"""),"New")</f>
        <v>New</v>
      </c>
      <c r="E1363" s="10">
        <f>IFERROR(__xludf.DUMMYFUNCTION("""COMPUTED_VALUE"""),46265.0)</f>
        <v>46265</v>
      </c>
      <c r="F1363" s="5"/>
      <c r="G1363" s="5" t="str">
        <f>IFERROR(__xludf.DUMMYFUNCTION("""COMPUTED_VALUE"""),"Discontinuation of the manufacture of the drug")</f>
        <v>Discontinuation of the manufacture of the drug</v>
      </c>
      <c r="H1363" s="5"/>
      <c r="I1363" s="5"/>
      <c r="J1363" s="5" t="str">
        <f>IFERROR(__xludf.DUMMYFUNCTION("""COMPUTED_VALUE"""),"Cardiovascular")</f>
        <v>Cardiovascular</v>
      </c>
      <c r="K1363" s="5" t="str">
        <f>IFERROR(__xludf.DUMMYFUNCTION("""COMPUTED_VALUE"""),"To Be Discontinued")</f>
        <v>To Be Discontinued</v>
      </c>
      <c r="L1363" s="5"/>
      <c r="M1363" s="10">
        <f>IFERROR(__xludf.DUMMYFUNCTION("""COMPUTED_VALUE"""),46265.0)</f>
        <v>46265</v>
      </c>
      <c r="N1363" s="10">
        <f>IFERROR(__xludf.DUMMYFUNCTION("""COMPUTED_VALUE"""),46265.0)</f>
        <v>46265</v>
      </c>
      <c r="O1363" s="5">
        <v>2026.0</v>
      </c>
      <c r="P1363" s="5" t="str">
        <f>IFERROR(__xludf.DUMMYFUNCTION("""COMPUTED_VALUE"""),"Not stated")</f>
        <v>Not stated</v>
      </c>
      <c r="Q1363" s="5" t="s">
        <v>135</v>
      </c>
      <c r="R1363" s="5" t="s">
        <v>136</v>
      </c>
      <c r="S1363" s="11">
        <v>56.0</v>
      </c>
    </row>
    <row r="1364">
      <c r="A1364" s="5" t="str">
        <f>IFERROR(__xludf.DUMMYFUNCTION("""COMPUTED_VALUE"""),"Pramlintide Acetate Injection")</f>
        <v>Pramlintide Acetate Injection</v>
      </c>
      <c r="B1364" s="5" t="str">
        <f>IFERROR(__xludf.DUMMYFUNCTION("""COMPUTED_VALUE"""),"AstraZeneca AB")</f>
        <v>AstraZeneca AB</v>
      </c>
      <c r="C1364" s="5" t="str">
        <f>IFERROR(__xludf.DUMMYFUNCTION("""COMPUTED_VALUE"""),"SymlinPen® 60 , Injection, 1000 ug/1 mL (NDC 0310-6615-02)")</f>
        <v>SymlinPen® 60 , Injection, 1000 ug/1 mL (NDC 0310-6615-02)</v>
      </c>
      <c r="D1364" s="5" t="str">
        <f>IFERROR(__xludf.DUMMYFUNCTION("""COMPUTED_VALUE"""),"New")</f>
        <v>New</v>
      </c>
      <c r="E1364" s="13">
        <f>IFERROR(__xludf.DUMMYFUNCTION("""COMPUTED_VALUE"""),45957.0)</f>
        <v>45957</v>
      </c>
      <c r="F1364" s="5"/>
      <c r="G1364" s="5" t="str">
        <f>IFERROR(__xludf.DUMMYFUNCTION("""COMPUTED_VALUE"""),"Discontinuation of the manufacture of the drug.")</f>
        <v>Discontinuation of the manufacture of the drug.</v>
      </c>
      <c r="H1364" s="5"/>
      <c r="I1364" s="5"/>
      <c r="J1364" s="5" t="str">
        <f>IFERROR(__xludf.DUMMYFUNCTION("""COMPUTED_VALUE"""),"Endocrinology/Metabolism")</f>
        <v>Endocrinology/Metabolism</v>
      </c>
      <c r="K1364" s="5" t="str">
        <f>IFERROR(__xludf.DUMMYFUNCTION("""COMPUTED_VALUE"""),"To Be Discontinued")</f>
        <v>To Be Discontinued</v>
      </c>
      <c r="L1364" s="5"/>
      <c r="M1364" s="13">
        <f>IFERROR(__xludf.DUMMYFUNCTION("""COMPUTED_VALUE"""),45957.0)</f>
        <v>45957</v>
      </c>
      <c r="N1364" s="13">
        <f>IFERROR(__xludf.DUMMYFUNCTION("""COMPUTED_VALUE"""),45957.0)</f>
        <v>45957</v>
      </c>
      <c r="O1364" s="5">
        <v>2025.0</v>
      </c>
      <c r="P1364" s="5" t="str">
        <f>IFERROR(__xludf.DUMMYFUNCTION("""COMPUTED_VALUE"""),"Not stated")</f>
        <v>Not stated</v>
      </c>
      <c r="Q1364" s="5" t="s">
        <v>135</v>
      </c>
      <c r="R1364" s="5" t="s">
        <v>136</v>
      </c>
      <c r="S1364" s="11">
        <v>364.0</v>
      </c>
    </row>
    <row r="1365">
      <c r="A1365" s="5" t="str">
        <f>IFERROR(__xludf.DUMMYFUNCTION("""COMPUTED_VALUE"""),"Pramlintide Acetate Injection")</f>
        <v>Pramlintide Acetate Injection</v>
      </c>
      <c r="B1365" s="5" t="str">
        <f>IFERROR(__xludf.DUMMYFUNCTION("""COMPUTED_VALUE"""),"AstraZeneca AB")</f>
        <v>AstraZeneca AB</v>
      </c>
      <c r="C1365" s="5" t="str">
        <f>IFERROR(__xludf.DUMMYFUNCTION("""COMPUTED_VALUE"""),"SymlinPen® 120 , Injection, 1000 ug/1 mL (NDC 0310-6627-02)")</f>
        <v>SymlinPen® 120 , Injection, 1000 ug/1 mL (NDC 0310-6627-02)</v>
      </c>
      <c r="D1365" s="5" t="str">
        <f>IFERROR(__xludf.DUMMYFUNCTION("""COMPUTED_VALUE"""),"New")</f>
        <v>New</v>
      </c>
      <c r="E1365" s="13">
        <f>IFERROR(__xludf.DUMMYFUNCTION("""COMPUTED_VALUE"""),45957.0)</f>
        <v>45957</v>
      </c>
      <c r="F1365" s="5"/>
      <c r="G1365" s="5" t="str">
        <f>IFERROR(__xludf.DUMMYFUNCTION("""COMPUTED_VALUE"""),"Discontinuation of the manufacture of the drug.")</f>
        <v>Discontinuation of the manufacture of the drug.</v>
      </c>
      <c r="H1365" s="5"/>
      <c r="I1365" s="5"/>
      <c r="J1365" s="5" t="str">
        <f>IFERROR(__xludf.DUMMYFUNCTION("""COMPUTED_VALUE"""),"Endocrinology/Metabolism")</f>
        <v>Endocrinology/Metabolism</v>
      </c>
      <c r="K1365" s="5" t="str">
        <f>IFERROR(__xludf.DUMMYFUNCTION("""COMPUTED_VALUE"""),"To Be Discontinued")</f>
        <v>To Be Discontinued</v>
      </c>
      <c r="L1365" s="5"/>
      <c r="M1365" s="13">
        <f>IFERROR(__xludf.DUMMYFUNCTION("""COMPUTED_VALUE"""),45957.0)</f>
        <v>45957</v>
      </c>
      <c r="N1365" s="13">
        <f>IFERROR(__xludf.DUMMYFUNCTION("""COMPUTED_VALUE"""),45957.0)</f>
        <v>45957</v>
      </c>
      <c r="O1365" s="5">
        <v>2025.0</v>
      </c>
      <c r="P1365" s="5" t="str">
        <f>IFERROR(__xludf.DUMMYFUNCTION("""COMPUTED_VALUE"""),"Not stated")</f>
        <v>Not stated</v>
      </c>
      <c r="Q1365" s="5" t="s">
        <v>135</v>
      </c>
      <c r="R1365" s="5" t="s">
        <v>136</v>
      </c>
      <c r="S1365" s="11">
        <v>364.0</v>
      </c>
    </row>
    <row r="1366">
      <c r="A1366" s="5" t="str">
        <f>IFERROR(__xludf.DUMMYFUNCTION("""COMPUTED_VALUE"""),"Prazosin Hydrochloride Capsule")</f>
        <v>Prazosin Hydrochloride Capsule</v>
      </c>
      <c r="B1366" s="5" t="str">
        <f>IFERROR(__xludf.DUMMYFUNCTION("""COMPUTED_VALUE"""),"Pfizer Inc.")</f>
        <v>Pfizer Inc.</v>
      </c>
      <c r="C1366" s="5" t="str">
        <f>IFERROR(__xludf.DUMMYFUNCTION("""COMPUTED_VALUE"""),"Minipress, Capsule, 1 mg (NDC 0069-4310-71)")</f>
        <v>Minipress, Capsule, 1 mg (NDC 0069-4310-71)</v>
      </c>
      <c r="D1366" s="5" t="str">
        <f>IFERROR(__xludf.DUMMYFUNCTION("""COMPUTED_VALUE"""),"New")</f>
        <v>New</v>
      </c>
      <c r="E1366" s="10">
        <f>IFERROR(__xludf.DUMMYFUNCTION("""COMPUTED_VALUE"""),45044.0)</f>
        <v>45044</v>
      </c>
      <c r="F1366" s="5"/>
      <c r="G1366" s="5" t="str">
        <f>IFERROR(__xludf.DUMMYFUNCTION("""COMPUTED_VALUE"""),"Discontinuation of the manufacture of the drug. Supply expected to exhaust in August 2023")</f>
        <v>Discontinuation of the manufacture of the drug. Supply expected to exhaust in August 2023</v>
      </c>
      <c r="H1366" s="5"/>
      <c r="I1366" s="5"/>
      <c r="J1366" s="5" t="str">
        <f>IFERROR(__xludf.DUMMYFUNCTION("""COMPUTED_VALUE"""),"Cardiovascular")</f>
        <v>Cardiovascular</v>
      </c>
      <c r="K1366" s="5" t="str">
        <f>IFERROR(__xludf.DUMMYFUNCTION("""COMPUTED_VALUE"""),"To Be Discontinued")</f>
        <v>To Be Discontinued</v>
      </c>
      <c r="L1366" s="10">
        <f>IFERROR(__xludf.DUMMYFUNCTION("""COMPUTED_VALUE"""),45044.0)</f>
        <v>45044</v>
      </c>
      <c r="M1366" s="10">
        <f>IFERROR(__xludf.DUMMYFUNCTION("""COMPUTED_VALUE"""),45044.0)</f>
        <v>45044</v>
      </c>
      <c r="N1366" s="10">
        <f>IFERROR(__xludf.DUMMYFUNCTION("""COMPUTED_VALUE"""),45044.0)</f>
        <v>45044</v>
      </c>
      <c r="O1366" s="5">
        <v>2023.0</v>
      </c>
      <c r="P1366" s="5" t="str">
        <f>IFERROR(__xludf.DUMMYFUNCTION("""COMPUTED_VALUE"""),"Not stated")</f>
        <v>Not stated</v>
      </c>
      <c r="Q1366" s="5" t="s">
        <v>135</v>
      </c>
      <c r="R1366" s="5" t="s">
        <v>136</v>
      </c>
      <c r="S1366" s="11">
        <v>1277.0</v>
      </c>
    </row>
    <row r="1367">
      <c r="A1367" s="5" t="str">
        <f>IFERROR(__xludf.DUMMYFUNCTION("""COMPUTED_VALUE"""),"Prazosin Hydrochloride Capsule")</f>
        <v>Prazosin Hydrochloride Capsule</v>
      </c>
      <c r="B1367" s="5" t="str">
        <f>IFERROR(__xludf.DUMMYFUNCTION("""COMPUTED_VALUE"""),"Pfizer Inc.")</f>
        <v>Pfizer Inc.</v>
      </c>
      <c r="C1367" s="5" t="str">
        <f>IFERROR(__xludf.DUMMYFUNCTION("""COMPUTED_VALUE"""),"Minipress, Capsule, 2 mg (NDC 0069-4370-71)")</f>
        <v>Minipress, Capsule, 2 mg (NDC 0069-4370-71)</v>
      </c>
      <c r="D1367" s="5" t="str">
        <f>IFERROR(__xludf.DUMMYFUNCTION("""COMPUTED_VALUE"""),"New")</f>
        <v>New</v>
      </c>
      <c r="E1367" s="10">
        <f>IFERROR(__xludf.DUMMYFUNCTION("""COMPUTED_VALUE"""),45044.0)</f>
        <v>45044</v>
      </c>
      <c r="F1367" s="5"/>
      <c r="G1367" s="5" t="str">
        <f>IFERROR(__xludf.DUMMYFUNCTION("""COMPUTED_VALUE"""),"Discontinuation of the manufacture of the drug. Supply expected to exhaust in September 2023")</f>
        <v>Discontinuation of the manufacture of the drug. Supply expected to exhaust in September 2023</v>
      </c>
      <c r="H1367" s="5"/>
      <c r="I1367" s="5"/>
      <c r="J1367" s="5" t="str">
        <f>IFERROR(__xludf.DUMMYFUNCTION("""COMPUTED_VALUE"""),"Cardiovascular")</f>
        <v>Cardiovascular</v>
      </c>
      <c r="K1367" s="5" t="str">
        <f>IFERROR(__xludf.DUMMYFUNCTION("""COMPUTED_VALUE"""),"To Be Discontinued")</f>
        <v>To Be Discontinued</v>
      </c>
      <c r="L1367" s="10">
        <f>IFERROR(__xludf.DUMMYFUNCTION("""COMPUTED_VALUE"""),45044.0)</f>
        <v>45044</v>
      </c>
      <c r="M1367" s="10">
        <f>IFERROR(__xludf.DUMMYFUNCTION("""COMPUTED_VALUE"""),45044.0)</f>
        <v>45044</v>
      </c>
      <c r="N1367" s="10">
        <f>IFERROR(__xludf.DUMMYFUNCTION("""COMPUTED_VALUE"""),45044.0)</f>
        <v>45044</v>
      </c>
      <c r="O1367" s="5">
        <v>2023.0</v>
      </c>
      <c r="P1367" s="5" t="str">
        <f>IFERROR(__xludf.DUMMYFUNCTION("""COMPUTED_VALUE"""),"Not stated")</f>
        <v>Not stated</v>
      </c>
      <c r="Q1367" s="5" t="s">
        <v>135</v>
      </c>
      <c r="R1367" s="5" t="s">
        <v>136</v>
      </c>
      <c r="S1367" s="11">
        <v>1277.0</v>
      </c>
    </row>
    <row r="1368">
      <c r="A1368" s="5" t="str">
        <f>IFERROR(__xludf.DUMMYFUNCTION("""COMPUTED_VALUE"""),"Prazosin Hydrochloride Capsule")</f>
        <v>Prazosin Hydrochloride Capsule</v>
      </c>
      <c r="B1368" s="5" t="str">
        <f>IFERROR(__xludf.DUMMYFUNCTION("""COMPUTED_VALUE"""),"Pfizer Inc.")</f>
        <v>Pfizer Inc.</v>
      </c>
      <c r="C1368" s="5" t="str">
        <f>IFERROR(__xludf.DUMMYFUNCTION("""COMPUTED_VALUE"""),"Minipress, Capsule, 5 mg (NDC 0069-4380-71)")</f>
        <v>Minipress, Capsule, 5 mg (NDC 0069-4380-71)</v>
      </c>
      <c r="D1368" s="5" t="str">
        <f>IFERROR(__xludf.DUMMYFUNCTION("""COMPUTED_VALUE"""),"New")</f>
        <v>New</v>
      </c>
      <c r="E1368" s="10">
        <f>IFERROR(__xludf.DUMMYFUNCTION("""COMPUTED_VALUE"""),45044.0)</f>
        <v>45044</v>
      </c>
      <c r="F1368" s="5"/>
      <c r="G1368" s="5" t="str">
        <f>IFERROR(__xludf.DUMMYFUNCTION("""COMPUTED_VALUE"""),"Discontinuation of the manufacture of the drug. Supply expected to exhaust in September 2023")</f>
        <v>Discontinuation of the manufacture of the drug. Supply expected to exhaust in September 2023</v>
      </c>
      <c r="H1368" s="5"/>
      <c r="I1368" s="5"/>
      <c r="J1368" s="5" t="str">
        <f>IFERROR(__xludf.DUMMYFUNCTION("""COMPUTED_VALUE"""),"Cardiovascular")</f>
        <v>Cardiovascular</v>
      </c>
      <c r="K1368" s="5" t="str">
        <f>IFERROR(__xludf.DUMMYFUNCTION("""COMPUTED_VALUE"""),"To Be Discontinued")</f>
        <v>To Be Discontinued</v>
      </c>
      <c r="L1368" s="10">
        <f>IFERROR(__xludf.DUMMYFUNCTION("""COMPUTED_VALUE"""),45044.0)</f>
        <v>45044</v>
      </c>
      <c r="M1368" s="10">
        <f>IFERROR(__xludf.DUMMYFUNCTION("""COMPUTED_VALUE"""),45044.0)</f>
        <v>45044</v>
      </c>
      <c r="N1368" s="10">
        <f>IFERROR(__xludf.DUMMYFUNCTION("""COMPUTED_VALUE"""),45044.0)</f>
        <v>45044</v>
      </c>
      <c r="O1368" s="5">
        <v>2023.0</v>
      </c>
      <c r="P1368" s="5" t="str">
        <f>IFERROR(__xludf.DUMMYFUNCTION("""COMPUTED_VALUE"""),"Not stated")</f>
        <v>Not stated</v>
      </c>
      <c r="Q1368" s="5" t="s">
        <v>135</v>
      </c>
      <c r="R1368" s="5" t="s">
        <v>136</v>
      </c>
      <c r="S1368" s="11">
        <v>1277.0</v>
      </c>
    </row>
    <row r="1369">
      <c r="A1369" s="5" t="str">
        <f>IFERROR(__xludf.DUMMYFUNCTION("""COMPUTED_VALUE"""),"Progesterone Vaginal Gel")</f>
        <v>Progesterone Vaginal Gel</v>
      </c>
      <c r="B1369" s="5" t="str">
        <f>IFERROR(__xludf.DUMMYFUNCTION("""COMPUTED_VALUE"""),"AbbVie Inc.")</f>
        <v>AbbVie Inc.</v>
      </c>
      <c r="C1369" s="5" t="str">
        <f>IFERROR(__xludf.DUMMYFUNCTION("""COMPUTED_VALUE"""),"Crinone, Vaginal Gel, 4% (NDC 0023-6150-04)")</f>
        <v>Crinone, Vaginal Gel, 4% (NDC 0023-6150-04)</v>
      </c>
      <c r="D1369" s="5" t="str">
        <f>IFERROR(__xludf.DUMMYFUNCTION("""COMPUTED_VALUE"""),"New")</f>
        <v>New</v>
      </c>
      <c r="E1369" s="10">
        <f>IFERROR(__xludf.DUMMYFUNCTION("""COMPUTED_VALUE"""),46108.0)</f>
        <v>46108</v>
      </c>
      <c r="F1369" s="5"/>
      <c r="G1369" s="5" t="str">
        <f>IFERROR(__xludf.DUMMYFUNCTION("""COMPUTED_VALUE"""),"Discontinuation of the manufacture of the drug")</f>
        <v>Discontinuation of the manufacture of the drug</v>
      </c>
      <c r="H1369" s="5"/>
      <c r="I1369" s="5"/>
      <c r="J1369" s="5" t="str">
        <f>IFERROR(__xludf.DUMMYFUNCTION("""COMPUTED_VALUE"""),"Urology")</f>
        <v>Urology</v>
      </c>
      <c r="K1369" s="5" t="str">
        <f>IFERROR(__xludf.DUMMYFUNCTION("""COMPUTED_VALUE"""),"To Be Discontinued")</f>
        <v>To Be Discontinued</v>
      </c>
      <c r="L1369" s="5"/>
      <c r="M1369" s="10">
        <f>IFERROR(__xludf.DUMMYFUNCTION("""COMPUTED_VALUE"""),46108.0)</f>
        <v>46108</v>
      </c>
      <c r="N1369" s="10">
        <f>IFERROR(__xludf.DUMMYFUNCTION("""COMPUTED_VALUE"""),46108.0)</f>
        <v>46108</v>
      </c>
      <c r="O1369" s="5">
        <v>2026.0</v>
      </c>
      <c r="P1369" s="5" t="str">
        <f>IFERROR(__xludf.DUMMYFUNCTION("""COMPUTED_VALUE"""),"Not stated")</f>
        <v>Not stated</v>
      </c>
      <c r="Q1369" s="5" t="s">
        <v>135</v>
      </c>
      <c r="R1369" s="5" t="s">
        <v>136</v>
      </c>
      <c r="S1369" s="11">
        <v>213.0</v>
      </c>
    </row>
    <row r="1370">
      <c r="A1370" s="5" t="str">
        <f>IFERROR(__xludf.DUMMYFUNCTION("""COMPUTED_VALUE"""),"Promethazine Hydrochloride Injection")</f>
        <v>Promethazine Hydrochloride Injection</v>
      </c>
      <c r="B1370" s="5" t="str">
        <f>IFERROR(__xludf.DUMMYFUNCTION("""COMPUTED_VALUE"""),"XGen Pharmaceuticals DJB, Inc.")</f>
        <v>XGen Pharmaceuticals DJB, Inc.</v>
      </c>
      <c r="C1370" s="5" t="str">
        <f>IFERROR(__xludf.DUMMYFUNCTION("""COMPUTED_VALUE"""),"Promethazine Hydrochloride, Injection, 25 mg/1 mL (NDC 39822-5525-3)")</f>
        <v>Promethazine Hydrochloride, Injection, 25 mg/1 mL (NDC 39822-5525-3)</v>
      </c>
      <c r="D1370" s="5" t="str">
        <f>IFERROR(__xludf.DUMMYFUNCTION("""COMPUTED_VALUE"""),"Reverified")</f>
        <v>Reverified</v>
      </c>
      <c r="E1370" s="10">
        <f>IFERROR(__xludf.DUMMYFUNCTION("""COMPUTED_VALUE"""),46287.0)</f>
        <v>46287</v>
      </c>
      <c r="F1370" s="5" t="str">
        <f>IFERROR(__xludf.DUMMYFUNCTION("""COMPUTED_VALUE"""),"Available")</f>
        <v>Available</v>
      </c>
      <c r="G1370" s="5"/>
      <c r="H1370" s="5"/>
      <c r="I1370" s="5"/>
      <c r="J1370" s="5" t="str">
        <f>IFERROR(__xludf.DUMMYFUNCTION("""COMPUTED_VALUE"""),"Analgesia/Addiction; Gastroenterology; Other; Pulmonary/Allergy")</f>
        <v>Analgesia/Addiction; Gastroenterology; Other; Pulmonary/Allergy</v>
      </c>
      <c r="K1370" s="5" t="str">
        <f>IFERROR(__xludf.DUMMYFUNCTION("""COMPUTED_VALUE"""),"Current")</f>
        <v>Current</v>
      </c>
      <c r="L1370" s="5"/>
      <c r="M1370" s="5"/>
      <c r="N1370" s="13">
        <f>IFERROR(__xludf.DUMMYFUNCTION("""COMPUTED_VALUE"""),45251.0)</f>
        <v>45251</v>
      </c>
      <c r="O1370" s="5">
        <v>2023.0</v>
      </c>
      <c r="P1370" s="5" t="str">
        <f>IFERROR(__xludf.DUMMYFUNCTION("""COMPUTED_VALUE"""),"Available")</f>
        <v>Available</v>
      </c>
      <c r="Q1370" s="5" t="s">
        <v>135</v>
      </c>
      <c r="R1370" s="5" t="s">
        <v>136</v>
      </c>
      <c r="S1370" s="11">
        <v>1070.0</v>
      </c>
    </row>
    <row r="1371">
      <c r="A1371" s="5" t="str">
        <f>IFERROR(__xludf.DUMMYFUNCTION("""COMPUTED_VALUE"""),"Promethazine Hydrochloride Injection")</f>
        <v>Promethazine Hydrochloride Injection</v>
      </c>
      <c r="B1371" s="5" t="str">
        <f>IFERROR(__xludf.DUMMYFUNCTION("""COMPUTED_VALUE"""),"XGen Pharmaceuticals DJB, Inc.")</f>
        <v>XGen Pharmaceuticals DJB, Inc.</v>
      </c>
      <c r="C1371" s="5" t="str">
        <f>IFERROR(__xludf.DUMMYFUNCTION("""COMPUTED_VALUE"""),"Promethazine Hydrochloride, Injection, 50 mg/1 mL (NDC 39822-5550-6)")</f>
        <v>Promethazine Hydrochloride, Injection, 50 mg/1 mL (NDC 39822-5550-6)</v>
      </c>
      <c r="D1371" s="5" t="str">
        <f>IFERROR(__xludf.DUMMYFUNCTION("""COMPUTED_VALUE"""),"Reverified")</f>
        <v>Reverified</v>
      </c>
      <c r="E1371" s="10">
        <f>IFERROR(__xludf.DUMMYFUNCTION("""COMPUTED_VALUE"""),46287.0)</f>
        <v>46287</v>
      </c>
      <c r="F1371" s="5" t="str">
        <f>IFERROR(__xludf.DUMMYFUNCTION("""COMPUTED_VALUE"""),"Unvailable")</f>
        <v>Unvailable</v>
      </c>
      <c r="G1371" s="5" t="str">
        <f>IFERROR(__xludf.DUMMYFUNCTION("""COMPUTED_VALUE"""),"Estimated recovery: TBD")</f>
        <v>Estimated recovery: TBD</v>
      </c>
      <c r="H1371" s="5"/>
      <c r="I1371" s="5" t="str">
        <f>IFERROR(__xludf.DUMMYFUNCTION("""COMPUTED_VALUE"""),"Demand increase for the drug")</f>
        <v>Demand increase for the drug</v>
      </c>
      <c r="J1371" s="5" t="str">
        <f>IFERROR(__xludf.DUMMYFUNCTION("""COMPUTED_VALUE"""),"Analgesia/Addiction; Gastroenterology; Other; Pulmonary/Allergy")</f>
        <v>Analgesia/Addiction; Gastroenterology; Other; Pulmonary/Allergy</v>
      </c>
      <c r="K1371" s="5" t="str">
        <f>IFERROR(__xludf.DUMMYFUNCTION("""COMPUTED_VALUE"""),"Current")</f>
        <v>Current</v>
      </c>
      <c r="L1371" s="5"/>
      <c r="M1371" s="5"/>
      <c r="N1371" s="13">
        <f>IFERROR(__xludf.DUMMYFUNCTION("""COMPUTED_VALUE"""),45251.0)</f>
        <v>45251</v>
      </c>
      <c r="O1371" s="5">
        <v>2023.0</v>
      </c>
      <c r="P1371" s="5" t="str">
        <f>IFERROR(__xludf.DUMMYFUNCTION("""COMPUTED_VALUE"""),"Unavailable")</f>
        <v>Unavailable</v>
      </c>
      <c r="Q1371" s="5" t="s">
        <v>134</v>
      </c>
      <c r="R1371" s="5" t="s">
        <v>136</v>
      </c>
      <c r="S1371" s="11">
        <v>1070.0</v>
      </c>
    </row>
    <row r="1372">
      <c r="A1372" s="5" t="str">
        <f>IFERROR(__xludf.DUMMYFUNCTION("""COMPUTED_VALUE"""),"Promethazine Hydrochloride Injection")</f>
        <v>Promethazine Hydrochloride Injection</v>
      </c>
      <c r="B1372" s="5" t="str">
        <f>IFERROR(__xludf.DUMMYFUNCTION("""COMPUTED_VALUE"""),"Hikma Pharmaceuticals USA, Inc.")</f>
        <v>Hikma Pharmaceuticals USA, Inc.</v>
      </c>
      <c r="C1372" s="5" t="str">
        <f>IFERROR(__xludf.DUMMYFUNCTION("""COMPUTED_VALUE"""),"Promethazine Hydrochloride, Injection, 25 mg/1 mL (NDC 0641-0928-25)")</f>
        <v>Promethazine Hydrochloride, Injection, 25 mg/1 mL (NDC 0641-0928-25)</v>
      </c>
      <c r="D1372" s="5" t="str">
        <f>IFERROR(__xludf.DUMMYFUNCTION("""COMPUTED_VALUE"""),"Revised")</f>
        <v>Revised</v>
      </c>
      <c r="E1372" s="13">
        <f>IFERROR(__xludf.DUMMYFUNCTION("""COMPUTED_VALUE"""),46309.0)</f>
        <v>46309</v>
      </c>
      <c r="F1372" s="5" t="str">
        <f>IFERROR(__xludf.DUMMYFUNCTION("""COMPUTED_VALUE"""),"Available")</f>
        <v>Available</v>
      </c>
      <c r="G1372" s="5" t="str">
        <f>IFERROR(__xludf.DUMMYFUNCTION("""COMPUTED_VALUE"""),"Additional lots are scheduled to be manufactured. Product will be made available as it is released.")</f>
        <v>Additional lots are scheduled to be manufactured. Product will be made available as it is released.</v>
      </c>
      <c r="H1372" s="5"/>
      <c r="I1372" s="5"/>
      <c r="J1372" s="5" t="str">
        <f>IFERROR(__xludf.DUMMYFUNCTION("""COMPUTED_VALUE"""),"Analgesia/Addiction; Gastroenterology; Pediatric; Pulmonary/Allergy")</f>
        <v>Analgesia/Addiction; Gastroenterology; Pediatric; Pulmonary/Allergy</v>
      </c>
      <c r="K1372" s="5" t="str">
        <f>IFERROR(__xludf.DUMMYFUNCTION("""COMPUTED_VALUE"""),"Current")</f>
        <v>Current</v>
      </c>
      <c r="L1372" s="5"/>
      <c r="M1372" s="5"/>
      <c r="N1372" s="13">
        <f>IFERROR(__xludf.DUMMYFUNCTION("""COMPUTED_VALUE"""),45251.0)</f>
        <v>45251</v>
      </c>
      <c r="O1372" s="5">
        <v>2023.0</v>
      </c>
      <c r="P1372" s="5" t="str">
        <f>IFERROR(__xludf.DUMMYFUNCTION("""COMPUTED_VALUE"""),"Available")</f>
        <v>Available</v>
      </c>
      <c r="Q1372" s="5" t="s">
        <v>135</v>
      </c>
      <c r="R1372" s="5" t="s">
        <v>136</v>
      </c>
      <c r="S1372" s="11">
        <v>1070.0</v>
      </c>
    </row>
    <row r="1373">
      <c r="A1373" s="5" t="str">
        <f>IFERROR(__xludf.DUMMYFUNCTION("""COMPUTED_VALUE"""),"Promethazine Hydrochloride Injection")</f>
        <v>Promethazine Hydrochloride Injection</v>
      </c>
      <c r="B1373" s="5" t="str">
        <f>IFERROR(__xludf.DUMMYFUNCTION("""COMPUTED_VALUE"""),"Hikma Pharmaceuticals USA, Inc.")</f>
        <v>Hikma Pharmaceuticals USA, Inc.</v>
      </c>
      <c r="C1373" s="5" t="str">
        <f>IFERROR(__xludf.DUMMYFUNCTION("""COMPUTED_VALUE"""),"Promethazine Hydrochloride, Injection, 50 mg/1 mL (NDC 0641-0929-25)")</f>
        <v>Promethazine Hydrochloride, Injection, 50 mg/1 mL (NDC 0641-0929-25)</v>
      </c>
      <c r="D1373" s="5" t="str">
        <f>IFERROR(__xludf.DUMMYFUNCTION("""COMPUTED_VALUE"""),"Revised")</f>
        <v>Revised</v>
      </c>
      <c r="E1373" s="13">
        <f>IFERROR(__xludf.DUMMYFUNCTION("""COMPUTED_VALUE"""),46309.0)</f>
        <v>46309</v>
      </c>
      <c r="F1373" s="5" t="str">
        <f>IFERROR(__xludf.DUMMYFUNCTION("""COMPUTED_VALUE"""),"Unavailable")</f>
        <v>Unavailable</v>
      </c>
      <c r="G1373" s="5" t="str">
        <f>IFERROR(__xludf.DUMMYFUNCTION("""COMPUTED_VALUE"""),"Estimated recovery: TBD")</f>
        <v>Estimated recovery: TBD</v>
      </c>
      <c r="H1373" s="5"/>
      <c r="I1373" s="5" t="str">
        <f>IFERROR(__xludf.DUMMYFUNCTION("""COMPUTED_VALUE"""),"Demand increase for the drug")</f>
        <v>Demand increase for the drug</v>
      </c>
      <c r="J1373" s="5" t="str">
        <f>IFERROR(__xludf.DUMMYFUNCTION("""COMPUTED_VALUE"""),"Analgesia/Addiction; Gastroenterology; Pediatric; Pulmonary/Allergy")</f>
        <v>Analgesia/Addiction; Gastroenterology; Pediatric; Pulmonary/Allergy</v>
      </c>
      <c r="K1373" s="5" t="str">
        <f>IFERROR(__xludf.DUMMYFUNCTION("""COMPUTED_VALUE"""),"Current")</f>
        <v>Current</v>
      </c>
      <c r="L1373" s="5"/>
      <c r="M1373" s="5"/>
      <c r="N1373" s="13">
        <f>IFERROR(__xludf.DUMMYFUNCTION("""COMPUTED_VALUE"""),45251.0)</f>
        <v>45251</v>
      </c>
      <c r="O1373" s="5">
        <v>2023.0</v>
      </c>
      <c r="P1373" s="5" t="str">
        <f>IFERROR(__xludf.DUMMYFUNCTION("""COMPUTED_VALUE"""),"Unavailable")</f>
        <v>Unavailable</v>
      </c>
      <c r="Q1373" s="5" t="s">
        <v>134</v>
      </c>
      <c r="R1373" s="5" t="s">
        <v>136</v>
      </c>
      <c r="S1373" s="11">
        <v>1070.0</v>
      </c>
    </row>
    <row r="1374">
      <c r="A1374" s="5" t="str">
        <f>IFERROR(__xludf.DUMMYFUNCTION("""COMPUTED_VALUE"""),"Promethazine Hydrochloride Injection")</f>
        <v>Promethazine Hydrochloride Injection</v>
      </c>
      <c r="B1374" s="5" t="str">
        <f>IFERROR(__xludf.DUMMYFUNCTION("""COMPUTED_VALUE"""),"Hikma Pharmaceuticals USA, Inc.")</f>
        <v>Hikma Pharmaceuticals USA, Inc.</v>
      </c>
      <c r="C1374" s="5" t="str">
        <f>IFERROR(__xludf.DUMMYFUNCTION("""COMPUTED_VALUE"""),"Promethazine Hydrochloride, Injection, 25 mg/1 mL (NDC 0641-1495-35)")</f>
        <v>Promethazine Hydrochloride, Injection, 25 mg/1 mL (NDC 0641-1495-35)</v>
      </c>
      <c r="D1374" s="5" t="str">
        <f>IFERROR(__xludf.DUMMYFUNCTION("""COMPUTED_VALUE"""),"Revised")</f>
        <v>Revised</v>
      </c>
      <c r="E1374" s="13">
        <f>IFERROR(__xludf.DUMMYFUNCTION("""COMPUTED_VALUE"""),46309.0)</f>
        <v>46309</v>
      </c>
      <c r="F1374" s="5" t="str">
        <f>IFERROR(__xludf.DUMMYFUNCTION("""COMPUTED_VALUE"""),"Unavailable")</f>
        <v>Unavailable</v>
      </c>
      <c r="G1374" s="5" t="str">
        <f>IFERROR(__xludf.DUMMYFUNCTION("""COMPUTED_VALUE"""),"Additional lots will be available in the November 2026 timeframe.  Product will be made available as it is released.")</f>
        <v>Additional lots will be available in the November 2026 timeframe.  Product will be made available as it is released.</v>
      </c>
      <c r="H1374" s="5"/>
      <c r="I1374" s="5" t="str">
        <f>IFERROR(__xludf.DUMMYFUNCTION("""COMPUTED_VALUE"""),"Demand increase for the drug")</f>
        <v>Demand increase for the drug</v>
      </c>
      <c r="J1374" s="5" t="str">
        <f>IFERROR(__xludf.DUMMYFUNCTION("""COMPUTED_VALUE"""),"Analgesia/Addiction; Gastroenterology; Pediatric; Pulmonary/Allergy")</f>
        <v>Analgesia/Addiction; Gastroenterology; Pediatric; Pulmonary/Allergy</v>
      </c>
      <c r="K1374" s="5" t="str">
        <f>IFERROR(__xludf.DUMMYFUNCTION("""COMPUTED_VALUE"""),"Current")</f>
        <v>Current</v>
      </c>
      <c r="L1374" s="5"/>
      <c r="M1374" s="5"/>
      <c r="N1374" s="13">
        <f>IFERROR(__xludf.DUMMYFUNCTION("""COMPUTED_VALUE"""),45251.0)</f>
        <v>45251</v>
      </c>
      <c r="O1374" s="5">
        <v>2023.0</v>
      </c>
      <c r="P1374" s="5" t="str">
        <f>IFERROR(__xludf.DUMMYFUNCTION("""COMPUTED_VALUE"""),"Unavailable")</f>
        <v>Unavailable</v>
      </c>
      <c r="Q1374" s="5" t="s">
        <v>134</v>
      </c>
      <c r="R1374" s="5" t="s">
        <v>136</v>
      </c>
      <c r="S1374" s="11">
        <v>1070.0</v>
      </c>
    </row>
    <row r="1375">
      <c r="A1375" s="5" t="str">
        <f>IFERROR(__xludf.DUMMYFUNCTION("""COMPUTED_VALUE"""),"Promethazine Hydrochloride Injection")</f>
        <v>Promethazine Hydrochloride Injection</v>
      </c>
      <c r="B1375" s="5" t="str">
        <f>IFERROR(__xludf.DUMMYFUNCTION("""COMPUTED_VALUE"""),"Hikma Pharmaceuticals USA, Inc.")</f>
        <v>Hikma Pharmaceuticals USA, Inc.</v>
      </c>
      <c r="C1375" s="5" t="str">
        <f>IFERROR(__xludf.DUMMYFUNCTION("""COMPUTED_VALUE"""),"Promethazine Hydrochloride, Injection, 50 mg/1 mL (NDC 0641-1496-35)")</f>
        <v>Promethazine Hydrochloride, Injection, 50 mg/1 mL (NDC 0641-1496-35)</v>
      </c>
      <c r="D1375" s="5" t="str">
        <f>IFERROR(__xludf.DUMMYFUNCTION("""COMPUTED_VALUE"""),"Reverified")</f>
        <v>Reverified</v>
      </c>
      <c r="E1375" s="13">
        <f>IFERROR(__xludf.DUMMYFUNCTION("""COMPUTED_VALUE"""),46309.0)</f>
        <v>46309</v>
      </c>
      <c r="F1375" s="5" t="str">
        <f>IFERROR(__xludf.DUMMYFUNCTION("""COMPUTED_VALUE"""),"Available")</f>
        <v>Available</v>
      </c>
      <c r="G1375" s="5" t="str">
        <f>IFERROR(__xludf.DUMMYFUNCTION("""COMPUTED_VALUE"""),"Additional lots are scheduled to be manufactured. Product will be made available as it is released.")</f>
        <v>Additional lots are scheduled to be manufactured. Product will be made available as it is released.</v>
      </c>
      <c r="H1375" s="5"/>
      <c r="I1375" s="5"/>
      <c r="J1375" s="5" t="str">
        <f>IFERROR(__xludf.DUMMYFUNCTION("""COMPUTED_VALUE"""),"Analgesia/Addiction; Gastroenterology; Pediatric; Pulmonary/Allergy")</f>
        <v>Analgesia/Addiction; Gastroenterology; Pediatric; Pulmonary/Allergy</v>
      </c>
      <c r="K1375" s="5" t="str">
        <f>IFERROR(__xludf.DUMMYFUNCTION("""COMPUTED_VALUE"""),"Current")</f>
        <v>Current</v>
      </c>
      <c r="L1375" s="5"/>
      <c r="M1375" s="5"/>
      <c r="N1375" s="13">
        <f>IFERROR(__xludf.DUMMYFUNCTION("""COMPUTED_VALUE"""),45251.0)</f>
        <v>45251</v>
      </c>
      <c r="O1375" s="5">
        <v>2023.0</v>
      </c>
      <c r="P1375" s="5" t="str">
        <f>IFERROR(__xludf.DUMMYFUNCTION("""COMPUTED_VALUE"""),"Available")</f>
        <v>Available</v>
      </c>
      <c r="Q1375" s="5" t="s">
        <v>135</v>
      </c>
      <c r="R1375" s="5" t="s">
        <v>136</v>
      </c>
      <c r="S1375" s="11">
        <v>1070.0</v>
      </c>
    </row>
    <row r="1376">
      <c r="A1376" s="5" t="str">
        <f>IFERROR(__xludf.DUMMYFUNCTION("""COMPUTED_VALUE"""),"Promethazine Hydrochloride Injection")</f>
        <v>Promethazine Hydrochloride Injection</v>
      </c>
      <c r="B1376" s="5" t="str">
        <f>IFERROR(__xludf.DUMMYFUNCTION("""COMPUTED_VALUE"""),"Hikma Pharmaceuticals USA, Inc.")</f>
        <v>Hikma Pharmaceuticals USA, Inc.</v>
      </c>
      <c r="C1376" s="5" t="str">
        <f>IFERROR(__xludf.DUMMYFUNCTION("""COMPUTED_VALUE"""),"Phenergan, Injection, 25 mg/1 mL (NDC 0641-6084-25)")</f>
        <v>Phenergan, Injection, 25 mg/1 mL (NDC 0641-6084-25)</v>
      </c>
      <c r="D1376" s="5" t="str">
        <f>IFERROR(__xludf.DUMMYFUNCTION("""COMPUTED_VALUE"""),"Reverified")</f>
        <v>Reverified</v>
      </c>
      <c r="E1376" s="13">
        <f>IFERROR(__xludf.DUMMYFUNCTION("""COMPUTED_VALUE"""),46309.0)</f>
        <v>46309</v>
      </c>
      <c r="F1376" s="5" t="str">
        <f>IFERROR(__xludf.DUMMYFUNCTION("""COMPUTED_VALUE"""),"Unavailable")</f>
        <v>Unavailable</v>
      </c>
      <c r="G1376" s="5" t="str">
        <f>IFERROR(__xludf.DUMMYFUNCTION("""COMPUTED_VALUE"""),"Estimated recovery: TBD")</f>
        <v>Estimated recovery: TBD</v>
      </c>
      <c r="H1376" s="5"/>
      <c r="I1376" s="5" t="str">
        <f>IFERROR(__xludf.DUMMYFUNCTION("""COMPUTED_VALUE"""),"Other")</f>
        <v>Other</v>
      </c>
      <c r="J1376" s="5" t="str">
        <f>IFERROR(__xludf.DUMMYFUNCTION("""COMPUTED_VALUE"""),"Analgesia/Addiction; Gastroenterology; Pediatric; Pulmonary/Allergy")</f>
        <v>Analgesia/Addiction; Gastroenterology; Pediatric; Pulmonary/Allergy</v>
      </c>
      <c r="K1376" s="5" t="str">
        <f>IFERROR(__xludf.DUMMYFUNCTION("""COMPUTED_VALUE"""),"Current")</f>
        <v>Current</v>
      </c>
      <c r="L1376" s="5"/>
      <c r="M1376" s="5"/>
      <c r="N1376" s="13">
        <f>IFERROR(__xludf.DUMMYFUNCTION("""COMPUTED_VALUE"""),45251.0)</f>
        <v>45251</v>
      </c>
      <c r="O1376" s="5">
        <v>2023.0</v>
      </c>
      <c r="P1376" s="5" t="str">
        <f>IFERROR(__xludf.DUMMYFUNCTION("""COMPUTED_VALUE"""),"Unavailable")</f>
        <v>Unavailable</v>
      </c>
      <c r="Q1376" s="5" t="s">
        <v>47</v>
      </c>
      <c r="R1376" s="5" t="s">
        <v>136</v>
      </c>
      <c r="S1376" s="11">
        <v>1070.0</v>
      </c>
    </row>
    <row r="1377">
      <c r="A1377" s="5" t="str">
        <f>IFERROR(__xludf.DUMMYFUNCTION("""COMPUTED_VALUE"""),"Promethazine Hydrochloride Injection")</f>
        <v>Promethazine Hydrochloride Injection</v>
      </c>
      <c r="B1377" s="5" t="str">
        <f>IFERROR(__xludf.DUMMYFUNCTION("""COMPUTED_VALUE"""),"Hikma Pharmaceuticals USA, Inc.")</f>
        <v>Hikma Pharmaceuticals USA, Inc.</v>
      </c>
      <c r="C1377" s="5" t="str">
        <f>IFERROR(__xludf.DUMMYFUNCTION("""COMPUTED_VALUE"""),"Phenergan, Injection, 50 mg/1 mL (NDC 0641-6085-25)")</f>
        <v>Phenergan, Injection, 50 mg/1 mL (NDC 0641-6085-25)</v>
      </c>
      <c r="D1377" s="5" t="str">
        <f>IFERROR(__xludf.DUMMYFUNCTION("""COMPUTED_VALUE"""),"Reverified")</f>
        <v>Reverified</v>
      </c>
      <c r="E1377" s="13">
        <f>IFERROR(__xludf.DUMMYFUNCTION("""COMPUTED_VALUE"""),46309.0)</f>
        <v>46309</v>
      </c>
      <c r="F1377" s="5" t="str">
        <f>IFERROR(__xludf.DUMMYFUNCTION("""COMPUTED_VALUE"""),"Unavailable")</f>
        <v>Unavailable</v>
      </c>
      <c r="G1377" s="5" t="str">
        <f>IFERROR(__xludf.DUMMYFUNCTION("""COMPUTED_VALUE"""),"Estimated recovery: TBD")</f>
        <v>Estimated recovery: TBD</v>
      </c>
      <c r="H1377" s="5"/>
      <c r="I1377" s="5" t="str">
        <f>IFERROR(__xludf.DUMMYFUNCTION("""COMPUTED_VALUE"""),"Other")</f>
        <v>Other</v>
      </c>
      <c r="J1377" s="5" t="str">
        <f>IFERROR(__xludf.DUMMYFUNCTION("""COMPUTED_VALUE"""),"Analgesia/Addiction; Gastroenterology; Pediatric; Pulmonary/Allergy")</f>
        <v>Analgesia/Addiction; Gastroenterology; Pediatric; Pulmonary/Allergy</v>
      </c>
      <c r="K1377" s="5" t="str">
        <f>IFERROR(__xludf.DUMMYFUNCTION("""COMPUTED_VALUE"""),"Current")</f>
        <v>Current</v>
      </c>
      <c r="L1377" s="5"/>
      <c r="M1377" s="5"/>
      <c r="N1377" s="13">
        <f>IFERROR(__xludf.DUMMYFUNCTION("""COMPUTED_VALUE"""),45251.0)</f>
        <v>45251</v>
      </c>
      <c r="O1377" s="5">
        <v>2023.0</v>
      </c>
      <c r="P1377" s="5" t="str">
        <f>IFERROR(__xludf.DUMMYFUNCTION("""COMPUTED_VALUE"""),"Unavailable")</f>
        <v>Unavailable</v>
      </c>
      <c r="Q1377" s="5" t="s">
        <v>47</v>
      </c>
      <c r="R1377" s="5" t="s">
        <v>136</v>
      </c>
      <c r="S1377" s="11">
        <v>1070.0</v>
      </c>
    </row>
    <row r="1378">
      <c r="A1378" s="5" t="str">
        <f>IFERROR(__xludf.DUMMYFUNCTION("""COMPUTED_VALUE"""),"Promethazine Hydrochloride Injection")</f>
        <v>Promethazine Hydrochloride Injection</v>
      </c>
      <c r="B1378" s="5" t="str">
        <f>IFERROR(__xludf.DUMMYFUNCTION("""COMPUTED_VALUE"""),"Hikma Pharmaceuticals USA, Inc.")</f>
        <v>Hikma Pharmaceuticals USA, Inc.</v>
      </c>
      <c r="C1378" s="5" t="str">
        <f>IFERROR(__xludf.DUMMYFUNCTION("""COMPUTED_VALUE"""),"Phenergan, Injection, 25 mg/1 mL (NDC 0641-6082-25)")</f>
        <v>Phenergan, Injection, 25 mg/1 mL (NDC 0641-6082-25)</v>
      </c>
      <c r="D1378" s="5" t="str">
        <f>IFERROR(__xludf.DUMMYFUNCTION("""COMPUTED_VALUE"""),"Revised")</f>
        <v>Revised</v>
      </c>
      <c r="E1378" s="13">
        <f>IFERROR(__xludf.DUMMYFUNCTION("""COMPUTED_VALUE"""),46309.0)</f>
        <v>46309</v>
      </c>
      <c r="F1378" s="5" t="str">
        <f>IFERROR(__xludf.DUMMYFUNCTION("""COMPUTED_VALUE"""),"Available")</f>
        <v>Available</v>
      </c>
      <c r="G1378" s="5" t="str">
        <f>IFERROR(__xludf.DUMMYFUNCTION("""COMPUTED_VALUE"""),"Additional lots are scheduled to be manufactured. Product will be made available as it is released.")</f>
        <v>Additional lots are scheduled to be manufactured. Product will be made available as it is released.</v>
      </c>
      <c r="H1378" s="5"/>
      <c r="I1378" s="5"/>
      <c r="J1378" s="5" t="str">
        <f>IFERROR(__xludf.DUMMYFUNCTION("""COMPUTED_VALUE"""),"Analgesia/Addiction; Gastroenterology; Pediatric; Pulmonary/Allergy")</f>
        <v>Analgesia/Addiction; Gastroenterology; Pediatric; Pulmonary/Allergy</v>
      </c>
      <c r="K1378" s="5" t="str">
        <f>IFERROR(__xludf.DUMMYFUNCTION("""COMPUTED_VALUE"""),"Current")</f>
        <v>Current</v>
      </c>
      <c r="L1378" s="5"/>
      <c r="M1378" s="5"/>
      <c r="N1378" s="13">
        <f>IFERROR(__xludf.DUMMYFUNCTION("""COMPUTED_VALUE"""),45251.0)</f>
        <v>45251</v>
      </c>
      <c r="O1378" s="5">
        <v>2023.0</v>
      </c>
      <c r="P1378" s="5" t="str">
        <f>IFERROR(__xludf.DUMMYFUNCTION("""COMPUTED_VALUE"""),"Available")</f>
        <v>Available</v>
      </c>
      <c r="Q1378" s="5" t="s">
        <v>135</v>
      </c>
      <c r="R1378" s="5" t="s">
        <v>136</v>
      </c>
      <c r="S1378" s="11">
        <v>1070.0</v>
      </c>
    </row>
    <row r="1379">
      <c r="A1379" s="5" t="str">
        <f>IFERROR(__xludf.DUMMYFUNCTION("""COMPUTED_VALUE"""),"Promethazine Hydrochloride Injection")</f>
        <v>Promethazine Hydrochloride Injection</v>
      </c>
      <c r="B1379" s="5" t="str">
        <f>IFERROR(__xludf.DUMMYFUNCTION("""COMPUTED_VALUE"""),"Hikma Pharmaceuticals USA, Inc.")</f>
        <v>Hikma Pharmaceuticals USA, Inc.</v>
      </c>
      <c r="C1379" s="5" t="str">
        <f>IFERROR(__xludf.DUMMYFUNCTION("""COMPUTED_VALUE"""),"Phenergan, Injection, 50 mg/1 mL (NDC 0641-6083-25)")</f>
        <v>Phenergan, Injection, 50 mg/1 mL (NDC 0641-6083-25)</v>
      </c>
      <c r="D1379" s="5" t="str">
        <f>IFERROR(__xludf.DUMMYFUNCTION("""COMPUTED_VALUE"""),"Revised")</f>
        <v>Revised</v>
      </c>
      <c r="E1379" s="13">
        <f>IFERROR(__xludf.DUMMYFUNCTION("""COMPUTED_VALUE"""),46309.0)</f>
        <v>46309</v>
      </c>
      <c r="F1379" s="5" t="str">
        <f>IFERROR(__xludf.DUMMYFUNCTION("""COMPUTED_VALUE"""),"Available")</f>
        <v>Available</v>
      </c>
      <c r="G1379" s="5" t="str">
        <f>IFERROR(__xludf.DUMMYFUNCTION("""COMPUTED_VALUE"""),"Additional lots are scheduled to be manufactured. Product will be made available as it is released.")</f>
        <v>Additional lots are scheduled to be manufactured. Product will be made available as it is released.</v>
      </c>
      <c r="H1379" s="5"/>
      <c r="I1379" s="5"/>
      <c r="J1379" s="5" t="str">
        <f>IFERROR(__xludf.DUMMYFUNCTION("""COMPUTED_VALUE"""),"Analgesia/Addiction; Gastroenterology; Pediatric; Pulmonary/Allergy")</f>
        <v>Analgesia/Addiction; Gastroenterology; Pediatric; Pulmonary/Allergy</v>
      </c>
      <c r="K1379" s="5" t="str">
        <f>IFERROR(__xludf.DUMMYFUNCTION("""COMPUTED_VALUE"""),"Current")</f>
        <v>Current</v>
      </c>
      <c r="L1379" s="5"/>
      <c r="M1379" s="5"/>
      <c r="N1379" s="13">
        <f>IFERROR(__xludf.DUMMYFUNCTION("""COMPUTED_VALUE"""),45251.0)</f>
        <v>45251</v>
      </c>
      <c r="O1379" s="5">
        <v>2023.0</v>
      </c>
      <c r="P1379" s="5" t="str">
        <f>IFERROR(__xludf.DUMMYFUNCTION("""COMPUTED_VALUE"""),"Available")</f>
        <v>Available</v>
      </c>
      <c r="Q1379" s="5" t="s">
        <v>135</v>
      </c>
      <c r="R1379" s="5" t="s">
        <v>136</v>
      </c>
      <c r="S1379" s="11">
        <v>1070.0</v>
      </c>
    </row>
    <row r="1380">
      <c r="A1380" s="5" t="str">
        <f>IFERROR(__xludf.DUMMYFUNCTION("""COMPUTED_VALUE"""),"Propranolol Hydrochloride Injection")</f>
        <v>Propranolol Hydrochloride Injection</v>
      </c>
      <c r="B1380" s="5" t="str">
        <f>IFERROR(__xludf.DUMMYFUNCTION("""COMPUTED_VALUE"""),"Fresenius Kabi USA, LLC")</f>
        <v>Fresenius Kabi USA, LLC</v>
      </c>
      <c r="C1380" s="5" t="str">
        <f>IFERROR(__xludf.DUMMYFUNCTION("""COMPUTED_VALUE"""),"Propranolol Hydrochloride, Injection, 1 mg/1 mL (NDC 63323-604-01)")</f>
        <v>Propranolol Hydrochloride, Injection, 1 mg/1 mL (NDC 63323-604-01)</v>
      </c>
      <c r="D1380" s="5" t="str">
        <f>IFERROR(__xludf.DUMMYFUNCTION("""COMPUTED_VALUE"""),"Reverified")</f>
        <v>Reverified</v>
      </c>
      <c r="E1380" s="13">
        <f>IFERROR(__xludf.DUMMYFUNCTION("""COMPUTED_VALUE"""),46310.0)</f>
        <v>46310</v>
      </c>
      <c r="F1380" s="5" t="str">
        <f>IFERROR(__xludf.DUMMYFUNCTION("""COMPUTED_VALUE"""),"Unavailable")</f>
        <v>Unavailable</v>
      </c>
      <c r="G1380" s="5" t="str">
        <f>IFERROR(__xludf.DUMMYFUNCTION("""COMPUTED_VALUE"""),"Next release: November 2026. Check wholesalers for inventory.")</f>
        <v>Next release: November 2026. Check wholesalers for inventory.</v>
      </c>
      <c r="H1380" s="5"/>
      <c r="I1380" s="5" t="str">
        <f>IFERROR(__xludf.DUMMYFUNCTION("""COMPUTED_VALUE"""),"Delay in shipping of the drug")</f>
        <v>Delay in shipping of the drug</v>
      </c>
      <c r="J1380" s="5" t="str">
        <f>IFERROR(__xludf.DUMMYFUNCTION("""COMPUTED_VALUE"""),"Cardiovascular")</f>
        <v>Cardiovascular</v>
      </c>
      <c r="K1380" s="5" t="str">
        <f>IFERROR(__xludf.DUMMYFUNCTION("""COMPUTED_VALUE"""),"Current")</f>
        <v>Current</v>
      </c>
      <c r="L1380" s="5"/>
      <c r="M1380" s="5"/>
      <c r="N1380" s="13">
        <f>IFERROR(__xludf.DUMMYFUNCTION("""COMPUTED_VALUE"""),45230.0)</f>
        <v>45230</v>
      </c>
      <c r="O1380" s="5">
        <v>2023.0</v>
      </c>
      <c r="P1380" s="5" t="str">
        <f>IFERROR(__xludf.DUMMYFUNCTION("""COMPUTED_VALUE"""),"Unavailable")</f>
        <v>Unavailable</v>
      </c>
      <c r="Q1380" s="5" t="s">
        <v>562</v>
      </c>
      <c r="R1380" s="5" t="s">
        <v>136</v>
      </c>
      <c r="S1380" s="11">
        <v>1091.0</v>
      </c>
    </row>
    <row r="1381">
      <c r="A1381" s="5" t="str">
        <f>IFERROR(__xludf.DUMMYFUNCTION("""COMPUTED_VALUE"""),"Propranolol Hydrochloride Injection")</f>
        <v>Propranolol Hydrochloride Injection</v>
      </c>
      <c r="B1381" s="5" t="str">
        <f>IFERROR(__xludf.DUMMYFUNCTION("""COMPUTED_VALUE"""),"Hikma Pharmaceuticals USA, Inc.")</f>
        <v>Hikma Pharmaceuticals USA, Inc.</v>
      </c>
      <c r="C1381" s="5" t="str">
        <f>IFERROR(__xludf.DUMMYFUNCTION("""COMPUTED_VALUE"""),"Propranolol Hydrochloride, Injection, 1 mg/1 mL (NDC 0143-9872-10)")</f>
        <v>Propranolol Hydrochloride, Injection, 1 mg/1 mL (NDC 0143-9872-10)</v>
      </c>
      <c r="D1381" s="5" t="str">
        <f>IFERROR(__xludf.DUMMYFUNCTION("""COMPUTED_VALUE"""),"Reverified")</f>
        <v>Reverified</v>
      </c>
      <c r="E1381" s="13">
        <f>IFERROR(__xludf.DUMMYFUNCTION("""COMPUTED_VALUE"""),46309.0)</f>
        <v>46309</v>
      </c>
      <c r="F1381" s="5" t="str">
        <f>IFERROR(__xludf.DUMMYFUNCTION("""COMPUTED_VALUE"""),"Unavailable")</f>
        <v>Unavailable</v>
      </c>
      <c r="G1381" s="5" t="str">
        <f>IFERROR(__xludf.DUMMYFUNCTION("""COMPUTED_VALUE"""),"Estimated recovery: TBD")</f>
        <v>Estimated recovery: TBD</v>
      </c>
      <c r="H1381" s="5"/>
      <c r="I1381" s="5" t="str">
        <f>IFERROR(__xludf.DUMMYFUNCTION("""COMPUTED_VALUE"""),"Shortage of an active ingredient")</f>
        <v>Shortage of an active ingredient</v>
      </c>
      <c r="J1381" s="5" t="str">
        <f>IFERROR(__xludf.DUMMYFUNCTION("""COMPUTED_VALUE"""),"Cardiovascular")</f>
        <v>Cardiovascular</v>
      </c>
      <c r="K1381" s="5" t="str">
        <f>IFERROR(__xludf.DUMMYFUNCTION("""COMPUTED_VALUE"""),"Current")</f>
        <v>Current</v>
      </c>
      <c r="L1381" s="5"/>
      <c r="M1381" s="5"/>
      <c r="N1381" s="13">
        <f>IFERROR(__xludf.DUMMYFUNCTION("""COMPUTED_VALUE"""),45230.0)</f>
        <v>45230</v>
      </c>
      <c r="O1381" s="5">
        <v>2023.0</v>
      </c>
      <c r="P1381" s="5" t="str">
        <f>IFERROR(__xludf.DUMMYFUNCTION("""COMPUTED_VALUE"""),"Unavailable")</f>
        <v>Unavailable</v>
      </c>
      <c r="Q1381" s="5" t="s">
        <v>122</v>
      </c>
      <c r="R1381" s="5" t="s">
        <v>136</v>
      </c>
      <c r="S1381" s="11">
        <v>1091.0</v>
      </c>
    </row>
    <row r="1382">
      <c r="A1382" s="5" t="str">
        <f>IFERROR(__xludf.DUMMYFUNCTION("""COMPUTED_VALUE"""),"Quinapril Hydrochloride Tablet")</f>
        <v>Quinapril Hydrochloride Tablet</v>
      </c>
      <c r="B1382" s="5" t="str">
        <f>IFERROR(__xludf.DUMMYFUNCTION("""COMPUTED_VALUE"""),"Chartwell Molecular Holdings LLC")</f>
        <v>Chartwell Molecular Holdings LLC</v>
      </c>
      <c r="C1382" s="5" t="str">
        <f>IFERROR(__xludf.DUMMYFUNCTION("""COMPUTED_VALUE"""),"Quinapril Hydrochloride, Tablet, 5 mg (NDC 62135-484-60)")</f>
        <v>Quinapril Hydrochloride, Tablet, 5 mg (NDC 62135-484-60)</v>
      </c>
      <c r="D1382" s="5" t="str">
        <f>IFERROR(__xludf.DUMMYFUNCTION("""COMPUTED_VALUE"""),"Reverified")</f>
        <v>Reverified</v>
      </c>
      <c r="E1382" s="10">
        <f>IFERROR(__xludf.DUMMYFUNCTION("""COMPUTED_VALUE"""),46297.0)</f>
        <v>46297</v>
      </c>
      <c r="F1382" s="5" t="str">
        <f>IFERROR(__xludf.DUMMYFUNCTION("""COMPUTED_VALUE"""),"Available")</f>
        <v>Available</v>
      </c>
      <c r="G1382" s="5"/>
      <c r="H1382" s="5"/>
      <c r="I1382" s="5"/>
      <c r="J1382" s="5" t="str">
        <f>IFERROR(__xludf.DUMMYFUNCTION("""COMPUTED_VALUE"""),"Cardiovascular")</f>
        <v>Cardiovascular</v>
      </c>
      <c r="K1382" s="5" t="str">
        <f>IFERROR(__xludf.DUMMYFUNCTION("""COMPUTED_VALUE"""),"Current")</f>
        <v>Current</v>
      </c>
      <c r="L1382" s="5"/>
      <c r="M1382" s="5"/>
      <c r="N1382" s="10">
        <f>IFERROR(__xludf.DUMMYFUNCTION("""COMPUTED_VALUE"""),44945.0)</f>
        <v>44945</v>
      </c>
      <c r="O1382" s="5">
        <v>2023.0</v>
      </c>
      <c r="P1382" s="5" t="str">
        <f>IFERROR(__xludf.DUMMYFUNCTION("""COMPUTED_VALUE"""),"Available")</f>
        <v>Available</v>
      </c>
      <c r="Q1382" s="5" t="s">
        <v>135</v>
      </c>
      <c r="R1382" s="5" t="s">
        <v>136</v>
      </c>
      <c r="S1382" s="11">
        <v>1376.0</v>
      </c>
    </row>
    <row r="1383">
      <c r="A1383" s="5" t="str">
        <f>IFERROR(__xludf.DUMMYFUNCTION("""COMPUTED_VALUE"""),"Quinapril Hydrochloride Tablet")</f>
        <v>Quinapril Hydrochloride Tablet</v>
      </c>
      <c r="B1383" s="5" t="str">
        <f>IFERROR(__xludf.DUMMYFUNCTION("""COMPUTED_VALUE"""),"Chartwell Molecular Holdings LLC")</f>
        <v>Chartwell Molecular Holdings LLC</v>
      </c>
      <c r="C1383" s="5" t="str">
        <f>IFERROR(__xludf.DUMMYFUNCTION("""COMPUTED_VALUE"""),"Quinapril Hydrochloride, Tablet, 10 mg (NDC 62135-485-90)")</f>
        <v>Quinapril Hydrochloride, Tablet, 10 mg (NDC 62135-485-90)</v>
      </c>
      <c r="D1383" s="5" t="str">
        <f>IFERROR(__xludf.DUMMYFUNCTION("""COMPUTED_VALUE"""),"Reverified")</f>
        <v>Reverified</v>
      </c>
      <c r="E1383" s="10">
        <f>IFERROR(__xludf.DUMMYFUNCTION("""COMPUTED_VALUE"""),46297.0)</f>
        <v>46297</v>
      </c>
      <c r="F1383" s="5" t="str">
        <f>IFERROR(__xludf.DUMMYFUNCTION("""COMPUTED_VALUE"""),"Available")</f>
        <v>Available</v>
      </c>
      <c r="G1383" s="5"/>
      <c r="H1383" s="5"/>
      <c r="I1383" s="5"/>
      <c r="J1383" s="5" t="str">
        <f>IFERROR(__xludf.DUMMYFUNCTION("""COMPUTED_VALUE"""),"Cardiovascular")</f>
        <v>Cardiovascular</v>
      </c>
      <c r="K1383" s="5" t="str">
        <f>IFERROR(__xludf.DUMMYFUNCTION("""COMPUTED_VALUE"""),"Current")</f>
        <v>Current</v>
      </c>
      <c r="L1383" s="5"/>
      <c r="M1383" s="5"/>
      <c r="N1383" s="10">
        <f>IFERROR(__xludf.DUMMYFUNCTION("""COMPUTED_VALUE"""),44945.0)</f>
        <v>44945</v>
      </c>
      <c r="O1383" s="5">
        <v>2023.0</v>
      </c>
      <c r="P1383" s="5" t="str">
        <f>IFERROR(__xludf.DUMMYFUNCTION("""COMPUTED_VALUE"""),"Available")</f>
        <v>Available</v>
      </c>
      <c r="Q1383" s="5" t="s">
        <v>135</v>
      </c>
      <c r="R1383" s="5" t="s">
        <v>136</v>
      </c>
      <c r="S1383" s="11">
        <v>1376.0</v>
      </c>
    </row>
    <row r="1384">
      <c r="A1384" s="5" t="str">
        <f>IFERROR(__xludf.DUMMYFUNCTION("""COMPUTED_VALUE"""),"Quinapril Hydrochloride Tablet")</f>
        <v>Quinapril Hydrochloride Tablet</v>
      </c>
      <c r="B1384" s="5" t="str">
        <f>IFERROR(__xludf.DUMMYFUNCTION("""COMPUTED_VALUE"""),"Chartwell Molecular Holdings LLC")</f>
        <v>Chartwell Molecular Holdings LLC</v>
      </c>
      <c r="C1384" s="5" t="str">
        <f>IFERROR(__xludf.DUMMYFUNCTION("""COMPUTED_VALUE"""),"Quinapril Hydrochloride, Tablet, 20 mg (NDC 62135-486-90)")</f>
        <v>Quinapril Hydrochloride, Tablet, 20 mg (NDC 62135-486-90)</v>
      </c>
      <c r="D1384" s="5" t="str">
        <f>IFERROR(__xludf.DUMMYFUNCTION("""COMPUTED_VALUE"""),"Reverified")</f>
        <v>Reverified</v>
      </c>
      <c r="E1384" s="10">
        <f>IFERROR(__xludf.DUMMYFUNCTION("""COMPUTED_VALUE"""),46297.0)</f>
        <v>46297</v>
      </c>
      <c r="F1384" s="5" t="str">
        <f>IFERROR(__xludf.DUMMYFUNCTION("""COMPUTED_VALUE"""),"Available")</f>
        <v>Available</v>
      </c>
      <c r="G1384" s="5"/>
      <c r="H1384" s="5"/>
      <c r="I1384" s="5"/>
      <c r="J1384" s="5" t="str">
        <f>IFERROR(__xludf.DUMMYFUNCTION("""COMPUTED_VALUE"""),"Cardiovascular")</f>
        <v>Cardiovascular</v>
      </c>
      <c r="K1384" s="5" t="str">
        <f>IFERROR(__xludf.DUMMYFUNCTION("""COMPUTED_VALUE"""),"Current")</f>
        <v>Current</v>
      </c>
      <c r="L1384" s="5"/>
      <c r="M1384" s="5"/>
      <c r="N1384" s="10">
        <f>IFERROR(__xludf.DUMMYFUNCTION("""COMPUTED_VALUE"""),44945.0)</f>
        <v>44945</v>
      </c>
      <c r="O1384" s="5">
        <v>2023.0</v>
      </c>
      <c r="P1384" s="5" t="str">
        <f>IFERROR(__xludf.DUMMYFUNCTION("""COMPUTED_VALUE"""),"Available")</f>
        <v>Available</v>
      </c>
      <c r="Q1384" s="5" t="s">
        <v>135</v>
      </c>
      <c r="R1384" s="5" t="s">
        <v>136</v>
      </c>
      <c r="S1384" s="11">
        <v>1376.0</v>
      </c>
    </row>
    <row r="1385">
      <c r="A1385" s="5" t="str">
        <f>IFERROR(__xludf.DUMMYFUNCTION("""COMPUTED_VALUE"""),"Quinapril Hydrochloride Tablet")</f>
        <v>Quinapril Hydrochloride Tablet</v>
      </c>
      <c r="B1385" s="5" t="str">
        <f>IFERROR(__xludf.DUMMYFUNCTION("""COMPUTED_VALUE"""),"Chartwell Molecular Holdings LLC")</f>
        <v>Chartwell Molecular Holdings LLC</v>
      </c>
      <c r="C1385" s="5" t="str">
        <f>IFERROR(__xludf.DUMMYFUNCTION("""COMPUTED_VALUE"""),"Quinapril Hydrochloride, Tablet, 40 mg (NDC 62135-487-90)")</f>
        <v>Quinapril Hydrochloride, Tablet, 40 mg (NDC 62135-487-90)</v>
      </c>
      <c r="D1385" s="5" t="str">
        <f>IFERROR(__xludf.DUMMYFUNCTION("""COMPUTED_VALUE"""),"Reverified")</f>
        <v>Reverified</v>
      </c>
      <c r="E1385" s="10">
        <f>IFERROR(__xludf.DUMMYFUNCTION("""COMPUTED_VALUE"""),46297.0)</f>
        <v>46297</v>
      </c>
      <c r="F1385" s="5" t="str">
        <f>IFERROR(__xludf.DUMMYFUNCTION("""COMPUTED_VALUE"""),"Available")</f>
        <v>Available</v>
      </c>
      <c r="G1385" s="5"/>
      <c r="H1385" s="5"/>
      <c r="I1385" s="5"/>
      <c r="J1385" s="5" t="str">
        <f>IFERROR(__xludf.DUMMYFUNCTION("""COMPUTED_VALUE"""),"Cardiovascular")</f>
        <v>Cardiovascular</v>
      </c>
      <c r="K1385" s="5" t="str">
        <f>IFERROR(__xludf.DUMMYFUNCTION("""COMPUTED_VALUE"""),"Current")</f>
        <v>Current</v>
      </c>
      <c r="L1385" s="5"/>
      <c r="M1385" s="5"/>
      <c r="N1385" s="10">
        <f>IFERROR(__xludf.DUMMYFUNCTION("""COMPUTED_VALUE"""),44945.0)</f>
        <v>44945</v>
      </c>
      <c r="O1385" s="5">
        <v>2023.0</v>
      </c>
      <c r="P1385" s="5" t="str">
        <f>IFERROR(__xludf.DUMMYFUNCTION("""COMPUTED_VALUE"""),"Available")</f>
        <v>Available</v>
      </c>
      <c r="Q1385" s="5" t="s">
        <v>135</v>
      </c>
      <c r="R1385" s="5" t="s">
        <v>136</v>
      </c>
      <c r="S1385" s="11">
        <v>1376.0</v>
      </c>
    </row>
    <row r="1386">
      <c r="A1386" s="5" t="str">
        <f>IFERROR(__xludf.DUMMYFUNCTION("""COMPUTED_VALUE"""),"Quinapril Hydrochloride Tablet")</f>
        <v>Quinapril Hydrochloride Tablet</v>
      </c>
      <c r="B1386" s="5" t="str">
        <f>IFERROR(__xludf.DUMMYFUNCTION("""COMPUTED_VALUE"""),"Solco Healthcare US, LLC")</f>
        <v>Solco Healthcare US, LLC</v>
      </c>
      <c r="C1386" s="5" t="str">
        <f>IFERROR(__xludf.DUMMYFUNCTION("""COMPUTED_VALUE"""),"Quinapril Hydrochloride, Tablet, 5 mg (NDC 43547-410-09)")</f>
        <v>Quinapril Hydrochloride, Tablet, 5 mg (NDC 43547-410-09)</v>
      </c>
      <c r="D1386" s="5" t="str">
        <f>IFERROR(__xludf.DUMMYFUNCTION("""COMPUTED_VALUE"""),"Reverified")</f>
        <v>Reverified</v>
      </c>
      <c r="E1386" s="10">
        <f>IFERROR(__xludf.DUMMYFUNCTION("""COMPUTED_VALUE"""),46202.0)</f>
        <v>46202</v>
      </c>
      <c r="F1386" s="5" t="str">
        <f>IFERROR(__xludf.DUMMYFUNCTION("""COMPUTED_VALUE"""),"Unavailable")</f>
        <v>Unavailable</v>
      </c>
      <c r="G1386" s="5" t="str">
        <f>IFERROR(__xludf.DUMMYFUNCTION("""COMPUTED_VALUE"""),"Not available. Long-term backorder for all NDCs. No estimated release date at this time.")</f>
        <v>Not available. Long-term backorder for all NDCs. No estimated release date at this time.</v>
      </c>
      <c r="H1386" s="5"/>
      <c r="I1386" s="5" t="str">
        <f>IFERROR(__xludf.DUMMYFUNCTION("""COMPUTED_VALUE"""),"Shortage of an active ingredient")</f>
        <v>Shortage of an active ingredient</v>
      </c>
      <c r="J1386" s="5" t="str">
        <f>IFERROR(__xludf.DUMMYFUNCTION("""COMPUTED_VALUE"""),"Cardiovascular")</f>
        <v>Cardiovascular</v>
      </c>
      <c r="K1386" s="5" t="str">
        <f>IFERROR(__xludf.DUMMYFUNCTION("""COMPUTED_VALUE"""),"Current")</f>
        <v>Current</v>
      </c>
      <c r="L1386" s="5"/>
      <c r="M1386" s="5"/>
      <c r="N1386" s="10">
        <f>IFERROR(__xludf.DUMMYFUNCTION("""COMPUTED_VALUE"""),44945.0)</f>
        <v>44945</v>
      </c>
      <c r="O1386" s="5">
        <v>2023.0</v>
      </c>
      <c r="P1386" s="5" t="str">
        <f>IFERROR(__xludf.DUMMYFUNCTION("""COMPUTED_VALUE"""),"Unavailable")</f>
        <v>Unavailable</v>
      </c>
      <c r="Q1386" s="5" t="s">
        <v>122</v>
      </c>
      <c r="R1386" s="5" t="s">
        <v>136</v>
      </c>
      <c r="S1386" s="11">
        <v>1376.0</v>
      </c>
    </row>
    <row r="1387">
      <c r="A1387" s="5" t="str">
        <f>IFERROR(__xludf.DUMMYFUNCTION("""COMPUTED_VALUE"""),"Quinapril Hydrochloride Tablet")</f>
        <v>Quinapril Hydrochloride Tablet</v>
      </c>
      <c r="B1387" s="5" t="str">
        <f>IFERROR(__xludf.DUMMYFUNCTION("""COMPUTED_VALUE"""),"Solco Healthcare US, LLC")</f>
        <v>Solco Healthcare US, LLC</v>
      </c>
      <c r="C1387" s="5" t="str">
        <f>IFERROR(__xludf.DUMMYFUNCTION("""COMPUTED_VALUE"""),"Quinapril Hydrochloride, Tablet, 10 mg (NDC 43547-411-09)")</f>
        <v>Quinapril Hydrochloride, Tablet, 10 mg (NDC 43547-411-09)</v>
      </c>
      <c r="D1387" s="5" t="str">
        <f>IFERROR(__xludf.DUMMYFUNCTION("""COMPUTED_VALUE"""),"Reverified")</f>
        <v>Reverified</v>
      </c>
      <c r="E1387" s="10">
        <f>IFERROR(__xludf.DUMMYFUNCTION("""COMPUTED_VALUE"""),46202.0)</f>
        <v>46202</v>
      </c>
      <c r="F1387" s="5" t="str">
        <f>IFERROR(__xludf.DUMMYFUNCTION("""COMPUTED_VALUE"""),"Unavailable")</f>
        <v>Unavailable</v>
      </c>
      <c r="G1387" s="5" t="str">
        <f>IFERROR(__xludf.DUMMYFUNCTION("""COMPUTED_VALUE"""),"Not available. Long-term backorder for all NDCs. No estimated release date at this time.")</f>
        <v>Not available. Long-term backorder for all NDCs. No estimated release date at this time.</v>
      </c>
      <c r="H1387" s="5"/>
      <c r="I1387" s="5" t="str">
        <f>IFERROR(__xludf.DUMMYFUNCTION("""COMPUTED_VALUE"""),"Shortage of an active ingredient")</f>
        <v>Shortage of an active ingredient</v>
      </c>
      <c r="J1387" s="5" t="str">
        <f>IFERROR(__xludf.DUMMYFUNCTION("""COMPUTED_VALUE"""),"Cardiovascular")</f>
        <v>Cardiovascular</v>
      </c>
      <c r="K1387" s="5" t="str">
        <f>IFERROR(__xludf.DUMMYFUNCTION("""COMPUTED_VALUE"""),"Current")</f>
        <v>Current</v>
      </c>
      <c r="L1387" s="5"/>
      <c r="M1387" s="5"/>
      <c r="N1387" s="10">
        <f>IFERROR(__xludf.DUMMYFUNCTION("""COMPUTED_VALUE"""),44945.0)</f>
        <v>44945</v>
      </c>
      <c r="O1387" s="5">
        <v>2023.0</v>
      </c>
      <c r="P1387" s="5" t="str">
        <f>IFERROR(__xludf.DUMMYFUNCTION("""COMPUTED_VALUE"""),"Unavailable")</f>
        <v>Unavailable</v>
      </c>
      <c r="Q1387" s="5" t="s">
        <v>122</v>
      </c>
      <c r="R1387" s="5" t="s">
        <v>136</v>
      </c>
      <c r="S1387" s="11">
        <v>1376.0</v>
      </c>
    </row>
    <row r="1388">
      <c r="A1388" s="5" t="str">
        <f>IFERROR(__xludf.DUMMYFUNCTION("""COMPUTED_VALUE"""),"Quinapril Hydrochloride Tablet")</f>
        <v>Quinapril Hydrochloride Tablet</v>
      </c>
      <c r="B1388" s="5" t="str">
        <f>IFERROR(__xludf.DUMMYFUNCTION("""COMPUTED_VALUE"""),"Solco Healthcare US, LLC")</f>
        <v>Solco Healthcare US, LLC</v>
      </c>
      <c r="C1388" s="5" t="str">
        <f>IFERROR(__xludf.DUMMYFUNCTION("""COMPUTED_VALUE"""),"Quinapril Hydrochloride, Tablet, 20 mg (NDC 43547-412-09)")</f>
        <v>Quinapril Hydrochloride, Tablet, 20 mg (NDC 43547-412-09)</v>
      </c>
      <c r="D1388" s="5" t="str">
        <f>IFERROR(__xludf.DUMMYFUNCTION("""COMPUTED_VALUE"""),"Reverified")</f>
        <v>Reverified</v>
      </c>
      <c r="E1388" s="10">
        <f>IFERROR(__xludf.DUMMYFUNCTION("""COMPUTED_VALUE"""),46202.0)</f>
        <v>46202</v>
      </c>
      <c r="F1388" s="5" t="str">
        <f>IFERROR(__xludf.DUMMYFUNCTION("""COMPUTED_VALUE"""),"Unavailable")</f>
        <v>Unavailable</v>
      </c>
      <c r="G1388" s="5" t="str">
        <f>IFERROR(__xludf.DUMMYFUNCTION("""COMPUTED_VALUE"""),"Not available. Long-term backorder for all NDCs. No estimated release date at this time.")</f>
        <v>Not available. Long-term backorder for all NDCs. No estimated release date at this time.</v>
      </c>
      <c r="H1388" s="5"/>
      <c r="I1388" s="5" t="str">
        <f>IFERROR(__xludf.DUMMYFUNCTION("""COMPUTED_VALUE"""),"Shortage of an active ingredient")</f>
        <v>Shortage of an active ingredient</v>
      </c>
      <c r="J1388" s="5" t="str">
        <f>IFERROR(__xludf.DUMMYFUNCTION("""COMPUTED_VALUE"""),"Cardiovascular")</f>
        <v>Cardiovascular</v>
      </c>
      <c r="K1388" s="5" t="str">
        <f>IFERROR(__xludf.DUMMYFUNCTION("""COMPUTED_VALUE"""),"Current")</f>
        <v>Current</v>
      </c>
      <c r="L1388" s="5"/>
      <c r="M1388" s="5"/>
      <c r="N1388" s="10">
        <f>IFERROR(__xludf.DUMMYFUNCTION("""COMPUTED_VALUE"""),44945.0)</f>
        <v>44945</v>
      </c>
      <c r="O1388" s="5">
        <v>2023.0</v>
      </c>
      <c r="P1388" s="5" t="str">
        <f>IFERROR(__xludf.DUMMYFUNCTION("""COMPUTED_VALUE"""),"Unavailable")</f>
        <v>Unavailable</v>
      </c>
      <c r="Q1388" s="5" t="s">
        <v>122</v>
      </c>
      <c r="R1388" s="5" t="s">
        <v>136</v>
      </c>
      <c r="S1388" s="11">
        <v>1376.0</v>
      </c>
    </row>
    <row r="1389">
      <c r="A1389" s="5" t="str">
        <f>IFERROR(__xludf.DUMMYFUNCTION("""COMPUTED_VALUE"""),"Quinapril Hydrochloride Tablet")</f>
        <v>Quinapril Hydrochloride Tablet</v>
      </c>
      <c r="B1389" s="5" t="str">
        <f>IFERROR(__xludf.DUMMYFUNCTION("""COMPUTED_VALUE"""),"Solco Healthcare US, LLC")</f>
        <v>Solco Healthcare US, LLC</v>
      </c>
      <c r="C1389" s="5" t="str">
        <f>IFERROR(__xludf.DUMMYFUNCTION("""COMPUTED_VALUE"""),"Quinapril Hydrochloride, Tablet, 40 mg (NDC 43547-413-09)")</f>
        <v>Quinapril Hydrochloride, Tablet, 40 mg (NDC 43547-413-09)</v>
      </c>
      <c r="D1389" s="5" t="str">
        <f>IFERROR(__xludf.DUMMYFUNCTION("""COMPUTED_VALUE"""),"Reverified")</f>
        <v>Reverified</v>
      </c>
      <c r="E1389" s="10">
        <f>IFERROR(__xludf.DUMMYFUNCTION("""COMPUTED_VALUE"""),46202.0)</f>
        <v>46202</v>
      </c>
      <c r="F1389" s="5" t="str">
        <f>IFERROR(__xludf.DUMMYFUNCTION("""COMPUTED_VALUE"""),"Unavailable")</f>
        <v>Unavailable</v>
      </c>
      <c r="G1389" s="5" t="str">
        <f>IFERROR(__xludf.DUMMYFUNCTION("""COMPUTED_VALUE"""),"Not available. Long-term backorder for all NDCs. No estimated release date at this time.")</f>
        <v>Not available. Long-term backorder for all NDCs. No estimated release date at this time.</v>
      </c>
      <c r="H1389" s="5"/>
      <c r="I1389" s="5" t="str">
        <f>IFERROR(__xludf.DUMMYFUNCTION("""COMPUTED_VALUE"""),"Shortage of an active ingredient")</f>
        <v>Shortage of an active ingredient</v>
      </c>
      <c r="J1389" s="5" t="str">
        <f>IFERROR(__xludf.DUMMYFUNCTION("""COMPUTED_VALUE"""),"Cardiovascular")</f>
        <v>Cardiovascular</v>
      </c>
      <c r="K1389" s="5" t="str">
        <f>IFERROR(__xludf.DUMMYFUNCTION("""COMPUTED_VALUE"""),"Current")</f>
        <v>Current</v>
      </c>
      <c r="L1389" s="5"/>
      <c r="M1389" s="5"/>
      <c r="N1389" s="10">
        <f>IFERROR(__xludf.DUMMYFUNCTION("""COMPUTED_VALUE"""),44945.0)</f>
        <v>44945</v>
      </c>
      <c r="O1389" s="5">
        <v>2023.0</v>
      </c>
      <c r="P1389" s="5" t="str">
        <f>IFERROR(__xludf.DUMMYFUNCTION("""COMPUTED_VALUE"""),"Unavailable")</f>
        <v>Unavailable</v>
      </c>
      <c r="Q1389" s="5" t="s">
        <v>122</v>
      </c>
      <c r="R1389" s="5" t="s">
        <v>136</v>
      </c>
      <c r="S1389" s="11">
        <v>1376.0</v>
      </c>
    </row>
    <row r="1390">
      <c r="A1390" s="5" t="str">
        <f>IFERROR(__xludf.DUMMYFUNCTION("""COMPUTED_VALUE"""),"Quinapril Hydrochloride Tablet")</f>
        <v>Quinapril Hydrochloride Tablet</v>
      </c>
      <c r="B1390" s="5" t="str">
        <f>IFERROR(__xludf.DUMMYFUNCTION("""COMPUTED_VALUE"""),"Lupin Pharmaceuticals, Inc.")</f>
        <v>Lupin Pharmaceuticals, Inc.</v>
      </c>
      <c r="C1390" s="5" t="str">
        <f>IFERROR(__xludf.DUMMYFUNCTION("""COMPUTED_VALUE"""),"Quinapril Hydrochloride, Tablet, 5 mg (NDC 68180-556-09)")</f>
        <v>Quinapril Hydrochloride, Tablet, 5 mg (NDC 68180-556-09)</v>
      </c>
      <c r="D1390" s="5" t="str">
        <f>IFERROR(__xludf.DUMMYFUNCTION("""COMPUTED_VALUE"""),"Reverified")</f>
        <v>Reverified</v>
      </c>
      <c r="E1390" s="13">
        <f>IFERROR(__xludf.DUMMYFUNCTION("""COMPUTED_VALUE"""),46308.0)</f>
        <v>46308</v>
      </c>
      <c r="F1390" s="5" t="str">
        <f>IFERROR(__xludf.DUMMYFUNCTION("""COMPUTED_VALUE"""),"Unavailable")</f>
        <v>Unavailable</v>
      </c>
      <c r="G1390" s="5" t="str">
        <f>IFERROR(__xludf.DUMMYFUNCTION("""COMPUTED_VALUE"""),"Estimated recovery: TBD")</f>
        <v>Estimated recovery: TBD</v>
      </c>
      <c r="H1390" s="5"/>
      <c r="I1390" s="5" t="str">
        <f>IFERROR(__xludf.DUMMYFUNCTION("""COMPUTED_VALUE"""),"Requirements related to complying with good manufacturing practices")</f>
        <v>Requirements related to complying with good manufacturing practices</v>
      </c>
      <c r="J1390" s="5" t="str">
        <f>IFERROR(__xludf.DUMMYFUNCTION("""COMPUTED_VALUE"""),"Cardiovascular")</f>
        <v>Cardiovascular</v>
      </c>
      <c r="K1390" s="5" t="str">
        <f>IFERROR(__xludf.DUMMYFUNCTION("""COMPUTED_VALUE"""),"Current")</f>
        <v>Current</v>
      </c>
      <c r="L1390" s="5"/>
      <c r="M1390" s="5"/>
      <c r="N1390" s="10">
        <f>IFERROR(__xludf.DUMMYFUNCTION("""COMPUTED_VALUE"""),44945.0)</f>
        <v>44945</v>
      </c>
      <c r="O1390" s="5">
        <v>2023.0</v>
      </c>
      <c r="P1390" s="5" t="str">
        <f>IFERROR(__xludf.DUMMYFUNCTION("""COMPUTED_VALUE"""),"Unavailable")</f>
        <v>Unavailable</v>
      </c>
      <c r="Q1390" s="5" t="s">
        <v>295</v>
      </c>
      <c r="R1390" s="5" t="s">
        <v>136</v>
      </c>
      <c r="S1390" s="11">
        <v>1376.0</v>
      </c>
    </row>
    <row r="1391">
      <c r="A1391" s="5" t="str">
        <f>IFERROR(__xludf.DUMMYFUNCTION("""COMPUTED_VALUE"""),"Quinapril Hydrochloride Tablet")</f>
        <v>Quinapril Hydrochloride Tablet</v>
      </c>
      <c r="B1391" s="5" t="str">
        <f>IFERROR(__xludf.DUMMYFUNCTION("""COMPUTED_VALUE"""),"Lupin Pharmaceuticals, Inc.")</f>
        <v>Lupin Pharmaceuticals, Inc.</v>
      </c>
      <c r="C1391" s="5" t="str">
        <f>IFERROR(__xludf.DUMMYFUNCTION("""COMPUTED_VALUE"""),"Quinapril Hydrochloride, Tablet, 10 mg (NDC 68180-557-09)")</f>
        <v>Quinapril Hydrochloride, Tablet, 10 mg (NDC 68180-557-09)</v>
      </c>
      <c r="D1391" s="5" t="str">
        <f>IFERROR(__xludf.DUMMYFUNCTION("""COMPUTED_VALUE"""),"Reverified")</f>
        <v>Reverified</v>
      </c>
      <c r="E1391" s="13">
        <f>IFERROR(__xludf.DUMMYFUNCTION("""COMPUTED_VALUE"""),46308.0)</f>
        <v>46308</v>
      </c>
      <c r="F1391" s="5" t="str">
        <f>IFERROR(__xludf.DUMMYFUNCTION("""COMPUTED_VALUE"""),"Unavailable")</f>
        <v>Unavailable</v>
      </c>
      <c r="G1391" s="5" t="str">
        <f>IFERROR(__xludf.DUMMYFUNCTION("""COMPUTED_VALUE"""),"Estimated recovery: TBD")</f>
        <v>Estimated recovery: TBD</v>
      </c>
      <c r="H1391" s="5"/>
      <c r="I1391" s="5" t="str">
        <f>IFERROR(__xludf.DUMMYFUNCTION("""COMPUTED_VALUE"""),"Requirements related to complying with good manufacturing practices")</f>
        <v>Requirements related to complying with good manufacturing practices</v>
      </c>
      <c r="J1391" s="5" t="str">
        <f>IFERROR(__xludf.DUMMYFUNCTION("""COMPUTED_VALUE"""),"Cardiovascular")</f>
        <v>Cardiovascular</v>
      </c>
      <c r="K1391" s="5" t="str">
        <f>IFERROR(__xludf.DUMMYFUNCTION("""COMPUTED_VALUE"""),"Current")</f>
        <v>Current</v>
      </c>
      <c r="L1391" s="5"/>
      <c r="M1391" s="5"/>
      <c r="N1391" s="10">
        <f>IFERROR(__xludf.DUMMYFUNCTION("""COMPUTED_VALUE"""),44945.0)</f>
        <v>44945</v>
      </c>
      <c r="O1391" s="5">
        <v>2023.0</v>
      </c>
      <c r="P1391" s="5" t="str">
        <f>IFERROR(__xludf.DUMMYFUNCTION("""COMPUTED_VALUE"""),"Unavailable")</f>
        <v>Unavailable</v>
      </c>
      <c r="Q1391" s="5" t="s">
        <v>295</v>
      </c>
      <c r="R1391" s="5" t="s">
        <v>136</v>
      </c>
      <c r="S1391" s="11">
        <v>1376.0</v>
      </c>
    </row>
    <row r="1392">
      <c r="A1392" s="5" t="str">
        <f>IFERROR(__xludf.DUMMYFUNCTION("""COMPUTED_VALUE"""),"Quinapril Hydrochloride Tablet")</f>
        <v>Quinapril Hydrochloride Tablet</v>
      </c>
      <c r="B1392" s="5" t="str">
        <f>IFERROR(__xludf.DUMMYFUNCTION("""COMPUTED_VALUE"""),"Lupin Pharmaceuticals, Inc.")</f>
        <v>Lupin Pharmaceuticals, Inc.</v>
      </c>
      <c r="C1392" s="5" t="str">
        <f>IFERROR(__xludf.DUMMYFUNCTION("""COMPUTED_VALUE"""),"Quinapril Hydrochloride, Tablet, 20 mg (NDC 68180-558-09)")</f>
        <v>Quinapril Hydrochloride, Tablet, 20 mg (NDC 68180-558-09)</v>
      </c>
      <c r="D1392" s="5" t="str">
        <f>IFERROR(__xludf.DUMMYFUNCTION("""COMPUTED_VALUE"""),"Reverified")</f>
        <v>Reverified</v>
      </c>
      <c r="E1392" s="13">
        <f>IFERROR(__xludf.DUMMYFUNCTION("""COMPUTED_VALUE"""),46308.0)</f>
        <v>46308</v>
      </c>
      <c r="F1392" s="5" t="str">
        <f>IFERROR(__xludf.DUMMYFUNCTION("""COMPUTED_VALUE"""),"Unavailable")</f>
        <v>Unavailable</v>
      </c>
      <c r="G1392" s="5" t="str">
        <f>IFERROR(__xludf.DUMMYFUNCTION("""COMPUTED_VALUE"""),"Estimated recovery: TBD")</f>
        <v>Estimated recovery: TBD</v>
      </c>
      <c r="H1392" s="5"/>
      <c r="I1392" s="5" t="str">
        <f>IFERROR(__xludf.DUMMYFUNCTION("""COMPUTED_VALUE"""),"Requirements related to complying with good manufacturing practices")</f>
        <v>Requirements related to complying with good manufacturing practices</v>
      </c>
      <c r="J1392" s="5" t="str">
        <f>IFERROR(__xludf.DUMMYFUNCTION("""COMPUTED_VALUE"""),"Cardiovascular")</f>
        <v>Cardiovascular</v>
      </c>
      <c r="K1392" s="5" t="str">
        <f>IFERROR(__xludf.DUMMYFUNCTION("""COMPUTED_VALUE"""),"Current")</f>
        <v>Current</v>
      </c>
      <c r="L1392" s="5"/>
      <c r="M1392" s="5"/>
      <c r="N1392" s="10">
        <f>IFERROR(__xludf.DUMMYFUNCTION("""COMPUTED_VALUE"""),44945.0)</f>
        <v>44945</v>
      </c>
      <c r="O1392" s="5">
        <v>2023.0</v>
      </c>
      <c r="P1392" s="5" t="str">
        <f>IFERROR(__xludf.DUMMYFUNCTION("""COMPUTED_VALUE"""),"Unavailable")</f>
        <v>Unavailable</v>
      </c>
      <c r="Q1392" s="5" t="s">
        <v>295</v>
      </c>
      <c r="R1392" s="5" t="s">
        <v>136</v>
      </c>
      <c r="S1392" s="11">
        <v>1376.0</v>
      </c>
    </row>
    <row r="1393">
      <c r="A1393" s="5" t="str">
        <f>IFERROR(__xludf.DUMMYFUNCTION("""COMPUTED_VALUE"""),"Quinapril Hydrochloride Tablet")</f>
        <v>Quinapril Hydrochloride Tablet</v>
      </c>
      <c r="B1393" s="5" t="str">
        <f>IFERROR(__xludf.DUMMYFUNCTION("""COMPUTED_VALUE"""),"Lupin Pharmaceuticals, Inc.")</f>
        <v>Lupin Pharmaceuticals, Inc.</v>
      </c>
      <c r="C1393" s="5" t="str">
        <f>IFERROR(__xludf.DUMMYFUNCTION("""COMPUTED_VALUE"""),"Quinapril Hydrochloride, Tablet, 40 mg (NDC 68180-554-09)")</f>
        <v>Quinapril Hydrochloride, Tablet, 40 mg (NDC 68180-554-09)</v>
      </c>
      <c r="D1393" s="5" t="str">
        <f>IFERROR(__xludf.DUMMYFUNCTION("""COMPUTED_VALUE"""),"Reverified")</f>
        <v>Reverified</v>
      </c>
      <c r="E1393" s="13">
        <f>IFERROR(__xludf.DUMMYFUNCTION("""COMPUTED_VALUE"""),46308.0)</f>
        <v>46308</v>
      </c>
      <c r="F1393" s="5" t="str">
        <f>IFERROR(__xludf.DUMMYFUNCTION("""COMPUTED_VALUE"""),"Unavailable")</f>
        <v>Unavailable</v>
      </c>
      <c r="G1393" s="5" t="str">
        <f>IFERROR(__xludf.DUMMYFUNCTION("""COMPUTED_VALUE"""),"Estimated recovery: TBD")</f>
        <v>Estimated recovery: TBD</v>
      </c>
      <c r="H1393" s="5"/>
      <c r="I1393" s="5" t="str">
        <f>IFERROR(__xludf.DUMMYFUNCTION("""COMPUTED_VALUE"""),"Requirements related to complying with good manufacturing practices")</f>
        <v>Requirements related to complying with good manufacturing practices</v>
      </c>
      <c r="J1393" s="5" t="str">
        <f>IFERROR(__xludf.DUMMYFUNCTION("""COMPUTED_VALUE"""),"Cardiovascular")</f>
        <v>Cardiovascular</v>
      </c>
      <c r="K1393" s="5" t="str">
        <f>IFERROR(__xludf.DUMMYFUNCTION("""COMPUTED_VALUE"""),"Current")</f>
        <v>Current</v>
      </c>
      <c r="L1393" s="5"/>
      <c r="M1393" s="5"/>
      <c r="N1393" s="10">
        <f>IFERROR(__xludf.DUMMYFUNCTION("""COMPUTED_VALUE"""),44945.0)</f>
        <v>44945</v>
      </c>
      <c r="O1393" s="5">
        <v>2023.0</v>
      </c>
      <c r="P1393" s="5" t="str">
        <f>IFERROR(__xludf.DUMMYFUNCTION("""COMPUTED_VALUE"""),"Unavailable")</f>
        <v>Unavailable</v>
      </c>
      <c r="Q1393" s="5" t="s">
        <v>295</v>
      </c>
      <c r="R1393" s="5" t="s">
        <v>136</v>
      </c>
      <c r="S1393" s="11">
        <v>1376.0</v>
      </c>
    </row>
    <row r="1394">
      <c r="A1394" s="5" t="str">
        <f>IFERROR(__xludf.DUMMYFUNCTION("""COMPUTED_VALUE"""),"Quinapril Hydrochloride Tablet")</f>
        <v>Quinapril Hydrochloride Tablet</v>
      </c>
      <c r="B1394" s="5" t="str">
        <f>IFERROR(__xludf.DUMMYFUNCTION("""COMPUTED_VALUE"""),"Aurobindo Pharma USA")</f>
        <v>Aurobindo Pharma USA</v>
      </c>
      <c r="C1394" s="5" t="str">
        <f>IFERROR(__xludf.DUMMYFUNCTION("""COMPUTED_VALUE"""),"Quinapril Hydrochloride, Tablet, 5 mg (NDC 65862-617-90)")</f>
        <v>Quinapril Hydrochloride, Tablet, 5 mg (NDC 65862-617-90)</v>
      </c>
      <c r="D1394" s="5" t="str">
        <f>IFERROR(__xludf.DUMMYFUNCTION("""COMPUTED_VALUE"""),"Reverified")</f>
        <v>Reverified</v>
      </c>
      <c r="E1394" s="10">
        <f>IFERROR(__xludf.DUMMYFUNCTION("""COMPUTED_VALUE"""),46297.0)</f>
        <v>46297</v>
      </c>
      <c r="F1394" s="5" t="str">
        <f>IFERROR(__xludf.DUMMYFUNCTION("""COMPUTED_VALUE"""),"Unavailable")</f>
        <v>Unavailable</v>
      </c>
      <c r="G1394" s="5" t="str">
        <f>IFERROR(__xludf.DUMMYFUNCTION("""COMPUTED_VALUE"""),"Discontinuation of the manufacture of the drug")</f>
        <v>Discontinuation of the manufacture of the drug</v>
      </c>
      <c r="H1394" s="5"/>
      <c r="I1394" s="5" t="str">
        <f>IFERROR(__xludf.DUMMYFUNCTION("""COMPUTED_VALUE"""),"Discontinuation of the manufacture of the drug")</f>
        <v>Discontinuation of the manufacture of the drug</v>
      </c>
      <c r="J1394" s="5" t="str">
        <f>IFERROR(__xludf.DUMMYFUNCTION("""COMPUTED_VALUE"""),"Cardiovascular")</f>
        <v>Cardiovascular</v>
      </c>
      <c r="K1394" s="5" t="str">
        <f>IFERROR(__xludf.DUMMYFUNCTION("""COMPUTED_VALUE"""),"Current")</f>
        <v>Current</v>
      </c>
      <c r="L1394" s="5"/>
      <c r="M1394" s="5"/>
      <c r="N1394" s="10">
        <f>IFERROR(__xludf.DUMMYFUNCTION("""COMPUTED_VALUE"""),44945.0)</f>
        <v>44945</v>
      </c>
      <c r="O1394" s="5">
        <v>2023.0</v>
      </c>
      <c r="P1394" s="5" t="str">
        <f>IFERROR(__xludf.DUMMYFUNCTION("""COMPUTED_VALUE"""),"Unavailable")</f>
        <v>Unavailable</v>
      </c>
      <c r="Q1394" s="5" t="s">
        <v>33</v>
      </c>
      <c r="R1394" s="5" t="s">
        <v>136</v>
      </c>
      <c r="S1394" s="11">
        <v>1376.0</v>
      </c>
    </row>
    <row r="1395">
      <c r="A1395" s="5" t="str">
        <f>IFERROR(__xludf.DUMMYFUNCTION("""COMPUTED_VALUE"""),"Quinapril Hydrochloride Tablet")</f>
        <v>Quinapril Hydrochloride Tablet</v>
      </c>
      <c r="B1395" s="5" t="str">
        <f>IFERROR(__xludf.DUMMYFUNCTION("""COMPUTED_VALUE"""),"Aurobindo Pharma USA")</f>
        <v>Aurobindo Pharma USA</v>
      </c>
      <c r="C1395" s="5" t="str">
        <f>IFERROR(__xludf.DUMMYFUNCTION("""COMPUTED_VALUE"""),"Quinapril Hydrochloride, Tablet, 10 mg (NDC 65862-618-90)")</f>
        <v>Quinapril Hydrochloride, Tablet, 10 mg (NDC 65862-618-90)</v>
      </c>
      <c r="D1395" s="5" t="str">
        <f>IFERROR(__xludf.DUMMYFUNCTION("""COMPUTED_VALUE"""),"Reverified")</f>
        <v>Reverified</v>
      </c>
      <c r="E1395" s="10">
        <f>IFERROR(__xludf.DUMMYFUNCTION("""COMPUTED_VALUE"""),46297.0)</f>
        <v>46297</v>
      </c>
      <c r="F1395" s="5" t="str">
        <f>IFERROR(__xludf.DUMMYFUNCTION("""COMPUTED_VALUE"""),"Unavailable")</f>
        <v>Unavailable</v>
      </c>
      <c r="G1395" s="5" t="str">
        <f>IFERROR(__xludf.DUMMYFUNCTION("""COMPUTED_VALUE"""),"Discontinuation of the manufacture of the drug")</f>
        <v>Discontinuation of the manufacture of the drug</v>
      </c>
      <c r="H1395" s="5"/>
      <c r="I1395" s="5" t="str">
        <f>IFERROR(__xludf.DUMMYFUNCTION("""COMPUTED_VALUE"""),"Discontinuation of the manufacture of the drug")</f>
        <v>Discontinuation of the manufacture of the drug</v>
      </c>
      <c r="J1395" s="5" t="str">
        <f>IFERROR(__xludf.DUMMYFUNCTION("""COMPUTED_VALUE"""),"Cardiovascular")</f>
        <v>Cardiovascular</v>
      </c>
      <c r="K1395" s="5" t="str">
        <f>IFERROR(__xludf.DUMMYFUNCTION("""COMPUTED_VALUE"""),"Current")</f>
        <v>Current</v>
      </c>
      <c r="L1395" s="5"/>
      <c r="M1395" s="5"/>
      <c r="N1395" s="10">
        <f>IFERROR(__xludf.DUMMYFUNCTION("""COMPUTED_VALUE"""),44945.0)</f>
        <v>44945</v>
      </c>
      <c r="O1395" s="5">
        <v>2023.0</v>
      </c>
      <c r="P1395" s="5" t="str">
        <f>IFERROR(__xludf.DUMMYFUNCTION("""COMPUTED_VALUE"""),"Unavailable")</f>
        <v>Unavailable</v>
      </c>
      <c r="Q1395" s="5" t="s">
        <v>33</v>
      </c>
      <c r="R1395" s="5" t="s">
        <v>136</v>
      </c>
      <c r="S1395" s="11">
        <v>1376.0</v>
      </c>
    </row>
    <row r="1396">
      <c r="A1396" s="5" t="str">
        <f>IFERROR(__xludf.DUMMYFUNCTION("""COMPUTED_VALUE"""),"Quinapril Hydrochloride Tablet")</f>
        <v>Quinapril Hydrochloride Tablet</v>
      </c>
      <c r="B1396" s="5" t="str">
        <f>IFERROR(__xludf.DUMMYFUNCTION("""COMPUTED_VALUE"""),"Aurobindo Pharma USA")</f>
        <v>Aurobindo Pharma USA</v>
      </c>
      <c r="C1396" s="5" t="str">
        <f>IFERROR(__xludf.DUMMYFUNCTION("""COMPUTED_VALUE"""),"Quinapril Hydrochloride, Tablet, 40 mg (NDC 65862-620-90)")</f>
        <v>Quinapril Hydrochloride, Tablet, 40 mg (NDC 65862-620-90)</v>
      </c>
      <c r="D1396" s="5" t="str">
        <f>IFERROR(__xludf.DUMMYFUNCTION("""COMPUTED_VALUE"""),"Reverified")</f>
        <v>Reverified</v>
      </c>
      <c r="E1396" s="10">
        <f>IFERROR(__xludf.DUMMYFUNCTION("""COMPUTED_VALUE"""),46297.0)</f>
        <v>46297</v>
      </c>
      <c r="F1396" s="5" t="str">
        <f>IFERROR(__xludf.DUMMYFUNCTION("""COMPUTED_VALUE"""),"Unavailable")</f>
        <v>Unavailable</v>
      </c>
      <c r="G1396" s="5" t="str">
        <f>IFERROR(__xludf.DUMMYFUNCTION("""COMPUTED_VALUE"""),"Discontinuation of the manufacture of the drug")</f>
        <v>Discontinuation of the manufacture of the drug</v>
      </c>
      <c r="H1396" s="5"/>
      <c r="I1396" s="5" t="str">
        <f>IFERROR(__xludf.DUMMYFUNCTION("""COMPUTED_VALUE"""),"Discontinuation of the manufacture of the drug")</f>
        <v>Discontinuation of the manufacture of the drug</v>
      </c>
      <c r="J1396" s="5" t="str">
        <f>IFERROR(__xludf.DUMMYFUNCTION("""COMPUTED_VALUE"""),"Cardiovascular")</f>
        <v>Cardiovascular</v>
      </c>
      <c r="K1396" s="5" t="str">
        <f>IFERROR(__xludf.DUMMYFUNCTION("""COMPUTED_VALUE"""),"Current")</f>
        <v>Current</v>
      </c>
      <c r="L1396" s="5"/>
      <c r="M1396" s="5"/>
      <c r="N1396" s="10">
        <f>IFERROR(__xludf.DUMMYFUNCTION("""COMPUTED_VALUE"""),44945.0)</f>
        <v>44945</v>
      </c>
      <c r="O1396" s="5">
        <v>2023.0</v>
      </c>
      <c r="P1396" s="5" t="str">
        <f>IFERROR(__xludf.DUMMYFUNCTION("""COMPUTED_VALUE"""),"Unavailable")</f>
        <v>Unavailable</v>
      </c>
      <c r="Q1396" s="5" t="s">
        <v>33</v>
      </c>
      <c r="R1396" s="5" t="s">
        <v>136</v>
      </c>
      <c r="S1396" s="11">
        <v>1376.0</v>
      </c>
    </row>
    <row r="1397">
      <c r="A1397" s="5" t="str">
        <f>IFERROR(__xludf.DUMMYFUNCTION("""COMPUTED_VALUE"""),"Quinapril/Hydrochlorothiazide Tablet")</f>
        <v>Quinapril/Hydrochlorothiazide Tablet</v>
      </c>
      <c r="B1397" s="5" t="str">
        <f>IFERROR(__xludf.DUMMYFUNCTION("""COMPUTED_VALUE"""),"Aurobindo Pharma USA")</f>
        <v>Aurobindo Pharma USA</v>
      </c>
      <c r="C1397" s="5" t="str">
        <f>IFERROR(__xludf.DUMMYFUNCTION("""COMPUTED_VALUE"""),"Quinapril Hydrochloride And Hydrochlorothiazide, Tablet, 12.5 mg; 10 mg (NDC 65862-161-90)")</f>
        <v>Quinapril Hydrochloride And Hydrochlorothiazide, Tablet, 12.5 mg; 10 mg (NDC 65862-161-90)</v>
      </c>
      <c r="D1397" s="5" t="str">
        <f>IFERROR(__xludf.DUMMYFUNCTION("""COMPUTED_VALUE"""),"Reverified")</f>
        <v>Reverified</v>
      </c>
      <c r="E1397" s="10">
        <f>IFERROR(__xludf.DUMMYFUNCTION("""COMPUTED_VALUE"""),46297.0)</f>
        <v>46297</v>
      </c>
      <c r="F1397" s="5" t="str">
        <f>IFERROR(__xludf.DUMMYFUNCTION("""COMPUTED_VALUE"""),"Unavailable")</f>
        <v>Unavailable</v>
      </c>
      <c r="G1397" s="5" t="str">
        <f>IFERROR(__xludf.DUMMYFUNCTION("""COMPUTED_VALUE"""),"Discontinuation of the manufacture of the drug")</f>
        <v>Discontinuation of the manufacture of the drug</v>
      </c>
      <c r="H1397" s="5"/>
      <c r="I1397" s="5" t="str">
        <f>IFERROR(__xludf.DUMMYFUNCTION("""COMPUTED_VALUE"""),"Discontinuation of the manufacture of the drug")</f>
        <v>Discontinuation of the manufacture of the drug</v>
      </c>
      <c r="J1397" s="5" t="str">
        <f>IFERROR(__xludf.DUMMYFUNCTION("""COMPUTED_VALUE"""),"Cardiovascular")</f>
        <v>Cardiovascular</v>
      </c>
      <c r="K1397" s="5" t="str">
        <f>IFERROR(__xludf.DUMMYFUNCTION("""COMPUTED_VALUE"""),"Current")</f>
        <v>Current</v>
      </c>
      <c r="L1397" s="5"/>
      <c r="M1397" s="5"/>
      <c r="N1397" s="10">
        <f>IFERROR(__xludf.DUMMYFUNCTION("""COMPUTED_VALUE"""),44945.0)</f>
        <v>44945</v>
      </c>
      <c r="O1397" s="5">
        <v>2023.0</v>
      </c>
      <c r="P1397" s="5" t="str">
        <f>IFERROR(__xludf.DUMMYFUNCTION("""COMPUTED_VALUE"""),"Unavailable")</f>
        <v>Unavailable</v>
      </c>
      <c r="Q1397" s="5" t="s">
        <v>33</v>
      </c>
      <c r="R1397" s="5" t="s">
        <v>136</v>
      </c>
      <c r="S1397" s="11">
        <v>1376.0</v>
      </c>
    </row>
    <row r="1398">
      <c r="A1398" s="5" t="str">
        <f>IFERROR(__xludf.DUMMYFUNCTION("""COMPUTED_VALUE"""),"Quinapril/Hydrochlorothiazide Tablet")</f>
        <v>Quinapril/Hydrochlorothiazide Tablet</v>
      </c>
      <c r="B1398" s="5" t="str">
        <f>IFERROR(__xludf.DUMMYFUNCTION("""COMPUTED_VALUE"""),"Aurobindo Pharma USA")</f>
        <v>Aurobindo Pharma USA</v>
      </c>
      <c r="C1398" s="5" t="str">
        <f>IFERROR(__xludf.DUMMYFUNCTION("""COMPUTED_VALUE"""),"Quinapril Hydrochloride And Hydrochlorothiazide, Tablet, 12.5 mg; 20 mg (NDC 65862-162-90)")</f>
        <v>Quinapril Hydrochloride And Hydrochlorothiazide, Tablet, 12.5 mg; 20 mg (NDC 65862-162-90)</v>
      </c>
      <c r="D1398" s="5" t="str">
        <f>IFERROR(__xludf.DUMMYFUNCTION("""COMPUTED_VALUE"""),"Reverified")</f>
        <v>Reverified</v>
      </c>
      <c r="E1398" s="10">
        <f>IFERROR(__xludf.DUMMYFUNCTION("""COMPUTED_VALUE"""),46297.0)</f>
        <v>46297</v>
      </c>
      <c r="F1398" s="5" t="str">
        <f>IFERROR(__xludf.DUMMYFUNCTION("""COMPUTED_VALUE"""),"Unavailable")</f>
        <v>Unavailable</v>
      </c>
      <c r="G1398" s="5" t="str">
        <f>IFERROR(__xludf.DUMMYFUNCTION("""COMPUTED_VALUE"""),"Discontinuation of the manufacture of the drug")</f>
        <v>Discontinuation of the manufacture of the drug</v>
      </c>
      <c r="H1398" s="5"/>
      <c r="I1398" s="5" t="str">
        <f>IFERROR(__xludf.DUMMYFUNCTION("""COMPUTED_VALUE"""),"Discontinuation of the manufacture of the drug")</f>
        <v>Discontinuation of the manufacture of the drug</v>
      </c>
      <c r="J1398" s="5" t="str">
        <f>IFERROR(__xludf.DUMMYFUNCTION("""COMPUTED_VALUE"""),"Cardiovascular")</f>
        <v>Cardiovascular</v>
      </c>
      <c r="K1398" s="5" t="str">
        <f>IFERROR(__xludf.DUMMYFUNCTION("""COMPUTED_VALUE"""),"Current")</f>
        <v>Current</v>
      </c>
      <c r="L1398" s="5"/>
      <c r="M1398" s="5"/>
      <c r="N1398" s="10">
        <f>IFERROR(__xludf.DUMMYFUNCTION("""COMPUTED_VALUE"""),44945.0)</f>
        <v>44945</v>
      </c>
      <c r="O1398" s="5">
        <v>2023.0</v>
      </c>
      <c r="P1398" s="5" t="str">
        <f>IFERROR(__xludf.DUMMYFUNCTION("""COMPUTED_VALUE"""),"Unavailable")</f>
        <v>Unavailable</v>
      </c>
      <c r="Q1398" s="5" t="s">
        <v>33</v>
      </c>
      <c r="R1398" s="5" t="s">
        <v>136</v>
      </c>
      <c r="S1398" s="11">
        <v>1376.0</v>
      </c>
    </row>
    <row r="1399">
      <c r="A1399" s="5" t="str">
        <f>IFERROR(__xludf.DUMMYFUNCTION("""COMPUTED_VALUE"""),"Quinapril/Hydrochlorothiazide Tablet")</f>
        <v>Quinapril/Hydrochlorothiazide Tablet</v>
      </c>
      <c r="B1399" s="5" t="str">
        <f>IFERROR(__xludf.DUMMYFUNCTION("""COMPUTED_VALUE"""),"Aurobindo Pharma USA")</f>
        <v>Aurobindo Pharma USA</v>
      </c>
      <c r="C1399" s="5" t="str">
        <f>IFERROR(__xludf.DUMMYFUNCTION("""COMPUTED_VALUE"""),"Quinapril Hydrochloride And Hydrochlorothiazide, Tablet, 25 mg; 20 mg (NDC 65862-163-90)")</f>
        <v>Quinapril Hydrochloride And Hydrochlorothiazide, Tablet, 25 mg; 20 mg (NDC 65862-163-90)</v>
      </c>
      <c r="D1399" s="5" t="str">
        <f>IFERROR(__xludf.DUMMYFUNCTION("""COMPUTED_VALUE"""),"Reverified")</f>
        <v>Reverified</v>
      </c>
      <c r="E1399" s="10">
        <f>IFERROR(__xludf.DUMMYFUNCTION("""COMPUTED_VALUE"""),46297.0)</f>
        <v>46297</v>
      </c>
      <c r="F1399" s="5" t="str">
        <f>IFERROR(__xludf.DUMMYFUNCTION("""COMPUTED_VALUE"""),"Unavailable")</f>
        <v>Unavailable</v>
      </c>
      <c r="G1399" s="5" t="str">
        <f>IFERROR(__xludf.DUMMYFUNCTION("""COMPUTED_VALUE"""),"Discontinuation of the manufacture of the drug")</f>
        <v>Discontinuation of the manufacture of the drug</v>
      </c>
      <c r="H1399" s="5"/>
      <c r="I1399" s="5" t="str">
        <f>IFERROR(__xludf.DUMMYFUNCTION("""COMPUTED_VALUE"""),"Discontinuation of the manufacture of the drug")</f>
        <v>Discontinuation of the manufacture of the drug</v>
      </c>
      <c r="J1399" s="5" t="str">
        <f>IFERROR(__xludf.DUMMYFUNCTION("""COMPUTED_VALUE"""),"Cardiovascular")</f>
        <v>Cardiovascular</v>
      </c>
      <c r="K1399" s="5" t="str">
        <f>IFERROR(__xludf.DUMMYFUNCTION("""COMPUTED_VALUE"""),"Current")</f>
        <v>Current</v>
      </c>
      <c r="L1399" s="5"/>
      <c r="M1399" s="5"/>
      <c r="N1399" s="10">
        <f>IFERROR(__xludf.DUMMYFUNCTION("""COMPUTED_VALUE"""),44945.0)</f>
        <v>44945</v>
      </c>
      <c r="O1399" s="5">
        <v>2023.0</v>
      </c>
      <c r="P1399" s="5" t="str">
        <f>IFERROR(__xludf.DUMMYFUNCTION("""COMPUTED_VALUE"""),"Unavailable")</f>
        <v>Unavailable</v>
      </c>
      <c r="Q1399" s="5" t="s">
        <v>33</v>
      </c>
      <c r="R1399" s="5" t="s">
        <v>136</v>
      </c>
      <c r="S1399" s="11">
        <v>1376.0</v>
      </c>
    </row>
    <row r="1400">
      <c r="A1400" s="5" t="str">
        <f>IFERROR(__xludf.DUMMYFUNCTION("""COMPUTED_VALUE"""),"Quinapril/Hydrochlorothiazide Tablet")</f>
        <v>Quinapril/Hydrochlorothiazide Tablet</v>
      </c>
      <c r="B1400" s="5" t="str">
        <f>IFERROR(__xludf.DUMMYFUNCTION("""COMPUTED_VALUE"""),"Chartwell Molecular Holdings LLC")</f>
        <v>Chartwell Molecular Holdings LLC</v>
      </c>
      <c r="C1400" s="5" t="str">
        <f>IFERROR(__xludf.DUMMYFUNCTION("""COMPUTED_VALUE"""),"Quinapril/Hydrochlorothiazide, Tablet, 25 mg; 20 mg (NDC 62135-669-90)")</f>
        <v>Quinapril/Hydrochlorothiazide, Tablet, 25 mg; 20 mg (NDC 62135-669-90)</v>
      </c>
      <c r="D1400" s="5" t="str">
        <f>IFERROR(__xludf.DUMMYFUNCTION("""COMPUTED_VALUE"""),"Reverified")</f>
        <v>Reverified</v>
      </c>
      <c r="E1400" s="10">
        <f>IFERROR(__xludf.DUMMYFUNCTION("""COMPUTED_VALUE"""),46297.0)</f>
        <v>46297</v>
      </c>
      <c r="F1400" s="5" t="str">
        <f>IFERROR(__xludf.DUMMYFUNCTION("""COMPUTED_VALUE"""),"Available")</f>
        <v>Available</v>
      </c>
      <c r="G1400" s="5"/>
      <c r="H1400" s="5"/>
      <c r="I1400" s="5"/>
      <c r="J1400" s="5" t="str">
        <f>IFERROR(__xludf.DUMMYFUNCTION("""COMPUTED_VALUE"""),"Cardiovascular")</f>
        <v>Cardiovascular</v>
      </c>
      <c r="K1400" s="5" t="str">
        <f>IFERROR(__xludf.DUMMYFUNCTION("""COMPUTED_VALUE"""),"Current")</f>
        <v>Current</v>
      </c>
      <c r="L1400" s="5"/>
      <c r="M1400" s="5"/>
      <c r="N1400" s="10">
        <f>IFERROR(__xludf.DUMMYFUNCTION("""COMPUTED_VALUE"""),44945.0)</f>
        <v>44945</v>
      </c>
      <c r="O1400" s="5">
        <v>2023.0</v>
      </c>
      <c r="P1400" s="5" t="str">
        <f>IFERROR(__xludf.DUMMYFUNCTION("""COMPUTED_VALUE"""),"Available")</f>
        <v>Available</v>
      </c>
      <c r="Q1400" s="5" t="s">
        <v>135</v>
      </c>
      <c r="R1400" s="5" t="s">
        <v>136</v>
      </c>
      <c r="S1400" s="11">
        <v>1376.0</v>
      </c>
    </row>
    <row r="1401">
      <c r="A1401" s="5" t="str">
        <f>IFERROR(__xludf.DUMMYFUNCTION("""COMPUTED_VALUE"""),"Quinapril/Hydrochlorothiazide Tablet")</f>
        <v>Quinapril/Hydrochlorothiazide Tablet</v>
      </c>
      <c r="B1401" s="5" t="str">
        <f>IFERROR(__xludf.DUMMYFUNCTION("""COMPUTED_VALUE"""),"Chartwell Molecular Holdings LLC")</f>
        <v>Chartwell Molecular Holdings LLC</v>
      </c>
      <c r="C1401" s="5" t="str">
        <f>IFERROR(__xludf.DUMMYFUNCTION("""COMPUTED_VALUE"""),"Quinapril/Hydrochlorothiazide, Tablet, 12.5 mg; 20 mg (NDC 62135-668-90)")</f>
        <v>Quinapril/Hydrochlorothiazide, Tablet, 12.5 mg; 20 mg (NDC 62135-668-90)</v>
      </c>
      <c r="D1401" s="5" t="str">
        <f>IFERROR(__xludf.DUMMYFUNCTION("""COMPUTED_VALUE"""),"Reverified")</f>
        <v>Reverified</v>
      </c>
      <c r="E1401" s="10">
        <f>IFERROR(__xludf.DUMMYFUNCTION("""COMPUTED_VALUE"""),46297.0)</f>
        <v>46297</v>
      </c>
      <c r="F1401" s="5" t="str">
        <f>IFERROR(__xludf.DUMMYFUNCTION("""COMPUTED_VALUE"""),"Available")</f>
        <v>Available</v>
      </c>
      <c r="G1401" s="5"/>
      <c r="H1401" s="5"/>
      <c r="I1401" s="5"/>
      <c r="J1401" s="5" t="str">
        <f>IFERROR(__xludf.DUMMYFUNCTION("""COMPUTED_VALUE"""),"Cardiovascular")</f>
        <v>Cardiovascular</v>
      </c>
      <c r="K1401" s="5" t="str">
        <f>IFERROR(__xludf.DUMMYFUNCTION("""COMPUTED_VALUE"""),"Current")</f>
        <v>Current</v>
      </c>
      <c r="L1401" s="5"/>
      <c r="M1401" s="5"/>
      <c r="N1401" s="10">
        <f>IFERROR(__xludf.DUMMYFUNCTION("""COMPUTED_VALUE"""),44945.0)</f>
        <v>44945</v>
      </c>
      <c r="O1401" s="5">
        <v>2023.0</v>
      </c>
      <c r="P1401" s="5" t="str">
        <f>IFERROR(__xludf.DUMMYFUNCTION("""COMPUTED_VALUE"""),"Available")</f>
        <v>Available</v>
      </c>
      <c r="Q1401" s="5" t="s">
        <v>135</v>
      </c>
      <c r="R1401" s="5" t="s">
        <v>136</v>
      </c>
      <c r="S1401" s="11">
        <v>1376.0</v>
      </c>
    </row>
    <row r="1402">
      <c r="A1402" s="5" t="str">
        <f>IFERROR(__xludf.DUMMYFUNCTION("""COMPUTED_VALUE"""),"Quinapril/Hydrochlorothiazide Tablet")</f>
        <v>Quinapril/Hydrochlorothiazide Tablet</v>
      </c>
      <c r="B1402" s="5" t="str">
        <f>IFERROR(__xludf.DUMMYFUNCTION("""COMPUTED_VALUE"""),"Chartwell Molecular Holdings LLC")</f>
        <v>Chartwell Molecular Holdings LLC</v>
      </c>
      <c r="C1402" s="5" t="str">
        <f>IFERROR(__xludf.DUMMYFUNCTION("""COMPUTED_VALUE"""),"Quinapril/Hydrochlorothiazide, Tablet, 12.5 mg; 10 mg (NDC 62135-667-90)")</f>
        <v>Quinapril/Hydrochlorothiazide, Tablet, 12.5 mg; 10 mg (NDC 62135-667-90)</v>
      </c>
      <c r="D1402" s="5" t="str">
        <f>IFERROR(__xludf.DUMMYFUNCTION("""COMPUTED_VALUE"""),"Reverified")</f>
        <v>Reverified</v>
      </c>
      <c r="E1402" s="10">
        <f>IFERROR(__xludf.DUMMYFUNCTION("""COMPUTED_VALUE"""),46297.0)</f>
        <v>46297</v>
      </c>
      <c r="F1402" s="5" t="str">
        <f>IFERROR(__xludf.DUMMYFUNCTION("""COMPUTED_VALUE"""),"Available")</f>
        <v>Available</v>
      </c>
      <c r="G1402" s="5"/>
      <c r="H1402" s="5"/>
      <c r="I1402" s="5"/>
      <c r="J1402" s="5" t="str">
        <f>IFERROR(__xludf.DUMMYFUNCTION("""COMPUTED_VALUE"""),"Cardiovascular")</f>
        <v>Cardiovascular</v>
      </c>
      <c r="K1402" s="5" t="str">
        <f>IFERROR(__xludf.DUMMYFUNCTION("""COMPUTED_VALUE"""),"Current")</f>
        <v>Current</v>
      </c>
      <c r="L1402" s="5"/>
      <c r="M1402" s="5"/>
      <c r="N1402" s="10">
        <f>IFERROR(__xludf.DUMMYFUNCTION("""COMPUTED_VALUE"""),44945.0)</f>
        <v>44945</v>
      </c>
      <c r="O1402" s="5">
        <v>2023.0</v>
      </c>
      <c r="P1402" s="5" t="str">
        <f>IFERROR(__xludf.DUMMYFUNCTION("""COMPUTED_VALUE"""),"Available")</f>
        <v>Available</v>
      </c>
      <c r="Q1402" s="5" t="s">
        <v>135</v>
      </c>
      <c r="R1402" s="5" t="s">
        <v>136</v>
      </c>
      <c r="S1402" s="11">
        <v>1376.0</v>
      </c>
    </row>
    <row r="1403">
      <c r="A1403" s="5" t="str">
        <f>IFERROR(__xludf.DUMMYFUNCTION("""COMPUTED_VALUE"""),"Ramelteon Tablet")</f>
        <v>Ramelteon Tablet</v>
      </c>
      <c r="B1403" s="5" t="str">
        <f>IFERROR(__xludf.DUMMYFUNCTION("""COMPUTED_VALUE"""),"Takeda Pharmaceuticals USA Inc.")</f>
        <v>Takeda Pharmaceuticals USA Inc.</v>
      </c>
      <c r="C1403" s="5" t="str">
        <f>IFERROR(__xludf.DUMMYFUNCTION("""COMPUTED_VALUE"""),"Rozerem, Tablet, 8 mg (NDC 64764-805-10)")</f>
        <v>Rozerem, Tablet, 8 mg (NDC 64764-805-10)</v>
      </c>
      <c r="D1403" s="5" t="str">
        <f>IFERROR(__xludf.DUMMYFUNCTION("""COMPUTED_VALUE"""),"New")</f>
        <v>New</v>
      </c>
      <c r="E1403" s="10">
        <f>IFERROR(__xludf.DUMMYFUNCTION("""COMPUTED_VALUE"""),46100.0)</f>
        <v>46100</v>
      </c>
      <c r="F1403" s="5"/>
      <c r="G1403" s="5" t="str">
        <f>IFERROR(__xludf.DUMMYFUNCTION("""COMPUTED_VALUE"""),"Product is expected to be available through February 2027.")</f>
        <v>Product is expected to be available through February 2027.</v>
      </c>
      <c r="H1403" s="5"/>
      <c r="I1403" s="5"/>
      <c r="J1403" s="5" t="str">
        <f>IFERROR(__xludf.DUMMYFUNCTION("""COMPUTED_VALUE"""),"Psychiatry")</f>
        <v>Psychiatry</v>
      </c>
      <c r="K1403" s="5" t="str">
        <f>IFERROR(__xludf.DUMMYFUNCTION("""COMPUTED_VALUE"""),"To Be Discontinued")</f>
        <v>To Be Discontinued</v>
      </c>
      <c r="L1403" s="5"/>
      <c r="M1403" s="10">
        <f>IFERROR(__xludf.DUMMYFUNCTION("""COMPUTED_VALUE"""),46100.0)</f>
        <v>46100</v>
      </c>
      <c r="N1403" s="10">
        <f>IFERROR(__xludf.DUMMYFUNCTION("""COMPUTED_VALUE"""),46100.0)</f>
        <v>46100</v>
      </c>
      <c r="O1403" s="5">
        <v>2026.0</v>
      </c>
      <c r="P1403" s="5" t="str">
        <f>IFERROR(__xludf.DUMMYFUNCTION("""COMPUTED_VALUE"""),"Not stated")</f>
        <v>Not stated</v>
      </c>
      <c r="Q1403" s="5" t="s">
        <v>135</v>
      </c>
      <c r="R1403" s="5" t="s">
        <v>136</v>
      </c>
      <c r="S1403" s="11">
        <v>221.0</v>
      </c>
    </row>
    <row r="1404">
      <c r="A1404" s="5" t="str">
        <f>IFERROR(__xludf.DUMMYFUNCTION("""COMPUTED_VALUE"""),"Ramelteon Tablet")</f>
        <v>Ramelteon Tablet</v>
      </c>
      <c r="B1404" s="5" t="str">
        <f>IFERROR(__xludf.DUMMYFUNCTION("""COMPUTED_VALUE"""),"Takeda Pharmaceuticals USA Inc.")</f>
        <v>Takeda Pharmaceuticals USA Inc.</v>
      </c>
      <c r="C1404" s="5" t="str">
        <f>IFERROR(__xludf.DUMMYFUNCTION("""COMPUTED_VALUE"""),"Rozerem, Tablet, 8 mg (NDC 64764-805-30)")</f>
        <v>Rozerem, Tablet, 8 mg (NDC 64764-805-30)</v>
      </c>
      <c r="D1404" s="5" t="str">
        <f>IFERROR(__xludf.DUMMYFUNCTION("""COMPUTED_VALUE"""),"New")</f>
        <v>New</v>
      </c>
      <c r="E1404" s="10">
        <f>IFERROR(__xludf.DUMMYFUNCTION("""COMPUTED_VALUE"""),46100.0)</f>
        <v>46100</v>
      </c>
      <c r="F1404" s="5"/>
      <c r="G1404" s="5" t="str">
        <f>IFERROR(__xludf.DUMMYFUNCTION("""COMPUTED_VALUE"""),"Product is expected to be available through June 2027.")</f>
        <v>Product is expected to be available through June 2027.</v>
      </c>
      <c r="H1404" s="5"/>
      <c r="I1404" s="5"/>
      <c r="J1404" s="5" t="str">
        <f>IFERROR(__xludf.DUMMYFUNCTION("""COMPUTED_VALUE"""),"Psychiatry")</f>
        <v>Psychiatry</v>
      </c>
      <c r="K1404" s="5" t="str">
        <f>IFERROR(__xludf.DUMMYFUNCTION("""COMPUTED_VALUE"""),"To Be Discontinued")</f>
        <v>To Be Discontinued</v>
      </c>
      <c r="L1404" s="5"/>
      <c r="M1404" s="10">
        <f>IFERROR(__xludf.DUMMYFUNCTION("""COMPUTED_VALUE"""),46100.0)</f>
        <v>46100</v>
      </c>
      <c r="N1404" s="10">
        <f>IFERROR(__xludf.DUMMYFUNCTION("""COMPUTED_VALUE"""),46100.0)</f>
        <v>46100</v>
      </c>
      <c r="O1404" s="5">
        <v>2026.0</v>
      </c>
      <c r="P1404" s="5" t="str">
        <f>IFERROR(__xludf.DUMMYFUNCTION("""COMPUTED_VALUE"""),"Not stated")</f>
        <v>Not stated</v>
      </c>
      <c r="Q1404" s="5" t="s">
        <v>135</v>
      </c>
      <c r="R1404" s="5" t="s">
        <v>136</v>
      </c>
      <c r="S1404" s="11">
        <v>221.0</v>
      </c>
    </row>
    <row r="1405">
      <c r="A1405" s="5" t="str">
        <f>IFERROR(__xludf.DUMMYFUNCTION("""COMPUTED_VALUE"""),"Remifentanil Hydrochloride Injection")</f>
        <v>Remifentanil Hydrochloride Injection</v>
      </c>
      <c r="B1405" s="5" t="str">
        <f>IFERROR(__xludf.DUMMYFUNCTION("""COMPUTED_VALUE"""),"Mylan Institutional, a Viatris Company")</f>
        <v>Mylan Institutional, a Viatris Company</v>
      </c>
      <c r="C1405" s="5" t="str">
        <f>IFERROR(__xludf.DUMMYFUNCTION("""COMPUTED_VALUE"""),"Ultiva, Injection, 1 mg/1 mL (NDC 72078-034-01)")</f>
        <v>Ultiva, Injection, 1 mg/1 mL (NDC 72078-034-01)</v>
      </c>
      <c r="D1405" s="5" t="str">
        <f>IFERROR(__xludf.DUMMYFUNCTION("""COMPUTED_VALUE"""),"Reverified")</f>
        <v>Reverified</v>
      </c>
      <c r="E1405" s="13">
        <f>IFERROR(__xludf.DUMMYFUNCTION("""COMPUTED_VALUE"""),46314.0)</f>
        <v>46314</v>
      </c>
      <c r="F1405" s="5" t="str">
        <f>IFERROR(__xludf.DUMMYFUNCTION("""COMPUTED_VALUE"""),"Available")</f>
        <v>Available</v>
      </c>
      <c r="G1405" s="5"/>
      <c r="H1405" s="5"/>
      <c r="I1405" s="5"/>
      <c r="J1405" s="5" t="str">
        <f>IFERROR(__xludf.DUMMYFUNCTION("""COMPUTED_VALUE"""),"Analgesia/Addiction")</f>
        <v>Analgesia/Addiction</v>
      </c>
      <c r="K1405" s="5" t="str">
        <f>IFERROR(__xludf.DUMMYFUNCTION("""COMPUTED_VALUE"""),"Current")</f>
        <v>Current</v>
      </c>
      <c r="L1405" s="5"/>
      <c r="M1405" s="5"/>
      <c r="N1405" s="10">
        <f>IFERROR(__xludf.DUMMYFUNCTION("""COMPUTED_VALUE"""),44740.0)</f>
        <v>44740</v>
      </c>
      <c r="O1405" s="5">
        <v>2022.0</v>
      </c>
      <c r="P1405" s="5" t="str">
        <f>IFERROR(__xludf.DUMMYFUNCTION("""COMPUTED_VALUE"""),"Available")</f>
        <v>Available</v>
      </c>
      <c r="Q1405" s="5" t="s">
        <v>135</v>
      </c>
      <c r="R1405" s="5" t="s">
        <v>136</v>
      </c>
      <c r="S1405" s="11">
        <v>1581.0</v>
      </c>
    </row>
    <row r="1406">
      <c r="A1406" s="5" t="str">
        <f>IFERROR(__xludf.DUMMYFUNCTION("""COMPUTED_VALUE"""),"Remifentanil Hydrochloride Injection")</f>
        <v>Remifentanil Hydrochloride Injection</v>
      </c>
      <c r="B1406" s="5" t="str">
        <f>IFERROR(__xludf.DUMMYFUNCTION("""COMPUTED_VALUE"""),"Mylan Institutional, a Viatris Company")</f>
        <v>Mylan Institutional, a Viatris Company</v>
      </c>
      <c r="C1406" s="5" t="str">
        <f>IFERROR(__xludf.DUMMYFUNCTION("""COMPUTED_VALUE"""),"Ultiva, Injection, 2 mg (NDC 72078-035-02)")</f>
        <v>Ultiva, Injection, 2 mg (NDC 72078-035-02)</v>
      </c>
      <c r="D1406" s="5" t="str">
        <f>IFERROR(__xludf.DUMMYFUNCTION("""COMPUTED_VALUE"""),"Reverified")</f>
        <v>Reverified</v>
      </c>
      <c r="E1406" s="13">
        <f>IFERROR(__xludf.DUMMYFUNCTION("""COMPUTED_VALUE"""),46314.0)</f>
        <v>46314</v>
      </c>
      <c r="F1406" s="5" t="str">
        <f>IFERROR(__xludf.DUMMYFUNCTION("""COMPUTED_VALUE"""),"Available")</f>
        <v>Available</v>
      </c>
      <c r="G1406" s="5"/>
      <c r="H1406" s="5"/>
      <c r="I1406" s="5"/>
      <c r="J1406" s="5" t="str">
        <f>IFERROR(__xludf.DUMMYFUNCTION("""COMPUTED_VALUE"""),"Analgesia/Addiction")</f>
        <v>Analgesia/Addiction</v>
      </c>
      <c r="K1406" s="5" t="str">
        <f>IFERROR(__xludf.DUMMYFUNCTION("""COMPUTED_VALUE"""),"Current")</f>
        <v>Current</v>
      </c>
      <c r="L1406" s="5"/>
      <c r="M1406" s="5"/>
      <c r="N1406" s="10">
        <f>IFERROR(__xludf.DUMMYFUNCTION("""COMPUTED_VALUE"""),44740.0)</f>
        <v>44740</v>
      </c>
      <c r="O1406" s="5">
        <v>2022.0</v>
      </c>
      <c r="P1406" s="5" t="str">
        <f>IFERROR(__xludf.DUMMYFUNCTION("""COMPUTED_VALUE"""),"Available")</f>
        <v>Available</v>
      </c>
      <c r="Q1406" s="5" t="s">
        <v>135</v>
      </c>
      <c r="R1406" s="5" t="s">
        <v>136</v>
      </c>
      <c r="S1406" s="11">
        <v>1581.0</v>
      </c>
    </row>
    <row r="1407">
      <c r="A1407" s="5" t="str">
        <f>IFERROR(__xludf.DUMMYFUNCTION("""COMPUTED_VALUE"""),"Remifentanil Hydrochloride Injection")</f>
        <v>Remifentanil Hydrochloride Injection</v>
      </c>
      <c r="B1407" s="5" t="str">
        <f>IFERROR(__xludf.DUMMYFUNCTION("""COMPUTED_VALUE"""),"Mylan Institutional, a Viatris Company")</f>
        <v>Mylan Institutional, a Viatris Company</v>
      </c>
      <c r="C1407" s="5" t="str">
        <f>IFERROR(__xludf.DUMMYFUNCTION("""COMPUTED_VALUE"""),"Ultiva, Injection, 5 mg (NDC 72078-036-05)")</f>
        <v>Ultiva, Injection, 5 mg (NDC 72078-036-05)</v>
      </c>
      <c r="D1407" s="5" t="str">
        <f>IFERROR(__xludf.DUMMYFUNCTION("""COMPUTED_VALUE"""),"Reverified")</f>
        <v>Reverified</v>
      </c>
      <c r="E1407" s="13">
        <f>IFERROR(__xludf.DUMMYFUNCTION("""COMPUTED_VALUE"""),46314.0)</f>
        <v>46314</v>
      </c>
      <c r="F1407" s="5" t="str">
        <f>IFERROR(__xludf.DUMMYFUNCTION("""COMPUTED_VALUE"""),"Available")</f>
        <v>Available</v>
      </c>
      <c r="G1407" s="5"/>
      <c r="H1407" s="5"/>
      <c r="I1407" s="5"/>
      <c r="J1407" s="5" t="str">
        <f>IFERROR(__xludf.DUMMYFUNCTION("""COMPUTED_VALUE"""),"Analgesia/Addiction")</f>
        <v>Analgesia/Addiction</v>
      </c>
      <c r="K1407" s="5" t="str">
        <f>IFERROR(__xludf.DUMMYFUNCTION("""COMPUTED_VALUE"""),"Current")</f>
        <v>Current</v>
      </c>
      <c r="L1407" s="5"/>
      <c r="M1407" s="5"/>
      <c r="N1407" s="10">
        <f>IFERROR(__xludf.DUMMYFUNCTION("""COMPUTED_VALUE"""),44740.0)</f>
        <v>44740</v>
      </c>
      <c r="O1407" s="5">
        <v>2022.0</v>
      </c>
      <c r="P1407" s="5" t="str">
        <f>IFERROR(__xludf.DUMMYFUNCTION("""COMPUTED_VALUE"""),"Available")</f>
        <v>Available</v>
      </c>
      <c r="Q1407" s="5" t="s">
        <v>135</v>
      </c>
      <c r="R1407" s="5" t="s">
        <v>136</v>
      </c>
      <c r="S1407" s="11">
        <v>1581.0</v>
      </c>
    </row>
    <row r="1408">
      <c r="A1408" s="5" t="str">
        <f>IFERROR(__xludf.DUMMYFUNCTION("""COMPUTED_VALUE"""),"Remifentanil Hydrochloride Injection")</f>
        <v>Remifentanil Hydrochloride Injection</v>
      </c>
      <c r="B1408" s="5" t="str">
        <f>IFERROR(__xludf.DUMMYFUNCTION("""COMPUTED_VALUE"""),"Hikma Pharmaceuticals USA, Inc.")</f>
        <v>Hikma Pharmaceuticals USA, Inc.</v>
      </c>
      <c r="C1408" s="5" t="str">
        <f>IFERROR(__xludf.DUMMYFUNCTION("""COMPUTED_VALUE"""),"Remifentanil Hydrochloride, Injection, 1 mg per vial (NDC 0143-9391-10)")</f>
        <v>Remifentanil Hydrochloride, Injection, 1 mg per vial (NDC 0143-9391-10)</v>
      </c>
      <c r="D1408" s="5" t="str">
        <f>IFERROR(__xludf.DUMMYFUNCTION("""COMPUTED_VALUE"""),"Reverified")</f>
        <v>Reverified</v>
      </c>
      <c r="E1408" s="13">
        <f>IFERROR(__xludf.DUMMYFUNCTION("""COMPUTED_VALUE"""),46309.0)</f>
        <v>46309</v>
      </c>
      <c r="F1408" s="5" t="str">
        <f>IFERROR(__xludf.DUMMYFUNCTION("""COMPUTED_VALUE"""),"Unavailable")</f>
        <v>Unavailable</v>
      </c>
      <c r="G1408" s="5" t="str">
        <f>IFERROR(__xludf.DUMMYFUNCTION("""COMPUTED_VALUE"""),"Estimated recovery: TBD")</f>
        <v>Estimated recovery: TBD</v>
      </c>
      <c r="H1408" s="5"/>
      <c r="I1408" s="5" t="str">
        <f>IFERROR(__xludf.DUMMYFUNCTION("""COMPUTED_VALUE"""),"Demand increase for the drug")</f>
        <v>Demand increase for the drug</v>
      </c>
      <c r="J1408" s="5" t="str">
        <f>IFERROR(__xludf.DUMMYFUNCTION("""COMPUTED_VALUE"""),"Analgesia/Addiction")</f>
        <v>Analgesia/Addiction</v>
      </c>
      <c r="K1408" s="5" t="str">
        <f>IFERROR(__xludf.DUMMYFUNCTION("""COMPUTED_VALUE"""),"Current")</f>
        <v>Current</v>
      </c>
      <c r="L1408" s="5"/>
      <c r="M1408" s="5"/>
      <c r="N1408" s="10">
        <f>IFERROR(__xludf.DUMMYFUNCTION("""COMPUTED_VALUE"""),44740.0)</f>
        <v>44740</v>
      </c>
      <c r="O1408" s="5">
        <v>2022.0</v>
      </c>
      <c r="P1408" s="5" t="str">
        <f>IFERROR(__xludf.DUMMYFUNCTION("""COMPUTED_VALUE"""),"Unavailable")</f>
        <v>Unavailable</v>
      </c>
      <c r="Q1408" s="5" t="s">
        <v>134</v>
      </c>
      <c r="R1408" s="5" t="s">
        <v>136</v>
      </c>
      <c r="S1408" s="11">
        <v>1581.0</v>
      </c>
    </row>
    <row r="1409">
      <c r="A1409" s="5" t="str">
        <f>IFERROR(__xludf.DUMMYFUNCTION("""COMPUTED_VALUE"""),"Remifentanil Hydrochloride Injection")</f>
        <v>Remifentanil Hydrochloride Injection</v>
      </c>
      <c r="B1409" s="5" t="str">
        <f>IFERROR(__xludf.DUMMYFUNCTION("""COMPUTED_VALUE"""),"Hikma Pharmaceuticals USA, Inc.")</f>
        <v>Hikma Pharmaceuticals USA, Inc.</v>
      </c>
      <c r="C1409" s="5" t="str">
        <f>IFERROR(__xludf.DUMMYFUNCTION("""COMPUTED_VALUE"""),"Remifentanil Hydrochloride, Injection, 2 mg per vial (NDC 0143-9392-10)")</f>
        <v>Remifentanil Hydrochloride, Injection, 2 mg per vial (NDC 0143-9392-10)</v>
      </c>
      <c r="D1409" s="5" t="str">
        <f>IFERROR(__xludf.DUMMYFUNCTION("""COMPUTED_VALUE"""),"Reverified")</f>
        <v>Reverified</v>
      </c>
      <c r="E1409" s="13">
        <f>IFERROR(__xludf.DUMMYFUNCTION("""COMPUTED_VALUE"""),46309.0)</f>
        <v>46309</v>
      </c>
      <c r="F1409" s="5" t="str">
        <f>IFERROR(__xludf.DUMMYFUNCTION("""COMPUTED_VALUE"""),"Unavailable")</f>
        <v>Unavailable</v>
      </c>
      <c r="G1409" s="5" t="str">
        <f>IFERROR(__xludf.DUMMYFUNCTION("""COMPUTED_VALUE"""),"Estimated recovery: TBD")</f>
        <v>Estimated recovery: TBD</v>
      </c>
      <c r="H1409" s="5"/>
      <c r="I1409" s="5" t="str">
        <f>IFERROR(__xludf.DUMMYFUNCTION("""COMPUTED_VALUE"""),"Demand increase for the drug")</f>
        <v>Demand increase for the drug</v>
      </c>
      <c r="J1409" s="5" t="str">
        <f>IFERROR(__xludf.DUMMYFUNCTION("""COMPUTED_VALUE"""),"Analgesia/Addiction")</f>
        <v>Analgesia/Addiction</v>
      </c>
      <c r="K1409" s="5" t="str">
        <f>IFERROR(__xludf.DUMMYFUNCTION("""COMPUTED_VALUE"""),"Current")</f>
        <v>Current</v>
      </c>
      <c r="L1409" s="5"/>
      <c r="M1409" s="5"/>
      <c r="N1409" s="10">
        <f>IFERROR(__xludf.DUMMYFUNCTION("""COMPUTED_VALUE"""),44740.0)</f>
        <v>44740</v>
      </c>
      <c r="O1409" s="5">
        <v>2022.0</v>
      </c>
      <c r="P1409" s="5" t="str">
        <f>IFERROR(__xludf.DUMMYFUNCTION("""COMPUTED_VALUE"""),"Unavailable")</f>
        <v>Unavailable</v>
      </c>
      <c r="Q1409" s="5" t="s">
        <v>134</v>
      </c>
      <c r="R1409" s="5" t="s">
        <v>136</v>
      </c>
      <c r="S1409" s="11">
        <v>1581.0</v>
      </c>
    </row>
    <row r="1410">
      <c r="A1410" s="5" t="str">
        <f>IFERROR(__xludf.DUMMYFUNCTION("""COMPUTED_VALUE"""),"Remifentanil Hydrochloride Injection")</f>
        <v>Remifentanil Hydrochloride Injection</v>
      </c>
      <c r="B1410" s="5" t="str">
        <f>IFERROR(__xludf.DUMMYFUNCTION("""COMPUTED_VALUE"""),"Hikma Pharmaceuticals USA, Inc.")</f>
        <v>Hikma Pharmaceuticals USA, Inc.</v>
      </c>
      <c r="C1410" s="5" t="str">
        <f>IFERROR(__xludf.DUMMYFUNCTION("""COMPUTED_VALUE"""),"Remifentanil Hydrochloride, Injection, 5 mg per vial (NDC 0143-9393-10)")</f>
        <v>Remifentanil Hydrochloride, Injection, 5 mg per vial (NDC 0143-9393-10)</v>
      </c>
      <c r="D1410" s="5" t="str">
        <f>IFERROR(__xludf.DUMMYFUNCTION("""COMPUTED_VALUE"""),"Revised")</f>
        <v>Revised</v>
      </c>
      <c r="E1410" s="13">
        <f>IFERROR(__xludf.DUMMYFUNCTION("""COMPUTED_VALUE"""),46309.0)</f>
        <v>46309</v>
      </c>
      <c r="F1410" s="5" t="str">
        <f>IFERROR(__xludf.DUMMYFUNCTION("""COMPUTED_VALUE"""),"Unavailable")</f>
        <v>Unavailable</v>
      </c>
      <c r="G1410" s="5" t="str">
        <f>IFERROR(__xludf.DUMMYFUNCTION("""COMPUTED_VALUE"""),"Estimated recovery: TBD")</f>
        <v>Estimated recovery: TBD</v>
      </c>
      <c r="H1410" s="5"/>
      <c r="I1410" s="5" t="str">
        <f>IFERROR(__xludf.DUMMYFUNCTION("""COMPUTED_VALUE"""),"Demand increase for the drug")</f>
        <v>Demand increase for the drug</v>
      </c>
      <c r="J1410" s="5" t="str">
        <f>IFERROR(__xludf.DUMMYFUNCTION("""COMPUTED_VALUE"""),"Analgesia/Addiction")</f>
        <v>Analgesia/Addiction</v>
      </c>
      <c r="K1410" s="5" t="str">
        <f>IFERROR(__xludf.DUMMYFUNCTION("""COMPUTED_VALUE"""),"Current")</f>
        <v>Current</v>
      </c>
      <c r="L1410" s="5"/>
      <c r="M1410" s="5"/>
      <c r="N1410" s="10">
        <f>IFERROR(__xludf.DUMMYFUNCTION("""COMPUTED_VALUE"""),44740.0)</f>
        <v>44740</v>
      </c>
      <c r="O1410" s="5">
        <v>2022.0</v>
      </c>
      <c r="P1410" s="5" t="str">
        <f>IFERROR(__xludf.DUMMYFUNCTION("""COMPUTED_VALUE"""),"Unavailable")</f>
        <v>Unavailable</v>
      </c>
      <c r="Q1410" s="5" t="s">
        <v>134</v>
      </c>
      <c r="R1410" s="5" t="s">
        <v>136</v>
      </c>
      <c r="S1410" s="11">
        <v>1581.0</v>
      </c>
    </row>
    <row r="1411">
      <c r="A1411" s="5" t="str">
        <f>IFERROR(__xludf.DUMMYFUNCTION("""COMPUTED_VALUE"""),"Remifentanil Hydrochloride Injection")</f>
        <v>Remifentanil Hydrochloride Injection</v>
      </c>
      <c r="B1411" s="5" t="str">
        <f>IFERROR(__xludf.DUMMYFUNCTION("""COMPUTED_VALUE"""),"Fresenius Kabi USA, LLC")</f>
        <v>Fresenius Kabi USA, LLC</v>
      </c>
      <c r="C1411" s="5" t="str">
        <f>IFERROR(__xludf.DUMMYFUNCTION("""COMPUTED_VALUE"""),"Remifentanil Hydrochloride, Injection, 1 mg/1 mL (NDC 63323-723-03)")</f>
        <v>Remifentanil Hydrochloride, Injection, 1 mg/1 mL (NDC 63323-723-03)</v>
      </c>
      <c r="D1411" s="5" t="str">
        <f>IFERROR(__xludf.DUMMYFUNCTION("""COMPUTED_VALUE"""),"Revised")</f>
        <v>Revised</v>
      </c>
      <c r="E1411" s="13">
        <f>IFERROR(__xludf.DUMMYFUNCTION("""COMPUTED_VALUE"""),46310.0)</f>
        <v>46310</v>
      </c>
      <c r="F1411" s="5" t="str">
        <f>IFERROR(__xludf.DUMMYFUNCTION("""COMPUTED_VALUE"""),"Unavailable")</f>
        <v>Unavailable</v>
      </c>
      <c r="G1411" s="5" t="str">
        <f>IFERROR(__xludf.DUMMYFUNCTION("""COMPUTED_VALUE"""),"Next release November 2026. Check wholesalers for inventory.")</f>
        <v>Next release November 2026. Check wholesalers for inventory.</v>
      </c>
      <c r="H1411" s="5"/>
      <c r="I1411" s="5" t="str">
        <f>IFERROR(__xludf.DUMMYFUNCTION("""COMPUTED_VALUE"""),"Delay in shipping of the drug")</f>
        <v>Delay in shipping of the drug</v>
      </c>
      <c r="J1411" s="5" t="str">
        <f>IFERROR(__xludf.DUMMYFUNCTION("""COMPUTED_VALUE"""),"Analgesia/Addiction")</f>
        <v>Analgesia/Addiction</v>
      </c>
      <c r="K1411" s="5" t="str">
        <f>IFERROR(__xludf.DUMMYFUNCTION("""COMPUTED_VALUE"""),"Current")</f>
        <v>Current</v>
      </c>
      <c r="L1411" s="5"/>
      <c r="M1411" s="5"/>
      <c r="N1411" s="10">
        <f>IFERROR(__xludf.DUMMYFUNCTION("""COMPUTED_VALUE"""),44740.0)</f>
        <v>44740</v>
      </c>
      <c r="O1411" s="5">
        <v>2022.0</v>
      </c>
      <c r="P1411" s="5" t="str">
        <f>IFERROR(__xludf.DUMMYFUNCTION("""COMPUTED_VALUE"""),"Unavailable")</f>
        <v>Unavailable</v>
      </c>
      <c r="Q1411" s="5" t="s">
        <v>562</v>
      </c>
      <c r="R1411" s="5" t="s">
        <v>136</v>
      </c>
      <c r="S1411" s="11">
        <v>1581.0</v>
      </c>
    </row>
    <row r="1412">
      <c r="A1412" s="5" t="str">
        <f>IFERROR(__xludf.DUMMYFUNCTION("""COMPUTED_VALUE"""),"Remifentanil Hydrochloride Injection")</f>
        <v>Remifentanil Hydrochloride Injection</v>
      </c>
      <c r="B1412" s="5" t="str">
        <f>IFERROR(__xludf.DUMMYFUNCTION("""COMPUTED_VALUE"""),"Fresenius Kabi USA, LLC")</f>
        <v>Fresenius Kabi USA, LLC</v>
      </c>
      <c r="C1412" s="5" t="str">
        <f>IFERROR(__xludf.DUMMYFUNCTION("""COMPUTED_VALUE"""),"Remifentanil Hydrochloride, Injection, 1 mg/1 mL (NDC 63323-724-05)")</f>
        <v>Remifentanil Hydrochloride, Injection, 1 mg/1 mL (NDC 63323-724-05)</v>
      </c>
      <c r="D1412" s="5" t="str">
        <f>IFERROR(__xludf.DUMMYFUNCTION("""COMPUTED_VALUE"""),"Reverified")</f>
        <v>Reverified</v>
      </c>
      <c r="E1412" s="13">
        <f>IFERROR(__xludf.DUMMYFUNCTION("""COMPUTED_VALUE"""),46310.0)</f>
        <v>46310</v>
      </c>
      <c r="F1412" s="5" t="str">
        <f>IFERROR(__xludf.DUMMYFUNCTION("""COMPUTED_VALUE"""),"Available")</f>
        <v>Available</v>
      </c>
      <c r="G1412" s="5" t="str">
        <f>IFERROR(__xludf.DUMMYFUNCTION("""COMPUTED_VALUE"""),"Check wholesalers for inventory")</f>
        <v>Check wholesalers for inventory</v>
      </c>
      <c r="H1412" s="5"/>
      <c r="I1412" s="5"/>
      <c r="J1412" s="5" t="str">
        <f>IFERROR(__xludf.DUMMYFUNCTION("""COMPUTED_VALUE"""),"Analgesia/Addiction")</f>
        <v>Analgesia/Addiction</v>
      </c>
      <c r="K1412" s="5" t="str">
        <f>IFERROR(__xludf.DUMMYFUNCTION("""COMPUTED_VALUE"""),"Current")</f>
        <v>Current</v>
      </c>
      <c r="L1412" s="5"/>
      <c r="M1412" s="5"/>
      <c r="N1412" s="10">
        <f>IFERROR(__xludf.DUMMYFUNCTION("""COMPUTED_VALUE"""),44740.0)</f>
        <v>44740</v>
      </c>
      <c r="O1412" s="5">
        <v>2022.0</v>
      </c>
      <c r="P1412" s="5" t="str">
        <f>IFERROR(__xludf.DUMMYFUNCTION("""COMPUTED_VALUE"""),"Available")</f>
        <v>Available</v>
      </c>
      <c r="Q1412" s="5" t="s">
        <v>135</v>
      </c>
      <c r="R1412" s="5" t="s">
        <v>136</v>
      </c>
      <c r="S1412" s="11">
        <v>1581.0</v>
      </c>
    </row>
    <row r="1413">
      <c r="A1413" s="5" t="str">
        <f>IFERROR(__xludf.DUMMYFUNCTION("""COMPUTED_VALUE"""),"Remifentanil Hydrochloride Injection")</f>
        <v>Remifentanil Hydrochloride Injection</v>
      </c>
      <c r="B1413" s="5" t="str">
        <f>IFERROR(__xludf.DUMMYFUNCTION("""COMPUTED_VALUE"""),"Fresenius Kabi USA, LLC")</f>
        <v>Fresenius Kabi USA, LLC</v>
      </c>
      <c r="C1413" s="5" t="str">
        <f>IFERROR(__xludf.DUMMYFUNCTION("""COMPUTED_VALUE"""),"Remifentanil Hydrochloride, Injection, 1 mg/1 mL (NDC 63323-725-10)")</f>
        <v>Remifentanil Hydrochloride, Injection, 1 mg/1 mL (NDC 63323-725-10)</v>
      </c>
      <c r="D1413" s="5" t="str">
        <f>IFERROR(__xludf.DUMMYFUNCTION("""COMPUTED_VALUE"""),"Reverified")</f>
        <v>Reverified</v>
      </c>
      <c r="E1413" s="13">
        <f>IFERROR(__xludf.DUMMYFUNCTION("""COMPUTED_VALUE"""),46310.0)</f>
        <v>46310</v>
      </c>
      <c r="F1413" s="5" t="str">
        <f>IFERROR(__xludf.DUMMYFUNCTION("""COMPUTED_VALUE"""),"Available")</f>
        <v>Available</v>
      </c>
      <c r="G1413" s="5" t="str">
        <f>IFERROR(__xludf.DUMMYFUNCTION("""COMPUTED_VALUE"""),"Check wholesalers for inventory")</f>
        <v>Check wholesalers for inventory</v>
      </c>
      <c r="H1413" s="5"/>
      <c r="I1413" s="5"/>
      <c r="J1413" s="5" t="str">
        <f>IFERROR(__xludf.DUMMYFUNCTION("""COMPUTED_VALUE"""),"Analgesia/Addiction")</f>
        <v>Analgesia/Addiction</v>
      </c>
      <c r="K1413" s="5" t="str">
        <f>IFERROR(__xludf.DUMMYFUNCTION("""COMPUTED_VALUE"""),"Current")</f>
        <v>Current</v>
      </c>
      <c r="L1413" s="5"/>
      <c r="M1413" s="5"/>
      <c r="N1413" s="10">
        <f>IFERROR(__xludf.DUMMYFUNCTION("""COMPUTED_VALUE"""),44740.0)</f>
        <v>44740</v>
      </c>
      <c r="O1413" s="5">
        <v>2022.0</v>
      </c>
      <c r="P1413" s="5" t="str">
        <f>IFERROR(__xludf.DUMMYFUNCTION("""COMPUTED_VALUE"""),"Available")</f>
        <v>Available</v>
      </c>
      <c r="Q1413" s="5" t="s">
        <v>135</v>
      </c>
      <c r="R1413" s="5" t="s">
        <v>136</v>
      </c>
      <c r="S1413" s="11">
        <v>1581.0</v>
      </c>
    </row>
    <row r="1414">
      <c r="A1414" s="5" t="str">
        <f>IFERROR(__xludf.DUMMYFUNCTION("""COMPUTED_VALUE"""),"Riboflavin 5-phosphate  Ophthalmic Solution")</f>
        <v>Riboflavin 5-phosphate  Ophthalmic Solution</v>
      </c>
      <c r="B1414" s="5" t="str">
        <f>IFERROR(__xludf.DUMMYFUNCTION("""COMPUTED_VALUE"""),"Glaukos Corporation")</f>
        <v>Glaukos Corporation</v>
      </c>
      <c r="C1414" s="5" t="str">
        <f>IFERROR(__xludf.DUMMYFUNCTION("""COMPUTED_VALUE"""),"Photrexa Cross-linking Kit, Ophthalmic Solution, Kit (NDC 25357-025-03)")</f>
        <v>Photrexa Cross-linking Kit, Ophthalmic Solution, Kit (NDC 25357-025-03)</v>
      </c>
      <c r="D1414" s="5" t="str">
        <f>IFERROR(__xludf.DUMMYFUNCTION("""COMPUTED_VALUE"""),"New")</f>
        <v>New</v>
      </c>
      <c r="E1414" s="10">
        <f>IFERROR(__xludf.DUMMYFUNCTION("""COMPUTED_VALUE"""),46042.0)</f>
        <v>46042</v>
      </c>
      <c r="F1414" s="5"/>
      <c r="G1414" s="5" t="str">
        <f>IFERROR(__xludf.DUMMYFUNCTION("""COMPUTED_VALUE"""),"Discontinuing manufacture of the product as of July 2026.")</f>
        <v>Discontinuing manufacture of the product as of July 2026.</v>
      </c>
      <c r="H1414" s="5"/>
      <c r="I1414" s="5"/>
      <c r="J1414" s="5" t="str">
        <f>IFERROR(__xludf.DUMMYFUNCTION("""COMPUTED_VALUE"""),"Ophthalmology")</f>
        <v>Ophthalmology</v>
      </c>
      <c r="K1414" s="5" t="str">
        <f>IFERROR(__xludf.DUMMYFUNCTION("""COMPUTED_VALUE"""),"To Be Discontinued")</f>
        <v>To Be Discontinued</v>
      </c>
      <c r="L1414" s="5"/>
      <c r="M1414" s="10">
        <f>IFERROR(__xludf.DUMMYFUNCTION("""COMPUTED_VALUE"""),46042.0)</f>
        <v>46042</v>
      </c>
      <c r="N1414" s="10">
        <f>IFERROR(__xludf.DUMMYFUNCTION("""COMPUTED_VALUE"""),46042.0)</f>
        <v>46042</v>
      </c>
      <c r="O1414" s="5">
        <v>2026.0</v>
      </c>
      <c r="P1414" s="5" t="str">
        <f>IFERROR(__xludf.DUMMYFUNCTION("""COMPUTED_VALUE"""),"Not stated")</f>
        <v>Not stated</v>
      </c>
      <c r="Q1414" s="5" t="s">
        <v>135</v>
      </c>
      <c r="R1414" s="5" t="s">
        <v>136</v>
      </c>
      <c r="S1414" s="11">
        <v>279.0</v>
      </c>
    </row>
    <row r="1415">
      <c r="A1415" s="5" t="str">
        <f>IFERROR(__xludf.DUMMYFUNCTION("""COMPUTED_VALUE"""),"Rifampin Capsule")</f>
        <v>Rifampin Capsule</v>
      </c>
      <c r="B1415" s="5" t="str">
        <f>IFERROR(__xludf.DUMMYFUNCTION("""COMPUTED_VALUE"""),"Epic Pharma, LLC")</f>
        <v>Epic Pharma, LLC</v>
      </c>
      <c r="C1415" s="5" t="str">
        <f>IFERROR(__xludf.DUMMYFUNCTION("""COMPUTED_VALUE"""),"Rifampin, Capsule, 150 mg (NDC 42806-801-30)")</f>
        <v>Rifampin, Capsule, 150 mg (NDC 42806-801-30)</v>
      </c>
      <c r="D1415" s="5" t="str">
        <f>IFERROR(__xludf.DUMMYFUNCTION("""COMPUTED_VALUE"""),"Reverified")</f>
        <v>Reverified</v>
      </c>
      <c r="E1415" s="13">
        <f>IFERROR(__xludf.DUMMYFUNCTION("""COMPUTED_VALUE"""),46318.0)</f>
        <v>46318</v>
      </c>
      <c r="F1415" s="5" t="str">
        <f>IFERROR(__xludf.DUMMYFUNCTION("""COMPUTED_VALUE"""),"Available")</f>
        <v>Available</v>
      </c>
      <c r="G1415" s="5"/>
      <c r="H1415" s="5"/>
      <c r="I1415" s="5"/>
      <c r="J1415" s="5" t="str">
        <f>IFERROR(__xludf.DUMMYFUNCTION("""COMPUTED_VALUE"""),"Anti-Infective")</f>
        <v>Anti-Infective</v>
      </c>
      <c r="K1415" s="5" t="str">
        <f>IFERROR(__xludf.DUMMYFUNCTION("""COMPUTED_VALUE"""),"Current")</f>
        <v>Current</v>
      </c>
      <c r="L1415" s="5"/>
      <c r="M1415" s="5"/>
      <c r="N1415" s="13">
        <f>IFERROR(__xludf.DUMMYFUNCTION("""COMPUTED_VALUE"""),44552.0)</f>
        <v>44552</v>
      </c>
      <c r="O1415" s="5">
        <v>2021.0</v>
      </c>
      <c r="P1415" s="5" t="str">
        <f>IFERROR(__xludf.DUMMYFUNCTION("""COMPUTED_VALUE"""),"Available")</f>
        <v>Available</v>
      </c>
      <c r="Q1415" s="5" t="s">
        <v>135</v>
      </c>
      <c r="R1415" s="5" t="s">
        <v>136</v>
      </c>
      <c r="S1415" s="11">
        <v>1769.0</v>
      </c>
    </row>
    <row r="1416">
      <c r="A1416" s="5" t="str">
        <f>IFERROR(__xludf.DUMMYFUNCTION("""COMPUTED_VALUE"""),"Rifampin Capsule")</f>
        <v>Rifampin Capsule</v>
      </c>
      <c r="B1416" s="5" t="str">
        <f>IFERROR(__xludf.DUMMYFUNCTION("""COMPUTED_VALUE"""),"Epic Pharma, LLC")</f>
        <v>Epic Pharma, LLC</v>
      </c>
      <c r="C1416" s="5" t="str">
        <f>IFERROR(__xludf.DUMMYFUNCTION("""COMPUTED_VALUE"""),"Rifampin, Capsule, 150 mg (NDC 42806-801-01)")</f>
        <v>Rifampin, Capsule, 150 mg (NDC 42806-801-01)</v>
      </c>
      <c r="D1416" s="5" t="str">
        <f>IFERROR(__xludf.DUMMYFUNCTION("""COMPUTED_VALUE"""),"Reverified")</f>
        <v>Reverified</v>
      </c>
      <c r="E1416" s="13">
        <f>IFERROR(__xludf.DUMMYFUNCTION("""COMPUTED_VALUE"""),46318.0)</f>
        <v>46318</v>
      </c>
      <c r="F1416" s="5" t="str">
        <f>IFERROR(__xludf.DUMMYFUNCTION("""COMPUTED_VALUE"""),"Unavailable")</f>
        <v>Unavailable</v>
      </c>
      <c r="G1416" s="5" t="str">
        <f>IFERROR(__xludf.DUMMYFUNCTION("""COMPUTED_VALUE"""),"Discontinuation of the manufacture of the drug")</f>
        <v>Discontinuation of the manufacture of the drug</v>
      </c>
      <c r="H1416" s="5"/>
      <c r="I1416" s="5" t="str">
        <f>IFERROR(__xludf.DUMMYFUNCTION("""COMPUTED_VALUE"""),"Discontinuation of the manufacture of the drug")</f>
        <v>Discontinuation of the manufacture of the drug</v>
      </c>
      <c r="J1416" s="5" t="str">
        <f>IFERROR(__xludf.DUMMYFUNCTION("""COMPUTED_VALUE"""),"Anti-Infective")</f>
        <v>Anti-Infective</v>
      </c>
      <c r="K1416" s="5" t="str">
        <f>IFERROR(__xludf.DUMMYFUNCTION("""COMPUTED_VALUE"""),"Current")</f>
        <v>Current</v>
      </c>
      <c r="L1416" s="5"/>
      <c r="M1416" s="5"/>
      <c r="N1416" s="13">
        <f>IFERROR(__xludf.DUMMYFUNCTION("""COMPUTED_VALUE"""),44552.0)</f>
        <v>44552</v>
      </c>
      <c r="O1416" s="5">
        <v>2021.0</v>
      </c>
      <c r="P1416" s="5" t="str">
        <f>IFERROR(__xludf.DUMMYFUNCTION("""COMPUTED_VALUE"""),"Unavailable")</f>
        <v>Unavailable</v>
      </c>
      <c r="Q1416" s="5" t="s">
        <v>33</v>
      </c>
      <c r="R1416" s="5" t="s">
        <v>136</v>
      </c>
      <c r="S1416" s="11">
        <v>1769.0</v>
      </c>
    </row>
    <row r="1417">
      <c r="A1417" s="5" t="str">
        <f>IFERROR(__xludf.DUMMYFUNCTION("""COMPUTED_VALUE"""),"Rifampin Capsule")</f>
        <v>Rifampin Capsule</v>
      </c>
      <c r="B1417" s="5" t="str">
        <f>IFERROR(__xludf.DUMMYFUNCTION("""COMPUTED_VALUE"""),"Epic Pharma, LLC")</f>
        <v>Epic Pharma, LLC</v>
      </c>
      <c r="C1417" s="5" t="str">
        <f>IFERROR(__xludf.DUMMYFUNCTION("""COMPUTED_VALUE"""),"Rifampin, Capsule, 300 mg (NDC 42806-799-30)")</f>
        <v>Rifampin, Capsule, 300 mg (NDC 42806-799-30)</v>
      </c>
      <c r="D1417" s="5" t="str">
        <f>IFERROR(__xludf.DUMMYFUNCTION("""COMPUTED_VALUE"""),"Reverified")</f>
        <v>Reverified</v>
      </c>
      <c r="E1417" s="13">
        <f>IFERROR(__xludf.DUMMYFUNCTION("""COMPUTED_VALUE"""),46318.0)</f>
        <v>46318</v>
      </c>
      <c r="F1417" s="5" t="str">
        <f>IFERROR(__xludf.DUMMYFUNCTION("""COMPUTED_VALUE"""),"Unavailable")</f>
        <v>Unavailable</v>
      </c>
      <c r="G1417" s="5" t="str">
        <f>IFERROR(__xludf.DUMMYFUNCTION("""COMPUTED_VALUE"""),"Discontinuation of the manufacture of the drug")</f>
        <v>Discontinuation of the manufacture of the drug</v>
      </c>
      <c r="H1417" s="5"/>
      <c r="I1417" s="5" t="str">
        <f>IFERROR(__xludf.DUMMYFUNCTION("""COMPUTED_VALUE"""),"Discontinuation of the manufacture of the drug")</f>
        <v>Discontinuation of the manufacture of the drug</v>
      </c>
      <c r="J1417" s="5" t="str">
        <f>IFERROR(__xludf.DUMMYFUNCTION("""COMPUTED_VALUE"""),"Anti-Infective")</f>
        <v>Anti-Infective</v>
      </c>
      <c r="K1417" s="5" t="str">
        <f>IFERROR(__xludf.DUMMYFUNCTION("""COMPUTED_VALUE"""),"Current")</f>
        <v>Current</v>
      </c>
      <c r="L1417" s="5"/>
      <c r="M1417" s="5"/>
      <c r="N1417" s="13">
        <f>IFERROR(__xludf.DUMMYFUNCTION("""COMPUTED_VALUE"""),44552.0)</f>
        <v>44552</v>
      </c>
      <c r="O1417" s="5">
        <v>2021.0</v>
      </c>
      <c r="P1417" s="5" t="str">
        <f>IFERROR(__xludf.DUMMYFUNCTION("""COMPUTED_VALUE"""),"Unavailable")</f>
        <v>Unavailable</v>
      </c>
      <c r="Q1417" s="5" t="s">
        <v>33</v>
      </c>
      <c r="R1417" s="5" t="s">
        <v>136</v>
      </c>
      <c r="S1417" s="11">
        <v>1769.0</v>
      </c>
    </row>
    <row r="1418">
      <c r="A1418" s="5" t="str">
        <f>IFERROR(__xludf.DUMMYFUNCTION("""COMPUTED_VALUE"""),"Rifampin Capsule")</f>
        <v>Rifampin Capsule</v>
      </c>
      <c r="B1418" s="5" t="str">
        <f>IFERROR(__xludf.DUMMYFUNCTION("""COMPUTED_VALUE"""),"Epic Pharma, LLC")</f>
        <v>Epic Pharma, LLC</v>
      </c>
      <c r="C1418" s="5" t="str">
        <f>IFERROR(__xludf.DUMMYFUNCTION("""COMPUTED_VALUE"""),"Rifampin, Capsule, 300 mg (NDC 42806-799-60)")</f>
        <v>Rifampin, Capsule, 300 mg (NDC 42806-799-60)</v>
      </c>
      <c r="D1418" s="5" t="str">
        <f>IFERROR(__xludf.DUMMYFUNCTION("""COMPUTED_VALUE"""),"Reverified")</f>
        <v>Reverified</v>
      </c>
      <c r="E1418" s="13">
        <f>IFERROR(__xludf.DUMMYFUNCTION("""COMPUTED_VALUE"""),46318.0)</f>
        <v>46318</v>
      </c>
      <c r="F1418" s="5" t="str">
        <f>IFERROR(__xludf.DUMMYFUNCTION("""COMPUTED_VALUE"""),"Available")</f>
        <v>Available</v>
      </c>
      <c r="G1418" s="5"/>
      <c r="H1418" s="5"/>
      <c r="I1418" s="5"/>
      <c r="J1418" s="5" t="str">
        <f>IFERROR(__xludf.DUMMYFUNCTION("""COMPUTED_VALUE"""),"Anti-Infective")</f>
        <v>Anti-Infective</v>
      </c>
      <c r="K1418" s="5" t="str">
        <f>IFERROR(__xludf.DUMMYFUNCTION("""COMPUTED_VALUE"""),"Current")</f>
        <v>Current</v>
      </c>
      <c r="L1418" s="5"/>
      <c r="M1418" s="5"/>
      <c r="N1418" s="13">
        <f>IFERROR(__xludf.DUMMYFUNCTION("""COMPUTED_VALUE"""),44552.0)</f>
        <v>44552</v>
      </c>
      <c r="O1418" s="5">
        <v>2021.0</v>
      </c>
      <c r="P1418" s="5" t="str">
        <f>IFERROR(__xludf.DUMMYFUNCTION("""COMPUTED_VALUE"""),"Available")</f>
        <v>Available</v>
      </c>
      <c r="Q1418" s="5" t="s">
        <v>135</v>
      </c>
      <c r="R1418" s="5" t="s">
        <v>136</v>
      </c>
      <c r="S1418" s="11">
        <v>1769.0</v>
      </c>
    </row>
    <row r="1419">
      <c r="A1419" s="5" t="str">
        <f>IFERROR(__xludf.DUMMYFUNCTION("""COMPUTED_VALUE"""),"Rifampin Capsule")</f>
        <v>Rifampin Capsule</v>
      </c>
      <c r="B1419" s="5" t="str">
        <f>IFERROR(__xludf.DUMMYFUNCTION("""COMPUTED_VALUE"""),"Epic Pharma, LLC")</f>
        <v>Epic Pharma, LLC</v>
      </c>
      <c r="C1419" s="5" t="str">
        <f>IFERROR(__xludf.DUMMYFUNCTION("""COMPUTED_VALUE"""),"Rifampin, Capsule, 300 mg (NDC 42806-799-01)")</f>
        <v>Rifampin, Capsule, 300 mg (NDC 42806-799-01)</v>
      </c>
      <c r="D1419" s="5" t="str">
        <f>IFERROR(__xludf.DUMMYFUNCTION("""COMPUTED_VALUE"""),"Reverified")</f>
        <v>Reverified</v>
      </c>
      <c r="E1419" s="13">
        <f>IFERROR(__xludf.DUMMYFUNCTION("""COMPUTED_VALUE"""),46318.0)</f>
        <v>46318</v>
      </c>
      <c r="F1419" s="5" t="str">
        <f>IFERROR(__xludf.DUMMYFUNCTION("""COMPUTED_VALUE"""),"Unavailable")</f>
        <v>Unavailable</v>
      </c>
      <c r="G1419" s="5" t="str">
        <f>IFERROR(__xludf.DUMMYFUNCTION("""COMPUTED_VALUE"""),"Discontinuation of the manufacture of the drug")</f>
        <v>Discontinuation of the manufacture of the drug</v>
      </c>
      <c r="H1419" s="5"/>
      <c r="I1419" s="5" t="str">
        <f>IFERROR(__xludf.DUMMYFUNCTION("""COMPUTED_VALUE"""),"Discontinuation of the manufacture of the drug")</f>
        <v>Discontinuation of the manufacture of the drug</v>
      </c>
      <c r="J1419" s="5" t="str">
        <f>IFERROR(__xludf.DUMMYFUNCTION("""COMPUTED_VALUE"""),"Anti-Infective")</f>
        <v>Anti-Infective</v>
      </c>
      <c r="K1419" s="5" t="str">
        <f>IFERROR(__xludf.DUMMYFUNCTION("""COMPUTED_VALUE"""),"Current")</f>
        <v>Current</v>
      </c>
      <c r="L1419" s="5"/>
      <c r="M1419" s="5"/>
      <c r="N1419" s="13">
        <f>IFERROR(__xludf.DUMMYFUNCTION("""COMPUTED_VALUE"""),44552.0)</f>
        <v>44552</v>
      </c>
      <c r="O1419" s="5">
        <v>2021.0</v>
      </c>
      <c r="P1419" s="5" t="str">
        <f>IFERROR(__xludf.DUMMYFUNCTION("""COMPUTED_VALUE"""),"Unavailable")</f>
        <v>Unavailable</v>
      </c>
      <c r="Q1419" s="5" t="s">
        <v>33</v>
      </c>
      <c r="R1419" s="5" t="s">
        <v>136</v>
      </c>
      <c r="S1419" s="11">
        <v>1769.0</v>
      </c>
    </row>
    <row r="1420">
      <c r="A1420" s="5" t="str">
        <f>IFERROR(__xludf.DUMMYFUNCTION("""COMPUTED_VALUE"""),"Rifampin Capsule")</f>
        <v>Rifampin Capsule</v>
      </c>
      <c r="B1420" s="5" t="str">
        <f>IFERROR(__xludf.DUMMYFUNCTION("""COMPUTED_VALUE"""),"Epic Pharma, LLC")</f>
        <v>Epic Pharma, LLC</v>
      </c>
      <c r="C1420" s="5" t="str">
        <f>IFERROR(__xludf.DUMMYFUNCTION("""COMPUTED_VALUE"""),"Rifampin, Capsule, 300 mg (NDC 42806-799-05)")</f>
        <v>Rifampin, Capsule, 300 mg (NDC 42806-799-05)</v>
      </c>
      <c r="D1420" s="5" t="str">
        <f>IFERROR(__xludf.DUMMYFUNCTION("""COMPUTED_VALUE"""),"Reverified")</f>
        <v>Reverified</v>
      </c>
      <c r="E1420" s="13">
        <f>IFERROR(__xludf.DUMMYFUNCTION("""COMPUTED_VALUE"""),46318.0)</f>
        <v>46318</v>
      </c>
      <c r="F1420" s="5" t="str">
        <f>IFERROR(__xludf.DUMMYFUNCTION("""COMPUTED_VALUE"""),"Unavailable")</f>
        <v>Unavailable</v>
      </c>
      <c r="G1420" s="5" t="str">
        <f>IFERROR(__xludf.DUMMYFUNCTION("""COMPUTED_VALUE"""),"Discontinuation of the manufacture of the drug")</f>
        <v>Discontinuation of the manufacture of the drug</v>
      </c>
      <c r="H1420" s="5"/>
      <c r="I1420" s="5" t="str">
        <f>IFERROR(__xludf.DUMMYFUNCTION("""COMPUTED_VALUE"""),"Discontinuation of the manufacture of the drug")</f>
        <v>Discontinuation of the manufacture of the drug</v>
      </c>
      <c r="J1420" s="5" t="str">
        <f>IFERROR(__xludf.DUMMYFUNCTION("""COMPUTED_VALUE"""),"Anti-Infective")</f>
        <v>Anti-Infective</v>
      </c>
      <c r="K1420" s="5" t="str">
        <f>IFERROR(__xludf.DUMMYFUNCTION("""COMPUTED_VALUE"""),"Current")</f>
        <v>Current</v>
      </c>
      <c r="L1420" s="5"/>
      <c r="M1420" s="5"/>
      <c r="N1420" s="13">
        <f>IFERROR(__xludf.DUMMYFUNCTION("""COMPUTED_VALUE"""),44552.0)</f>
        <v>44552</v>
      </c>
      <c r="O1420" s="5">
        <v>2021.0</v>
      </c>
      <c r="P1420" s="5" t="str">
        <f>IFERROR(__xludf.DUMMYFUNCTION("""COMPUTED_VALUE"""),"Unavailable")</f>
        <v>Unavailable</v>
      </c>
      <c r="Q1420" s="5" t="s">
        <v>33</v>
      </c>
      <c r="R1420" s="5" t="s">
        <v>136</v>
      </c>
      <c r="S1420" s="11">
        <v>1769.0</v>
      </c>
    </row>
    <row r="1421">
      <c r="A1421" s="5" t="str">
        <f>IFERROR(__xludf.DUMMYFUNCTION("""COMPUTED_VALUE"""),"Rifampin Capsule")</f>
        <v>Rifampin Capsule</v>
      </c>
      <c r="B1421" s="5" t="str">
        <f>IFERROR(__xludf.DUMMYFUNCTION("""COMPUTED_VALUE"""),"Lupin Pharmaceuticals, Inc.")</f>
        <v>Lupin Pharmaceuticals, Inc.</v>
      </c>
      <c r="C1421" s="5" t="str">
        <f>IFERROR(__xludf.DUMMYFUNCTION("""COMPUTED_VALUE"""),"Rifampin, Capsule, 150 mg (NDC 68180-658-06)")</f>
        <v>Rifampin, Capsule, 150 mg (NDC 68180-658-06)</v>
      </c>
      <c r="D1421" s="5" t="str">
        <f>IFERROR(__xludf.DUMMYFUNCTION("""COMPUTED_VALUE"""),"Reverified")</f>
        <v>Reverified</v>
      </c>
      <c r="E1421" s="13">
        <f>IFERROR(__xludf.DUMMYFUNCTION("""COMPUTED_VALUE"""),46308.0)</f>
        <v>46308</v>
      </c>
      <c r="F1421" s="5" t="str">
        <f>IFERROR(__xludf.DUMMYFUNCTION("""COMPUTED_VALUE"""),"Available")</f>
        <v>Available</v>
      </c>
      <c r="G1421" s="5"/>
      <c r="H1421" s="5"/>
      <c r="I1421" s="5"/>
      <c r="J1421" s="5" t="str">
        <f>IFERROR(__xludf.DUMMYFUNCTION("""COMPUTED_VALUE"""),"Anti-Infective")</f>
        <v>Anti-Infective</v>
      </c>
      <c r="K1421" s="5" t="str">
        <f>IFERROR(__xludf.DUMMYFUNCTION("""COMPUTED_VALUE"""),"Current")</f>
        <v>Current</v>
      </c>
      <c r="L1421" s="5"/>
      <c r="M1421" s="5"/>
      <c r="N1421" s="13">
        <f>IFERROR(__xludf.DUMMYFUNCTION("""COMPUTED_VALUE"""),44552.0)</f>
        <v>44552</v>
      </c>
      <c r="O1421" s="5">
        <v>2021.0</v>
      </c>
      <c r="P1421" s="5" t="str">
        <f>IFERROR(__xludf.DUMMYFUNCTION("""COMPUTED_VALUE"""),"Available")</f>
        <v>Available</v>
      </c>
      <c r="Q1421" s="5" t="s">
        <v>135</v>
      </c>
      <c r="R1421" s="5" t="s">
        <v>136</v>
      </c>
      <c r="S1421" s="11">
        <v>1769.0</v>
      </c>
    </row>
    <row r="1422">
      <c r="A1422" s="5" t="str">
        <f>IFERROR(__xludf.DUMMYFUNCTION("""COMPUTED_VALUE"""),"Rifampin Capsule")</f>
        <v>Rifampin Capsule</v>
      </c>
      <c r="B1422" s="5" t="str">
        <f>IFERROR(__xludf.DUMMYFUNCTION("""COMPUTED_VALUE"""),"Lupin Pharmaceuticals, Inc.")</f>
        <v>Lupin Pharmaceuticals, Inc.</v>
      </c>
      <c r="C1422" s="5" t="str">
        <f>IFERROR(__xludf.DUMMYFUNCTION("""COMPUTED_VALUE"""),"Rifampin, Capsule, 300 mg (NDC 68180-659-06)")</f>
        <v>Rifampin, Capsule, 300 mg (NDC 68180-659-06)</v>
      </c>
      <c r="D1422" s="5" t="str">
        <f>IFERROR(__xludf.DUMMYFUNCTION("""COMPUTED_VALUE"""),"Reverified")</f>
        <v>Reverified</v>
      </c>
      <c r="E1422" s="13">
        <f>IFERROR(__xludf.DUMMYFUNCTION("""COMPUTED_VALUE"""),46308.0)</f>
        <v>46308</v>
      </c>
      <c r="F1422" s="5" t="str">
        <f>IFERROR(__xludf.DUMMYFUNCTION("""COMPUTED_VALUE"""),"Available")</f>
        <v>Available</v>
      </c>
      <c r="G1422" s="5"/>
      <c r="H1422" s="5"/>
      <c r="I1422" s="5"/>
      <c r="J1422" s="5" t="str">
        <f>IFERROR(__xludf.DUMMYFUNCTION("""COMPUTED_VALUE"""),"Anti-Infective")</f>
        <v>Anti-Infective</v>
      </c>
      <c r="K1422" s="5" t="str">
        <f>IFERROR(__xludf.DUMMYFUNCTION("""COMPUTED_VALUE"""),"Current")</f>
        <v>Current</v>
      </c>
      <c r="L1422" s="5"/>
      <c r="M1422" s="5"/>
      <c r="N1422" s="13">
        <f>IFERROR(__xludf.DUMMYFUNCTION("""COMPUTED_VALUE"""),44552.0)</f>
        <v>44552</v>
      </c>
      <c r="O1422" s="5">
        <v>2021.0</v>
      </c>
      <c r="P1422" s="5" t="str">
        <f>IFERROR(__xludf.DUMMYFUNCTION("""COMPUTED_VALUE"""),"Available")</f>
        <v>Available</v>
      </c>
      <c r="Q1422" s="5" t="s">
        <v>135</v>
      </c>
      <c r="R1422" s="5" t="s">
        <v>136</v>
      </c>
      <c r="S1422" s="11">
        <v>1769.0</v>
      </c>
    </row>
    <row r="1423">
      <c r="A1423" s="5" t="str">
        <f>IFERROR(__xludf.DUMMYFUNCTION("""COMPUTED_VALUE"""),"Rifampin Capsule")</f>
        <v>Rifampin Capsule</v>
      </c>
      <c r="B1423" s="5" t="str">
        <f>IFERROR(__xludf.DUMMYFUNCTION("""COMPUTED_VALUE"""),"Lupin Pharmaceuticals, Inc.")</f>
        <v>Lupin Pharmaceuticals, Inc.</v>
      </c>
      <c r="C1423" s="5" t="str">
        <f>IFERROR(__xludf.DUMMYFUNCTION("""COMPUTED_VALUE"""),"Rifampin, Capsule, 300 mg (NDC 68180-659-07)")</f>
        <v>Rifampin, Capsule, 300 mg (NDC 68180-659-07)</v>
      </c>
      <c r="D1423" s="5" t="str">
        <f>IFERROR(__xludf.DUMMYFUNCTION("""COMPUTED_VALUE"""),"Reverified")</f>
        <v>Reverified</v>
      </c>
      <c r="E1423" s="13">
        <f>IFERROR(__xludf.DUMMYFUNCTION("""COMPUTED_VALUE"""),46308.0)</f>
        <v>46308</v>
      </c>
      <c r="F1423" s="5" t="str">
        <f>IFERROR(__xludf.DUMMYFUNCTION("""COMPUTED_VALUE"""),"Available")</f>
        <v>Available</v>
      </c>
      <c r="G1423" s="5"/>
      <c r="H1423" s="5"/>
      <c r="I1423" s="5"/>
      <c r="J1423" s="5" t="str">
        <f>IFERROR(__xludf.DUMMYFUNCTION("""COMPUTED_VALUE"""),"Anti-Infective")</f>
        <v>Anti-Infective</v>
      </c>
      <c r="K1423" s="5" t="str">
        <f>IFERROR(__xludf.DUMMYFUNCTION("""COMPUTED_VALUE"""),"Current")</f>
        <v>Current</v>
      </c>
      <c r="L1423" s="5"/>
      <c r="M1423" s="5"/>
      <c r="N1423" s="13">
        <f>IFERROR(__xludf.DUMMYFUNCTION("""COMPUTED_VALUE"""),44552.0)</f>
        <v>44552</v>
      </c>
      <c r="O1423" s="5">
        <v>2021.0</v>
      </c>
      <c r="P1423" s="5" t="str">
        <f>IFERROR(__xludf.DUMMYFUNCTION("""COMPUTED_VALUE"""),"Available")</f>
        <v>Available</v>
      </c>
      <c r="Q1423" s="5" t="s">
        <v>135</v>
      </c>
      <c r="R1423" s="5" t="s">
        <v>136</v>
      </c>
      <c r="S1423" s="11">
        <v>1769.0</v>
      </c>
    </row>
    <row r="1424">
      <c r="A1424" s="5" t="str">
        <f>IFERROR(__xludf.DUMMYFUNCTION("""COMPUTED_VALUE"""),"Rifampin Injection")</f>
        <v>Rifampin Injection</v>
      </c>
      <c r="B1424" s="5" t="str">
        <f>IFERROR(__xludf.DUMMYFUNCTION("""COMPUTED_VALUE"""),"Fresenius Kabi USA, LLC")</f>
        <v>Fresenius Kabi USA, LLC</v>
      </c>
      <c r="C1424" s="5" t="str">
        <f>IFERROR(__xludf.DUMMYFUNCTION("""COMPUTED_VALUE"""),"Rifampin, Injection, 600 mg (NDC 63323-351-20)")</f>
        <v>Rifampin, Injection, 600 mg (NDC 63323-351-20)</v>
      </c>
      <c r="D1424" s="5" t="str">
        <f>IFERROR(__xludf.DUMMYFUNCTION("""COMPUTED_VALUE"""),"Reverified")</f>
        <v>Reverified</v>
      </c>
      <c r="E1424" s="13">
        <f>IFERROR(__xludf.DUMMYFUNCTION("""COMPUTED_VALUE"""),46310.0)</f>
        <v>46310</v>
      </c>
      <c r="F1424" s="5" t="str">
        <f>IFERROR(__xludf.DUMMYFUNCTION("""COMPUTED_VALUE"""),"Limited Availability")</f>
        <v>Limited Availability</v>
      </c>
      <c r="G1424" s="5" t="str">
        <f>IFERROR(__xludf.DUMMYFUNCTION("""COMPUTED_VALUE"""),"Check wholesalers for inventory")</f>
        <v>Check wholesalers for inventory</v>
      </c>
      <c r="H1424" s="5"/>
      <c r="I1424" s="5" t="str">
        <f>IFERROR(__xludf.DUMMYFUNCTION("""COMPUTED_VALUE"""),"Other")</f>
        <v>Other</v>
      </c>
      <c r="J1424" s="5" t="str">
        <f>IFERROR(__xludf.DUMMYFUNCTION("""COMPUTED_VALUE"""),"Anti-Infective")</f>
        <v>Anti-Infective</v>
      </c>
      <c r="K1424" s="5" t="str">
        <f>IFERROR(__xludf.DUMMYFUNCTION("""COMPUTED_VALUE"""),"Current")</f>
        <v>Current</v>
      </c>
      <c r="L1424" s="5"/>
      <c r="M1424" s="5"/>
      <c r="N1424" s="10">
        <f>IFERROR(__xludf.DUMMYFUNCTION("""COMPUTED_VALUE"""),44244.0)</f>
        <v>44244</v>
      </c>
      <c r="O1424" s="5">
        <v>2021.0</v>
      </c>
      <c r="P1424" s="5" t="str">
        <f>IFERROR(__xludf.DUMMYFUNCTION("""COMPUTED_VALUE"""),"Limited Availability")</f>
        <v>Limited Availability</v>
      </c>
      <c r="Q1424" s="5" t="s">
        <v>47</v>
      </c>
      <c r="R1424" s="5" t="s">
        <v>136</v>
      </c>
      <c r="S1424" s="11">
        <v>2077.0</v>
      </c>
    </row>
    <row r="1425">
      <c r="A1425" s="5" t="str">
        <f>IFERROR(__xludf.DUMMYFUNCTION("""COMPUTED_VALUE"""),"Rifampin Injection")</f>
        <v>Rifampin Injection</v>
      </c>
      <c r="B1425" s="5" t="str">
        <f>IFERROR(__xludf.DUMMYFUNCTION("""COMPUTED_VALUE"""),"Sanofi-Aventis U.S. LLC")</f>
        <v>Sanofi-Aventis U.S. LLC</v>
      </c>
      <c r="C1425" s="5" t="str">
        <f>IFERROR(__xludf.DUMMYFUNCTION("""COMPUTED_VALUE"""),"Rifadin, Injection, 600 mg (NDC 0068-0597-01)")</f>
        <v>Rifadin, Injection, 600 mg (NDC 0068-0597-01)</v>
      </c>
      <c r="D1425" s="5" t="str">
        <f>IFERROR(__xludf.DUMMYFUNCTION("""COMPUTED_VALUE"""),"Reverified")</f>
        <v>Reverified</v>
      </c>
      <c r="E1425" s="10">
        <f>IFERROR(__xludf.DUMMYFUNCTION("""COMPUTED_VALUE"""),46283.0)</f>
        <v>46283</v>
      </c>
      <c r="F1425" s="5" t="str">
        <f>IFERROR(__xludf.DUMMYFUNCTION("""COMPUTED_VALUE"""),"Unavailable")</f>
        <v>Unavailable</v>
      </c>
      <c r="G1425" s="5" t="str">
        <f>IFERROR(__xludf.DUMMYFUNCTION("""COMPUTED_VALUE"""),"Discontinuation of the manufacture of the drug")</f>
        <v>Discontinuation of the manufacture of the drug</v>
      </c>
      <c r="H1425" s="5"/>
      <c r="I1425" s="5" t="str">
        <f>IFERROR(__xludf.DUMMYFUNCTION("""COMPUTED_VALUE"""),"Discontinuation of the manufacture of the drug")</f>
        <v>Discontinuation of the manufacture of the drug</v>
      </c>
      <c r="J1425" s="5" t="str">
        <f>IFERROR(__xludf.DUMMYFUNCTION("""COMPUTED_VALUE"""),"Anti-Infective")</f>
        <v>Anti-Infective</v>
      </c>
      <c r="K1425" s="5" t="str">
        <f>IFERROR(__xludf.DUMMYFUNCTION("""COMPUTED_VALUE"""),"Current")</f>
        <v>Current</v>
      </c>
      <c r="L1425" s="5"/>
      <c r="M1425" s="5"/>
      <c r="N1425" s="10">
        <f>IFERROR(__xludf.DUMMYFUNCTION("""COMPUTED_VALUE"""),44244.0)</f>
        <v>44244</v>
      </c>
      <c r="O1425" s="5">
        <v>2021.0</v>
      </c>
      <c r="P1425" s="5" t="str">
        <f>IFERROR(__xludf.DUMMYFUNCTION("""COMPUTED_VALUE"""),"Unavailable")</f>
        <v>Unavailable</v>
      </c>
      <c r="Q1425" s="5" t="s">
        <v>33</v>
      </c>
      <c r="R1425" s="5" t="s">
        <v>136</v>
      </c>
      <c r="S1425" s="11">
        <v>2077.0</v>
      </c>
    </row>
    <row r="1426">
      <c r="A1426" s="5" t="str">
        <f>IFERROR(__xludf.DUMMYFUNCTION("""COMPUTED_VALUE"""),"Rifampin Injection")</f>
        <v>Rifampin Injection</v>
      </c>
      <c r="B1426" s="5" t="str">
        <f>IFERROR(__xludf.DUMMYFUNCTION("""COMPUTED_VALUE"""),"Mylan Institutional, a Viatris Company")</f>
        <v>Mylan Institutional, a Viatris Company</v>
      </c>
      <c r="C1426" s="5" t="str">
        <f>IFERROR(__xludf.DUMMYFUNCTION("""COMPUTED_VALUE"""),"Rifampin, Injection, 600 mg (NDC 67457-445-60)")</f>
        <v>Rifampin, Injection, 600 mg (NDC 67457-445-60)</v>
      </c>
      <c r="D1426" s="5" t="str">
        <f>IFERROR(__xludf.DUMMYFUNCTION("""COMPUTED_VALUE"""),"Reverified")</f>
        <v>Reverified</v>
      </c>
      <c r="E1426" s="13">
        <f>IFERROR(__xludf.DUMMYFUNCTION("""COMPUTED_VALUE"""),46314.0)</f>
        <v>46314</v>
      </c>
      <c r="F1426" s="5" t="str">
        <f>IFERROR(__xludf.DUMMYFUNCTION("""COMPUTED_VALUE"""),"Unavailable")</f>
        <v>Unavailable</v>
      </c>
      <c r="G1426" s="5" t="str">
        <f>IFERROR(__xludf.DUMMYFUNCTION("""COMPUTED_VALUE"""),"Estimated recovery: Q4 2026")</f>
        <v>Estimated recovery: Q4 2026</v>
      </c>
      <c r="H1426" s="5"/>
      <c r="I1426" s="5" t="str">
        <f>IFERROR(__xludf.DUMMYFUNCTION("""COMPUTED_VALUE"""),"Demand increase for the drug")</f>
        <v>Demand increase for the drug</v>
      </c>
      <c r="J1426" s="5" t="str">
        <f>IFERROR(__xludf.DUMMYFUNCTION("""COMPUTED_VALUE"""),"Anti-Infective")</f>
        <v>Anti-Infective</v>
      </c>
      <c r="K1426" s="5" t="str">
        <f>IFERROR(__xludf.DUMMYFUNCTION("""COMPUTED_VALUE"""),"Current")</f>
        <v>Current</v>
      </c>
      <c r="L1426" s="5"/>
      <c r="M1426" s="5"/>
      <c r="N1426" s="10">
        <f>IFERROR(__xludf.DUMMYFUNCTION("""COMPUTED_VALUE"""),44244.0)</f>
        <v>44244</v>
      </c>
      <c r="O1426" s="5">
        <v>2021.0</v>
      </c>
      <c r="P1426" s="5" t="str">
        <f>IFERROR(__xludf.DUMMYFUNCTION("""COMPUTED_VALUE"""),"Unavailable")</f>
        <v>Unavailable</v>
      </c>
      <c r="Q1426" s="5" t="s">
        <v>134</v>
      </c>
      <c r="R1426" s="5" t="s">
        <v>136</v>
      </c>
      <c r="S1426" s="11">
        <v>2077.0</v>
      </c>
    </row>
    <row r="1427">
      <c r="A1427" s="5" t="str">
        <f>IFERROR(__xludf.DUMMYFUNCTION("""COMPUTED_VALUE"""),"Rifampin Injection")</f>
        <v>Rifampin Injection</v>
      </c>
      <c r="B1427" s="5" t="str">
        <f>IFERROR(__xludf.DUMMYFUNCTION("""COMPUTED_VALUE"""),"Sanofi-Aventis U.S. LLC")</f>
        <v>Sanofi-Aventis U.S. LLC</v>
      </c>
      <c r="C1427" s="5" t="str">
        <f>IFERROR(__xludf.DUMMYFUNCTION("""COMPUTED_VALUE"""),"Rifadin, Injection, 600 mg/10 mL (NDC 0068-0597-01)")</f>
        <v>Rifadin, Injection, 600 mg/10 mL (NDC 0068-0597-01)</v>
      </c>
      <c r="D1427" s="5" t="str">
        <f>IFERROR(__xludf.DUMMYFUNCTION("""COMPUTED_VALUE"""),"New")</f>
        <v>New</v>
      </c>
      <c r="E1427" s="10">
        <f>IFERROR(__xludf.DUMMYFUNCTION("""COMPUTED_VALUE"""),46132.0)</f>
        <v>46132</v>
      </c>
      <c r="F1427" s="5"/>
      <c r="G1427" s="5" t="str">
        <f>IFERROR(__xludf.DUMMYFUNCTION("""COMPUTED_VALUE"""),"Discontinuation of the manufacture of the drug")</f>
        <v>Discontinuation of the manufacture of the drug</v>
      </c>
      <c r="H1427" s="5"/>
      <c r="I1427" s="5"/>
      <c r="J1427" s="5" t="str">
        <f>IFERROR(__xludf.DUMMYFUNCTION("""COMPUTED_VALUE"""),"Anti-Infective")</f>
        <v>Anti-Infective</v>
      </c>
      <c r="K1427" s="5" t="str">
        <f>IFERROR(__xludf.DUMMYFUNCTION("""COMPUTED_VALUE"""),"To Be Discontinued")</f>
        <v>To Be Discontinued</v>
      </c>
      <c r="L1427" s="5"/>
      <c r="M1427" s="10">
        <f>IFERROR(__xludf.DUMMYFUNCTION("""COMPUTED_VALUE"""),46132.0)</f>
        <v>46132</v>
      </c>
      <c r="N1427" s="10">
        <f>IFERROR(__xludf.DUMMYFUNCTION("""COMPUTED_VALUE"""),46132.0)</f>
        <v>46132</v>
      </c>
      <c r="O1427" s="5">
        <v>2026.0</v>
      </c>
      <c r="P1427" s="5" t="str">
        <f>IFERROR(__xludf.DUMMYFUNCTION("""COMPUTED_VALUE"""),"Not stated")</f>
        <v>Not stated</v>
      </c>
      <c r="Q1427" s="5" t="s">
        <v>135</v>
      </c>
      <c r="R1427" s="5" t="s">
        <v>136</v>
      </c>
      <c r="S1427" s="11">
        <v>189.0</v>
      </c>
    </row>
    <row r="1428">
      <c r="A1428" s="5" t="str">
        <f>IFERROR(__xludf.DUMMYFUNCTION("""COMPUTED_VALUE"""),"Rifapentine Tablet, Film Coated")</f>
        <v>Rifapentine Tablet, Film Coated</v>
      </c>
      <c r="B1428" s="5" t="str">
        <f>IFERROR(__xludf.DUMMYFUNCTION("""COMPUTED_VALUE"""),"Sanofi-Aventis U.S. LLC")</f>
        <v>Sanofi-Aventis U.S. LLC</v>
      </c>
      <c r="C1428" s="5" t="str">
        <f>IFERROR(__xludf.DUMMYFUNCTION("""COMPUTED_VALUE"""),"Priftin, Tablet, Film Coated, 150 mg (NDC 0088-2102-24)")</f>
        <v>Priftin, Tablet, Film Coated, 150 mg (NDC 0088-2102-24)</v>
      </c>
      <c r="D1428" s="5" t="str">
        <f>IFERROR(__xludf.DUMMYFUNCTION("""COMPUTED_VALUE"""),"Revised")</f>
        <v>Revised</v>
      </c>
      <c r="E1428" s="10">
        <f>IFERROR(__xludf.DUMMYFUNCTION("""COMPUTED_VALUE"""),46240.0)</f>
        <v>46240</v>
      </c>
      <c r="F1428" s="5"/>
      <c r="G1428" s="5"/>
      <c r="H1428" s="5" t="str">
        <f>IFERROR(__xludf.DUMMYFUNCTION("""COMPUTED_VALUE"""),"Available")</f>
        <v>Available</v>
      </c>
      <c r="I1428" s="5"/>
      <c r="J1428" s="5" t="str">
        <f>IFERROR(__xludf.DUMMYFUNCTION("""COMPUTED_VALUE"""),"Anti-Infective")</f>
        <v>Anti-Infective</v>
      </c>
      <c r="K1428" s="5" t="str">
        <f>IFERROR(__xludf.DUMMYFUNCTION("""COMPUTED_VALUE"""),"Resolved")</f>
        <v>Resolved</v>
      </c>
      <c r="L1428" s="10">
        <f>IFERROR(__xludf.DUMMYFUNCTION("""COMPUTED_VALUE"""),46240.0)</f>
        <v>46240</v>
      </c>
      <c r="M1428" s="5"/>
      <c r="N1428" s="10">
        <f>IFERROR(__xludf.DUMMYFUNCTION("""COMPUTED_VALUE"""),43915.0)</f>
        <v>43915</v>
      </c>
      <c r="O1428" s="5">
        <v>2020.0</v>
      </c>
      <c r="P1428" s="5" t="str">
        <f>IFERROR(__xludf.DUMMYFUNCTION("""COMPUTED_VALUE"""),"Not stated")</f>
        <v>Not stated</v>
      </c>
      <c r="Q1428" s="5" t="s">
        <v>135</v>
      </c>
      <c r="R1428" s="5" t="s">
        <v>136</v>
      </c>
      <c r="S1428" s="11">
        <v>2406.0</v>
      </c>
    </row>
    <row r="1429">
      <c r="A1429" s="5" t="str">
        <f>IFERROR(__xludf.DUMMYFUNCTION("""COMPUTED_VALUE"""),"Riluzole Oral Suspension")</f>
        <v>Riluzole Oral Suspension</v>
      </c>
      <c r="B1429" s="5" t="str">
        <f>IFERROR(__xludf.DUMMYFUNCTION("""COMPUTED_VALUE"""),"EDW Pharma, Inc. (formerly Italfarmaco Pharma, Inc.)")</f>
        <v>EDW Pharma, Inc. (formerly Italfarmaco Pharma, Inc.)</v>
      </c>
      <c r="C1429" s="5" t="str">
        <f>IFERROR(__xludf.DUMMYFUNCTION("""COMPUTED_VALUE"""),"Teglutik, Oral Suspension, 5 mg/1 mL (NDC 70726-0305-1)")</f>
        <v>Teglutik, Oral Suspension, 5 mg/1 mL (NDC 70726-0305-1)</v>
      </c>
      <c r="D1429" s="5" t="str">
        <f>IFERROR(__xludf.DUMMYFUNCTION("""COMPUTED_VALUE"""),"Reverified")</f>
        <v>Reverified</v>
      </c>
      <c r="E1429" s="13">
        <f>IFERROR(__xludf.DUMMYFUNCTION("""COMPUTED_VALUE"""),46310.0)</f>
        <v>46310</v>
      </c>
      <c r="F1429" s="5" t="str">
        <f>IFERROR(__xludf.DUMMYFUNCTION("""COMPUTED_VALUE"""),"Available")</f>
        <v>Available</v>
      </c>
      <c r="G1429" s="5"/>
      <c r="H1429" s="5"/>
      <c r="I1429" s="5"/>
      <c r="J1429" s="5" t="str">
        <f>IFERROR(__xludf.DUMMYFUNCTION("""COMPUTED_VALUE"""),"Neurology")</f>
        <v>Neurology</v>
      </c>
      <c r="K1429" s="5" t="str">
        <f>IFERROR(__xludf.DUMMYFUNCTION("""COMPUTED_VALUE"""),"Current")</f>
        <v>Current</v>
      </c>
      <c r="L1429" s="5"/>
      <c r="M1429" s="5"/>
      <c r="N1429" s="10">
        <f>IFERROR(__xludf.DUMMYFUNCTION("""COMPUTED_VALUE"""),45317.0)</f>
        <v>45317</v>
      </c>
      <c r="O1429" s="5">
        <v>2024.0</v>
      </c>
      <c r="P1429" s="5" t="str">
        <f>IFERROR(__xludf.DUMMYFUNCTION("""COMPUTED_VALUE"""),"Available")</f>
        <v>Available</v>
      </c>
      <c r="Q1429" s="5" t="s">
        <v>135</v>
      </c>
      <c r="R1429" s="5" t="s">
        <v>136</v>
      </c>
      <c r="S1429" s="11">
        <v>1004.0</v>
      </c>
    </row>
    <row r="1430">
      <c r="A1430" s="5" t="str">
        <f>IFERROR(__xludf.DUMMYFUNCTION("""COMPUTED_VALUE"""),"Riluzole Oral Suspension")</f>
        <v>Riluzole Oral Suspension</v>
      </c>
      <c r="B1430" s="5" t="str">
        <f>IFERROR(__xludf.DUMMYFUNCTION("""COMPUTED_VALUE"""),"EDW Pharma, Inc. (formerly Italfarmaco Pharma, Inc.)")</f>
        <v>EDW Pharma, Inc. (formerly Italfarmaco Pharma, Inc.)</v>
      </c>
      <c r="C1430" s="5" t="str">
        <f>IFERROR(__xludf.DUMMYFUNCTION("""COMPUTED_VALUE"""),"Teglutik, Oral Suspension, 5 mg/1 mL (NDC 70726-0306-1)")</f>
        <v>Teglutik, Oral Suspension, 5 mg/1 mL (NDC 70726-0306-1)</v>
      </c>
      <c r="D1430" s="5" t="str">
        <f>IFERROR(__xludf.DUMMYFUNCTION("""COMPUTED_VALUE"""),"Reverified")</f>
        <v>Reverified</v>
      </c>
      <c r="E1430" s="13">
        <f>IFERROR(__xludf.DUMMYFUNCTION("""COMPUTED_VALUE"""),46310.0)</f>
        <v>46310</v>
      </c>
      <c r="F1430" s="5" t="str">
        <f>IFERROR(__xludf.DUMMYFUNCTION("""COMPUTED_VALUE"""),"Available")</f>
        <v>Available</v>
      </c>
      <c r="G1430" s="5"/>
      <c r="H1430" s="5"/>
      <c r="I1430" s="5"/>
      <c r="J1430" s="5" t="str">
        <f>IFERROR(__xludf.DUMMYFUNCTION("""COMPUTED_VALUE"""),"Neurology")</f>
        <v>Neurology</v>
      </c>
      <c r="K1430" s="5" t="str">
        <f>IFERROR(__xludf.DUMMYFUNCTION("""COMPUTED_VALUE"""),"Current")</f>
        <v>Current</v>
      </c>
      <c r="L1430" s="5"/>
      <c r="M1430" s="5"/>
      <c r="N1430" s="10">
        <f>IFERROR(__xludf.DUMMYFUNCTION("""COMPUTED_VALUE"""),45317.0)</f>
        <v>45317</v>
      </c>
      <c r="O1430" s="5">
        <v>2024.0</v>
      </c>
      <c r="P1430" s="5" t="str">
        <f>IFERROR(__xludf.DUMMYFUNCTION("""COMPUTED_VALUE"""),"Available")</f>
        <v>Available</v>
      </c>
      <c r="Q1430" s="5" t="s">
        <v>135</v>
      </c>
      <c r="R1430" s="5" t="s">
        <v>136</v>
      </c>
      <c r="S1430" s="11">
        <v>1004.0</v>
      </c>
    </row>
    <row r="1431">
      <c r="A1431" s="5" t="str">
        <f>IFERROR(__xludf.DUMMYFUNCTION("""COMPUTED_VALUE"""),"Riluzole Oral Suspension")</f>
        <v>Riluzole Oral Suspension</v>
      </c>
      <c r="B1431" s="5" t="str">
        <f>IFERROR(__xludf.DUMMYFUNCTION("""COMPUTED_VALUE"""),"EDW Pharma, Inc. (formerly Italfarmaco Pharma, Inc.)")</f>
        <v>EDW Pharma, Inc. (formerly Italfarmaco Pharma, Inc.)</v>
      </c>
      <c r="C1431" s="5" t="str">
        <f>IFERROR(__xludf.DUMMYFUNCTION("""COMPUTED_VALUE"""),"Tiglutik, Oral Suspension, 50 mg/10 mL (NDC 70726-0303-1)")</f>
        <v>Tiglutik, Oral Suspension, 50 mg/10 mL (NDC 70726-0303-1)</v>
      </c>
      <c r="D1431" s="5" t="str">
        <f>IFERROR(__xludf.DUMMYFUNCTION("""COMPUTED_VALUE"""),"Reverified")</f>
        <v>Reverified</v>
      </c>
      <c r="E1431" s="13">
        <f>IFERROR(__xludf.DUMMYFUNCTION("""COMPUTED_VALUE"""),46310.0)</f>
        <v>46310</v>
      </c>
      <c r="F1431" s="5" t="str">
        <f>IFERROR(__xludf.DUMMYFUNCTION("""COMPUTED_VALUE"""),"Unavailable")</f>
        <v>Unavailable</v>
      </c>
      <c r="G1431" s="5" t="str">
        <f>IFERROR(__xludf.DUMMYFUNCTION("""COMPUTED_VALUE"""),"Estimated recovery: TBD")</f>
        <v>Estimated recovery: TBD</v>
      </c>
      <c r="H1431" s="5"/>
      <c r="I1431" s="5" t="str">
        <f>IFERROR(__xludf.DUMMYFUNCTION("""COMPUTED_VALUE"""),"Requirements related to complying with good manufacturing practices")</f>
        <v>Requirements related to complying with good manufacturing practices</v>
      </c>
      <c r="J1431" s="5" t="str">
        <f>IFERROR(__xludf.DUMMYFUNCTION("""COMPUTED_VALUE"""),"Neurology")</f>
        <v>Neurology</v>
      </c>
      <c r="K1431" s="5" t="str">
        <f>IFERROR(__xludf.DUMMYFUNCTION("""COMPUTED_VALUE"""),"Current")</f>
        <v>Current</v>
      </c>
      <c r="L1431" s="5"/>
      <c r="M1431" s="5"/>
      <c r="N1431" s="10">
        <f>IFERROR(__xludf.DUMMYFUNCTION("""COMPUTED_VALUE"""),45317.0)</f>
        <v>45317</v>
      </c>
      <c r="O1431" s="5">
        <v>2024.0</v>
      </c>
      <c r="P1431" s="5" t="str">
        <f>IFERROR(__xludf.DUMMYFUNCTION("""COMPUTED_VALUE"""),"Unavailable")</f>
        <v>Unavailable</v>
      </c>
      <c r="Q1431" s="5" t="s">
        <v>295</v>
      </c>
      <c r="R1431" s="5" t="s">
        <v>136</v>
      </c>
      <c r="S1431" s="11">
        <v>1004.0</v>
      </c>
    </row>
    <row r="1432">
      <c r="A1432" s="5" t="str">
        <f>IFERROR(__xludf.DUMMYFUNCTION("""COMPUTED_VALUE"""),"Riluzole Oral Suspension")</f>
        <v>Riluzole Oral Suspension</v>
      </c>
      <c r="B1432" s="5" t="str">
        <f>IFERROR(__xludf.DUMMYFUNCTION("""COMPUTED_VALUE"""),"EDW Pharma, Inc. (formerly Italfarmaco Pharma, Inc.)")</f>
        <v>EDW Pharma, Inc. (formerly Italfarmaco Pharma, Inc.)</v>
      </c>
      <c r="C1432" s="5" t="str">
        <f>IFERROR(__xludf.DUMMYFUNCTION("""COMPUTED_VALUE"""),"Teglutik, Oral Suspension, 5 mg/1 mL (NDC 70726-0304-1)")</f>
        <v>Teglutik, Oral Suspension, 5 mg/1 mL (NDC 70726-0304-1)</v>
      </c>
      <c r="D1432" s="5" t="str">
        <f>IFERROR(__xludf.DUMMYFUNCTION("""COMPUTED_VALUE"""),"Reverified")</f>
        <v>Reverified</v>
      </c>
      <c r="E1432" s="13">
        <f>IFERROR(__xludf.DUMMYFUNCTION("""COMPUTED_VALUE"""),46310.0)</f>
        <v>46310</v>
      </c>
      <c r="F1432" s="5" t="str">
        <f>IFERROR(__xludf.DUMMYFUNCTION("""COMPUTED_VALUE"""),"Available")</f>
        <v>Available</v>
      </c>
      <c r="G1432" s="5"/>
      <c r="H1432" s="5"/>
      <c r="I1432" s="5"/>
      <c r="J1432" s="5" t="str">
        <f>IFERROR(__xludf.DUMMYFUNCTION("""COMPUTED_VALUE"""),"Neurology")</f>
        <v>Neurology</v>
      </c>
      <c r="K1432" s="5" t="str">
        <f>IFERROR(__xludf.DUMMYFUNCTION("""COMPUTED_VALUE"""),"Current")</f>
        <v>Current</v>
      </c>
      <c r="L1432" s="5"/>
      <c r="M1432" s="5"/>
      <c r="N1432" s="10">
        <f>IFERROR(__xludf.DUMMYFUNCTION("""COMPUTED_VALUE"""),45317.0)</f>
        <v>45317</v>
      </c>
      <c r="O1432" s="5">
        <v>2024.0</v>
      </c>
      <c r="P1432" s="5" t="str">
        <f>IFERROR(__xludf.DUMMYFUNCTION("""COMPUTED_VALUE"""),"Available")</f>
        <v>Available</v>
      </c>
      <c r="Q1432" s="5" t="s">
        <v>135</v>
      </c>
      <c r="R1432" s="5" t="s">
        <v>136</v>
      </c>
      <c r="S1432" s="11">
        <v>1004.0</v>
      </c>
    </row>
    <row r="1433">
      <c r="A1433" s="5" t="str">
        <f>IFERROR(__xludf.DUMMYFUNCTION("""COMPUTED_VALUE"""),"Ritonavir Oral Powder")</f>
        <v>Ritonavir Oral Powder</v>
      </c>
      <c r="B1433" s="5" t="str">
        <f>IFERROR(__xludf.DUMMYFUNCTION("""COMPUTED_VALUE"""),"AbbVie Inc.")</f>
        <v>AbbVie Inc.</v>
      </c>
      <c r="C1433" s="5" t="str">
        <f>IFERROR(__xludf.DUMMYFUNCTION("""COMPUTED_VALUE"""),"Norvir, Oral Powder, 100 mg (NDC 0074-3399-30)")</f>
        <v>Norvir, Oral Powder, 100 mg (NDC 0074-3399-30)</v>
      </c>
      <c r="D1433" s="5" t="str">
        <f>IFERROR(__xludf.DUMMYFUNCTION("""COMPUTED_VALUE"""),"New")</f>
        <v>New</v>
      </c>
      <c r="E1433" s="10">
        <f>IFERROR(__xludf.DUMMYFUNCTION("""COMPUTED_VALUE"""),46227.0)</f>
        <v>46227</v>
      </c>
      <c r="F1433" s="5"/>
      <c r="G1433" s="5" t="str">
        <f>IFERROR(__xludf.DUMMYFUNCTION("""COMPUTED_VALUE"""),"Discontinuation of the manufacture of the drug")</f>
        <v>Discontinuation of the manufacture of the drug</v>
      </c>
      <c r="H1433" s="5"/>
      <c r="I1433" s="5"/>
      <c r="J1433" s="5" t="str">
        <f>IFERROR(__xludf.DUMMYFUNCTION("""COMPUTED_VALUE"""),"Antiviral")</f>
        <v>Antiviral</v>
      </c>
      <c r="K1433" s="5" t="str">
        <f>IFERROR(__xludf.DUMMYFUNCTION("""COMPUTED_VALUE"""),"To Be Discontinued")</f>
        <v>To Be Discontinued</v>
      </c>
      <c r="L1433" s="5"/>
      <c r="M1433" s="10">
        <f>IFERROR(__xludf.DUMMYFUNCTION("""COMPUTED_VALUE"""),46227.0)</f>
        <v>46227</v>
      </c>
      <c r="N1433" s="10">
        <f>IFERROR(__xludf.DUMMYFUNCTION("""COMPUTED_VALUE"""),46227.0)</f>
        <v>46227</v>
      </c>
      <c r="O1433" s="5">
        <v>2026.0</v>
      </c>
      <c r="P1433" s="5" t="str">
        <f>IFERROR(__xludf.DUMMYFUNCTION("""COMPUTED_VALUE"""),"Not stated")</f>
        <v>Not stated</v>
      </c>
      <c r="Q1433" s="5" t="s">
        <v>135</v>
      </c>
      <c r="R1433" s="5" t="s">
        <v>136</v>
      </c>
      <c r="S1433" s="11">
        <v>94.0</v>
      </c>
    </row>
    <row r="1434">
      <c r="A1434" s="5" t="str">
        <f>IFERROR(__xludf.DUMMYFUNCTION("""COMPUTED_VALUE"""),"Ritonavir Tablet")</f>
        <v>Ritonavir Tablet</v>
      </c>
      <c r="B1434" s="5" t="str">
        <f>IFERROR(__xludf.DUMMYFUNCTION("""COMPUTED_VALUE"""),"AbbVie Inc.")</f>
        <v>AbbVie Inc.</v>
      </c>
      <c r="C1434" s="5" t="str">
        <f>IFERROR(__xludf.DUMMYFUNCTION("""COMPUTED_VALUE"""),"Norvir, Tablet, 100 mg (NDC 0074-2340-30)")</f>
        <v>Norvir, Tablet, 100 mg (NDC 0074-2340-30)</v>
      </c>
      <c r="D1434" s="5" t="str">
        <f>IFERROR(__xludf.DUMMYFUNCTION("""COMPUTED_VALUE"""),"New")</f>
        <v>New</v>
      </c>
      <c r="E1434" s="10">
        <f>IFERROR(__xludf.DUMMYFUNCTION("""COMPUTED_VALUE"""),46227.0)</f>
        <v>46227</v>
      </c>
      <c r="F1434" s="5"/>
      <c r="G1434" s="5" t="str">
        <f>IFERROR(__xludf.DUMMYFUNCTION("""COMPUTED_VALUE"""),"Discontinuation of the manufacture of the drug")</f>
        <v>Discontinuation of the manufacture of the drug</v>
      </c>
      <c r="H1434" s="5"/>
      <c r="I1434" s="5"/>
      <c r="J1434" s="5" t="str">
        <f>IFERROR(__xludf.DUMMYFUNCTION("""COMPUTED_VALUE"""),"Antiviral")</f>
        <v>Antiviral</v>
      </c>
      <c r="K1434" s="5" t="str">
        <f>IFERROR(__xludf.DUMMYFUNCTION("""COMPUTED_VALUE"""),"To Be Discontinued")</f>
        <v>To Be Discontinued</v>
      </c>
      <c r="L1434" s="5"/>
      <c r="M1434" s="10">
        <f>IFERROR(__xludf.DUMMYFUNCTION("""COMPUTED_VALUE"""),46227.0)</f>
        <v>46227</v>
      </c>
      <c r="N1434" s="10">
        <f>IFERROR(__xludf.DUMMYFUNCTION("""COMPUTED_VALUE"""),46227.0)</f>
        <v>46227</v>
      </c>
      <c r="O1434" s="5">
        <v>2026.0</v>
      </c>
      <c r="P1434" s="5" t="str">
        <f>IFERROR(__xludf.DUMMYFUNCTION("""COMPUTED_VALUE"""),"Not stated")</f>
        <v>Not stated</v>
      </c>
      <c r="Q1434" s="5" t="s">
        <v>135</v>
      </c>
      <c r="R1434" s="5" t="s">
        <v>136</v>
      </c>
      <c r="S1434" s="11">
        <v>94.0</v>
      </c>
    </row>
    <row r="1435">
      <c r="A1435" s="5" t="str">
        <f>IFERROR(__xludf.DUMMYFUNCTION("""COMPUTED_VALUE"""),"Rivaroxaban For Suspension")</f>
        <v>Rivaroxaban For Suspension</v>
      </c>
      <c r="B1435" s="5" t="str">
        <f>IFERROR(__xludf.DUMMYFUNCTION("""COMPUTED_VALUE"""),"Janssen Pharmaceuticals")</f>
        <v>Janssen Pharmaceuticals</v>
      </c>
      <c r="C1435" s="5" t="str">
        <f>IFERROR(__xludf.DUMMYFUNCTION("""COMPUTED_VALUE"""),"Xarelto, For Suspension, 155 mg (NDC 50458-575-01)")</f>
        <v>Xarelto, For Suspension, 155 mg (NDC 50458-575-01)</v>
      </c>
      <c r="D1435" s="5" t="str">
        <f>IFERROR(__xludf.DUMMYFUNCTION("""COMPUTED_VALUE"""),"New")</f>
        <v>New</v>
      </c>
      <c r="E1435" s="10">
        <f>IFERROR(__xludf.DUMMYFUNCTION("""COMPUTED_VALUE"""),46283.0)</f>
        <v>46283</v>
      </c>
      <c r="F1435" s="5"/>
      <c r="G1435" s="5" t="str">
        <f>IFERROR(__xludf.DUMMYFUNCTION("""COMPUTED_VALUE"""),"Business Decision")</f>
        <v>Business Decision</v>
      </c>
      <c r="H1435" s="5"/>
      <c r="I1435" s="5"/>
      <c r="J1435" s="5" t="str">
        <f>IFERROR(__xludf.DUMMYFUNCTION("""COMPUTED_VALUE"""),"Hematology")</f>
        <v>Hematology</v>
      </c>
      <c r="K1435" s="5" t="str">
        <f>IFERROR(__xludf.DUMMYFUNCTION("""COMPUTED_VALUE"""),"To Be Discontinued")</f>
        <v>To Be Discontinued</v>
      </c>
      <c r="L1435" s="5"/>
      <c r="M1435" s="10">
        <f>IFERROR(__xludf.DUMMYFUNCTION("""COMPUTED_VALUE"""),46283.0)</f>
        <v>46283</v>
      </c>
      <c r="N1435" s="10">
        <f>IFERROR(__xludf.DUMMYFUNCTION("""COMPUTED_VALUE"""),46283.0)</f>
        <v>46283</v>
      </c>
      <c r="O1435" s="5">
        <v>2026.0</v>
      </c>
      <c r="P1435" s="5" t="str">
        <f>IFERROR(__xludf.DUMMYFUNCTION("""COMPUTED_VALUE"""),"Not stated")</f>
        <v>Not stated</v>
      </c>
      <c r="Q1435" s="5" t="s">
        <v>135</v>
      </c>
      <c r="R1435" s="5" t="s">
        <v>136</v>
      </c>
      <c r="S1435" s="11">
        <v>38.0</v>
      </c>
    </row>
    <row r="1436">
      <c r="A1436" s="5" t="str">
        <f>IFERROR(__xludf.DUMMYFUNCTION("""COMPUTED_VALUE"""),"Rivastigmine Film, Extended Release")</f>
        <v>Rivastigmine Film, Extended Release</v>
      </c>
      <c r="B1436" s="5" t="str">
        <f>IFERROR(__xludf.DUMMYFUNCTION("""COMPUTED_VALUE"""),"Mylan Pharmaceuticals Inc., a Viatris Company")</f>
        <v>Mylan Pharmaceuticals Inc., a Viatris Company</v>
      </c>
      <c r="C1436" s="5" t="str">
        <f>IFERROR(__xludf.DUMMYFUNCTION("""COMPUTED_VALUE"""),"Rivastigmine, Film, Extended Release, 4.6 mg/24 h (NDC 0378-9070-93)")</f>
        <v>Rivastigmine, Film, Extended Release, 4.6 mg/24 h (NDC 0378-9070-93)</v>
      </c>
      <c r="D1436" s="5" t="str">
        <f>IFERROR(__xludf.DUMMYFUNCTION("""COMPUTED_VALUE"""),"New")</f>
        <v>New</v>
      </c>
      <c r="E1436" s="10">
        <f>IFERROR(__xludf.DUMMYFUNCTION("""COMPUTED_VALUE"""),46283.0)</f>
        <v>46283</v>
      </c>
      <c r="F1436" s="5"/>
      <c r="G1436" s="5" t="str">
        <f>IFERROR(__xludf.DUMMYFUNCTION("""COMPUTED_VALUE"""),"Discontinuation of the manufacture of the drug.")</f>
        <v>Discontinuation of the manufacture of the drug.</v>
      </c>
      <c r="H1436" s="5"/>
      <c r="I1436" s="5"/>
      <c r="J1436" s="5" t="str">
        <f>IFERROR(__xludf.DUMMYFUNCTION("""COMPUTED_VALUE"""),"Neurology")</f>
        <v>Neurology</v>
      </c>
      <c r="K1436" s="5" t="str">
        <f>IFERROR(__xludf.DUMMYFUNCTION("""COMPUTED_VALUE"""),"To Be Discontinued")</f>
        <v>To Be Discontinued</v>
      </c>
      <c r="L1436" s="5"/>
      <c r="M1436" s="10">
        <f>IFERROR(__xludf.DUMMYFUNCTION("""COMPUTED_VALUE"""),46283.0)</f>
        <v>46283</v>
      </c>
      <c r="N1436" s="10">
        <f>IFERROR(__xludf.DUMMYFUNCTION("""COMPUTED_VALUE"""),46283.0)</f>
        <v>46283</v>
      </c>
      <c r="O1436" s="5">
        <v>2026.0</v>
      </c>
      <c r="P1436" s="5" t="str">
        <f>IFERROR(__xludf.DUMMYFUNCTION("""COMPUTED_VALUE"""),"Not stated")</f>
        <v>Not stated</v>
      </c>
      <c r="Q1436" s="5" t="s">
        <v>135</v>
      </c>
      <c r="R1436" s="5" t="s">
        <v>136</v>
      </c>
      <c r="S1436" s="11">
        <v>38.0</v>
      </c>
    </row>
    <row r="1437">
      <c r="A1437" s="5" t="str">
        <f>IFERROR(__xludf.DUMMYFUNCTION("""COMPUTED_VALUE"""),"Rocuronium Bromide Injection")</f>
        <v>Rocuronium Bromide Injection</v>
      </c>
      <c r="B1437" s="5" t="str">
        <f>IFERROR(__xludf.DUMMYFUNCTION("""COMPUTED_VALUE"""),"Meitheal Pharmaceuticals, Inc.")</f>
        <v>Meitheal Pharmaceuticals, Inc.</v>
      </c>
      <c r="C1437" s="5" t="str">
        <f>IFERROR(__xludf.DUMMYFUNCTION("""COMPUTED_VALUE"""),"Rocuronium Bromide, Injection, 10 mg/1 mL (NDC 71288-700-06)")</f>
        <v>Rocuronium Bromide, Injection, 10 mg/1 mL (NDC 71288-700-06)</v>
      </c>
      <c r="D1437" s="5" t="str">
        <f>IFERROR(__xludf.DUMMYFUNCTION("""COMPUTED_VALUE"""),"Reverified")</f>
        <v>Reverified</v>
      </c>
      <c r="E1437" s="10">
        <f>IFERROR(__xludf.DUMMYFUNCTION("""COMPUTED_VALUE"""),46261.0)</f>
        <v>46261</v>
      </c>
      <c r="F1437" s="5" t="str">
        <f>IFERROR(__xludf.DUMMYFUNCTION("""COMPUTED_VALUE"""),"Available")</f>
        <v>Available</v>
      </c>
      <c r="G1437" s="5"/>
      <c r="H1437" s="5"/>
      <c r="I1437" s="5"/>
      <c r="J1437" s="5" t="str">
        <f>IFERROR(__xludf.DUMMYFUNCTION("""COMPUTED_VALUE"""),"Anesthesia")</f>
        <v>Anesthesia</v>
      </c>
      <c r="K1437" s="5" t="str">
        <f>IFERROR(__xludf.DUMMYFUNCTION("""COMPUTED_VALUE"""),"Current")</f>
        <v>Current</v>
      </c>
      <c r="L1437" s="5"/>
      <c r="M1437" s="5"/>
      <c r="N1437" s="10">
        <f>IFERROR(__xludf.DUMMYFUNCTION("""COMPUTED_VALUE"""),44972.0)</f>
        <v>44972</v>
      </c>
      <c r="O1437" s="5">
        <v>2023.0</v>
      </c>
      <c r="P1437" s="5" t="str">
        <f>IFERROR(__xludf.DUMMYFUNCTION("""COMPUTED_VALUE"""),"Available")</f>
        <v>Available</v>
      </c>
      <c r="Q1437" s="5" t="s">
        <v>135</v>
      </c>
      <c r="R1437" s="5" t="s">
        <v>136</v>
      </c>
      <c r="S1437" s="11">
        <v>1349.0</v>
      </c>
    </row>
    <row r="1438">
      <c r="A1438" s="5" t="str">
        <f>IFERROR(__xludf.DUMMYFUNCTION("""COMPUTED_VALUE"""),"Rocuronium Bromide Injection")</f>
        <v>Rocuronium Bromide Injection</v>
      </c>
      <c r="B1438" s="5" t="str">
        <f>IFERROR(__xludf.DUMMYFUNCTION("""COMPUTED_VALUE"""),"Meitheal Pharmaceuticals, Inc.")</f>
        <v>Meitheal Pharmaceuticals, Inc.</v>
      </c>
      <c r="C1438" s="5" t="str">
        <f>IFERROR(__xludf.DUMMYFUNCTION("""COMPUTED_VALUE"""),"Rocuronium Bromide, Injection, 10 mg/1 mL (NDC 71288-718-11)")</f>
        <v>Rocuronium Bromide, Injection, 10 mg/1 mL (NDC 71288-718-11)</v>
      </c>
      <c r="D1438" s="5" t="str">
        <f>IFERROR(__xludf.DUMMYFUNCTION("""COMPUTED_VALUE"""),"Reverified")</f>
        <v>Reverified</v>
      </c>
      <c r="E1438" s="10">
        <f>IFERROR(__xludf.DUMMYFUNCTION("""COMPUTED_VALUE"""),46261.0)</f>
        <v>46261</v>
      </c>
      <c r="F1438" s="5" t="str">
        <f>IFERROR(__xludf.DUMMYFUNCTION("""COMPUTED_VALUE"""),"Available")</f>
        <v>Available</v>
      </c>
      <c r="G1438" s="5"/>
      <c r="H1438" s="5"/>
      <c r="I1438" s="5"/>
      <c r="J1438" s="5" t="str">
        <f>IFERROR(__xludf.DUMMYFUNCTION("""COMPUTED_VALUE"""),"Anesthesia")</f>
        <v>Anesthesia</v>
      </c>
      <c r="K1438" s="5" t="str">
        <f>IFERROR(__xludf.DUMMYFUNCTION("""COMPUTED_VALUE"""),"Current")</f>
        <v>Current</v>
      </c>
      <c r="L1438" s="5"/>
      <c r="M1438" s="5"/>
      <c r="N1438" s="10">
        <f>IFERROR(__xludf.DUMMYFUNCTION("""COMPUTED_VALUE"""),44972.0)</f>
        <v>44972</v>
      </c>
      <c r="O1438" s="5">
        <v>2023.0</v>
      </c>
      <c r="P1438" s="5" t="str">
        <f>IFERROR(__xludf.DUMMYFUNCTION("""COMPUTED_VALUE"""),"Available")</f>
        <v>Available</v>
      </c>
      <c r="Q1438" s="5" t="s">
        <v>135</v>
      </c>
      <c r="R1438" s="5" t="s">
        <v>136</v>
      </c>
      <c r="S1438" s="11">
        <v>1349.0</v>
      </c>
    </row>
    <row r="1439">
      <c r="A1439" s="5" t="str">
        <f>IFERROR(__xludf.DUMMYFUNCTION("""COMPUTED_VALUE"""),"Rocuronium Bromide Injection")</f>
        <v>Rocuronium Bromide Injection</v>
      </c>
      <c r="B1439" s="5" t="str">
        <f>IFERROR(__xludf.DUMMYFUNCTION("""COMPUTED_VALUE"""),"Fresenius Kabi USA, LLC")</f>
        <v>Fresenius Kabi USA, LLC</v>
      </c>
      <c r="C1439" s="5" t="str">
        <f>IFERROR(__xludf.DUMMYFUNCTION("""COMPUTED_VALUE"""),"Rocuronium Bromide, Injection, 10 mg/1 mL (NDC 65219-065-05)")</f>
        <v>Rocuronium Bromide, Injection, 10 mg/1 mL (NDC 65219-065-05)</v>
      </c>
      <c r="D1439" s="5" t="str">
        <f>IFERROR(__xludf.DUMMYFUNCTION("""COMPUTED_VALUE"""),"Reverified")</f>
        <v>Reverified</v>
      </c>
      <c r="E1439" s="13">
        <f>IFERROR(__xludf.DUMMYFUNCTION("""COMPUTED_VALUE"""),46310.0)</f>
        <v>46310</v>
      </c>
      <c r="F1439" s="5" t="str">
        <f>IFERROR(__xludf.DUMMYFUNCTION("""COMPUTED_VALUE"""),"Unavailable")</f>
        <v>Unavailable</v>
      </c>
      <c r="G1439" s="5" t="str">
        <f>IFERROR(__xludf.DUMMYFUNCTION("""COMPUTED_VALUE"""),"Estimated recovery: TBD")</f>
        <v>Estimated recovery: TBD</v>
      </c>
      <c r="H1439" s="5"/>
      <c r="I1439" s="5" t="str">
        <f>IFERROR(__xludf.DUMMYFUNCTION("""COMPUTED_VALUE"""),"Delay in shipping of the drug")</f>
        <v>Delay in shipping of the drug</v>
      </c>
      <c r="J1439" s="5" t="str">
        <f>IFERROR(__xludf.DUMMYFUNCTION("""COMPUTED_VALUE"""),"Anesthesia")</f>
        <v>Anesthesia</v>
      </c>
      <c r="K1439" s="5" t="str">
        <f>IFERROR(__xludf.DUMMYFUNCTION("""COMPUTED_VALUE"""),"Current")</f>
        <v>Current</v>
      </c>
      <c r="L1439" s="5"/>
      <c r="M1439" s="5"/>
      <c r="N1439" s="10">
        <f>IFERROR(__xludf.DUMMYFUNCTION("""COMPUTED_VALUE"""),44972.0)</f>
        <v>44972</v>
      </c>
      <c r="O1439" s="5">
        <v>2023.0</v>
      </c>
      <c r="P1439" s="5" t="str">
        <f>IFERROR(__xludf.DUMMYFUNCTION("""COMPUTED_VALUE"""),"Unavailable")</f>
        <v>Unavailable</v>
      </c>
      <c r="Q1439" s="5" t="s">
        <v>562</v>
      </c>
      <c r="R1439" s="5" t="s">
        <v>136</v>
      </c>
      <c r="S1439" s="11">
        <v>1349.0</v>
      </c>
    </row>
    <row r="1440">
      <c r="A1440" s="5" t="str">
        <f>IFERROR(__xludf.DUMMYFUNCTION("""COMPUTED_VALUE"""),"Rocuronium Bromide Injection")</f>
        <v>Rocuronium Bromide Injection</v>
      </c>
      <c r="B1440" s="5" t="str">
        <f>IFERROR(__xludf.DUMMYFUNCTION("""COMPUTED_VALUE"""),"Piramal Critical Care Inc.")</f>
        <v>Piramal Critical Care Inc.</v>
      </c>
      <c r="C1440" s="5" t="str">
        <f>IFERROR(__xludf.DUMMYFUNCTION("""COMPUTED_VALUE"""),"Rocuronium Bromide, Injection, 50 mg/5 mL (NDC 66794-228-41)")</f>
        <v>Rocuronium Bromide, Injection, 50 mg/5 mL (NDC 66794-228-41)</v>
      </c>
      <c r="D1440" s="5" t="str">
        <f>IFERROR(__xludf.DUMMYFUNCTION("""COMPUTED_VALUE"""),"Revised")</f>
        <v>Revised</v>
      </c>
      <c r="E1440" s="10">
        <f>IFERROR(__xludf.DUMMYFUNCTION("""COMPUTED_VALUE"""),46280.0)</f>
        <v>46280</v>
      </c>
      <c r="F1440" s="5" t="str">
        <f>IFERROR(__xludf.DUMMYFUNCTION("""COMPUTED_VALUE"""),"Available")</f>
        <v>Available</v>
      </c>
      <c r="G1440" s="5"/>
      <c r="H1440" s="5"/>
      <c r="I1440" s="5"/>
      <c r="J1440" s="5" t="str">
        <f>IFERROR(__xludf.DUMMYFUNCTION("""COMPUTED_VALUE"""),"Anesthesia")</f>
        <v>Anesthesia</v>
      </c>
      <c r="K1440" s="5" t="str">
        <f>IFERROR(__xludf.DUMMYFUNCTION("""COMPUTED_VALUE"""),"Current")</f>
        <v>Current</v>
      </c>
      <c r="L1440" s="5"/>
      <c r="M1440" s="5"/>
      <c r="N1440" s="10">
        <f>IFERROR(__xludf.DUMMYFUNCTION("""COMPUTED_VALUE"""),44972.0)</f>
        <v>44972</v>
      </c>
      <c r="O1440" s="5">
        <v>2023.0</v>
      </c>
      <c r="P1440" s="5" t="str">
        <f>IFERROR(__xludf.DUMMYFUNCTION("""COMPUTED_VALUE"""),"Available")</f>
        <v>Available</v>
      </c>
      <c r="Q1440" s="5" t="s">
        <v>135</v>
      </c>
      <c r="R1440" s="5" t="s">
        <v>136</v>
      </c>
      <c r="S1440" s="11">
        <v>1349.0</v>
      </c>
    </row>
    <row r="1441">
      <c r="A1441" s="5" t="str">
        <f>IFERROR(__xludf.DUMMYFUNCTION("""COMPUTED_VALUE"""),"Rocuronium Bromide Injection")</f>
        <v>Rocuronium Bromide Injection</v>
      </c>
      <c r="B1441" s="5" t="str">
        <f>IFERROR(__xludf.DUMMYFUNCTION("""COMPUTED_VALUE"""),"Piramal Critical Care Inc.")</f>
        <v>Piramal Critical Care Inc.</v>
      </c>
      <c r="C1441" s="5" t="str">
        <f>IFERROR(__xludf.DUMMYFUNCTION("""COMPUTED_VALUE"""),"Rocuronium Bromide, Injection, 100 mg/10 mL (NDC 66794-229-41)")</f>
        <v>Rocuronium Bromide, Injection, 100 mg/10 mL (NDC 66794-229-41)</v>
      </c>
      <c r="D1441" s="5" t="str">
        <f>IFERROR(__xludf.DUMMYFUNCTION("""COMPUTED_VALUE"""),"Reverified")</f>
        <v>Reverified</v>
      </c>
      <c r="E1441" s="10">
        <f>IFERROR(__xludf.DUMMYFUNCTION("""COMPUTED_VALUE"""),46280.0)</f>
        <v>46280</v>
      </c>
      <c r="F1441" s="5" t="str">
        <f>IFERROR(__xludf.DUMMYFUNCTION("""COMPUTED_VALUE"""),"Limited Availability")</f>
        <v>Limited Availability</v>
      </c>
      <c r="G1441" s="5" t="str">
        <f>IFERROR(__xludf.DUMMYFUNCTION("""COMPUTED_VALUE"""),"On allocation")</f>
        <v>On allocation</v>
      </c>
      <c r="H1441" s="5"/>
      <c r="I1441" s="5" t="str">
        <f>IFERROR(__xludf.DUMMYFUNCTION("""COMPUTED_VALUE"""),"Demand increase for the drug")</f>
        <v>Demand increase for the drug</v>
      </c>
      <c r="J1441" s="5" t="str">
        <f>IFERROR(__xludf.DUMMYFUNCTION("""COMPUTED_VALUE"""),"Anesthesia")</f>
        <v>Anesthesia</v>
      </c>
      <c r="K1441" s="5" t="str">
        <f>IFERROR(__xludf.DUMMYFUNCTION("""COMPUTED_VALUE"""),"Current")</f>
        <v>Current</v>
      </c>
      <c r="L1441" s="5"/>
      <c r="M1441" s="5"/>
      <c r="N1441" s="10">
        <f>IFERROR(__xludf.DUMMYFUNCTION("""COMPUTED_VALUE"""),44972.0)</f>
        <v>44972</v>
      </c>
      <c r="O1441" s="5">
        <v>2023.0</v>
      </c>
      <c r="P1441" s="5" t="str">
        <f>IFERROR(__xludf.DUMMYFUNCTION("""COMPUTED_VALUE"""),"Limited Availability")</f>
        <v>Limited Availability</v>
      </c>
      <c r="Q1441" s="5" t="s">
        <v>134</v>
      </c>
      <c r="R1441" s="5" t="s">
        <v>136</v>
      </c>
      <c r="S1441" s="11">
        <v>1349.0</v>
      </c>
    </row>
    <row r="1442">
      <c r="A1442" s="5" t="str">
        <f>IFERROR(__xludf.DUMMYFUNCTION("""COMPUTED_VALUE"""),"Rocuronium Bromide Injection")</f>
        <v>Rocuronium Bromide Injection</v>
      </c>
      <c r="B1442" s="5" t="str">
        <f>IFERROR(__xludf.DUMMYFUNCTION("""COMPUTED_VALUE"""),"Mylan Institutional, a Viatris Company")</f>
        <v>Mylan Institutional, a Viatris Company</v>
      </c>
      <c r="C1442" s="5" t="str">
        <f>IFERROR(__xludf.DUMMYFUNCTION("""COMPUTED_VALUE"""),"Rocuronium Bromide, Injection, 10 mg/1 mL (NDC 67457-228-10)")</f>
        <v>Rocuronium Bromide, Injection, 10 mg/1 mL (NDC 67457-228-10)</v>
      </c>
      <c r="D1442" s="5" t="str">
        <f>IFERROR(__xludf.DUMMYFUNCTION("""COMPUTED_VALUE"""),"Reverified")</f>
        <v>Reverified</v>
      </c>
      <c r="E1442" s="13">
        <f>IFERROR(__xludf.DUMMYFUNCTION("""COMPUTED_VALUE"""),46314.0)</f>
        <v>46314</v>
      </c>
      <c r="F1442" s="5" t="str">
        <f>IFERROR(__xludf.DUMMYFUNCTION("""COMPUTED_VALUE"""),"Available")</f>
        <v>Available</v>
      </c>
      <c r="G1442" s="5"/>
      <c r="H1442" s="5"/>
      <c r="I1442" s="5"/>
      <c r="J1442" s="5" t="str">
        <f>IFERROR(__xludf.DUMMYFUNCTION("""COMPUTED_VALUE"""),"Anesthesia")</f>
        <v>Anesthesia</v>
      </c>
      <c r="K1442" s="5" t="str">
        <f>IFERROR(__xludf.DUMMYFUNCTION("""COMPUTED_VALUE"""),"Current")</f>
        <v>Current</v>
      </c>
      <c r="L1442" s="5"/>
      <c r="M1442" s="5"/>
      <c r="N1442" s="10">
        <f>IFERROR(__xludf.DUMMYFUNCTION("""COMPUTED_VALUE"""),44972.0)</f>
        <v>44972</v>
      </c>
      <c r="O1442" s="5">
        <v>2023.0</v>
      </c>
      <c r="P1442" s="5" t="str">
        <f>IFERROR(__xludf.DUMMYFUNCTION("""COMPUTED_VALUE"""),"Available")</f>
        <v>Available</v>
      </c>
      <c r="Q1442" s="5" t="s">
        <v>135</v>
      </c>
      <c r="R1442" s="5" t="s">
        <v>136</v>
      </c>
      <c r="S1442" s="11">
        <v>1349.0</v>
      </c>
    </row>
    <row r="1443">
      <c r="A1443" s="5" t="str">
        <f>IFERROR(__xludf.DUMMYFUNCTION("""COMPUTED_VALUE"""),"Rocuronium Bromide Injection")</f>
        <v>Rocuronium Bromide Injection</v>
      </c>
      <c r="B1443" s="5" t="str">
        <f>IFERROR(__xludf.DUMMYFUNCTION("""COMPUTED_VALUE"""),"Eugia US LLC")</f>
        <v>Eugia US LLC</v>
      </c>
      <c r="C1443" s="5" t="str">
        <f>IFERROR(__xludf.DUMMYFUNCTION("""COMPUTED_VALUE"""),"Rocuronium Bromide, Injection, 100 mg/10 mL (NDC 55150-226-10)")</f>
        <v>Rocuronium Bromide, Injection, 100 mg/10 mL (NDC 55150-226-10)</v>
      </c>
      <c r="D1443" s="5" t="str">
        <f>IFERROR(__xludf.DUMMYFUNCTION("""COMPUTED_VALUE"""),"Reverified")</f>
        <v>Reverified</v>
      </c>
      <c r="E1443" s="13">
        <f>IFERROR(__xludf.DUMMYFUNCTION("""COMPUTED_VALUE"""),46314.0)</f>
        <v>46314</v>
      </c>
      <c r="F1443" s="5" t="str">
        <f>IFERROR(__xludf.DUMMYFUNCTION("""COMPUTED_VALUE"""),"Available")</f>
        <v>Available</v>
      </c>
      <c r="G1443" s="5" t="str">
        <f>IFERROR(__xludf.DUMMYFUNCTION("""COMPUTED_VALUE"""),"Check wholesalers for inventory")</f>
        <v>Check wholesalers for inventory</v>
      </c>
      <c r="H1443" s="5"/>
      <c r="I1443" s="5"/>
      <c r="J1443" s="5" t="str">
        <f>IFERROR(__xludf.DUMMYFUNCTION("""COMPUTED_VALUE"""),"Anesthesia")</f>
        <v>Anesthesia</v>
      </c>
      <c r="K1443" s="5" t="str">
        <f>IFERROR(__xludf.DUMMYFUNCTION("""COMPUTED_VALUE"""),"Current")</f>
        <v>Current</v>
      </c>
      <c r="L1443" s="5"/>
      <c r="M1443" s="5"/>
      <c r="N1443" s="10">
        <f>IFERROR(__xludf.DUMMYFUNCTION("""COMPUTED_VALUE"""),44972.0)</f>
        <v>44972</v>
      </c>
      <c r="O1443" s="5">
        <v>2023.0</v>
      </c>
      <c r="P1443" s="5" t="str">
        <f>IFERROR(__xludf.DUMMYFUNCTION("""COMPUTED_VALUE"""),"Available")</f>
        <v>Available</v>
      </c>
      <c r="Q1443" s="5" t="s">
        <v>135</v>
      </c>
      <c r="R1443" s="5" t="s">
        <v>136</v>
      </c>
      <c r="S1443" s="11">
        <v>1349.0</v>
      </c>
    </row>
    <row r="1444">
      <c r="A1444" s="5" t="str">
        <f>IFERROR(__xludf.DUMMYFUNCTION("""COMPUTED_VALUE"""),"Rocuronium Bromide Injection")</f>
        <v>Rocuronium Bromide Injection</v>
      </c>
      <c r="B1444" s="5" t="str">
        <f>IFERROR(__xludf.DUMMYFUNCTION("""COMPUTED_VALUE"""),"Eugia US LLC")</f>
        <v>Eugia US LLC</v>
      </c>
      <c r="C1444" s="5" t="str">
        <f>IFERROR(__xludf.DUMMYFUNCTION("""COMPUTED_VALUE"""),"Rocuronium Bromide, Injection, 50 mg/5 mL (NDC 55150-225-05)")</f>
        <v>Rocuronium Bromide, Injection, 50 mg/5 mL (NDC 55150-225-05)</v>
      </c>
      <c r="D1444" s="5" t="str">
        <f>IFERROR(__xludf.DUMMYFUNCTION("""COMPUTED_VALUE"""),"Reverified")</f>
        <v>Reverified</v>
      </c>
      <c r="E1444" s="13">
        <f>IFERROR(__xludf.DUMMYFUNCTION("""COMPUTED_VALUE"""),46314.0)</f>
        <v>46314</v>
      </c>
      <c r="F1444" s="5" t="str">
        <f>IFERROR(__xludf.DUMMYFUNCTION("""COMPUTED_VALUE"""),"Available")</f>
        <v>Available</v>
      </c>
      <c r="G1444" s="5" t="str">
        <f>IFERROR(__xludf.DUMMYFUNCTION("""COMPUTED_VALUE"""),"Check wholesalers for inventory")</f>
        <v>Check wholesalers for inventory</v>
      </c>
      <c r="H1444" s="5"/>
      <c r="I1444" s="5"/>
      <c r="J1444" s="5" t="str">
        <f>IFERROR(__xludf.DUMMYFUNCTION("""COMPUTED_VALUE"""),"Anesthesia")</f>
        <v>Anesthesia</v>
      </c>
      <c r="K1444" s="5" t="str">
        <f>IFERROR(__xludf.DUMMYFUNCTION("""COMPUTED_VALUE"""),"Current")</f>
        <v>Current</v>
      </c>
      <c r="L1444" s="5"/>
      <c r="M1444" s="5"/>
      <c r="N1444" s="10">
        <f>IFERROR(__xludf.DUMMYFUNCTION("""COMPUTED_VALUE"""),44972.0)</f>
        <v>44972</v>
      </c>
      <c r="O1444" s="5">
        <v>2023.0</v>
      </c>
      <c r="P1444" s="5" t="str">
        <f>IFERROR(__xludf.DUMMYFUNCTION("""COMPUTED_VALUE"""),"Available")</f>
        <v>Available</v>
      </c>
      <c r="Q1444" s="5" t="s">
        <v>135</v>
      </c>
      <c r="R1444" s="5" t="s">
        <v>136</v>
      </c>
      <c r="S1444" s="11">
        <v>1349.0</v>
      </c>
    </row>
    <row r="1445">
      <c r="A1445" s="5" t="str">
        <f>IFERROR(__xludf.DUMMYFUNCTION("""COMPUTED_VALUE"""),"Rocuronium Bromide Injection")</f>
        <v>Rocuronium Bromide Injection</v>
      </c>
      <c r="B1445" s="5" t="str">
        <f>IFERROR(__xludf.DUMMYFUNCTION("""COMPUTED_VALUE"""),"Baxter Healthcare")</f>
        <v>Baxter Healthcare</v>
      </c>
      <c r="C1445" s="5" t="str">
        <f>IFERROR(__xludf.DUMMYFUNCTION("""COMPUTED_VALUE"""),"Rocuronium Bromide, Injection, 50 mg/5 mL (NDC 43066-007-10)")</f>
        <v>Rocuronium Bromide, Injection, 50 mg/5 mL (NDC 43066-007-10)</v>
      </c>
      <c r="D1445" s="5" t="str">
        <f>IFERROR(__xludf.DUMMYFUNCTION("""COMPUTED_VALUE"""),"Reverified")</f>
        <v>Reverified</v>
      </c>
      <c r="E1445" s="13">
        <f>IFERROR(__xludf.DUMMYFUNCTION("""COMPUTED_VALUE"""),46311.0)</f>
        <v>46311</v>
      </c>
      <c r="F1445" s="5" t="str">
        <f>IFERROR(__xludf.DUMMYFUNCTION("""COMPUTED_VALUE"""),"Available")</f>
        <v>Available</v>
      </c>
      <c r="G1445" s="5"/>
      <c r="H1445" s="5"/>
      <c r="I1445" s="5"/>
      <c r="J1445" s="5" t="str">
        <f>IFERROR(__xludf.DUMMYFUNCTION("""COMPUTED_VALUE"""),"Anesthesia")</f>
        <v>Anesthesia</v>
      </c>
      <c r="K1445" s="5" t="str">
        <f>IFERROR(__xludf.DUMMYFUNCTION("""COMPUTED_VALUE"""),"Current")</f>
        <v>Current</v>
      </c>
      <c r="L1445" s="5"/>
      <c r="M1445" s="5"/>
      <c r="N1445" s="10">
        <f>IFERROR(__xludf.DUMMYFUNCTION("""COMPUTED_VALUE"""),44972.0)</f>
        <v>44972</v>
      </c>
      <c r="O1445" s="5">
        <v>2023.0</v>
      </c>
      <c r="P1445" s="5" t="str">
        <f>IFERROR(__xludf.DUMMYFUNCTION("""COMPUTED_VALUE"""),"Available")</f>
        <v>Available</v>
      </c>
      <c r="Q1445" s="5" t="s">
        <v>135</v>
      </c>
      <c r="R1445" s="5" t="s">
        <v>136</v>
      </c>
      <c r="S1445" s="11">
        <v>1349.0</v>
      </c>
    </row>
    <row r="1446">
      <c r="A1446" s="5" t="str">
        <f>IFERROR(__xludf.DUMMYFUNCTION("""COMPUTED_VALUE"""),"Rocuronium Bromide Injection")</f>
        <v>Rocuronium Bromide Injection</v>
      </c>
      <c r="B1446" s="5" t="str">
        <f>IFERROR(__xludf.DUMMYFUNCTION("""COMPUTED_VALUE"""),"Baxter Healthcare")</f>
        <v>Baxter Healthcare</v>
      </c>
      <c r="C1446" s="5" t="str">
        <f>IFERROR(__xludf.DUMMYFUNCTION("""COMPUTED_VALUE"""),"Rocuronium Bromide, Injection, 100 mg/10 mL (NDC 43066-013-10)")</f>
        <v>Rocuronium Bromide, Injection, 100 mg/10 mL (NDC 43066-013-10)</v>
      </c>
      <c r="D1446" s="5" t="str">
        <f>IFERROR(__xludf.DUMMYFUNCTION("""COMPUTED_VALUE"""),"Reverified")</f>
        <v>Reverified</v>
      </c>
      <c r="E1446" s="13">
        <f>IFERROR(__xludf.DUMMYFUNCTION("""COMPUTED_VALUE"""),46311.0)</f>
        <v>46311</v>
      </c>
      <c r="F1446" s="5" t="str">
        <f>IFERROR(__xludf.DUMMYFUNCTION("""COMPUTED_VALUE"""),"Available")</f>
        <v>Available</v>
      </c>
      <c r="G1446" s="5"/>
      <c r="H1446" s="5"/>
      <c r="I1446" s="5"/>
      <c r="J1446" s="5" t="str">
        <f>IFERROR(__xludf.DUMMYFUNCTION("""COMPUTED_VALUE"""),"Anesthesia")</f>
        <v>Anesthesia</v>
      </c>
      <c r="K1446" s="5" t="str">
        <f>IFERROR(__xludf.DUMMYFUNCTION("""COMPUTED_VALUE"""),"Current")</f>
        <v>Current</v>
      </c>
      <c r="L1446" s="5"/>
      <c r="M1446" s="5"/>
      <c r="N1446" s="10">
        <f>IFERROR(__xludf.DUMMYFUNCTION("""COMPUTED_VALUE"""),44972.0)</f>
        <v>44972</v>
      </c>
      <c r="O1446" s="5">
        <v>2023.0</v>
      </c>
      <c r="P1446" s="5" t="str">
        <f>IFERROR(__xludf.DUMMYFUNCTION("""COMPUTED_VALUE"""),"Available")</f>
        <v>Available</v>
      </c>
      <c r="Q1446" s="5" t="s">
        <v>135</v>
      </c>
      <c r="R1446" s="5" t="s">
        <v>136</v>
      </c>
      <c r="S1446" s="11">
        <v>1349.0</v>
      </c>
    </row>
    <row r="1447">
      <c r="A1447" s="5" t="str">
        <f>IFERROR(__xludf.DUMMYFUNCTION("""COMPUTED_VALUE"""),"Rocuronium Bromide Injection")</f>
        <v>Rocuronium Bromide Injection</v>
      </c>
      <c r="B1447" s="5" t="str">
        <f>IFERROR(__xludf.DUMMYFUNCTION("""COMPUTED_VALUE"""),"Hikma Pharmaceuticals USA, Inc.")</f>
        <v>Hikma Pharmaceuticals USA, Inc.</v>
      </c>
      <c r="C1447" s="5" t="str">
        <f>IFERROR(__xludf.DUMMYFUNCTION("""COMPUTED_VALUE"""),"Rocuronium Bromide, Injection, 10 mg/1 mL (NDC 0143-9250-10)")</f>
        <v>Rocuronium Bromide, Injection, 10 mg/1 mL (NDC 0143-9250-10)</v>
      </c>
      <c r="D1447" s="5" t="str">
        <f>IFERROR(__xludf.DUMMYFUNCTION("""COMPUTED_VALUE"""),"Reverified")</f>
        <v>Reverified</v>
      </c>
      <c r="E1447" s="13">
        <f>IFERROR(__xludf.DUMMYFUNCTION("""COMPUTED_VALUE"""),46309.0)</f>
        <v>46309</v>
      </c>
      <c r="F1447" s="5" t="str">
        <f>IFERROR(__xludf.DUMMYFUNCTION("""COMPUTED_VALUE"""),"Available")</f>
        <v>Available</v>
      </c>
      <c r="G1447" s="5" t="str">
        <f>IFERROR(__xludf.DUMMYFUNCTION("""COMPUTED_VALUE"""),"Additional lots will be available.  Product will be made available as it is released.")</f>
        <v>Additional lots will be available.  Product will be made available as it is released.</v>
      </c>
      <c r="H1447" s="5"/>
      <c r="I1447" s="5"/>
      <c r="J1447" s="5" t="str">
        <f>IFERROR(__xludf.DUMMYFUNCTION("""COMPUTED_VALUE"""),"Anesthesia")</f>
        <v>Anesthesia</v>
      </c>
      <c r="K1447" s="5" t="str">
        <f>IFERROR(__xludf.DUMMYFUNCTION("""COMPUTED_VALUE"""),"Current")</f>
        <v>Current</v>
      </c>
      <c r="L1447" s="5"/>
      <c r="M1447" s="5"/>
      <c r="N1447" s="10">
        <f>IFERROR(__xludf.DUMMYFUNCTION("""COMPUTED_VALUE"""),44972.0)</f>
        <v>44972</v>
      </c>
      <c r="O1447" s="5">
        <v>2023.0</v>
      </c>
      <c r="P1447" s="5" t="str">
        <f>IFERROR(__xludf.DUMMYFUNCTION("""COMPUTED_VALUE"""),"Available")</f>
        <v>Available</v>
      </c>
      <c r="Q1447" s="5" t="s">
        <v>135</v>
      </c>
      <c r="R1447" s="5" t="s">
        <v>136</v>
      </c>
      <c r="S1447" s="11">
        <v>1349.0</v>
      </c>
    </row>
    <row r="1448">
      <c r="A1448" s="5" t="str">
        <f>IFERROR(__xludf.DUMMYFUNCTION("""COMPUTED_VALUE"""),"Rocuronium Bromide Injection")</f>
        <v>Rocuronium Bromide Injection</v>
      </c>
      <c r="B1448" s="5" t="str">
        <f>IFERROR(__xludf.DUMMYFUNCTION("""COMPUTED_VALUE"""),"Hikma Pharmaceuticals USA, Inc.")</f>
        <v>Hikma Pharmaceuticals USA, Inc.</v>
      </c>
      <c r="C1448" s="5" t="str">
        <f>IFERROR(__xludf.DUMMYFUNCTION("""COMPUTED_VALUE"""),"Rocuronium Bromide, Injection, 10 mg/1 mL (NDC 0143-9251-10)")</f>
        <v>Rocuronium Bromide, Injection, 10 mg/1 mL (NDC 0143-9251-10)</v>
      </c>
      <c r="D1448" s="5" t="str">
        <f>IFERROR(__xludf.DUMMYFUNCTION("""COMPUTED_VALUE"""),"Reverified")</f>
        <v>Reverified</v>
      </c>
      <c r="E1448" s="13">
        <f>IFERROR(__xludf.DUMMYFUNCTION("""COMPUTED_VALUE"""),46309.0)</f>
        <v>46309</v>
      </c>
      <c r="F1448" s="5" t="str">
        <f>IFERROR(__xludf.DUMMYFUNCTION("""COMPUTED_VALUE"""),"Available")</f>
        <v>Available</v>
      </c>
      <c r="G1448" s="5" t="str">
        <f>IFERROR(__xludf.DUMMYFUNCTION("""COMPUTED_VALUE"""),"Additional lots will be available. Product will be made available as it is released.")</f>
        <v>Additional lots will be available. Product will be made available as it is released.</v>
      </c>
      <c r="H1448" s="5"/>
      <c r="I1448" s="5"/>
      <c r="J1448" s="5" t="str">
        <f>IFERROR(__xludf.DUMMYFUNCTION("""COMPUTED_VALUE"""),"Anesthesia")</f>
        <v>Anesthesia</v>
      </c>
      <c r="K1448" s="5" t="str">
        <f>IFERROR(__xludf.DUMMYFUNCTION("""COMPUTED_VALUE"""),"Current")</f>
        <v>Current</v>
      </c>
      <c r="L1448" s="5"/>
      <c r="M1448" s="5"/>
      <c r="N1448" s="10">
        <f>IFERROR(__xludf.DUMMYFUNCTION("""COMPUTED_VALUE"""),44972.0)</f>
        <v>44972</v>
      </c>
      <c r="O1448" s="5">
        <v>2023.0</v>
      </c>
      <c r="P1448" s="5" t="str">
        <f>IFERROR(__xludf.DUMMYFUNCTION("""COMPUTED_VALUE"""),"Available")</f>
        <v>Available</v>
      </c>
      <c r="Q1448" s="5" t="s">
        <v>135</v>
      </c>
      <c r="R1448" s="5" t="s">
        <v>136</v>
      </c>
      <c r="S1448" s="11">
        <v>1349.0</v>
      </c>
    </row>
    <row r="1449">
      <c r="A1449" s="5" t="str">
        <f>IFERROR(__xludf.DUMMYFUNCTION("""COMPUTED_VALUE"""),"Rocuronium Bromide Injection")</f>
        <v>Rocuronium Bromide Injection</v>
      </c>
      <c r="B1449" s="5" t="str">
        <f>IFERROR(__xludf.DUMMYFUNCTION("""COMPUTED_VALUE"""),"Fresenius Kabi USA, LLC")</f>
        <v>Fresenius Kabi USA, LLC</v>
      </c>
      <c r="C1449" s="5" t="str">
        <f>IFERROR(__xludf.DUMMYFUNCTION("""COMPUTED_VALUE"""),"Rocuronium Bromide, Injection, 10 mg/1 mL (NDC 65219-444-10)")</f>
        <v>Rocuronium Bromide, Injection, 10 mg/1 mL (NDC 65219-444-10)</v>
      </c>
      <c r="D1449" s="5" t="str">
        <f>IFERROR(__xludf.DUMMYFUNCTION("""COMPUTED_VALUE"""),"Reverified")</f>
        <v>Reverified</v>
      </c>
      <c r="E1449" s="13">
        <f>IFERROR(__xludf.DUMMYFUNCTION("""COMPUTED_VALUE"""),46310.0)</f>
        <v>46310</v>
      </c>
      <c r="F1449" s="5" t="str">
        <f>IFERROR(__xludf.DUMMYFUNCTION("""COMPUTED_VALUE"""),"Unavailable")</f>
        <v>Unavailable</v>
      </c>
      <c r="G1449" s="5" t="str">
        <f>IFERROR(__xludf.DUMMYFUNCTION("""COMPUTED_VALUE"""),"Next release November 2026. Check wholesalers for inventory.")</f>
        <v>Next release November 2026. Check wholesalers for inventory.</v>
      </c>
      <c r="H1449" s="5"/>
      <c r="I1449" s="5" t="str">
        <f>IFERROR(__xludf.DUMMYFUNCTION("""COMPUTED_VALUE"""),"Delay in shipping of the drug")</f>
        <v>Delay in shipping of the drug</v>
      </c>
      <c r="J1449" s="5" t="str">
        <f>IFERROR(__xludf.DUMMYFUNCTION("""COMPUTED_VALUE"""),"Anesthesia")</f>
        <v>Anesthesia</v>
      </c>
      <c r="K1449" s="5" t="str">
        <f>IFERROR(__xludf.DUMMYFUNCTION("""COMPUTED_VALUE"""),"Current")</f>
        <v>Current</v>
      </c>
      <c r="L1449" s="5"/>
      <c r="M1449" s="5"/>
      <c r="N1449" s="10">
        <f>IFERROR(__xludf.DUMMYFUNCTION("""COMPUTED_VALUE"""),44972.0)</f>
        <v>44972</v>
      </c>
      <c r="O1449" s="5">
        <v>2023.0</v>
      </c>
      <c r="P1449" s="5" t="str">
        <f>IFERROR(__xludf.DUMMYFUNCTION("""COMPUTED_VALUE"""),"Unavailable")</f>
        <v>Unavailable</v>
      </c>
      <c r="Q1449" s="5" t="s">
        <v>562</v>
      </c>
      <c r="R1449" s="5" t="s">
        <v>136</v>
      </c>
      <c r="S1449" s="11">
        <v>1349.0</v>
      </c>
    </row>
    <row r="1450">
      <c r="A1450" s="5" t="str">
        <f>IFERROR(__xludf.DUMMYFUNCTION("""COMPUTED_VALUE"""),"Rocuronium Bromide Injection")</f>
        <v>Rocuronium Bromide Injection</v>
      </c>
      <c r="B1450" s="5" t="str">
        <f>IFERROR(__xludf.DUMMYFUNCTION("""COMPUTED_VALUE"""),"Fresenius Kabi USA, LLC")</f>
        <v>Fresenius Kabi USA, LLC</v>
      </c>
      <c r="C1450" s="5" t="str">
        <f>IFERROR(__xludf.DUMMYFUNCTION("""COMPUTED_VALUE"""),"Rocuronium Bromide, Injection, 10 mg/1 mL (NDC 65219-442-05)")</f>
        <v>Rocuronium Bromide, Injection, 10 mg/1 mL (NDC 65219-442-05)</v>
      </c>
      <c r="D1450" s="5" t="str">
        <f>IFERROR(__xludf.DUMMYFUNCTION("""COMPUTED_VALUE"""),"Revised")</f>
        <v>Revised</v>
      </c>
      <c r="E1450" s="13">
        <f>IFERROR(__xludf.DUMMYFUNCTION("""COMPUTED_VALUE"""),46310.0)</f>
        <v>46310</v>
      </c>
      <c r="F1450" s="5" t="str">
        <f>IFERROR(__xludf.DUMMYFUNCTION("""COMPUTED_VALUE"""),"Unavailable")</f>
        <v>Unavailable</v>
      </c>
      <c r="G1450" s="5" t="str">
        <f>IFERROR(__xludf.DUMMYFUNCTION("""COMPUTED_VALUE"""),"Next release November 2026. Check wholesalers for inventory.")</f>
        <v>Next release November 2026. Check wholesalers for inventory.</v>
      </c>
      <c r="H1450" s="5"/>
      <c r="I1450" s="5" t="str">
        <f>IFERROR(__xludf.DUMMYFUNCTION("""COMPUTED_VALUE"""),"Delay in shipping of the drug")</f>
        <v>Delay in shipping of the drug</v>
      </c>
      <c r="J1450" s="5" t="str">
        <f>IFERROR(__xludf.DUMMYFUNCTION("""COMPUTED_VALUE"""),"Anesthesia")</f>
        <v>Anesthesia</v>
      </c>
      <c r="K1450" s="5" t="str">
        <f>IFERROR(__xludf.DUMMYFUNCTION("""COMPUTED_VALUE"""),"Current")</f>
        <v>Current</v>
      </c>
      <c r="L1450" s="5"/>
      <c r="M1450" s="5"/>
      <c r="N1450" s="10">
        <f>IFERROR(__xludf.DUMMYFUNCTION("""COMPUTED_VALUE"""),44972.0)</f>
        <v>44972</v>
      </c>
      <c r="O1450" s="5">
        <v>2023.0</v>
      </c>
      <c r="P1450" s="5" t="str">
        <f>IFERROR(__xludf.DUMMYFUNCTION("""COMPUTED_VALUE"""),"Unavailable")</f>
        <v>Unavailable</v>
      </c>
      <c r="Q1450" s="5" t="s">
        <v>562</v>
      </c>
      <c r="R1450" s="5" t="s">
        <v>136</v>
      </c>
      <c r="S1450" s="11">
        <v>1349.0</v>
      </c>
    </row>
    <row r="1451">
      <c r="A1451" s="5" t="str">
        <f>IFERROR(__xludf.DUMMYFUNCTION("""COMPUTED_VALUE"""),"Rocuronium Bromide Injection")</f>
        <v>Rocuronium Bromide Injection</v>
      </c>
      <c r="B1451" s="5" t="str">
        <f>IFERROR(__xludf.DUMMYFUNCTION("""COMPUTED_VALUE"""),"Fresenius Kabi USA, LLC")</f>
        <v>Fresenius Kabi USA, LLC</v>
      </c>
      <c r="C1451" s="5" t="str">
        <f>IFERROR(__xludf.DUMMYFUNCTION("""COMPUTED_VALUE"""),"Rocuronium Bromide, Injection, 10 mg/1 mL (NDC 63323-426-05)")</f>
        <v>Rocuronium Bromide, Injection, 10 mg/1 mL (NDC 63323-426-05)</v>
      </c>
      <c r="D1451" s="5" t="str">
        <f>IFERROR(__xludf.DUMMYFUNCTION("""COMPUTED_VALUE"""),"Revised")</f>
        <v>Revised</v>
      </c>
      <c r="E1451" s="13">
        <f>IFERROR(__xludf.DUMMYFUNCTION("""COMPUTED_VALUE"""),46310.0)</f>
        <v>46310</v>
      </c>
      <c r="F1451" s="5" t="str">
        <f>IFERROR(__xludf.DUMMYFUNCTION("""COMPUTED_VALUE"""),"Unavailable")</f>
        <v>Unavailable</v>
      </c>
      <c r="G1451" s="5" t="str">
        <f>IFERROR(__xludf.DUMMYFUNCTION("""COMPUTED_VALUE"""),"Next release December 2026. Check wholesalers for inventory.")</f>
        <v>Next release December 2026. Check wholesalers for inventory.</v>
      </c>
      <c r="H1451" s="5"/>
      <c r="I1451" s="5" t="str">
        <f>IFERROR(__xludf.DUMMYFUNCTION("""COMPUTED_VALUE"""),"Delay in shipping of the drug")</f>
        <v>Delay in shipping of the drug</v>
      </c>
      <c r="J1451" s="5" t="str">
        <f>IFERROR(__xludf.DUMMYFUNCTION("""COMPUTED_VALUE"""),"Anesthesia")</f>
        <v>Anesthesia</v>
      </c>
      <c r="K1451" s="5" t="str">
        <f>IFERROR(__xludf.DUMMYFUNCTION("""COMPUTED_VALUE"""),"Current")</f>
        <v>Current</v>
      </c>
      <c r="L1451" s="5"/>
      <c r="M1451" s="5"/>
      <c r="N1451" s="10">
        <f>IFERROR(__xludf.DUMMYFUNCTION("""COMPUTED_VALUE"""),44972.0)</f>
        <v>44972</v>
      </c>
      <c r="O1451" s="5">
        <v>2023.0</v>
      </c>
      <c r="P1451" s="5" t="str">
        <f>IFERROR(__xludf.DUMMYFUNCTION("""COMPUTED_VALUE"""),"Unavailable")</f>
        <v>Unavailable</v>
      </c>
      <c r="Q1451" s="5" t="s">
        <v>562</v>
      </c>
      <c r="R1451" s="5" t="s">
        <v>136</v>
      </c>
      <c r="S1451" s="11">
        <v>1349.0</v>
      </c>
    </row>
    <row r="1452">
      <c r="A1452" s="5" t="str">
        <f>IFERROR(__xludf.DUMMYFUNCTION("""COMPUTED_VALUE"""),"Rocuronium Bromide Injection")</f>
        <v>Rocuronium Bromide Injection</v>
      </c>
      <c r="B1452" s="5" t="str">
        <f>IFERROR(__xludf.DUMMYFUNCTION("""COMPUTED_VALUE"""),"Fresenius Kabi USA, LLC")</f>
        <v>Fresenius Kabi USA, LLC</v>
      </c>
      <c r="C1452" s="5" t="str">
        <f>IFERROR(__xludf.DUMMYFUNCTION("""COMPUTED_VALUE"""),"Rocuronium Bromide, Injection, 10 mg/1 mL (NDC 63323-426-10)")</f>
        <v>Rocuronium Bromide, Injection, 10 mg/1 mL (NDC 63323-426-10)</v>
      </c>
      <c r="D1452" s="5" t="str">
        <f>IFERROR(__xludf.DUMMYFUNCTION("""COMPUTED_VALUE"""),"Reverified")</f>
        <v>Reverified</v>
      </c>
      <c r="E1452" s="13">
        <f>IFERROR(__xludf.DUMMYFUNCTION("""COMPUTED_VALUE"""),46310.0)</f>
        <v>46310</v>
      </c>
      <c r="F1452" s="5" t="str">
        <f>IFERROR(__xludf.DUMMYFUNCTION("""COMPUTED_VALUE"""),"Available")</f>
        <v>Available</v>
      </c>
      <c r="G1452" s="5" t="str">
        <f>IFERROR(__xludf.DUMMYFUNCTION("""COMPUTED_VALUE"""),"Check wholesalers for inventory")</f>
        <v>Check wholesalers for inventory</v>
      </c>
      <c r="H1452" s="5"/>
      <c r="I1452" s="5"/>
      <c r="J1452" s="5" t="str">
        <f>IFERROR(__xludf.DUMMYFUNCTION("""COMPUTED_VALUE"""),"Anesthesia")</f>
        <v>Anesthesia</v>
      </c>
      <c r="K1452" s="5" t="str">
        <f>IFERROR(__xludf.DUMMYFUNCTION("""COMPUTED_VALUE"""),"Current")</f>
        <v>Current</v>
      </c>
      <c r="L1452" s="5"/>
      <c r="M1452" s="5"/>
      <c r="N1452" s="10">
        <f>IFERROR(__xludf.DUMMYFUNCTION("""COMPUTED_VALUE"""),44972.0)</f>
        <v>44972</v>
      </c>
      <c r="O1452" s="5">
        <v>2023.0</v>
      </c>
      <c r="P1452" s="5" t="str">
        <f>IFERROR(__xludf.DUMMYFUNCTION("""COMPUTED_VALUE"""),"Available")</f>
        <v>Available</v>
      </c>
      <c r="Q1452" s="5" t="s">
        <v>135</v>
      </c>
      <c r="R1452" s="5" t="s">
        <v>136</v>
      </c>
      <c r="S1452" s="11">
        <v>1349.0</v>
      </c>
    </row>
    <row r="1453">
      <c r="A1453" s="5" t="str">
        <f>IFERROR(__xludf.DUMMYFUNCTION("""COMPUTED_VALUE"""),"Rocuronium Bromide Injection")</f>
        <v>Rocuronium Bromide Injection</v>
      </c>
      <c r="B1453" s="5" t="str">
        <f>IFERROR(__xludf.DUMMYFUNCTION("""COMPUTED_VALUE"""),"XGen Pharmaceuticals DJB, Inc.")</f>
        <v>XGen Pharmaceuticals DJB, Inc.</v>
      </c>
      <c r="C1453" s="5" t="str">
        <f>IFERROR(__xludf.DUMMYFUNCTION("""COMPUTED_VALUE"""),"Rocuronium Bromide, Injection, 50 mg/5 mL (NDC 39822-4200-2)")</f>
        <v>Rocuronium Bromide, Injection, 50 mg/5 mL (NDC 39822-4200-2)</v>
      </c>
      <c r="D1453" s="5" t="str">
        <f>IFERROR(__xludf.DUMMYFUNCTION("""COMPUTED_VALUE"""),"Reverified")</f>
        <v>Reverified</v>
      </c>
      <c r="E1453" s="10">
        <f>IFERROR(__xludf.DUMMYFUNCTION("""COMPUTED_VALUE"""),46287.0)</f>
        <v>46287</v>
      </c>
      <c r="F1453" s="5" t="str">
        <f>IFERROR(__xludf.DUMMYFUNCTION("""COMPUTED_VALUE"""),"Available")</f>
        <v>Available</v>
      </c>
      <c r="G1453" s="5" t="str">
        <f>IFERROR(__xludf.DUMMYFUNCTION("""COMPUTED_VALUE"""),"Tamarang is the application holder and X-Gen is the distributor/labeler")</f>
        <v>Tamarang is the application holder and X-Gen is the distributor/labeler</v>
      </c>
      <c r="H1453" s="5"/>
      <c r="I1453" s="5"/>
      <c r="J1453" s="5" t="str">
        <f>IFERROR(__xludf.DUMMYFUNCTION("""COMPUTED_VALUE"""),"Anesthesia")</f>
        <v>Anesthesia</v>
      </c>
      <c r="K1453" s="5" t="str">
        <f>IFERROR(__xludf.DUMMYFUNCTION("""COMPUTED_VALUE"""),"Current")</f>
        <v>Current</v>
      </c>
      <c r="L1453" s="5"/>
      <c r="M1453" s="5"/>
      <c r="N1453" s="10">
        <f>IFERROR(__xludf.DUMMYFUNCTION("""COMPUTED_VALUE"""),44972.0)</f>
        <v>44972</v>
      </c>
      <c r="O1453" s="5">
        <v>2023.0</v>
      </c>
      <c r="P1453" s="5" t="str">
        <f>IFERROR(__xludf.DUMMYFUNCTION("""COMPUTED_VALUE"""),"Available")</f>
        <v>Available</v>
      </c>
      <c r="Q1453" s="5" t="s">
        <v>135</v>
      </c>
      <c r="R1453" s="5" t="s">
        <v>136</v>
      </c>
      <c r="S1453" s="11">
        <v>1349.0</v>
      </c>
    </row>
    <row r="1454">
      <c r="A1454" s="5" t="str">
        <f>IFERROR(__xludf.DUMMYFUNCTION("""COMPUTED_VALUE"""),"Rocuronium Bromide Injection")</f>
        <v>Rocuronium Bromide Injection</v>
      </c>
      <c r="B1454" s="5" t="str">
        <f>IFERROR(__xludf.DUMMYFUNCTION("""COMPUTED_VALUE"""),"XGen Pharmaceuticals DJB, Inc.")</f>
        <v>XGen Pharmaceuticals DJB, Inc.</v>
      </c>
      <c r="C1454" s="5" t="str">
        <f>IFERROR(__xludf.DUMMYFUNCTION("""COMPUTED_VALUE"""),"Rocuronium Bromide, Injection, 100 mg/10 mL (NDC 39822-4200-6)")</f>
        <v>Rocuronium Bromide, Injection, 100 mg/10 mL (NDC 39822-4200-6)</v>
      </c>
      <c r="D1454" s="5" t="str">
        <f>IFERROR(__xludf.DUMMYFUNCTION("""COMPUTED_VALUE"""),"Reverified")</f>
        <v>Reverified</v>
      </c>
      <c r="E1454" s="10">
        <f>IFERROR(__xludf.DUMMYFUNCTION("""COMPUTED_VALUE"""),46287.0)</f>
        <v>46287</v>
      </c>
      <c r="F1454" s="5" t="str">
        <f>IFERROR(__xludf.DUMMYFUNCTION("""COMPUTED_VALUE"""),"Available")</f>
        <v>Available</v>
      </c>
      <c r="G1454" s="5" t="str">
        <f>IFERROR(__xludf.DUMMYFUNCTION("""COMPUTED_VALUE"""),"Tamarang is the application holder and X-Gen is the distributor/labeler")</f>
        <v>Tamarang is the application holder and X-Gen is the distributor/labeler</v>
      </c>
      <c r="H1454" s="5"/>
      <c r="I1454" s="5"/>
      <c r="J1454" s="5" t="str">
        <f>IFERROR(__xludf.DUMMYFUNCTION("""COMPUTED_VALUE"""),"Anesthesia")</f>
        <v>Anesthesia</v>
      </c>
      <c r="K1454" s="5" t="str">
        <f>IFERROR(__xludf.DUMMYFUNCTION("""COMPUTED_VALUE"""),"Current")</f>
        <v>Current</v>
      </c>
      <c r="L1454" s="5"/>
      <c r="M1454" s="5"/>
      <c r="N1454" s="10">
        <f>IFERROR(__xludf.DUMMYFUNCTION("""COMPUTED_VALUE"""),44972.0)</f>
        <v>44972</v>
      </c>
      <c r="O1454" s="5">
        <v>2023.0</v>
      </c>
      <c r="P1454" s="5" t="str">
        <f>IFERROR(__xludf.DUMMYFUNCTION("""COMPUTED_VALUE"""),"Available")</f>
        <v>Available</v>
      </c>
      <c r="Q1454" s="5" t="s">
        <v>135</v>
      </c>
      <c r="R1454" s="5" t="s">
        <v>136</v>
      </c>
      <c r="S1454" s="11">
        <v>1349.0</v>
      </c>
    </row>
    <row r="1455">
      <c r="A1455" s="5" t="str">
        <f>IFERROR(__xludf.DUMMYFUNCTION("""COMPUTED_VALUE"""),"Rocuronium Bromide Injection")</f>
        <v>Rocuronium Bromide Injection</v>
      </c>
      <c r="B1455" s="5" t="str">
        <f>IFERROR(__xludf.DUMMYFUNCTION("""COMPUTED_VALUE"""),"Sagent Pharmaceuticals")</f>
        <v>Sagent Pharmaceuticals</v>
      </c>
      <c r="C1455" s="5" t="str">
        <f>IFERROR(__xludf.DUMMYFUNCTION("""COMPUTED_VALUE"""),"Rocuronium Bromide, Injection, 10 mg/1 mL (NDC 25021-687-05)")</f>
        <v>Rocuronium Bromide, Injection, 10 mg/1 mL (NDC 25021-687-05)</v>
      </c>
      <c r="D1455" s="5" t="str">
        <f>IFERROR(__xludf.DUMMYFUNCTION("""COMPUTED_VALUE"""),"Reverified")</f>
        <v>Reverified</v>
      </c>
      <c r="E1455" s="10">
        <f>IFERROR(__xludf.DUMMYFUNCTION("""COMPUTED_VALUE"""),46303.0)</f>
        <v>46303</v>
      </c>
      <c r="F1455" s="5" t="str">
        <f>IFERROR(__xludf.DUMMYFUNCTION("""COMPUTED_VALUE"""),"Available")</f>
        <v>Available</v>
      </c>
      <c r="G1455" s="5"/>
      <c r="H1455" s="5"/>
      <c r="I1455" s="5"/>
      <c r="J1455" s="5" t="str">
        <f>IFERROR(__xludf.DUMMYFUNCTION("""COMPUTED_VALUE"""),"Anesthesia")</f>
        <v>Anesthesia</v>
      </c>
      <c r="K1455" s="5" t="str">
        <f>IFERROR(__xludf.DUMMYFUNCTION("""COMPUTED_VALUE"""),"Current")</f>
        <v>Current</v>
      </c>
      <c r="L1455" s="5"/>
      <c r="M1455" s="5"/>
      <c r="N1455" s="10">
        <f>IFERROR(__xludf.DUMMYFUNCTION("""COMPUTED_VALUE"""),44972.0)</f>
        <v>44972</v>
      </c>
      <c r="O1455" s="5">
        <v>2023.0</v>
      </c>
      <c r="P1455" s="5" t="str">
        <f>IFERROR(__xludf.DUMMYFUNCTION("""COMPUTED_VALUE"""),"Available")</f>
        <v>Available</v>
      </c>
      <c r="Q1455" s="5" t="s">
        <v>135</v>
      </c>
      <c r="R1455" s="5" t="s">
        <v>136</v>
      </c>
      <c r="S1455" s="11">
        <v>1349.0</v>
      </c>
    </row>
    <row r="1456">
      <c r="A1456" s="5" t="str">
        <f>IFERROR(__xludf.DUMMYFUNCTION("""COMPUTED_VALUE"""),"Rocuronium Bromide Injection")</f>
        <v>Rocuronium Bromide Injection</v>
      </c>
      <c r="B1456" s="5" t="str">
        <f>IFERROR(__xludf.DUMMYFUNCTION("""COMPUTED_VALUE"""),"Mylan Institutional, a Viatris Company")</f>
        <v>Mylan Institutional, a Viatris Company</v>
      </c>
      <c r="C1456" s="5" t="str">
        <f>IFERROR(__xludf.DUMMYFUNCTION("""COMPUTED_VALUE"""),"Rocuronium Bromide, Injection, 10 mg/1 mL (NDC 67457-228-05)")</f>
        <v>Rocuronium Bromide, Injection, 10 mg/1 mL (NDC 67457-228-05)</v>
      </c>
      <c r="D1456" s="5" t="str">
        <f>IFERROR(__xludf.DUMMYFUNCTION("""COMPUTED_VALUE"""),"Reverified")</f>
        <v>Reverified</v>
      </c>
      <c r="E1456" s="13">
        <f>IFERROR(__xludf.DUMMYFUNCTION("""COMPUTED_VALUE"""),46314.0)</f>
        <v>46314</v>
      </c>
      <c r="F1456" s="5" t="str">
        <f>IFERROR(__xludf.DUMMYFUNCTION("""COMPUTED_VALUE"""),"Available")</f>
        <v>Available</v>
      </c>
      <c r="G1456" s="5"/>
      <c r="H1456" s="5"/>
      <c r="I1456" s="5"/>
      <c r="J1456" s="5" t="str">
        <f>IFERROR(__xludf.DUMMYFUNCTION("""COMPUTED_VALUE"""),"Anesthesia")</f>
        <v>Anesthesia</v>
      </c>
      <c r="K1456" s="5" t="str">
        <f>IFERROR(__xludf.DUMMYFUNCTION("""COMPUTED_VALUE"""),"Current")</f>
        <v>Current</v>
      </c>
      <c r="L1456" s="5"/>
      <c r="M1456" s="5"/>
      <c r="N1456" s="10">
        <f>IFERROR(__xludf.DUMMYFUNCTION("""COMPUTED_VALUE"""),44972.0)</f>
        <v>44972</v>
      </c>
      <c r="O1456" s="5">
        <v>2023.0</v>
      </c>
      <c r="P1456" s="5" t="str">
        <f>IFERROR(__xludf.DUMMYFUNCTION("""COMPUTED_VALUE"""),"Available")</f>
        <v>Available</v>
      </c>
      <c r="Q1456" s="5" t="s">
        <v>135</v>
      </c>
      <c r="R1456" s="5" t="s">
        <v>136</v>
      </c>
      <c r="S1456" s="11">
        <v>1349.0</v>
      </c>
    </row>
    <row r="1457">
      <c r="A1457" s="5" t="str">
        <f>IFERROR(__xludf.DUMMYFUNCTION("""COMPUTED_VALUE"""),"Rocuronium Bromide Injection")</f>
        <v>Rocuronium Bromide Injection</v>
      </c>
      <c r="B1457" s="5" t="str">
        <f>IFERROR(__xludf.DUMMYFUNCTION("""COMPUTED_VALUE"""),"Sandoz Inc.")</f>
        <v>Sandoz Inc.</v>
      </c>
      <c r="C1457" s="5" t="str">
        <f>IFERROR(__xludf.DUMMYFUNCTION("""COMPUTED_VALUE"""),"Rocuronium Bromide, Injection, 10 mg/1 mL (NDC 0781-3220-95)")</f>
        <v>Rocuronium Bromide, Injection, 10 mg/1 mL (NDC 0781-3220-95)</v>
      </c>
      <c r="D1457" s="5" t="str">
        <f>IFERROR(__xludf.DUMMYFUNCTION("""COMPUTED_VALUE"""),"Reverified")</f>
        <v>Reverified</v>
      </c>
      <c r="E1457" s="13">
        <f>IFERROR(__xludf.DUMMYFUNCTION("""COMPUTED_VALUE"""),46316.0)</f>
        <v>46316</v>
      </c>
      <c r="F1457" s="5" t="str">
        <f>IFERROR(__xludf.DUMMYFUNCTION("""COMPUTED_VALUE"""),"Available")</f>
        <v>Available</v>
      </c>
      <c r="G1457" s="5"/>
      <c r="H1457" s="5"/>
      <c r="I1457" s="5"/>
      <c r="J1457" s="5" t="str">
        <f>IFERROR(__xludf.DUMMYFUNCTION("""COMPUTED_VALUE"""),"Anesthesia")</f>
        <v>Anesthesia</v>
      </c>
      <c r="K1457" s="5" t="str">
        <f>IFERROR(__xludf.DUMMYFUNCTION("""COMPUTED_VALUE"""),"Current")</f>
        <v>Current</v>
      </c>
      <c r="L1457" s="5"/>
      <c r="M1457" s="5"/>
      <c r="N1457" s="10">
        <f>IFERROR(__xludf.DUMMYFUNCTION("""COMPUTED_VALUE"""),44972.0)</f>
        <v>44972</v>
      </c>
      <c r="O1457" s="5">
        <v>2023.0</v>
      </c>
      <c r="P1457" s="5" t="str">
        <f>IFERROR(__xludf.DUMMYFUNCTION("""COMPUTED_VALUE"""),"Available")</f>
        <v>Available</v>
      </c>
      <c r="Q1457" s="5" t="s">
        <v>135</v>
      </c>
      <c r="R1457" s="5" t="s">
        <v>136</v>
      </c>
      <c r="S1457" s="11">
        <v>1349.0</v>
      </c>
    </row>
    <row r="1458">
      <c r="A1458" s="5" t="str">
        <f>IFERROR(__xludf.DUMMYFUNCTION("""COMPUTED_VALUE"""),"Rocuronium Bromide Injection")</f>
        <v>Rocuronium Bromide Injection</v>
      </c>
      <c r="B1458" s="5" t="str">
        <f>IFERROR(__xludf.DUMMYFUNCTION("""COMPUTED_VALUE"""),"Sandoz Inc.")</f>
        <v>Sandoz Inc.</v>
      </c>
      <c r="C1458" s="5" t="str">
        <f>IFERROR(__xludf.DUMMYFUNCTION("""COMPUTED_VALUE"""),"Rocuronium Bromide, Injection, 10 mg/1 mL (NDC 0781-3220-92)")</f>
        <v>Rocuronium Bromide, Injection, 10 mg/1 mL (NDC 0781-3220-92)</v>
      </c>
      <c r="D1458" s="5" t="str">
        <f>IFERROR(__xludf.DUMMYFUNCTION("""COMPUTED_VALUE"""),"Reverified")</f>
        <v>Reverified</v>
      </c>
      <c r="E1458" s="13">
        <f>IFERROR(__xludf.DUMMYFUNCTION("""COMPUTED_VALUE"""),46316.0)</f>
        <v>46316</v>
      </c>
      <c r="F1458" s="5" t="str">
        <f>IFERROR(__xludf.DUMMYFUNCTION("""COMPUTED_VALUE"""),"Available")</f>
        <v>Available</v>
      </c>
      <c r="G1458" s="5"/>
      <c r="H1458" s="5"/>
      <c r="I1458" s="5"/>
      <c r="J1458" s="5" t="str">
        <f>IFERROR(__xludf.DUMMYFUNCTION("""COMPUTED_VALUE"""),"Anesthesia")</f>
        <v>Anesthesia</v>
      </c>
      <c r="K1458" s="5" t="str">
        <f>IFERROR(__xludf.DUMMYFUNCTION("""COMPUTED_VALUE"""),"Current")</f>
        <v>Current</v>
      </c>
      <c r="L1458" s="5"/>
      <c r="M1458" s="5"/>
      <c r="N1458" s="10">
        <f>IFERROR(__xludf.DUMMYFUNCTION("""COMPUTED_VALUE"""),44972.0)</f>
        <v>44972</v>
      </c>
      <c r="O1458" s="5">
        <v>2023.0</v>
      </c>
      <c r="P1458" s="5" t="str">
        <f>IFERROR(__xludf.DUMMYFUNCTION("""COMPUTED_VALUE"""),"Available")</f>
        <v>Available</v>
      </c>
      <c r="Q1458" s="5" t="s">
        <v>135</v>
      </c>
      <c r="R1458" s="5" t="s">
        <v>136</v>
      </c>
      <c r="S1458" s="11">
        <v>1349.0</v>
      </c>
    </row>
    <row r="1459">
      <c r="A1459" s="5" t="str">
        <f>IFERROR(__xludf.DUMMYFUNCTION("""COMPUTED_VALUE"""),"Rocuronium Bromide Injection")</f>
        <v>Rocuronium Bromide Injection</v>
      </c>
      <c r="B1459" s="5" t="str">
        <f>IFERROR(__xludf.DUMMYFUNCTION("""COMPUTED_VALUE"""),"Hospira, Inc., a Pfizer Company")</f>
        <v>Hospira, Inc., a Pfizer Company</v>
      </c>
      <c r="C1459" s="5" t="str">
        <f>IFERROR(__xludf.DUMMYFUNCTION("""COMPUTED_VALUE"""),"Rocuronium Bromide, Injection, 50 mg/5 mL (10 mg/mL) (NDC 0409-3189-10)")</f>
        <v>Rocuronium Bromide, Injection, 50 mg/5 mL (10 mg/mL) (NDC 0409-3189-10)</v>
      </c>
      <c r="D1459" s="5" t="str">
        <f>IFERROR(__xludf.DUMMYFUNCTION("""COMPUTED_VALUE"""),"Reverified")</f>
        <v>Reverified</v>
      </c>
      <c r="E1459" s="13">
        <f>IFERROR(__xludf.DUMMYFUNCTION("""COMPUTED_VALUE"""),46316.0)</f>
        <v>46316</v>
      </c>
      <c r="F1459" s="5" t="str">
        <f>IFERROR(__xludf.DUMMYFUNCTION("""COMPUTED_VALUE"""),"Available")</f>
        <v>Available</v>
      </c>
      <c r="G1459" s="5"/>
      <c r="H1459" s="5"/>
      <c r="I1459" s="5"/>
      <c r="J1459" s="5" t="str">
        <f>IFERROR(__xludf.DUMMYFUNCTION("""COMPUTED_VALUE"""),"Anesthesia")</f>
        <v>Anesthesia</v>
      </c>
      <c r="K1459" s="5" t="str">
        <f>IFERROR(__xludf.DUMMYFUNCTION("""COMPUTED_VALUE"""),"Current")</f>
        <v>Current</v>
      </c>
      <c r="L1459" s="5"/>
      <c r="M1459" s="5"/>
      <c r="N1459" s="10">
        <f>IFERROR(__xludf.DUMMYFUNCTION("""COMPUTED_VALUE"""),44972.0)</f>
        <v>44972</v>
      </c>
      <c r="O1459" s="5">
        <v>2023.0</v>
      </c>
      <c r="P1459" s="5" t="str">
        <f>IFERROR(__xludf.DUMMYFUNCTION("""COMPUTED_VALUE"""),"Available")</f>
        <v>Available</v>
      </c>
      <c r="Q1459" s="5" t="s">
        <v>135</v>
      </c>
      <c r="R1459" s="5" t="s">
        <v>136</v>
      </c>
      <c r="S1459" s="11">
        <v>1349.0</v>
      </c>
    </row>
    <row r="1460">
      <c r="A1460" s="5" t="str">
        <f>IFERROR(__xludf.DUMMYFUNCTION("""COMPUTED_VALUE"""),"Rocuronium Bromide Injection")</f>
        <v>Rocuronium Bromide Injection</v>
      </c>
      <c r="B1460" s="5" t="str">
        <f>IFERROR(__xludf.DUMMYFUNCTION("""COMPUTED_VALUE"""),"Hospira, Inc., a Pfizer Company")</f>
        <v>Hospira, Inc., a Pfizer Company</v>
      </c>
      <c r="C1460" s="5" t="str">
        <f>IFERROR(__xludf.DUMMYFUNCTION("""COMPUTED_VALUE"""),"Rocuronium Bromide, Injection, 50 mg/5 mL (10 mg/mL) (NDC 0409-1403-10)")</f>
        <v>Rocuronium Bromide, Injection, 50 mg/5 mL (10 mg/mL) (NDC 0409-1403-10)</v>
      </c>
      <c r="D1460" s="5" t="str">
        <f>IFERROR(__xludf.DUMMYFUNCTION("""COMPUTED_VALUE"""),"Reverified")</f>
        <v>Reverified</v>
      </c>
      <c r="E1460" s="13">
        <f>IFERROR(__xludf.DUMMYFUNCTION("""COMPUTED_VALUE"""),46316.0)</f>
        <v>46316</v>
      </c>
      <c r="F1460" s="5" t="str">
        <f>IFERROR(__xludf.DUMMYFUNCTION("""COMPUTED_VALUE"""),"Available")</f>
        <v>Available</v>
      </c>
      <c r="G1460" s="5"/>
      <c r="H1460" s="5"/>
      <c r="I1460" s="5"/>
      <c r="J1460" s="5" t="str">
        <f>IFERROR(__xludf.DUMMYFUNCTION("""COMPUTED_VALUE"""),"Anesthesia")</f>
        <v>Anesthesia</v>
      </c>
      <c r="K1460" s="5" t="str">
        <f>IFERROR(__xludf.DUMMYFUNCTION("""COMPUTED_VALUE"""),"Current")</f>
        <v>Current</v>
      </c>
      <c r="L1460" s="5"/>
      <c r="M1460" s="5"/>
      <c r="N1460" s="10">
        <f>IFERROR(__xludf.DUMMYFUNCTION("""COMPUTED_VALUE"""),44972.0)</f>
        <v>44972</v>
      </c>
      <c r="O1460" s="5">
        <v>2023.0</v>
      </c>
      <c r="P1460" s="5" t="str">
        <f>IFERROR(__xludf.DUMMYFUNCTION("""COMPUTED_VALUE"""),"Available")</f>
        <v>Available</v>
      </c>
      <c r="Q1460" s="5" t="s">
        <v>135</v>
      </c>
      <c r="R1460" s="5" t="s">
        <v>136</v>
      </c>
      <c r="S1460" s="11">
        <v>1349.0</v>
      </c>
    </row>
    <row r="1461">
      <c r="A1461" s="5" t="str">
        <f>IFERROR(__xludf.DUMMYFUNCTION("""COMPUTED_VALUE"""),"Rocuronium Bromide Injection")</f>
        <v>Rocuronium Bromide Injection</v>
      </c>
      <c r="B1461" s="5" t="str">
        <f>IFERROR(__xludf.DUMMYFUNCTION("""COMPUTED_VALUE"""),"Hospira, Inc., a Pfizer Company")</f>
        <v>Hospira, Inc., a Pfizer Company</v>
      </c>
      <c r="C1461" s="5" t="str">
        <f>IFERROR(__xludf.DUMMYFUNCTION("""COMPUTED_VALUE"""),"Rocuronium Bromide, Injection, 100 mg/10 mL (10 mg/mL) (NDC 0409-7037-10)")</f>
        <v>Rocuronium Bromide, Injection, 100 mg/10 mL (10 mg/mL) (NDC 0409-7037-10)</v>
      </c>
      <c r="D1461" s="5" t="str">
        <f>IFERROR(__xludf.DUMMYFUNCTION("""COMPUTED_VALUE"""),"Reverified")</f>
        <v>Reverified</v>
      </c>
      <c r="E1461" s="13">
        <f>IFERROR(__xludf.DUMMYFUNCTION("""COMPUTED_VALUE"""),46316.0)</f>
        <v>46316</v>
      </c>
      <c r="F1461" s="5" t="str">
        <f>IFERROR(__xludf.DUMMYFUNCTION("""COMPUTED_VALUE"""),"Available")</f>
        <v>Available</v>
      </c>
      <c r="G1461" s="5"/>
      <c r="H1461" s="5"/>
      <c r="I1461" s="5"/>
      <c r="J1461" s="5" t="str">
        <f>IFERROR(__xludf.DUMMYFUNCTION("""COMPUTED_VALUE"""),"Anesthesia")</f>
        <v>Anesthesia</v>
      </c>
      <c r="K1461" s="5" t="str">
        <f>IFERROR(__xludf.DUMMYFUNCTION("""COMPUTED_VALUE"""),"Current")</f>
        <v>Current</v>
      </c>
      <c r="L1461" s="5"/>
      <c r="M1461" s="5"/>
      <c r="N1461" s="10">
        <f>IFERROR(__xludf.DUMMYFUNCTION("""COMPUTED_VALUE"""),44972.0)</f>
        <v>44972</v>
      </c>
      <c r="O1461" s="5">
        <v>2023.0</v>
      </c>
      <c r="P1461" s="5" t="str">
        <f>IFERROR(__xludf.DUMMYFUNCTION("""COMPUTED_VALUE"""),"Available")</f>
        <v>Available</v>
      </c>
      <c r="Q1461" s="5" t="s">
        <v>135</v>
      </c>
      <c r="R1461" s="5" t="s">
        <v>136</v>
      </c>
      <c r="S1461" s="11">
        <v>1349.0</v>
      </c>
    </row>
    <row r="1462">
      <c r="A1462" s="5" t="str">
        <f>IFERROR(__xludf.DUMMYFUNCTION("""COMPUTED_VALUE"""),"Rocuronium Bromide Injection")</f>
        <v>Rocuronium Bromide Injection</v>
      </c>
      <c r="B1462" s="5" t="str">
        <f>IFERROR(__xludf.DUMMYFUNCTION("""COMPUTED_VALUE"""),"Hospira, Inc., a Pfizer Company")</f>
        <v>Hospira, Inc., a Pfizer Company</v>
      </c>
      <c r="C1462" s="5" t="str">
        <f>IFERROR(__xludf.DUMMYFUNCTION("""COMPUTED_VALUE"""),"Rocuronium Bromide, Injection, 100 mg/10 mL (10 mg/mL) (NDC 0409-5160-10)")</f>
        <v>Rocuronium Bromide, Injection, 100 mg/10 mL (10 mg/mL) (NDC 0409-5160-10)</v>
      </c>
      <c r="D1462" s="5" t="str">
        <f>IFERROR(__xludf.DUMMYFUNCTION("""COMPUTED_VALUE"""),"Reverified")</f>
        <v>Reverified</v>
      </c>
      <c r="E1462" s="13">
        <f>IFERROR(__xludf.DUMMYFUNCTION("""COMPUTED_VALUE"""),46316.0)</f>
        <v>46316</v>
      </c>
      <c r="F1462" s="5" t="str">
        <f>IFERROR(__xludf.DUMMYFUNCTION("""COMPUTED_VALUE"""),"Available")</f>
        <v>Available</v>
      </c>
      <c r="G1462" s="5"/>
      <c r="H1462" s="5"/>
      <c r="I1462" s="5"/>
      <c r="J1462" s="5" t="str">
        <f>IFERROR(__xludf.DUMMYFUNCTION("""COMPUTED_VALUE"""),"Anesthesia")</f>
        <v>Anesthesia</v>
      </c>
      <c r="K1462" s="5" t="str">
        <f>IFERROR(__xludf.DUMMYFUNCTION("""COMPUTED_VALUE"""),"Current")</f>
        <v>Current</v>
      </c>
      <c r="L1462" s="5"/>
      <c r="M1462" s="5"/>
      <c r="N1462" s="10">
        <f>IFERROR(__xludf.DUMMYFUNCTION("""COMPUTED_VALUE"""),44972.0)</f>
        <v>44972</v>
      </c>
      <c r="O1462" s="5">
        <v>2023.0</v>
      </c>
      <c r="P1462" s="5" t="str">
        <f>IFERROR(__xludf.DUMMYFUNCTION("""COMPUTED_VALUE"""),"Available")</f>
        <v>Available</v>
      </c>
      <c r="Q1462" s="5" t="s">
        <v>135</v>
      </c>
      <c r="R1462" s="5" t="s">
        <v>136</v>
      </c>
      <c r="S1462" s="11">
        <v>1349.0</v>
      </c>
    </row>
    <row r="1463">
      <c r="A1463" s="5" t="str">
        <f>IFERROR(__xludf.DUMMYFUNCTION("""COMPUTED_VALUE"""),"Ropivacaine Hydrochloride Injection")</f>
        <v>Ropivacaine Hydrochloride Injection</v>
      </c>
      <c r="B1463" s="5" t="str">
        <f>IFERROR(__xludf.DUMMYFUNCTION("""COMPUTED_VALUE"""),"InfoRLife SA")</f>
        <v>InfoRLife SA</v>
      </c>
      <c r="C1463" s="5" t="str">
        <f>IFERROR(__xludf.DUMMYFUNCTION("""COMPUTED_VALUE"""),"Ropivacaine Hydrochloride, Injection, 2 mg/1 mL (NDC 25021-671-66)")</f>
        <v>Ropivacaine Hydrochloride, Injection, 2 mg/1 mL (NDC 25021-671-66)</v>
      </c>
      <c r="D1463" s="5" t="str">
        <f>IFERROR(__xludf.DUMMYFUNCTION("""COMPUTED_VALUE"""),"Revised")</f>
        <v>Revised</v>
      </c>
      <c r="E1463" s="10">
        <f>IFERROR(__xludf.DUMMYFUNCTION("""COMPUTED_VALUE"""),46301.0)</f>
        <v>46301</v>
      </c>
      <c r="F1463" s="5" t="str">
        <f>IFERROR(__xludf.DUMMYFUNCTION("""COMPUTED_VALUE"""),"Available")</f>
        <v>Available</v>
      </c>
      <c r="G1463" s="5" t="str">
        <f>IFERROR(__xludf.DUMMYFUNCTION("""COMPUTED_VALUE"""),"Marketed by Sagent Pharmaceuticals")</f>
        <v>Marketed by Sagent Pharmaceuticals</v>
      </c>
      <c r="H1463" s="5"/>
      <c r="I1463" s="5"/>
      <c r="J1463" s="5" t="str">
        <f>IFERROR(__xludf.DUMMYFUNCTION("""COMPUTED_VALUE"""),"Anesthesia")</f>
        <v>Anesthesia</v>
      </c>
      <c r="K1463" s="5" t="str">
        <f>IFERROR(__xludf.DUMMYFUNCTION("""COMPUTED_VALUE"""),"Current")</f>
        <v>Current</v>
      </c>
      <c r="L1463" s="5"/>
      <c r="M1463" s="5"/>
      <c r="N1463" s="10">
        <f>IFERROR(__xludf.DUMMYFUNCTION("""COMPUTED_VALUE"""),43186.0)</f>
        <v>43186</v>
      </c>
      <c r="O1463" s="5">
        <v>2018.0</v>
      </c>
      <c r="P1463" s="5" t="str">
        <f>IFERROR(__xludf.DUMMYFUNCTION("""COMPUTED_VALUE"""),"Available")</f>
        <v>Available</v>
      </c>
      <c r="Q1463" s="5" t="s">
        <v>135</v>
      </c>
      <c r="R1463" s="5" t="s">
        <v>136</v>
      </c>
      <c r="S1463" s="11">
        <v>3135.0</v>
      </c>
    </row>
    <row r="1464">
      <c r="A1464" s="5" t="str">
        <f>IFERROR(__xludf.DUMMYFUNCTION("""COMPUTED_VALUE"""),"Ropivacaine Hydrochloride Injection")</f>
        <v>Ropivacaine Hydrochloride Injection</v>
      </c>
      <c r="B1464" s="5" t="str">
        <f>IFERROR(__xludf.DUMMYFUNCTION("""COMPUTED_VALUE"""),"InfoRLife SA")</f>
        <v>InfoRLife SA</v>
      </c>
      <c r="C1464" s="5" t="str">
        <f>IFERROR(__xludf.DUMMYFUNCTION("""COMPUTED_VALUE"""),"Ropivacaine Hydrochloride, Injection, 2 mg/1 mL (NDC 25021-671-67)")</f>
        <v>Ropivacaine Hydrochloride, Injection, 2 mg/1 mL (NDC 25021-671-67)</v>
      </c>
      <c r="D1464" s="5" t="str">
        <f>IFERROR(__xludf.DUMMYFUNCTION("""COMPUTED_VALUE"""),"Reverified")</f>
        <v>Reverified</v>
      </c>
      <c r="E1464" s="10">
        <f>IFERROR(__xludf.DUMMYFUNCTION("""COMPUTED_VALUE"""),46301.0)</f>
        <v>46301</v>
      </c>
      <c r="F1464" s="5" t="str">
        <f>IFERROR(__xludf.DUMMYFUNCTION("""COMPUTED_VALUE"""),"Unavailable")</f>
        <v>Unavailable</v>
      </c>
      <c r="G1464" s="5" t="str">
        <f>IFERROR(__xludf.DUMMYFUNCTION("""COMPUTED_VALUE"""),"Estimated recovery: TBD; Marketed by Sagent Pharmaceuticals")</f>
        <v>Estimated recovery: TBD; Marketed by Sagent Pharmaceuticals</v>
      </c>
      <c r="H1464" s="5"/>
      <c r="I1464" s="5" t="str">
        <f>IFERROR(__xludf.DUMMYFUNCTION("""COMPUTED_VALUE"""),"Other")</f>
        <v>Other</v>
      </c>
      <c r="J1464" s="5" t="str">
        <f>IFERROR(__xludf.DUMMYFUNCTION("""COMPUTED_VALUE"""),"Anesthesia")</f>
        <v>Anesthesia</v>
      </c>
      <c r="K1464" s="5" t="str">
        <f>IFERROR(__xludf.DUMMYFUNCTION("""COMPUTED_VALUE"""),"Current")</f>
        <v>Current</v>
      </c>
      <c r="L1464" s="5"/>
      <c r="M1464" s="5"/>
      <c r="N1464" s="10">
        <f>IFERROR(__xludf.DUMMYFUNCTION("""COMPUTED_VALUE"""),43186.0)</f>
        <v>43186</v>
      </c>
      <c r="O1464" s="5">
        <v>2018.0</v>
      </c>
      <c r="P1464" s="5" t="str">
        <f>IFERROR(__xludf.DUMMYFUNCTION("""COMPUTED_VALUE"""),"Unavailable")</f>
        <v>Unavailable</v>
      </c>
      <c r="Q1464" s="5" t="s">
        <v>47</v>
      </c>
      <c r="R1464" s="5" t="s">
        <v>136</v>
      </c>
      <c r="S1464" s="11">
        <v>3135.0</v>
      </c>
    </row>
    <row r="1465">
      <c r="A1465" s="5" t="str">
        <f>IFERROR(__xludf.DUMMYFUNCTION("""COMPUTED_VALUE"""),"Ropivacaine Hydrochloride Injection")</f>
        <v>Ropivacaine Hydrochloride Injection</v>
      </c>
      <c r="B1465" s="5" t="str">
        <f>IFERROR(__xludf.DUMMYFUNCTION("""COMPUTED_VALUE"""),"Somerset Therapeutics, LLC")</f>
        <v>Somerset Therapeutics, LLC</v>
      </c>
      <c r="C1465" s="5" t="str">
        <f>IFERROR(__xludf.DUMMYFUNCTION("""COMPUTED_VALUE"""),"Ropivacaine Hydrochloride, Injection, 5 mg/1 mL (NDC 70069-064-01)")</f>
        <v>Ropivacaine Hydrochloride, Injection, 5 mg/1 mL (NDC 70069-064-01)</v>
      </c>
      <c r="D1465" s="5" t="str">
        <f>IFERROR(__xludf.DUMMYFUNCTION("""COMPUTED_VALUE"""),"Reverified")</f>
        <v>Reverified</v>
      </c>
      <c r="E1465" s="10">
        <f>IFERROR(__xludf.DUMMYFUNCTION("""COMPUTED_VALUE"""),46276.0)</f>
        <v>46276</v>
      </c>
      <c r="F1465" s="5" t="str">
        <f>IFERROR(__xludf.DUMMYFUNCTION("""COMPUTED_VALUE"""),"Available")</f>
        <v>Available</v>
      </c>
      <c r="G1465" s="5"/>
      <c r="H1465" s="5"/>
      <c r="I1465" s="5"/>
      <c r="J1465" s="5" t="str">
        <f>IFERROR(__xludf.DUMMYFUNCTION("""COMPUTED_VALUE"""),"Anesthesia")</f>
        <v>Anesthesia</v>
      </c>
      <c r="K1465" s="5" t="str">
        <f>IFERROR(__xludf.DUMMYFUNCTION("""COMPUTED_VALUE"""),"Current")</f>
        <v>Current</v>
      </c>
      <c r="L1465" s="5"/>
      <c r="M1465" s="5"/>
      <c r="N1465" s="10">
        <f>IFERROR(__xludf.DUMMYFUNCTION("""COMPUTED_VALUE"""),43182.0)</f>
        <v>43182</v>
      </c>
      <c r="O1465" s="5">
        <v>2018.0</v>
      </c>
      <c r="P1465" s="5" t="str">
        <f>IFERROR(__xludf.DUMMYFUNCTION("""COMPUTED_VALUE"""),"Available")</f>
        <v>Available</v>
      </c>
      <c r="Q1465" s="5" t="s">
        <v>135</v>
      </c>
      <c r="R1465" s="5" t="s">
        <v>136</v>
      </c>
      <c r="S1465" s="11">
        <v>3139.0</v>
      </c>
    </row>
    <row r="1466">
      <c r="A1466" s="5" t="str">
        <f>IFERROR(__xludf.DUMMYFUNCTION("""COMPUTED_VALUE"""),"Ropivacaine Hydrochloride Injection")</f>
        <v>Ropivacaine Hydrochloride Injection</v>
      </c>
      <c r="B1466" s="5" t="str">
        <f>IFERROR(__xludf.DUMMYFUNCTION("""COMPUTED_VALUE"""),"Somerset Therapeutics, LLC")</f>
        <v>Somerset Therapeutics, LLC</v>
      </c>
      <c r="C1466" s="5" t="str">
        <f>IFERROR(__xludf.DUMMYFUNCTION("""COMPUTED_VALUE"""),"Ropivacaine Hydrochloride, Injection, 5 mg/1 mL (NDC 70069-064-10)")</f>
        <v>Ropivacaine Hydrochloride, Injection, 5 mg/1 mL (NDC 70069-064-10)</v>
      </c>
      <c r="D1466" s="5" t="str">
        <f>IFERROR(__xludf.DUMMYFUNCTION("""COMPUTED_VALUE"""),"Reverified")</f>
        <v>Reverified</v>
      </c>
      <c r="E1466" s="10">
        <f>IFERROR(__xludf.DUMMYFUNCTION("""COMPUTED_VALUE"""),46276.0)</f>
        <v>46276</v>
      </c>
      <c r="F1466" s="5" t="str">
        <f>IFERROR(__xludf.DUMMYFUNCTION("""COMPUTED_VALUE"""),"Available")</f>
        <v>Available</v>
      </c>
      <c r="G1466" s="5"/>
      <c r="H1466" s="5"/>
      <c r="I1466" s="5"/>
      <c r="J1466" s="5" t="str">
        <f>IFERROR(__xludf.DUMMYFUNCTION("""COMPUTED_VALUE"""),"Anesthesia")</f>
        <v>Anesthesia</v>
      </c>
      <c r="K1466" s="5" t="str">
        <f>IFERROR(__xludf.DUMMYFUNCTION("""COMPUTED_VALUE"""),"Current")</f>
        <v>Current</v>
      </c>
      <c r="L1466" s="5"/>
      <c r="M1466" s="5"/>
      <c r="N1466" s="10">
        <f>IFERROR(__xludf.DUMMYFUNCTION("""COMPUTED_VALUE"""),43182.0)</f>
        <v>43182</v>
      </c>
      <c r="O1466" s="5">
        <v>2018.0</v>
      </c>
      <c r="P1466" s="5" t="str">
        <f>IFERROR(__xludf.DUMMYFUNCTION("""COMPUTED_VALUE"""),"Available")</f>
        <v>Available</v>
      </c>
      <c r="Q1466" s="5" t="s">
        <v>135</v>
      </c>
      <c r="R1466" s="5" t="s">
        <v>136</v>
      </c>
      <c r="S1466" s="11">
        <v>3139.0</v>
      </c>
    </row>
    <row r="1467">
      <c r="A1467" s="5" t="str">
        <f>IFERROR(__xludf.DUMMYFUNCTION("""COMPUTED_VALUE"""),"Ropivacaine Hydrochloride Injection")</f>
        <v>Ropivacaine Hydrochloride Injection</v>
      </c>
      <c r="B1467" s="5" t="str">
        <f>IFERROR(__xludf.DUMMYFUNCTION("""COMPUTED_VALUE"""),"Somerset Therapeutics, LLC")</f>
        <v>Somerset Therapeutics, LLC</v>
      </c>
      <c r="C1467" s="5" t="str">
        <f>IFERROR(__xludf.DUMMYFUNCTION("""COMPUTED_VALUE"""),"Ropivacaine Hydrochloride, Injection, 5 mg/1 mL (NDC 70069-064-25)")</f>
        <v>Ropivacaine Hydrochloride, Injection, 5 mg/1 mL (NDC 70069-064-25)</v>
      </c>
      <c r="D1467" s="5" t="str">
        <f>IFERROR(__xludf.DUMMYFUNCTION("""COMPUTED_VALUE"""),"Reverified")</f>
        <v>Reverified</v>
      </c>
      <c r="E1467" s="10">
        <f>IFERROR(__xludf.DUMMYFUNCTION("""COMPUTED_VALUE"""),46276.0)</f>
        <v>46276</v>
      </c>
      <c r="F1467" s="5" t="str">
        <f>IFERROR(__xludf.DUMMYFUNCTION("""COMPUTED_VALUE"""),"Available")</f>
        <v>Available</v>
      </c>
      <c r="G1467" s="5"/>
      <c r="H1467" s="5"/>
      <c r="I1467" s="5"/>
      <c r="J1467" s="5" t="str">
        <f>IFERROR(__xludf.DUMMYFUNCTION("""COMPUTED_VALUE"""),"Anesthesia")</f>
        <v>Anesthesia</v>
      </c>
      <c r="K1467" s="5" t="str">
        <f>IFERROR(__xludf.DUMMYFUNCTION("""COMPUTED_VALUE"""),"Current")</f>
        <v>Current</v>
      </c>
      <c r="L1467" s="5"/>
      <c r="M1467" s="5"/>
      <c r="N1467" s="10">
        <f>IFERROR(__xludf.DUMMYFUNCTION("""COMPUTED_VALUE"""),43182.0)</f>
        <v>43182</v>
      </c>
      <c r="O1467" s="5">
        <v>2018.0</v>
      </c>
      <c r="P1467" s="5" t="str">
        <f>IFERROR(__xludf.DUMMYFUNCTION("""COMPUTED_VALUE"""),"Available")</f>
        <v>Available</v>
      </c>
      <c r="Q1467" s="5" t="s">
        <v>135</v>
      </c>
      <c r="R1467" s="5" t="s">
        <v>136</v>
      </c>
      <c r="S1467" s="11">
        <v>3139.0</v>
      </c>
    </row>
    <row r="1468">
      <c r="A1468" s="5" t="str">
        <f>IFERROR(__xludf.DUMMYFUNCTION("""COMPUTED_VALUE"""),"Ropivacaine Hydrochloride Injection")</f>
        <v>Ropivacaine Hydrochloride Injection</v>
      </c>
      <c r="B1468" s="5" t="str">
        <f>IFERROR(__xludf.DUMMYFUNCTION("""COMPUTED_VALUE"""),"Caplin Steriles, Ltd.")</f>
        <v>Caplin Steriles, Ltd.</v>
      </c>
      <c r="C1468" s="5" t="str">
        <f>IFERROR(__xludf.DUMMYFUNCTION("""COMPUTED_VALUE"""),"Ropivacaine Hydrochloride, Injection, 2 mg/1 mL (NDC 43066-015-10)")</f>
        <v>Ropivacaine Hydrochloride, Injection, 2 mg/1 mL (NDC 43066-015-10)</v>
      </c>
      <c r="D1468" s="5" t="str">
        <f>IFERROR(__xludf.DUMMYFUNCTION("""COMPUTED_VALUE"""),"Reverified")</f>
        <v>Reverified</v>
      </c>
      <c r="E1468" s="10">
        <f>IFERROR(__xludf.DUMMYFUNCTION("""COMPUTED_VALUE"""),46183.0)</f>
        <v>46183</v>
      </c>
      <c r="F1468" s="5" t="str">
        <f>IFERROR(__xludf.DUMMYFUNCTION("""COMPUTED_VALUE"""),"Limited Availability")</f>
        <v>Limited Availability</v>
      </c>
      <c r="G1468" s="5" t="str">
        <f>IFERROR(__xludf.DUMMYFUNCTION("""COMPUTED_VALUE"""),"Check wholesalers for inventory; Marketed by Baxter")</f>
        <v>Check wholesalers for inventory; Marketed by Baxter</v>
      </c>
      <c r="H1468" s="5"/>
      <c r="I1468" s="5" t="str">
        <f>IFERROR(__xludf.DUMMYFUNCTION("""COMPUTED_VALUE"""),"Other")</f>
        <v>Other</v>
      </c>
      <c r="J1468" s="5" t="str">
        <f>IFERROR(__xludf.DUMMYFUNCTION("""COMPUTED_VALUE"""),"Anesthesia")</f>
        <v>Anesthesia</v>
      </c>
      <c r="K1468" s="5" t="str">
        <f>IFERROR(__xludf.DUMMYFUNCTION("""COMPUTED_VALUE"""),"Current")</f>
        <v>Current</v>
      </c>
      <c r="L1468" s="5"/>
      <c r="M1468" s="5"/>
      <c r="N1468" s="13">
        <f>IFERROR(__xludf.DUMMYFUNCTION("""COMPUTED_VALUE"""),44187.0)</f>
        <v>44187</v>
      </c>
      <c r="O1468" s="5">
        <v>2020.0</v>
      </c>
      <c r="P1468" s="5" t="str">
        <f>IFERROR(__xludf.DUMMYFUNCTION("""COMPUTED_VALUE"""),"Limited Availability")</f>
        <v>Limited Availability</v>
      </c>
      <c r="Q1468" s="5" t="s">
        <v>47</v>
      </c>
      <c r="R1468" s="5" t="s">
        <v>136</v>
      </c>
      <c r="S1468" s="11">
        <v>2134.0</v>
      </c>
    </row>
    <row r="1469">
      <c r="A1469" s="5" t="str">
        <f>IFERROR(__xludf.DUMMYFUNCTION("""COMPUTED_VALUE"""),"Ropivacaine Hydrochloride Injection")</f>
        <v>Ropivacaine Hydrochloride Injection</v>
      </c>
      <c r="B1469" s="5" t="str">
        <f>IFERROR(__xludf.DUMMYFUNCTION("""COMPUTED_VALUE"""),"Caplin Steriles, Ltd.")</f>
        <v>Caplin Steriles, Ltd.</v>
      </c>
      <c r="C1469" s="5" t="str">
        <f>IFERROR(__xludf.DUMMYFUNCTION("""COMPUTED_VALUE"""),"Ropivacaine Hydrochloride, Injection, 5 mg/1 mL (NDC 43066-019-10)")</f>
        <v>Ropivacaine Hydrochloride, Injection, 5 mg/1 mL (NDC 43066-019-10)</v>
      </c>
      <c r="D1469" s="5" t="str">
        <f>IFERROR(__xludf.DUMMYFUNCTION("""COMPUTED_VALUE"""),"Reverified")</f>
        <v>Reverified</v>
      </c>
      <c r="E1469" s="10">
        <f>IFERROR(__xludf.DUMMYFUNCTION("""COMPUTED_VALUE"""),46183.0)</f>
        <v>46183</v>
      </c>
      <c r="F1469" s="5" t="str">
        <f>IFERROR(__xludf.DUMMYFUNCTION("""COMPUTED_VALUE"""),"Available")</f>
        <v>Available</v>
      </c>
      <c r="G1469" s="5" t="str">
        <f>IFERROR(__xludf.DUMMYFUNCTION("""COMPUTED_VALUE"""),"Check wholesalers for inventory; Marketed by Baxter")</f>
        <v>Check wholesalers for inventory; Marketed by Baxter</v>
      </c>
      <c r="H1469" s="5"/>
      <c r="I1469" s="5"/>
      <c r="J1469" s="5" t="str">
        <f>IFERROR(__xludf.DUMMYFUNCTION("""COMPUTED_VALUE"""),"Anesthesia")</f>
        <v>Anesthesia</v>
      </c>
      <c r="K1469" s="5" t="str">
        <f>IFERROR(__xludf.DUMMYFUNCTION("""COMPUTED_VALUE"""),"Current")</f>
        <v>Current</v>
      </c>
      <c r="L1469" s="5"/>
      <c r="M1469" s="5"/>
      <c r="N1469" s="13">
        <f>IFERROR(__xludf.DUMMYFUNCTION("""COMPUTED_VALUE"""),44187.0)</f>
        <v>44187</v>
      </c>
      <c r="O1469" s="5">
        <v>2020.0</v>
      </c>
      <c r="P1469" s="5" t="str">
        <f>IFERROR(__xludf.DUMMYFUNCTION("""COMPUTED_VALUE"""),"Available")</f>
        <v>Available</v>
      </c>
      <c r="Q1469" s="5" t="s">
        <v>135</v>
      </c>
      <c r="R1469" s="5" t="s">
        <v>136</v>
      </c>
      <c r="S1469" s="11">
        <v>2134.0</v>
      </c>
    </row>
    <row r="1470">
      <c r="A1470" s="5" t="str">
        <f>IFERROR(__xludf.DUMMYFUNCTION("""COMPUTED_VALUE"""),"Ropivacaine Hydrochloride Injection")</f>
        <v>Ropivacaine Hydrochloride Injection</v>
      </c>
      <c r="B1470" s="5" t="str">
        <f>IFERROR(__xludf.DUMMYFUNCTION("""COMPUTED_VALUE"""),"Caplin Steriles, Ltd.")</f>
        <v>Caplin Steriles, Ltd.</v>
      </c>
      <c r="C1470" s="5" t="str">
        <f>IFERROR(__xludf.DUMMYFUNCTION("""COMPUTED_VALUE"""),"Ropivacaine Hydrochloride, Injection, 5 mg/1 mL (NDC 43066-023-10)")</f>
        <v>Ropivacaine Hydrochloride, Injection, 5 mg/1 mL (NDC 43066-023-10)</v>
      </c>
      <c r="D1470" s="5" t="str">
        <f>IFERROR(__xludf.DUMMYFUNCTION("""COMPUTED_VALUE"""),"Reverified")</f>
        <v>Reverified</v>
      </c>
      <c r="E1470" s="10">
        <f>IFERROR(__xludf.DUMMYFUNCTION("""COMPUTED_VALUE"""),46183.0)</f>
        <v>46183</v>
      </c>
      <c r="F1470" s="5" t="str">
        <f>IFERROR(__xludf.DUMMYFUNCTION("""COMPUTED_VALUE"""),"Limited Availability")</f>
        <v>Limited Availability</v>
      </c>
      <c r="G1470" s="5" t="str">
        <f>IFERROR(__xludf.DUMMYFUNCTION("""COMPUTED_VALUE"""),"Limited supply; Check wholesalers for inventory; Marketed by Baxter")</f>
        <v>Limited supply; Check wholesalers for inventory; Marketed by Baxter</v>
      </c>
      <c r="H1470" s="5"/>
      <c r="I1470" s="5" t="str">
        <f>IFERROR(__xludf.DUMMYFUNCTION("""COMPUTED_VALUE"""),"Other")</f>
        <v>Other</v>
      </c>
      <c r="J1470" s="5" t="str">
        <f>IFERROR(__xludf.DUMMYFUNCTION("""COMPUTED_VALUE"""),"Anesthesia")</f>
        <v>Anesthesia</v>
      </c>
      <c r="K1470" s="5" t="str">
        <f>IFERROR(__xludf.DUMMYFUNCTION("""COMPUTED_VALUE"""),"Current")</f>
        <v>Current</v>
      </c>
      <c r="L1470" s="5"/>
      <c r="M1470" s="5"/>
      <c r="N1470" s="13">
        <f>IFERROR(__xludf.DUMMYFUNCTION("""COMPUTED_VALUE"""),44187.0)</f>
        <v>44187</v>
      </c>
      <c r="O1470" s="5">
        <v>2020.0</v>
      </c>
      <c r="P1470" s="5" t="str">
        <f>IFERROR(__xludf.DUMMYFUNCTION("""COMPUTED_VALUE"""),"Limited Availability")</f>
        <v>Limited Availability</v>
      </c>
      <c r="Q1470" s="5" t="s">
        <v>47</v>
      </c>
      <c r="R1470" s="5" t="s">
        <v>136</v>
      </c>
      <c r="S1470" s="11">
        <v>2134.0</v>
      </c>
    </row>
    <row r="1471">
      <c r="A1471" s="5" t="str">
        <f>IFERROR(__xludf.DUMMYFUNCTION("""COMPUTED_VALUE"""),"Ropivacaine Hydrochloride Injection")</f>
        <v>Ropivacaine Hydrochloride Injection</v>
      </c>
      <c r="B1471" s="5" t="str">
        <f>IFERROR(__xludf.DUMMYFUNCTION("""COMPUTED_VALUE"""),"Caplin Steriles, Ltd.")</f>
        <v>Caplin Steriles, Ltd.</v>
      </c>
      <c r="C1471" s="5" t="str">
        <f>IFERROR(__xludf.DUMMYFUNCTION("""COMPUTED_VALUE"""),"Ropivacaine Hydrochloride, Injection, 10 mg/1 mL (NDC 43066-027-10)")</f>
        <v>Ropivacaine Hydrochloride, Injection, 10 mg/1 mL (NDC 43066-027-10)</v>
      </c>
      <c r="D1471" s="5" t="str">
        <f>IFERROR(__xludf.DUMMYFUNCTION("""COMPUTED_VALUE"""),"Reverified")</f>
        <v>Reverified</v>
      </c>
      <c r="E1471" s="10">
        <f>IFERROR(__xludf.DUMMYFUNCTION("""COMPUTED_VALUE"""),46183.0)</f>
        <v>46183</v>
      </c>
      <c r="F1471" s="5" t="str">
        <f>IFERROR(__xludf.DUMMYFUNCTION("""COMPUTED_VALUE"""),"Available")</f>
        <v>Available</v>
      </c>
      <c r="G1471" s="5" t="str">
        <f>IFERROR(__xludf.DUMMYFUNCTION("""COMPUTED_VALUE"""),"Check wholesalers for inventory; Marketed by Baxter")</f>
        <v>Check wholesalers for inventory; Marketed by Baxter</v>
      </c>
      <c r="H1471" s="5"/>
      <c r="I1471" s="5"/>
      <c r="J1471" s="5" t="str">
        <f>IFERROR(__xludf.DUMMYFUNCTION("""COMPUTED_VALUE"""),"Anesthesia")</f>
        <v>Anesthesia</v>
      </c>
      <c r="K1471" s="5" t="str">
        <f>IFERROR(__xludf.DUMMYFUNCTION("""COMPUTED_VALUE"""),"Current")</f>
        <v>Current</v>
      </c>
      <c r="L1471" s="5"/>
      <c r="M1471" s="5"/>
      <c r="N1471" s="13">
        <f>IFERROR(__xludf.DUMMYFUNCTION("""COMPUTED_VALUE"""),44187.0)</f>
        <v>44187</v>
      </c>
      <c r="O1471" s="5">
        <v>2020.0</v>
      </c>
      <c r="P1471" s="5" t="str">
        <f>IFERROR(__xludf.DUMMYFUNCTION("""COMPUTED_VALUE"""),"Available")</f>
        <v>Available</v>
      </c>
      <c r="Q1471" s="5" t="s">
        <v>135</v>
      </c>
      <c r="R1471" s="5" t="s">
        <v>136</v>
      </c>
      <c r="S1471" s="11">
        <v>2134.0</v>
      </c>
    </row>
    <row r="1472">
      <c r="A1472" s="5" t="str">
        <f>IFERROR(__xludf.DUMMYFUNCTION("""COMPUTED_VALUE"""),"Ropivacaine Hydrochloride Injection")</f>
        <v>Ropivacaine Hydrochloride Injection</v>
      </c>
      <c r="B1472" s="5" t="str">
        <f>IFERROR(__xludf.DUMMYFUNCTION("""COMPUTED_VALUE"""),"InfoRLife SA")</f>
        <v>InfoRLife SA</v>
      </c>
      <c r="C1472" s="5" t="str">
        <f>IFERROR(__xludf.DUMMYFUNCTION("""COMPUTED_VALUE"""),"Ropivacaine Hydrochloride, Injection, 5 mg/1 mL (NDC 25021-652-82)")</f>
        <v>Ropivacaine Hydrochloride, Injection, 5 mg/1 mL (NDC 25021-652-82)</v>
      </c>
      <c r="D1472" s="5" t="str">
        <f>IFERROR(__xludf.DUMMYFUNCTION("""COMPUTED_VALUE"""),"Reverified")</f>
        <v>Reverified</v>
      </c>
      <c r="E1472" s="10">
        <f>IFERROR(__xludf.DUMMYFUNCTION("""COMPUTED_VALUE"""),46301.0)</f>
        <v>46301</v>
      </c>
      <c r="F1472" s="5" t="str">
        <f>IFERROR(__xludf.DUMMYFUNCTION("""COMPUTED_VALUE"""),"Available")</f>
        <v>Available</v>
      </c>
      <c r="G1472" s="5" t="str">
        <f>IFERROR(__xludf.DUMMYFUNCTION("""COMPUTED_VALUE"""),"Marketed by Sagent Pharmaceuticals")</f>
        <v>Marketed by Sagent Pharmaceuticals</v>
      </c>
      <c r="H1472" s="5"/>
      <c r="I1472" s="5"/>
      <c r="J1472" s="5" t="str">
        <f>IFERROR(__xludf.DUMMYFUNCTION("""COMPUTED_VALUE"""),"Anesthesia")</f>
        <v>Anesthesia</v>
      </c>
      <c r="K1472" s="5" t="str">
        <f>IFERROR(__xludf.DUMMYFUNCTION("""COMPUTED_VALUE"""),"Current")</f>
        <v>Current</v>
      </c>
      <c r="L1472" s="5"/>
      <c r="M1472" s="5"/>
      <c r="N1472" s="10">
        <f>IFERROR(__xludf.DUMMYFUNCTION("""COMPUTED_VALUE"""),43186.0)</f>
        <v>43186</v>
      </c>
      <c r="O1472" s="5">
        <v>2018.0</v>
      </c>
      <c r="P1472" s="5" t="str">
        <f>IFERROR(__xludf.DUMMYFUNCTION("""COMPUTED_VALUE"""),"Available")</f>
        <v>Available</v>
      </c>
      <c r="Q1472" s="5" t="s">
        <v>135</v>
      </c>
      <c r="R1472" s="5" t="s">
        <v>136</v>
      </c>
      <c r="S1472" s="11">
        <v>3135.0</v>
      </c>
    </row>
    <row r="1473">
      <c r="A1473" s="5" t="str">
        <f>IFERROR(__xludf.DUMMYFUNCTION("""COMPUTED_VALUE"""),"Ropivacaine Hydrochloride Injection")</f>
        <v>Ropivacaine Hydrochloride Injection</v>
      </c>
      <c r="B1473" s="5" t="str">
        <f>IFERROR(__xludf.DUMMYFUNCTION("""COMPUTED_VALUE"""),"InfoRLife SA")</f>
        <v>InfoRLife SA</v>
      </c>
      <c r="C1473" s="5" t="str">
        <f>IFERROR(__xludf.DUMMYFUNCTION("""COMPUTED_VALUE"""),"Ropivacaine Hydrochloride, Injection, 5 mg/1 mL (NDC 25021-652-87)")</f>
        <v>Ropivacaine Hydrochloride, Injection, 5 mg/1 mL (NDC 25021-652-87)</v>
      </c>
      <c r="D1473" s="5" t="str">
        <f>IFERROR(__xludf.DUMMYFUNCTION("""COMPUTED_VALUE"""),"Reverified")</f>
        <v>Reverified</v>
      </c>
      <c r="E1473" s="10">
        <f>IFERROR(__xludf.DUMMYFUNCTION("""COMPUTED_VALUE"""),46301.0)</f>
        <v>46301</v>
      </c>
      <c r="F1473" s="5" t="str">
        <f>IFERROR(__xludf.DUMMYFUNCTION("""COMPUTED_VALUE"""),"Available")</f>
        <v>Available</v>
      </c>
      <c r="G1473" s="5" t="str">
        <f>IFERROR(__xludf.DUMMYFUNCTION("""COMPUTED_VALUE"""),"Marketed by Sagent Pharmaceuticals")</f>
        <v>Marketed by Sagent Pharmaceuticals</v>
      </c>
      <c r="H1473" s="5"/>
      <c r="I1473" s="5"/>
      <c r="J1473" s="5" t="str">
        <f>IFERROR(__xludf.DUMMYFUNCTION("""COMPUTED_VALUE"""),"Anesthesia")</f>
        <v>Anesthesia</v>
      </c>
      <c r="K1473" s="5" t="str">
        <f>IFERROR(__xludf.DUMMYFUNCTION("""COMPUTED_VALUE"""),"Current")</f>
        <v>Current</v>
      </c>
      <c r="L1473" s="5"/>
      <c r="M1473" s="5"/>
      <c r="N1473" s="10">
        <f>IFERROR(__xludf.DUMMYFUNCTION("""COMPUTED_VALUE"""),43186.0)</f>
        <v>43186</v>
      </c>
      <c r="O1473" s="5">
        <v>2018.0</v>
      </c>
      <c r="P1473" s="5" t="str">
        <f>IFERROR(__xludf.DUMMYFUNCTION("""COMPUTED_VALUE"""),"Available")</f>
        <v>Available</v>
      </c>
      <c r="Q1473" s="5" t="s">
        <v>135</v>
      </c>
      <c r="R1473" s="5" t="s">
        <v>136</v>
      </c>
      <c r="S1473" s="11">
        <v>3135.0</v>
      </c>
    </row>
    <row r="1474">
      <c r="A1474" s="5" t="str">
        <f>IFERROR(__xludf.DUMMYFUNCTION("""COMPUTED_VALUE"""),"Ropivacaine Hydrochloride Injection")</f>
        <v>Ropivacaine Hydrochloride Injection</v>
      </c>
      <c r="B1474" s="5" t="str">
        <f>IFERROR(__xludf.DUMMYFUNCTION("""COMPUTED_VALUE"""),"InfoRLife SA")</f>
        <v>InfoRLife SA</v>
      </c>
      <c r="C1474" s="5" t="str">
        <f>IFERROR(__xludf.DUMMYFUNCTION("""COMPUTED_VALUE"""),"Ropivacaine Hydrochloride, Injection, 2 mg/1 mL (NDC 25021-671-82)")</f>
        <v>Ropivacaine Hydrochloride, Injection, 2 mg/1 mL (NDC 25021-671-82)</v>
      </c>
      <c r="D1474" s="5" t="str">
        <f>IFERROR(__xludf.DUMMYFUNCTION("""COMPUTED_VALUE"""),"Reverified")</f>
        <v>Reverified</v>
      </c>
      <c r="E1474" s="10">
        <f>IFERROR(__xludf.DUMMYFUNCTION("""COMPUTED_VALUE"""),46301.0)</f>
        <v>46301</v>
      </c>
      <c r="F1474" s="5" t="str">
        <f>IFERROR(__xludf.DUMMYFUNCTION("""COMPUTED_VALUE"""),"Available")</f>
        <v>Available</v>
      </c>
      <c r="G1474" s="5" t="str">
        <f>IFERROR(__xludf.DUMMYFUNCTION("""COMPUTED_VALUE"""),"Marketed by Sagent Pharmaceuticals")</f>
        <v>Marketed by Sagent Pharmaceuticals</v>
      </c>
      <c r="H1474" s="5"/>
      <c r="I1474" s="5"/>
      <c r="J1474" s="5" t="str">
        <f>IFERROR(__xludf.DUMMYFUNCTION("""COMPUTED_VALUE"""),"Anesthesia")</f>
        <v>Anesthesia</v>
      </c>
      <c r="K1474" s="5" t="str">
        <f>IFERROR(__xludf.DUMMYFUNCTION("""COMPUTED_VALUE"""),"Current")</f>
        <v>Current</v>
      </c>
      <c r="L1474" s="5"/>
      <c r="M1474" s="5"/>
      <c r="N1474" s="10">
        <f>IFERROR(__xludf.DUMMYFUNCTION("""COMPUTED_VALUE"""),43186.0)</f>
        <v>43186</v>
      </c>
      <c r="O1474" s="5">
        <v>2018.0</v>
      </c>
      <c r="P1474" s="5" t="str">
        <f>IFERROR(__xludf.DUMMYFUNCTION("""COMPUTED_VALUE"""),"Available")</f>
        <v>Available</v>
      </c>
      <c r="Q1474" s="5" t="s">
        <v>135</v>
      </c>
      <c r="R1474" s="5" t="s">
        <v>136</v>
      </c>
      <c r="S1474" s="11">
        <v>3135.0</v>
      </c>
    </row>
    <row r="1475">
      <c r="A1475" s="5" t="str">
        <f>IFERROR(__xludf.DUMMYFUNCTION("""COMPUTED_VALUE"""),"Ropivacaine Hydrochloride Injection")</f>
        <v>Ropivacaine Hydrochloride Injection</v>
      </c>
      <c r="B1475" s="5" t="str">
        <f>IFERROR(__xludf.DUMMYFUNCTION("""COMPUTED_VALUE"""),"InfoRLife SA")</f>
        <v>InfoRLife SA</v>
      </c>
      <c r="C1475" s="5" t="str">
        <f>IFERROR(__xludf.DUMMYFUNCTION("""COMPUTED_VALUE"""),"Ropivacaine Hydrochloride, Injection, 2 mg/1 mL (NDC 25021-671-87)")</f>
        <v>Ropivacaine Hydrochloride, Injection, 2 mg/1 mL (NDC 25021-671-87)</v>
      </c>
      <c r="D1475" s="5" t="str">
        <f>IFERROR(__xludf.DUMMYFUNCTION("""COMPUTED_VALUE"""),"Reverified")</f>
        <v>Reverified</v>
      </c>
      <c r="E1475" s="10">
        <f>IFERROR(__xludf.DUMMYFUNCTION("""COMPUTED_VALUE"""),46301.0)</f>
        <v>46301</v>
      </c>
      <c r="F1475" s="5" t="str">
        <f>IFERROR(__xludf.DUMMYFUNCTION("""COMPUTED_VALUE"""),"Available")</f>
        <v>Available</v>
      </c>
      <c r="G1475" s="5" t="str">
        <f>IFERROR(__xludf.DUMMYFUNCTION("""COMPUTED_VALUE"""),"Marketed by Sagent Pharmaceuticals")</f>
        <v>Marketed by Sagent Pharmaceuticals</v>
      </c>
      <c r="H1475" s="5"/>
      <c r="I1475" s="5"/>
      <c r="J1475" s="5" t="str">
        <f>IFERROR(__xludf.DUMMYFUNCTION("""COMPUTED_VALUE"""),"Anesthesia")</f>
        <v>Anesthesia</v>
      </c>
      <c r="K1475" s="5" t="str">
        <f>IFERROR(__xludf.DUMMYFUNCTION("""COMPUTED_VALUE"""),"Current")</f>
        <v>Current</v>
      </c>
      <c r="L1475" s="5"/>
      <c r="M1475" s="5"/>
      <c r="N1475" s="10">
        <f>IFERROR(__xludf.DUMMYFUNCTION("""COMPUTED_VALUE"""),43186.0)</f>
        <v>43186</v>
      </c>
      <c r="O1475" s="5">
        <v>2018.0</v>
      </c>
      <c r="P1475" s="5" t="str">
        <f>IFERROR(__xludf.DUMMYFUNCTION("""COMPUTED_VALUE"""),"Available")</f>
        <v>Available</v>
      </c>
      <c r="Q1475" s="5" t="s">
        <v>135</v>
      </c>
      <c r="R1475" s="5" t="s">
        <v>136</v>
      </c>
      <c r="S1475" s="11">
        <v>3135.0</v>
      </c>
    </row>
    <row r="1476">
      <c r="A1476" s="5" t="str">
        <f>IFERROR(__xludf.DUMMYFUNCTION("""COMPUTED_VALUE"""),"Ropivacaine Hydrochloride Injection")</f>
        <v>Ropivacaine Hydrochloride Injection</v>
      </c>
      <c r="B1476" s="5" t="str">
        <f>IFERROR(__xludf.DUMMYFUNCTION("""COMPUTED_VALUE"""),"Eugia US LLC")</f>
        <v>Eugia US LLC</v>
      </c>
      <c r="C1476" s="5" t="str">
        <f>IFERROR(__xludf.DUMMYFUNCTION("""COMPUTED_VALUE"""),"Ropivacaine Hydrochloride, Injection, 2 mg/1 mL (NDC 55150-195-20)")</f>
        <v>Ropivacaine Hydrochloride, Injection, 2 mg/1 mL (NDC 55150-195-20)</v>
      </c>
      <c r="D1476" s="5" t="str">
        <f>IFERROR(__xludf.DUMMYFUNCTION("""COMPUTED_VALUE"""),"Reverified")</f>
        <v>Reverified</v>
      </c>
      <c r="E1476" s="13">
        <f>IFERROR(__xludf.DUMMYFUNCTION("""COMPUTED_VALUE"""),46314.0)</f>
        <v>46314</v>
      </c>
      <c r="F1476" s="5" t="str">
        <f>IFERROR(__xludf.DUMMYFUNCTION("""COMPUTED_VALUE"""),"Unavailable")</f>
        <v>Unavailable</v>
      </c>
      <c r="G1476" s="5" t="str">
        <f>IFERROR(__xludf.DUMMYFUNCTION("""COMPUTED_VALUE"""),"On backorder. Recovery: TBD. Check wholesalers for inventory")</f>
        <v>On backorder. Recovery: TBD. Check wholesalers for inventory</v>
      </c>
      <c r="H1476" s="5"/>
      <c r="I1476" s="5" t="str">
        <f>IFERROR(__xludf.DUMMYFUNCTION("""COMPUTED_VALUE"""),"Demand increase for the drug")</f>
        <v>Demand increase for the drug</v>
      </c>
      <c r="J1476" s="5" t="str">
        <f>IFERROR(__xludf.DUMMYFUNCTION("""COMPUTED_VALUE"""),"Anesthesia")</f>
        <v>Anesthesia</v>
      </c>
      <c r="K1476" s="5" t="str">
        <f>IFERROR(__xludf.DUMMYFUNCTION("""COMPUTED_VALUE"""),"Current")</f>
        <v>Current</v>
      </c>
      <c r="L1476" s="5"/>
      <c r="M1476" s="5"/>
      <c r="N1476" s="10">
        <f>IFERROR(__xludf.DUMMYFUNCTION("""COMPUTED_VALUE"""),43182.0)</f>
        <v>43182</v>
      </c>
      <c r="O1476" s="5">
        <v>2018.0</v>
      </c>
      <c r="P1476" s="5" t="str">
        <f>IFERROR(__xludf.DUMMYFUNCTION("""COMPUTED_VALUE"""),"Unavailable")</f>
        <v>Unavailable</v>
      </c>
      <c r="Q1476" s="5" t="s">
        <v>134</v>
      </c>
      <c r="R1476" s="5" t="s">
        <v>136</v>
      </c>
      <c r="S1476" s="11">
        <v>3139.0</v>
      </c>
    </row>
    <row r="1477">
      <c r="A1477" s="5" t="str">
        <f>IFERROR(__xludf.DUMMYFUNCTION("""COMPUTED_VALUE"""),"Ropivacaine Hydrochloride Injection")</f>
        <v>Ropivacaine Hydrochloride Injection</v>
      </c>
      <c r="B1477" s="5" t="str">
        <f>IFERROR(__xludf.DUMMYFUNCTION("""COMPUTED_VALUE"""),"Eugia US LLC")</f>
        <v>Eugia US LLC</v>
      </c>
      <c r="C1477" s="5" t="str">
        <f>IFERROR(__xludf.DUMMYFUNCTION("""COMPUTED_VALUE"""),"Ropivacaine Hydrochloride, Injection, 2 mg/1 mL (NDC 55150-196-99)")</f>
        <v>Ropivacaine Hydrochloride, Injection, 2 mg/1 mL (NDC 55150-196-99)</v>
      </c>
      <c r="D1477" s="5" t="str">
        <f>IFERROR(__xludf.DUMMYFUNCTION("""COMPUTED_VALUE"""),"Reverified")</f>
        <v>Reverified</v>
      </c>
      <c r="E1477" s="13">
        <f>IFERROR(__xludf.DUMMYFUNCTION("""COMPUTED_VALUE"""),46314.0)</f>
        <v>46314</v>
      </c>
      <c r="F1477" s="5" t="str">
        <f>IFERROR(__xludf.DUMMYFUNCTION("""COMPUTED_VALUE"""),"Available")</f>
        <v>Available</v>
      </c>
      <c r="G1477" s="5" t="str">
        <f>IFERROR(__xludf.DUMMYFUNCTION("""COMPUTED_VALUE"""),"Check wholesalers for inventory")</f>
        <v>Check wholesalers for inventory</v>
      </c>
      <c r="H1477" s="5"/>
      <c r="I1477" s="5"/>
      <c r="J1477" s="5" t="str">
        <f>IFERROR(__xludf.DUMMYFUNCTION("""COMPUTED_VALUE"""),"Anesthesia")</f>
        <v>Anesthesia</v>
      </c>
      <c r="K1477" s="5" t="str">
        <f>IFERROR(__xludf.DUMMYFUNCTION("""COMPUTED_VALUE"""),"Current")</f>
        <v>Current</v>
      </c>
      <c r="L1477" s="5"/>
      <c r="M1477" s="5"/>
      <c r="N1477" s="10">
        <f>IFERROR(__xludf.DUMMYFUNCTION("""COMPUTED_VALUE"""),43182.0)</f>
        <v>43182</v>
      </c>
      <c r="O1477" s="5">
        <v>2018.0</v>
      </c>
      <c r="P1477" s="5" t="str">
        <f>IFERROR(__xludf.DUMMYFUNCTION("""COMPUTED_VALUE"""),"Available")</f>
        <v>Available</v>
      </c>
      <c r="Q1477" s="5" t="s">
        <v>135</v>
      </c>
      <c r="R1477" s="5" t="s">
        <v>136</v>
      </c>
      <c r="S1477" s="11">
        <v>3139.0</v>
      </c>
    </row>
    <row r="1478">
      <c r="A1478" s="5" t="str">
        <f>IFERROR(__xludf.DUMMYFUNCTION("""COMPUTED_VALUE"""),"Ropivacaine Hydrochloride Injection")</f>
        <v>Ropivacaine Hydrochloride Injection</v>
      </c>
      <c r="B1478" s="5" t="str">
        <f>IFERROR(__xludf.DUMMYFUNCTION("""COMPUTED_VALUE"""),"Eugia US LLC")</f>
        <v>Eugia US LLC</v>
      </c>
      <c r="C1478" s="5" t="str">
        <f>IFERROR(__xludf.DUMMYFUNCTION("""COMPUTED_VALUE"""),"Ropivacaine Hydrochloride, Injection, 5 mg/1 mL (NDC 55150-197-20)")</f>
        <v>Ropivacaine Hydrochloride, Injection, 5 mg/1 mL (NDC 55150-197-20)</v>
      </c>
      <c r="D1478" s="5" t="str">
        <f>IFERROR(__xludf.DUMMYFUNCTION("""COMPUTED_VALUE"""),"Reverified")</f>
        <v>Reverified</v>
      </c>
      <c r="E1478" s="13">
        <f>IFERROR(__xludf.DUMMYFUNCTION("""COMPUTED_VALUE"""),46314.0)</f>
        <v>46314</v>
      </c>
      <c r="F1478" s="5" t="str">
        <f>IFERROR(__xludf.DUMMYFUNCTION("""COMPUTED_VALUE"""),"Available")</f>
        <v>Available</v>
      </c>
      <c r="G1478" s="5" t="str">
        <f>IFERROR(__xludf.DUMMYFUNCTION("""COMPUTED_VALUE"""),"Check wholesalers for inventory")</f>
        <v>Check wholesalers for inventory</v>
      </c>
      <c r="H1478" s="5"/>
      <c r="I1478" s="5"/>
      <c r="J1478" s="5" t="str">
        <f>IFERROR(__xludf.DUMMYFUNCTION("""COMPUTED_VALUE"""),"Anesthesia")</f>
        <v>Anesthesia</v>
      </c>
      <c r="K1478" s="5" t="str">
        <f>IFERROR(__xludf.DUMMYFUNCTION("""COMPUTED_VALUE"""),"Current")</f>
        <v>Current</v>
      </c>
      <c r="L1478" s="5"/>
      <c r="M1478" s="5"/>
      <c r="N1478" s="10">
        <f>IFERROR(__xludf.DUMMYFUNCTION("""COMPUTED_VALUE"""),43182.0)</f>
        <v>43182</v>
      </c>
      <c r="O1478" s="5">
        <v>2018.0</v>
      </c>
      <c r="P1478" s="5" t="str">
        <f>IFERROR(__xludf.DUMMYFUNCTION("""COMPUTED_VALUE"""),"Available")</f>
        <v>Available</v>
      </c>
      <c r="Q1478" s="5" t="s">
        <v>135</v>
      </c>
      <c r="R1478" s="5" t="s">
        <v>136</v>
      </c>
      <c r="S1478" s="11">
        <v>3139.0</v>
      </c>
    </row>
    <row r="1479">
      <c r="A1479" s="5" t="str">
        <f>IFERROR(__xludf.DUMMYFUNCTION("""COMPUTED_VALUE"""),"Ropivacaine Hydrochloride Injection")</f>
        <v>Ropivacaine Hydrochloride Injection</v>
      </c>
      <c r="B1479" s="5" t="str">
        <f>IFERROR(__xludf.DUMMYFUNCTION("""COMPUTED_VALUE"""),"Eugia US LLC")</f>
        <v>Eugia US LLC</v>
      </c>
      <c r="C1479" s="5" t="str">
        <f>IFERROR(__xludf.DUMMYFUNCTION("""COMPUTED_VALUE"""),"Ropivacaine Hydrochloride, Injection, 5 mg/1 mL (NDC 55150-198-30)")</f>
        <v>Ropivacaine Hydrochloride, Injection, 5 mg/1 mL (NDC 55150-198-30)</v>
      </c>
      <c r="D1479" s="5" t="str">
        <f>IFERROR(__xludf.DUMMYFUNCTION("""COMPUTED_VALUE"""),"Reverified")</f>
        <v>Reverified</v>
      </c>
      <c r="E1479" s="13">
        <f>IFERROR(__xludf.DUMMYFUNCTION("""COMPUTED_VALUE"""),46314.0)</f>
        <v>46314</v>
      </c>
      <c r="F1479" s="5" t="str">
        <f>IFERROR(__xludf.DUMMYFUNCTION("""COMPUTED_VALUE"""),"Available")</f>
        <v>Available</v>
      </c>
      <c r="G1479" s="5" t="str">
        <f>IFERROR(__xludf.DUMMYFUNCTION("""COMPUTED_VALUE"""),"Check wholesalers for inventory")</f>
        <v>Check wholesalers for inventory</v>
      </c>
      <c r="H1479" s="5"/>
      <c r="I1479" s="5"/>
      <c r="J1479" s="5" t="str">
        <f>IFERROR(__xludf.DUMMYFUNCTION("""COMPUTED_VALUE"""),"Anesthesia")</f>
        <v>Anesthesia</v>
      </c>
      <c r="K1479" s="5" t="str">
        <f>IFERROR(__xludf.DUMMYFUNCTION("""COMPUTED_VALUE"""),"Current")</f>
        <v>Current</v>
      </c>
      <c r="L1479" s="5"/>
      <c r="M1479" s="5"/>
      <c r="N1479" s="10">
        <f>IFERROR(__xludf.DUMMYFUNCTION("""COMPUTED_VALUE"""),43182.0)</f>
        <v>43182</v>
      </c>
      <c r="O1479" s="5">
        <v>2018.0</v>
      </c>
      <c r="P1479" s="5" t="str">
        <f>IFERROR(__xludf.DUMMYFUNCTION("""COMPUTED_VALUE"""),"Available")</f>
        <v>Available</v>
      </c>
      <c r="Q1479" s="5" t="s">
        <v>135</v>
      </c>
      <c r="R1479" s="5" t="s">
        <v>136</v>
      </c>
      <c r="S1479" s="11">
        <v>3139.0</v>
      </c>
    </row>
    <row r="1480">
      <c r="A1480" s="5" t="str">
        <f>IFERROR(__xludf.DUMMYFUNCTION("""COMPUTED_VALUE"""),"Ropivacaine Hydrochloride Injection")</f>
        <v>Ropivacaine Hydrochloride Injection</v>
      </c>
      <c r="B1480" s="5" t="str">
        <f>IFERROR(__xludf.DUMMYFUNCTION("""COMPUTED_VALUE"""),"Eugia US LLC")</f>
        <v>Eugia US LLC</v>
      </c>
      <c r="C1480" s="5" t="str">
        <f>IFERROR(__xludf.DUMMYFUNCTION("""COMPUTED_VALUE"""),"Ropivacaine Hydrochloride, Injection, 7.5 mg/1 mL (NDC 55150-199-20)")</f>
        <v>Ropivacaine Hydrochloride, Injection, 7.5 mg/1 mL (NDC 55150-199-20)</v>
      </c>
      <c r="D1480" s="5" t="str">
        <f>IFERROR(__xludf.DUMMYFUNCTION("""COMPUTED_VALUE"""),"Reverified")</f>
        <v>Reverified</v>
      </c>
      <c r="E1480" s="13">
        <f>IFERROR(__xludf.DUMMYFUNCTION("""COMPUTED_VALUE"""),46314.0)</f>
        <v>46314</v>
      </c>
      <c r="F1480" s="5" t="str">
        <f>IFERROR(__xludf.DUMMYFUNCTION("""COMPUTED_VALUE"""),"Unavailable")</f>
        <v>Unavailable</v>
      </c>
      <c r="G1480" s="5" t="str">
        <f>IFERROR(__xludf.DUMMYFUNCTION("""COMPUTED_VALUE"""),"On backorder. Recovery: TBD. Check wholesalers for inventory")</f>
        <v>On backorder. Recovery: TBD. Check wholesalers for inventory</v>
      </c>
      <c r="H1480" s="5"/>
      <c r="I1480" s="5" t="str">
        <f>IFERROR(__xludf.DUMMYFUNCTION("""COMPUTED_VALUE"""),"Demand increase for the drug")</f>
        <v>Demand increase for the drug</v>
      </c>
      <c r="J1480" s="5" t="str">
        <f>IFERROR(__xludf.DUMMYFUNCTION("""COMPUTED_VALUE"""),"Anesthesia")</f>
        <v>Anesthesia</v>
      </c>
      <c r="K1480" s="5" t="str">
        <f>IFERROR(__xludf.DUMMYFUNCTION("""COMPUTED_VALUE"""),"Current")</f>
        <v>Current</v>
      </c>
      <c r="L1480" s="5"/>
      <c r="M1480" s="5"/>
      <c r="N1480" s="10">
        <f>IFERROR(__xludf.DUMMYFUNCTION("""COMPUTED_VALUE"""),43182.0)</f>
        <v>43182</v>
      </c>
      <c r="O1480" s="5">
        <v>2018.0</v>
      </c>
      <c r="P1480" s="5" t="str">
        <f>IFERROR(__xludf.DUMMYFUNCTION("""COMPUTED_VALUE"""),"Unavailable")</f>
        <v>Unavailable</v>
      </c>
      <c r="Q1480" s="5" t="s">
        <v>134</v>
      </c>
      <c r="R1480" s="5" t="s">
        <v>136</v>
      </c>
      <c r="S1480" s="11">
        <v>3139.0</v>
      </c>
    </row>
    <row r="1481">
      <c r="A1481" s="5" t="str">
        <f>IFERROR(__xludf.DUMMYFUNCTION("""COMPUTED_VALUE"""),"Ropivacaine Hydrochloride Injection")</f>
        <v>Ropivacaine Hydrochloride Injection</v>
      </c>
      <c r="B1481" s="5" t="str">
        <f>IFERROR(__xludf.DUMMYFUNCTION("""COMPUTED_VALUE"""),"Eugia US LLC")</f>
        <v>Eugia US LLC</v>
      </c>
      <c r="C1481" s="5" t="str">
        <f>IFERROR(__xludf.DUMMYFUNCTION("""COMPUTED_VALUE"""),"Ropivacaine Hydrochloride, Injection, 10 mg/1 mL (NDC 55150-200-10)")</f>
        <v>Ropivacaine Hydrochloride, Injection, 10 mg/1 mL (NDC 55150-200-10)</v>
      </c>
      <c r="D1481" s="5" t="str">
        <f>IFERROR(__xludf.DUMMYFUNCTION("""COMPUTED_VALUE"""),"Reverified")</f>
        <v>Reverified</v>
      </c>
      <c r="E1481" s="13">
        <f>IFERROR(__xludf.DUMMYFUNCTION("""COMPUTED_VALUE"""),46314.0)</f>
        <v>46314</v>
      </c>
      <c r="F1481" s="5" t="str">
        <f>IFERROR(__xludf.DUMMYFUNCTION("""COMPUTED_VALUE"""),"Available")</f>
        <v>Available</v>
      </c>
      <c r="G1481" s="5" t="str">
        <f>IFERROR(__xludf.DUMMYFUNCTION("""COMPUTED_VALUE"""),"Check wholesalers for inventory")</f>
        <v>Check wholesalers for inventory</v>
      </c>
      <c r="H1481" s="5"/>
      <c r="I1481" s="5"/>
      <c r="J1481" s="5" t="str">
        <f>IFERROR(__xludf.DUMMYFUNCTION("""COMPUTED_VALUE"""),"Anesthesia")</f>
        <v>Anesthesia</v>
      </c>
      <c r="K1481" s="5" t="str">
        <f>IFERROR(__xludf.DUMMYFUNCTION("""COMPUTED_VALUE"""),"Current")</f>
        <v>Current</v>
      </c>
      <c r="L1481" s="5"/>
      <c r="M1481" s="5"/>
      <c r="N1481" s="10">
        <f>IFERROR(__xludf.DUMMYFUNCTION("""COMPUTED_VALUE"""),43182.0)</f>
        <v>43182</v>
      </c>
      <c r="O1481" s="5">
        <v>2018.0</v>
      </c>
      <c r="P1481" s="5" t="str">
        <f>IFERROR(__xludf.DUMMYFUNCTION("""COMPUTED_VALUE"""),"Available")</f>
        <v>Available</v>
      </c>
      <c r="Q1481" s="5" t="s">
        <v>135</v>
      </c>
      <c r="R1481" s="5" t="s">
        <v>136</v>
      </c>
      <c r="S1481" s="11">
        <v>3139.0</v>
      </c>
    </row>
    <row r="1482">
      <c r="A1482" s="5" t="str">
        <f>IFERROR(__xludf.DUMMYFUNCTION("""COMPUTED_VALUE"""),"Ropivacaine Hydrochloride Injection")</f>
        <v>Ropivacaine Hydrochloride Injection</v>
      </c>
      <c r="B1482" s="5" t="str">
        <f>IFERROR(__xludf.DUMMYFUNCTION("""COMPUTED_VALUE"""),"Eugia US LLC")</f>
        <v>Eugia US LLC</v>
      </c>
      <c r="C1482" s="5" t="str">
        <f>IFERROR(__xludf.DUMMYFUNCTION("""COMPUTED_VALUE"""),"Ropivacaine Hydrochloride, Injection, 10 mg/1 mL (NDC 55150-201-20)")</f>
        <v>Ropivacaine Hydrochloride, Injection, 10 mg/1 mL (NDC 55150-201-20)</v>
      </c>
      <c r="D1482" s="5" t="str">
        <f>IFERROR(__xludf.DUMMYFUNCTION("""COMPUTED_VALUE"""),"Reverified")</f>
        <v>Reverified</v>
      </c>
      <c r="E1482" s="13">
        <f>IFERROR(__xludf.DUMMYFUNCTION("""COMPUTED_VALUE"""),46314.0)</f>
        <v>46314</v>
      </c>
      <c r="F1482" s="5" t="str">
        <f>IFERROR(__xludf.DUMMYFUNCTION("""COMPUTED_VALUE"""),"Available")</f>
        <v>Available</v>
      </c>
      <c r="G1482" s="5" t="str">
        <f>IFERROR(__xludf.DUMMYFUNCTION("""COMPUTED_VALUE"""),"Check wholesalers for inventory")</f>
        <v>Check wholesalers for inventory</v>
      </c>
      <c r="H1482" s="5"/>
      <c r="I1482" s="5"/>
      <c r="J1482" s="5" t="str">
        <f>IFERROR(__xludf.DUMMYFUNCTION("""COMPUTED_VALUE"""),"Anesthesia")</f>
        <v>Anesthesia</v>
      </c>
      <c r="K1482" s="5" t="str">
        <f>IFERROR(__xludf.DUMMYFUNCTION("""COMPUTED_VALUE"""),"Current")</f>
        <v>Current</v>
      </c>
      <c r="L1482" s="5"/>
      <c r="M1482" s="5"/>
      <c r="N1482" s="10">
        <f>IFERROR(__xludf.DUMMYFUNCTION("""COMPUTED_VALUE"""),43182.0)</f>
        <v>43182</v>
      </c>
      <c r="O1482" s="5">
        <v>2018.0</v>
      </c>
      <c r="P1482" s="5" t="str">
        <f>IFERROR(__xludf.DUMMYFUNCTION("""COMPUTED_VALUE"""),"Available")</f>
        <v>Available</v>
      </c>
      <c r="Q1482" s="5" t="s">
        <v>135</v>
      </c>
      <c r="R1482" s="5" t="s">
        <v>136</v>
      </c>
      <c r="S1482" s="11">
        <v>3139.0</v>
      </c>
    </row>
    <row r="1483">
      <c r="A1483" s="5" t="str">
        <f>IFERROR(__xludf.DUMMYFUNCTION("""COMPUTED_VALUE"""),"Ropivacaine Hydrochloride Injection")</f>
        <v>Ropivacaine Hydrochloride Injection</v>
      </c>
      <c r="B1483" s="5" t="str">
        <f>IFERROR(__xludf.DUMMYFUNCTION("""COMPUTED_VALUE"""),"Fresenius Kabi USA, LLC")</f>
        <v>Fresenius Kabi USA, LLC</v>
      </c>
      <c r="C1483" s="5" t="str">
        <f>IFERROR(__xludf.DUMMYFUNCTION("""COMPUTED_VALUE"""),"Naropin, Injection, 2 mg/1 mL (NDC 63323-285-10)")</f>
        <v>Naropin, Injection, 2 mg/1 mL (NDC 63323-285-10)</v>
      </c>
      <c r="D1483" s="5" t="str">
        <f>IFERROR(__xludf.DUMMYFUNCTION("""COMPUTED_VALUE"""),"Reverified")</f>
        <v>Reverified</v>
      </c>
      <c r="E1483" s="13">
        <f>IFERROR(__xludf.DUMMYFUNCTION("""COMPUTED_VALUE"""),46310.0)</f>
        <v>46310</v>
      </c>
      <c r="F1483" s="5" t="str">
        <f>IFERROR(__xludf.DUMMYFUNCTION("""COMPUTED_VALUE"""),"Unavailable")</f>
        <v>Unavailable</v>
      </c>
      <c r="G1483" s="5" t="str">
        <f>IFERROR(__xludf.DUMMYFUNCTION("""COMPUTED_VALUE"""),"Estimated recovery: TBD")</f>
        <v>Estimated recovery: TBD</v>
      </c>
      <c r="H1483" s="5"/>
      <c r="I1483" s="5" t="str">
        <f>IFERROR(__xludf.DUMMYFUNCTION("""COMPUTED_VALUE"""),"Demand increase for the drug")</f>
        <v>Demand increase for the drug</v>
      </c>
      <c r="J1483" s="5" t="str">
        <f>IFERROR(__xludf.DUMMYFUNCTION("""COMPUTED_VALUE"""),"Anesthesia")</f>
        <v>Anesthesia</v>
      </c>
      <c r="K1483" s="5" t="str">
        <f>IFERROR(__xludf.DUMMYFUNCTION("""COMPUTED_VALUE"""),"Current")</f>
        <v>Current</v>
      </c>
      <c r="L1483" s="5"/>
      <c r="M1483" s="5"/>
      <c r="N1483" s="10">
        <f>IFERROR(__xludf.DUMMYFUNCTION("""COMPUTED_VALUE"""),43182.0)</f>
        <v>43182</v>
      </c>
      <c r="O1483" s="5">
        <v>2018.0</v>
      </c>
      <c r="P1483" s="5" t="str">
        <f>IFERROR(__xludf.DUMMYFUNCTION("""COMPUTED_VALUE"""),"Unavailable")</f>
        <v>Unavailable</v>
      </c>
      <c r="Q1483" s="5" t="s">
        <v>134</v>
      </c>
      <c r="R1483" s="5" t="s">
        <v>136</v>
      </c>
      <c r="S1483" s="11">
        <v>3139.0</v>
      </c>
    </row>
    <row r="1484">
      <c r="A1484" s="5" t="str">
        <f>IFERROR(__xludf.DUMMYFUNCTION("""COMPUTED_VALUE"""),"Ropivacaine Hydrochloride Injection")</f>
        <v>Ropivacaine Hydrochloride Injection</v>
      </c>
      <c r="B1484" s="5" t="str">
        <f>IFERROR(__xludf.DUMMYFUNCTION("""COMPUTED_VALUE"""),"Fresenius Kabi USA, LLC")</f>
        <v>Fresenius Kabi USA, LLC</v>
      </c>
      <c r="C1484" s="5" t="str">
        <f>IFERROR(__xludf.DUMMYFUNCTION("""COMPUTED_VALUE"""),"Naropin, Injection, 2 mg/1 mL (NDC 63323-285-20)")</f>
        <v>Naropin, Injection, 2 mg/1 mL (NDC 63323-285-20)</v>
      </c>
      <c r="D1484" s="5" t="str">
        <f>IFERROR(__xludf.DUMMYFUNCTION("""COMPUTED_VALUE"""),"Reverified")</f>
        <v>Reverified</v>
      </c>
      <c r="E1484" s="13">
        <f>IFERROR(__xludf.DUMMYFUNCTION("""COMPUTED_VALUE"""),46310.0)</f>
        <v>46310</v>
      </c>
      <c r="F1484" s="5" t="str">
        <f>IFERROR(__xludf.DUMMYFUNCTION("""COMPUTED_VALUE"""),"Unavailable")</f>
        <v>Unavailable</v>
      </c>
      <c r="G1484" s="5" t="str">
        <f>IFERROR(__xludf.DUMMYFUNCTION("""COMPUTED_VALUE"""),"Estimated recovery: TBD")</f>
        <v>Estimated recovery: TBD</v>
      </c>
      <c r="H1484" s="5"/>
      <c r="I1484" s="5" t="str">
        <f>IFERROR(__xludf.DUMMYFUNCTION("""COMPUTED_VALUE"""),"Other")</f>
        <v>Other</v>
      </c>
      <c r="J1484" s="5" t="str">
        <f>IFERROR(__xludf.DUMMYFUNCTION("""COMPUTED_VALUE"""),"Anesthesia")</f>
        <v>Anesthesia</v>
      </c>
      <c r="K1484" s="5" t="str">
        <f>IFERROR(__xludf.DUMMYFUNCTION("""COMPUTED_VALUE"""),"Current")</f>
        <v>Current</v>
      </c>
      <c r="L1484" s="5"/>
      <c r="M1484" s="5"/>
      <c r="N1484" s="10">
        <f>IFERROR(__xludf.DUMMYFUNCTION("""COMPUTED_VALUE"""),43182.0)</f>
        <v>43182</v>
      </c>
      <c r="O1484" s="5">
        <v>2018.0</v>
      </c>
      <c r="P1484" s="5" t="str">
        <f>IFERROR(__xludf.DUMMYFUNCTION("""COMPUTED_VALUE"""),"Unavailable")</f>
        <v>Unavailable</v>
      </c>
      <c r="Q1484" s="5" t="s">
        <v>47</v>
      </c>
      <c r="R1484" s="5" t="s">
        <v>136</v>
      </c>
      <c r="S1484" s="11">
        <v>3139.0</v>
      </c>
    </row>
    <row r="1485">
      <c r="A1485" s="5" t="str">
        <f>IFERROR(__xludf.DUMMYFUNCTION("""COMPUTED_VALUE"""),"Ropivacaine Hydrochloride Injection")</f>
        <v>Ropivacaine Hydrochloride Injection</v>
      </c>
      <c r="B1485" s="5" t="str">
        <f>IFERROR(__xludf.DUMMYFUNCTION("""COMPUTED_VALUE"""),"Fresenius Kabi USA, LLC")</f>
        <v>Fresenius Kabi USA, LLC</v>
      </c>
      <c r="C1485" s="5" t="str">
        <f>IFERROR(__xludf.DUMMYFUNCTION("""COMPUTED_VALUE"""),"Naropin, Injection, 5 mg/1 mL (NDC 63323-286-20)")</f>
        <v>Naropin, Injection, 5 mg/1 mL (NDC 63323-286-20)</v>
      </c>
      <c r="D1485" s="5" t="str">
        <f>IFERROR(__xludf.DUMMYFUNCTION("""COMPUTED_VALUE"""),"Reverified")</f>
        <v>Reverified</v>
      </c>
      <c r="E1485" s="13">
        <f>IFERROR(__xludf.DUMMYFUNCTION("""COMPUTED_VALUE"""),46310.0)</f>
        <v>46310</v>
      </c>
      <c r="F1485" s="5" t="str">
        <f>IFERROR(__xludf.DUMMYFUNCTION("""COMPUTED_VALUE"""),"Unavailable")</f>
        <v>Unavailable</v>
      </c>
      <c r="G1485" s="5" t="str">
        <f>IFERROR(__xludf.DUMMYFUNCTION("""COMPUTED_VALUE"""),"Estimated recovery: TBD")</f>
        <v>Estimated recovery: TBD</v>
      </c>
      <c r="H1485" s="5"/>
      <c r="I1485" s="5" t="str">
        <f>IFERROR(__xludf.DUMMYFUNCTION("""COMPUTED_VALUE"""),"Delay in shipping of the drug")</f>
        <v>Delay in shipping of the drug</v>
      </c>
      <c r="J1485" s="5" t="str">
        <f>IFERROR(__xludf.DUMMYFUNCTION("""COMPUTED_VALUE"""),"Anesthesia")</f>
        <v>Anesthesia</v>
      </c>
      <c r="K1485" s="5" t="str">
        <f>IFERROR(__xludf.DUMMYFUNCTION("""COMPUTED_VALUE"""),"Current")</f>
        <v>Current</v>
      </c>
      <c r="L1485" s="5"/>
      <c r="M1485" s="5"/>
      <c r="N1485" s="10">
        <f>IFERROR(__xludf.DUMMYFUNCTION("""COMPUTED_VALUE"""),43182.0)</f>
        <v>43182</v>
      </c>
      <c r="O1485" s="5">
        <v>2018.0</v>
      </c>
      <c r="P1485" s="5" t="str">
        <f>IFERROR(__xludf.DUMMYFUNCTION("""COMPUTED_VALUE"""),"Unavailable")</f>
        <v>Unavailable</v>
      </c>
      <c r="Q1485" s="5" t="s">
        <v>562</v>
      </c>
      <c r="R1485" s="5" t="s">
        <v>136</v>
      </c>
      <c r="S1485" s="11">
        <v>3139.0</v>
      </c>
    </row>
    <row r="1486">
      <c r="A1486" s="5" t="str">
        <f>IFERROR(__xludf.DUMMYFUNCTION("""COMPUTED_VALUE"""),"Ropivacaine Hydrochloride Injection")</f>
        <v>Ropivacaine Hydrochloride Injection</v>
      </c>
      <c r="B1486" s="5" t="str">
        <f>IFERROR(__xludf.DUMMYFUNCTION("""COMPUTED_VALUE"""),"Fresenius Kabi USA, LLC")</f>
        <v>Fresenius Kabi USA, LLC</v>
      </c>
      <c r="C1486" s="5" t="str">
        <f>IFERROR(__xludf.DUMMYFUNCTION("""COMPUTED_VALUE"""),"Naropin, Injection, 7.5 mg/1 mL (NDC 63323-287-20)")</f>
        <v>Naropin, Injection, 7.5 mg/1 mL (NDC 63323-287-20)</v>
      </c>
      <c r="D1486" s="5" t="str">
        <f>IFERROR(__xludf.DUMMYFUNCTION("""COMPUTED_VALUE"""),"Reverified")</f>
        <v>Reverified</v>
      </c>
      <c r="E1486" s="13">
        <f>IFERROR(__xludf.DUMMYFUNCTION("""COMPUTED_VALUE"""),46310.0)</f>
        <v>46310</v>
      </c>
      <c r="F1486" s="5" t="str">
        <f>IFERROR(__xludf.DUMMYFUNCTION("""COMPUTED_VALUE"""),"Unavailable")</f>
        <v>Unavailable</v>
      </c>
      <c r="G1486" s="5" t="str">
        <f>IFERROR(__xludf.DUMMYFUNCTION("""COMPUTED_VALUE"""),"Estimated recovery: TBD")</f>
        <v>Estimated recovery: TBD</v>
      </c>
      <c r="H1486" s="5"/>
      <c r="I1486" s="5" t="str">
        <f>IFERROR(__xludf.DUMMYFUNCTION("""COMPUTED_VALUE"""),"Demand increase for the drug")</f>
        <v>Demand increase for the drug</v>
      </c>
      <c r="J1486" s="5" t="str">
        <f>IFERROR(__xludf.DUMMYFUNCTION("""COMPUTED_VALUE"""),"Anesthesia")</f>
        <v>Anesthesia</v>
      </c>
      <c r="K1486" s="5" t="str">
        <f>IFERROR(__xludf.DUMMYFUNCTION("""COMPUTED_VALUE"""),"Current")</f>
        <v>Current</v>
      </c>
      <c r="L1486" s="5"/>
      <c r="M1486" s="5"/>
      <c r="N1486" s="10">
        <f>IFERROR(__xludf.DUMMYFUNCTION("""COMPUTED_VALUE"""),43182.0)</f>
        <v>43182</v>
      </c>
      <c r="O1486" s="5">
        <v>2018.0</v>
      </c>
      <c r="P1486" s="5" t="str">
        <f>IFERROR(__xludf.DUMMYFUNCTION("""COMPUTED_VALUE"""),"Unavailable")</f>
        <v>Unavailable</v>
      </c>
      <c r="Q1486" s="5" t="s">
        <v>134</v>
      </c>
      <c r="R1486" s="5" t="s">
        <v>136</v>
      </c>
      <c r="S1486" s="11">
        <v>3139.0</v>
      </c>
    </row>
    <row r="1487">
      <c r="A1487" s="5" t="str">
        <f>IFERROR(__xludf.DUMMYFUNCTION("""COMPUTED_VALUE"""),"Ropivacaine Hydrochloride Injection")</f>
        <v>Ropivacaine Hydrochloride Injection</v>
      </c>
      <c r="B1487" s="5" t="str">
        <f>IFERROR(__xludf.DUMMYFUNCTION("""COMPUTED_VALUE"""),"Fresenius Kabi USA, LLC")</f>
        <v>Fresenius Kabi USA, LLC</v>
      </c>
      <c r="C1487" s="5" t="str">
        <f>IFERROR(__xludf.DUMMYFUNCTION("""COMPUTED_VALUE"""),"Naropin, Injection, 10 mg/1 mL (NDC 63323-288-10)")</f>
        <v>Naropin, Injection, 10 mg/1 mL (NDC 63323-288-10)</v>
      </c>
      <c r="D1487" s="5" t="str">
        <f>IFERROR(__xludf.DUMMYFUNCTION("""COMPUTED_VALUE"""),"Reverified")</f>
        <v>Reverified</v>
      </c>
      <c r="E1487" s="13">
        <f>IFERROR(__xludf.DUMMYFUNCTION("""COMPUTED_VALUE"""),46310.0)</f>
        <v>46310</v>
      </c>
      <c r="F1487" s="5" t="str">
        <f>IFERROR(__xludf.DUMMYFUNCTION("""COMPUTED_VALUE"""),"Unavailable")</f>
        <v>Unavailable</v>
      </c>
      <c r="G1487" s="5" t="str">
        <f>IFERROR(__xludf.DUMMYFUNCTION("""COMPUTED_VALUE"""),"Estimated recovery: TBD")</f>
        <v>Estimated recovery: TBD</v>
      </c>
      <c r="H1487" s="5"/>
      <c r="I1487" s="5" t="str">
        <f>IFERROR(__xludf.DUMMYFUNCTION("""COMPUTED_VALUE"""),"Delay in shipping of the drug")</f>
        <v>Delay in shipping of the drug</v>
      </c>
      <c r="J1487" s="5" t="str">
        <f>IFERROR(__xludf.DUMMYFUNCTION("""COMPUTED_VALUE"""),"Anesthesia")</f>
        <v>Anesthesia</v>
      </c>
      <c r="K1487" s="5" t="str">
        <f>IFERROR(__xludf.DUMMYFUNCTION("""COMPUTED_VALUE"""),"Current")</f>
        <v>Current</v>
      </c>
      <c r="L1487" s="5"/>
      <c r="M1487" s="5"/>
      <c r="N1487" s="10">
        <f>IFERROR(__xludf.DUMMYFUNCTION("""COMPUTED_VALUE"""),43182.0)</f>
        <v>43182</v>
      </c>
      <c r="O1487" s="5">
        <v>2018.0</v>
      </c>
      <c r="P1487" s="5" t="str">
        <f>IFERROR(__xludf.DUMMYFUNCTION("""COMPUTED_VALUE"""),"Unavailable")</f>
        <v>Unavailable</v>
      </c>
      <c r="Q1487" s="5" t="s">
        <v>562</v>
      </c>
      <c r="R1487" s="5" t="s">
        <v>136</v>
      </c>
      <c r="S1487" s="11">
        <v>3139.0</v>
      </c>
    </row>
    <row r="1488">
      <c r="A1488" s="5" t="str">
        <f>IFERROR(__xludf.DUMMYFUNCTION("""COMPUTED_VALUE"""),"Ropivacaine Hydrochloride Injection")</f>
        <v>Ropivacaine Hydrochloride Injection</v>
      </c>
      <c r="B1488" s="5" t="str">
        <f>IFERROR(__xludf.DUMMYFUNCTION("""COMPUTED_VALUE"""),"Fresenius Kabi USA, LLC")</f>
        <v>Fresenius Kabi USA, LLC</v>
      </c>
      <c r="C1488" s="5" t="str">
        <f>IFERROR(__xludf.DUMMYFUNCTION("""COMPUTED_VALUE"""),"Naropin, Injection, 10 mg/1 mL (NDC 63323-288-20)")</f>
        <v>Naropin, Injection, 10 mg/1 mL (NDC 63323-288-20)</v>
      </c>
      <c r="D1488" s="5" t="str">
        <f>IFERROR(__xludf.DUMMYFUNCTION("""COMPUTED_VALUE"""),"Reverified")</f>
        <v>Reverified</v>
      </c>
      <c r="E1488" s="13">
        <f>IFERROR(__xludf.DUMMYFUNCTION("""COMPUTED_VALUE"""),46310.0)</f>
        <v>46310</v>
      </c>
      <c r="F1488" s="5" t="str">
        <f>IFERROR(__xludf.DUMMYFUNCTION("""COMPUTED_VALUE"""),"Unavailable")</f>
        <v>Unavailable</v>
      </c>
      <c r="G1488" s="5" t="str">
        <f>IFERROR(__xludf.DUMMYFUNCTION("""COMPUTED_VALUE"""),"Estimated recovery: TBD")</f>
        <v>Estimated recovery: TBD</v>
      </c>
      <c r="H1488" s="5"/>
      <c r="I1488" s="5" t="str">
        <f>IFERROR(__xludf.DUMMYFUNCTION("""COMPUTED_VALUE"""),"Delay in shipping of the drug")</f>
        <v>Delay in shipping of the drug</v>
      </c>
      <c r="J1488" s="5" t="str">
        <f>IFERROR(__xludf.DUMMYFUNCTION("""COMPUTED_VALUE"""),"Anesthesia")</f>
        <v>Anesthesia</v>
      </c>
      <c r="K1488" s="5" t="str">
        <f>IFERROR(__xludf.DUMMYFUNCTION("""COMPUTED_VALUE"""),"Current")</f>
        <v>Current</v>
      </c>
      <c r="L1488" s="5"/>
      <c r="M1488" s="5"/>
      <c r="N1488" s="10">
        <f>IFERROR(__xludf.DUMMYFUNCTION("""COMPUTED_VALUE"""),43182.0)</f>
        <v>43182</v>
      </c>
      <c r="O1488" s="5">
        <v>2018.0</v>
      </c>
      <c r="P1488" s="5" t="str">
        <f>IFERROR(__xludf.DUMMYFUNCTION("""COMPUTED_VALUE"""),"Unavailable")</f>
        <v>Unavailable</v>
      </c>
      <c r="Q1488" s="5" t="s">
        <v>562</v>
      </c>
      <c r="R1488" s="5" t="s">
        <v>136</v>
      </c>
      <c r="S1488" s="11">
        <v>3139.0</v>
      </c>
    </row>
    <row r="1489">
      <c r="A1489" s="5" t="str">
        <f>IFERROR(__xludf.DUMMYFUNCTION("""COMPUTED_VALUE"""),"Ropivacaine Hydrochloride Injection")</f>
        <v>Ropivacaine Hydrochloride Injection</v>
      </c>
      <c r="B1489" s="5" t="str">
        <f>IFERROR(__xludf.DUMMYFUNCTION("""COMPUTED_VALUE"""),"Fresenius Kabi USA, LLC")</f>
        <v>Fresenius Kabi USA, LLC</v>
      </c>
      <c r="C1489" s="5" t="str">
        <f>IFERROR(__xludf.DUMMYFUNCTION("""COMPUTED_VALUE"""),"Naropin, Injection, 2 mg/1 mL (NDC 63323-285-61)")</f>
        <v>Naropin, Injection, 2 mg/1 mL (NDC 63323-285-61)</v>
      </c>
      <c r="D1489" s="5" t="str">
        <f>IFERROR(__xludf.DUMMYFUNCTION("""COMPUTED_VALUE"""),"Reverified")</f>
        <v>Reverified</v>
      </c>
      <c r="E1489" s="13">
        <f>IFERROR(__xludf.DUMMYFUNCTION("""COMPUTED_VALUE"""),46310.0)</f>
        <v>46310</v>
      </c>
      <c r="F1489" s="5" t="str">
        <f>IFERROR(__xludf.DUMMYFUNCTION("""COMPUTED_VALUE"""),"Unavailable")</f>
        <v>Unavailable</v>
      </c>
      <c r="G1489" s="5" t="str">
        <f>IFERROR(__xludf.DUMMYFUNCTION("""COMPUTED_VALUE"""),"Estimated recovery: TBD")</f>
        <v>Estimated recovery: TBD</v>
      </c>
      <c r="H1489" s="5"/>
      <c r="I1489" s="5" t="str">
        <f>IFERROR(__xludf.DUMMYFUNCTION("""COMPUTED_VALUE"""),"Other")</f>
        <v>Other</v>
      </c>
      <c r="J1489" s="5" t="str">
        <f>IFERROR(__xludf.DUMMYFUNCTION("""COMPUTED_VALUE"""),"Anesthesia")</f>
        <v>Anesthesia</v>
      </c>
      <c r="K1489" s="5" t="str">
        <f>IFERROR(__xludf.DUMMYFUNCTION("""COMPUTED_VALUE"""),"Current")</f>
        <v>Current</v>
      </c>
      <c r="L1489" s="5"/>
      <c r="M1489" s="5"/>
      <c r="N1489" s="10">
        <f>IFERROR(__xludf.DUMMYFUNCTION("""COMPUTED_VALUE"""),43182.0)</f>
        <v>43182</v>
      </c>
      <c r="O1489" s="5">
        <v>2018.0</v>
      </c>
      <c r="P1489" s="5" t="str">
        <f>IFERROR(__xludf.DUMMYFUNCTION("""COMPUTED_VALUE"""),"Unavailable")</f>
        <v>Unavailable</v>
      </c>
      <c r="Q1489" s="5" t="s">
        <v>47</v>
      </c>
      <c r="R1489" s="5" t="s">
        <v>136</v>
      </c>
      <c r="S1489" s="11">
        <v>3139.0</v>
      </c>
    </row>
    <row r="1490">
      <c r="A1490" s="5" t="str">
        <f>IFERROR(__xludf.DUMMYFUNCTION("""COMPUTED_VALUE"""),"Ropivacaine Hydrochloride Injection")</f>
        <v>Ropivacaine Hydrochloride Injection</v>
      </c>
      <c r="B1490" s="5" t="str">
        <f>IFERROR(__xludf.DUMMYFUNCTION("""COMPUTED_VALUE"""),"Fresenius Kabi USA, LLC")</f>
        <v>Fresenius Kabi USA, LLC</v>
      </c>
      <c r="C1490" s="5" t="str">
        <f>IFERROR(__xludf.DUMMYFUNCTION("""COMPUTED_VALUE"""),"Naropin, Injection, 2 mg/1 mL (NDC 63323-285-63)")</f>
        <v>Naropin, Injection, 2 mg/1 mL (NDC 63323-285-63)</v>
      </c>
      <c r="D1490" s="5" t="str">
        <f>IFERROR(__xludf.DUMMYFUNCTION("""COMPUTED_VALUE"""),"Reverified")</f>
        <v>Reverified</v>
      </c>
      <c r="E1490" s="13">
        <f>IFERROR(__xludf.DUMMYFUNCTION("""COMPUTED_VALUE"""),46310.0)</f>
        <v>46310</v>
      </c>
      <c r="F1490" s="5" t="str">
        <f>IFERROR(__xludf.DUMMYFUNCTION("""COMPUTED_VALUE"""),"Unavailable")</f>
        <v>Unavailable</v>
      </c>
      <c r="G1490" s="5" t="str">
        <f>IFERROR(__xludf.DUMMYFUNCTION("""COMPUTED_VALUE"""),"Estimated recovery: TBD")</f>
        <v>Estimated recovery: TBD</v>
      </c>
      <c r="H1490" s="5"/>
      <c r="I1490" s="5" t="str">
        <f>IFERROR(__xludf.DUMMYFUNCTION("""COMPUTED_VALUE"""),"Other")</f>
        <v>Other</v>
      </c>
      <c r="J1490" s="5" t="str">
        <f>IFERROR(__xludf.DUMMYFUNCTION("""COMPUTED_VALUE"""),"Anesthesia")</f>
        <v>Anesthesia</v>
      </c>
      <c r="K1490" s="5" t="str">
        <f>IFERROR(__xludf.DUMMYFUNCTION("""COMPUTED_VALUE"""),"Current")</f>
        <v>Current</v>
      </c>
      <c r="L1490" s="5"/>
      <c r="M1490" s="5"/>
      <c r="N1490" s="10">
        <f>IFERROR(__xludf.DUMMYFUNCTION("""COMPUTED_VALUE"""),43182.0)</f>
        <v>43182</v>
      </c>
      <c r="O1490" s="5">
        <v>2018.0</v>
      </c>
      <c r="P1490" s="5" t="str">
        <f>IFERROR(__xludf.DUMMYFUNCTION("""COMPUTED_VALUE"""),"Unavailable")</f>
        <v>Unavailable</v>
      </c>
      <c r="Q1490" s="5" t="s">
        <v>47</v>
      </c>
      <c r="R1490" s="5" t="s">
        <v>136</v>
      </c>
      <c r="S1490" s="11">
        <v>3139.0</v>
      </c>
    </row>
    <row r="1491">
      <c r="A1491" s="5" t="str">
        <f>IFERROR(__xludf.DUMMYFUNCTION("""COMPUTED_VALUE"""),"Ropivacaine Hydrochloride Injection")</f>
        <v>Ropivacaine Hydrochloride Injection</v>
      </c>
      <c r="B1491" s="5" t="str">
        <f>IFERROR(__xludf.DUMMYFUNCTION("""COMPUTED_VALUE"""),"Fresenius Kabi USA, LLC")</f>
        <v>Fresenius Kabi USA, LLC</v>
      </c>
      <c r="C1491" s="5" t="str">
        <f>IFERROR(__xludf.DUMMYFUNCTION("""COMPUTED_VALUE"""),"Naropin, Injection, 2 mg/1 mL (NDC 63323-285-65)")</f>
        <v>Naropin, Injection, 2 mg/1 mL (NDC 63323-285-65)</v>
      </c>
      <c r="D1491" s="5" t="str">
        <f>IFERROR(__xludf.DUMMYFUNCTION("""COMPUTED_VALUE"""),"Reverified")</f>
        <v>Reverified</v>
      </c>
      <c r="E1491" s="13">
        <f>IFERROR(__xludf.DUMMYFUNCTION("""COMPUTED_VALUE"""),46310.0)</f>
        <v>46310</v>
      </c>
      <c r="F1491" s="5" t="str">
        <f>IFERROR(__xludf.DUMMYFUNCTION("""COMPUTED_VALUE"""),"Available")</f>
        <v>Available</v>
      </c>
      <c r="G1491" s="5" t="str">
        <f>IFERROR(__xludf.DUMMYFUNCTION("""COMPUTED_VALUE"""),"Check wholesalers for inventory")</f>
        <v>Check wholesalers for inventory</v>
      </c>
      <c r="H1491" s="5"/>
      <c r="I1491" s="5"/>
      <c r="J1491" s="5" t="str">
        <f>IFERROR(__xludf.DUMMYFUNCTION("""COMPUTED_VALUE"""),"Anesthesia")</f>
        <v>Anesthesia</v>
      </c>
      <c r="K1491" s="5" t="str">
        <f>IFERROR(__xludf.DUMMYFUNCTION("""COMPUTED_VALUE"""),"Current")</f>
        <v>Current</v>
      </c>
      <c r="L1491" s="5"/>
      <c r="M1491" s="5"/>
      <c r="N1491" s="10">
        <f>IFERROR(__xludf.DUMMYFUNCTION("""COMPUTED_VALUE"""),43182.0)</f>
        <v>43182</v>
      </c>
      <c r="O1491" s="5">
        <v>2018.0</v>
      </c>
      <c r="P1491" s="5" t="str">
        <f>IFERROR(__xludf.DUMMYFUNCTION("""COMPUTED_VALUE"""),"Available")</f>
        <v>Available</v>
      </c>
      <c r="Q1491" s="5" t="s">
        <v>135</v>
      </c>
      <c r="R1491" s="5" t="s">
        <v>136</v>
      </c>
      <c r="S1491" s="11">
        <v>3139.0</v>
      </c>
    </row>
    <row r="1492">
      <c r="A1492" s="5" t="str">
        <f>IFERROR(__xludf.DUMMYFUNCTION("""COMPUTED_VALUE"""),"Ropivacaine Hydrochloride Injection")</f>
        <v>Ropivacaine Hydrochloride Injection</v>
      </c>
      <c r="B1492" s="5" t="str">
        <f>IFERROR(__xludf.DUMMYFUNCTION("""COMPUTED_VALUE"""),"Fresenius Kabi USA, LLC")</f>
        <v>Fresenius Kabi USA, LLC</v>
      </c>
      <c r="C1492" s="5" t="str">
        <f>IFERROR(__xludf.DUMMYFUNCTION("""COMPUTED_VALUE"""),"Naropin, Injection, 2 mg/1 mL (NDC 63323-285-64)")</f>
        <v>Naropin, Injection, 2 mg/1 mL (NDC 63323-285-64)</v>
      </c>
      <c r="D1492" s="5" t="str">
        <f>IFERROR(__xludf.DUMMYFUNCTION("""COMPUTED_VALUE"""),"Reverified")</f>
        <v>Reverified</v>
      </c>
      <c r="E1492" s="13">
        <f>IFERROR(__xludf.DUMMYFUNCTION("""COMPUTED_VALUE"""),46310.0)</f>
        <v>46310</v>
      </c>
      <c r="F1492" s="5" t="str">
        <f>IFERROR(__xludf.DUMMYFUNCTION("""COMPUTED_VALUE"""),"Available")</f>
        <v>Available</v>
      </c>
      <c r="G1492" s="5"/>
      <c r="H1492" s="5"/>
      <c r="I1492" s="5"/>
      <c r="J1492" s="5" t="str">
        <f>IFERROR(__xludf.DUMMYFUNCTION("""COMPUTED_VALUE"""),"Anesthesia")</f>
        <v>Anesthesia</v>
      </c>
      <c r="K1492" s="5" t="str">
        <f>IFERROR(__xludf.DUMMYFUNCTION("""COMPUTED_VALUE"""),"Current")</f>
        <v>Current</v>
      </c>
      <c r="L1492" s="5"/>
      <c r="M1492" s="5"/>
      <c r="N1492" s="10">
        <f>IFERROR(__xludf.DUMMYFUNCTION("""COMPUTED_VALUE"""),43182.0)</f>
        <v>43182</v>
      </c>
      <c r="O1492" s="5">
        <v>2018.0</v>
      </c>
      <c r="P1492" s="5" t="str">
        <f>IFERROR(__xludf.DUMMYFUNCTION("""COMPUTED_VALUE"""),"Available")</f>
        <v>Available</v>
      </c>
      <c r="Q1492" s="5" t="s">
        <v>135</v>
      </c>
      <c r="R1492" s="5" t="s">
        <v>136</v>
      </c>
      <c r="S1492" s="11">
        <v>3139.0</v>
      </c>
    </row>
    <row r="1493">
      <c r="A1493" s="5" t="str">
        <f>IFERROR(__xludf.DUMMYFUNCTION("""COMPUTED_VALUE"""),"Ropivacaine Hydrochloride Injection")</f>
        <v>Ropivacaine Hydrochloride Injection</v>
      </c>
      <c r="B1493" s="5" t="str">
        <f>IFERROR(__xludf.DUMMYFUNCTION("""COMPUTED_VALUE"""),"Fresenius Kabi USA, LLC")</f>
        <v>Fresenius Kabi USA, LLC</v>
      </c>
      <c r="C1493" s="5" t="str">
        <f>IFERROR(__xludf.DUMMYFUNCTION("""COMPUTED_VALUE"""),"Naropin, Injection, 5 mg/1 mL (NDC 63323-286-00)")</f>
        <v>Naropin, Injection, 5 mg/1 mL (NDC 63323-286-00)</v>
      </c>
      <c r="D1493" s="5" t="str">
        <f>IFERROR(__xludf.DUMMYFUNCTION("""COMPUTED_VALUE"""),"Reverified")</f>
        <v>Reverified</v>
      </c>
      <c r="E1493" s="13">
        <f>IFERROR(__xludf.DUMMYFUNCTION("""COMPUTED_VALUE"""),46310.0)</f>
        <v>46310</v>
      </c>
      <c r="F1493" s="5" t="str">
        <f>IFERROR(__xludf.DUMMYFUNCTION("""COMPUTED_VALUE"""),"Available")</f>
        <v>Available</v>
      </c>
      <c r="G1493" s="5"/>
      <c r="H1493" s="5"/>
      <c r="I1493" s="5"/>
      <c r="J1493" s="5" t="str">
        <f>IFERROR(__xludf.DUMMYFUNCTION("""COMPUTED_VALUE"""),"Anesthesia")</f>
        <v>Anesthesia</v>
      </c>
      <c r="K1493" s="5" t="str">
        <f>IFERROR(__xludf.DUMMYFUNCTION("""COMPUTED_VALUE"""),"Current")</f>
        <v>Current</v>
      </c>
      <c r="L1493" s="5"/>
      <c r="M1493" s="5"/>
      <c r="N1493" s="10">
        <f>IFERROR(__xludf.DUMMYFUNCTION("""COMPUTED_VALUE"""),43182.0)</f>
        <v>43182</v>
      </c>
      <c r="O1493" s="5">
        <v>2018.0</v>
      </c>
      <c r="P1493" s="5" t="str">
        <f>IFERROR(__xludf.DUMMYFUNCTION("""COMPUTED_VALUE"""),"Available")</f>
        <v>Available</v>
      </c>
      <c r="Q1493" s="5" t="s">
        <v>135</v>
      </c>
      <c r="R1493" s="5" t="s">
        <v>136</v>
      </c>
      <c r="S1493" s="11">
        <v>3139.0</v>
      </c>
    </row>
    <row r="1494">
      <c r="A1494" s="5" t="str">
        <f>IFERROR(__xludf.DUMMYFUNCTION("""COMPUTED_VALUE"""),"Ropivacaine Hydrochloride Injection")</f>
        <v>Ropivacaine Hydrochloride Injection</v>
      </c>
      <c r="B1494" s="5" t="str">
        <f>IFERROR(__xludf.DUMMYFUNCTION("""COMPUTED_VALUE"""),"Fresenius Kabi USA, LLC")</f>
        <v>Fresenius Kabi USA, LLC</v>
      </c>
      <c r="C1494" s="5" t="str">
        <f>IFERROR(__xludf.DUMMYFUNCTION("""COMPUTED_VALUE"""),"Naropin, Injection, 5 mg/1 mL (NDC 63323-286-63)")</f>
        <v>Naropin, Injection, 5 mg/1 mL (NDC 63323-286-63)</v>
      </c>
      <c r="D1494" s="5" t="str">
        <f>IFERROR(__xludf.DUMMYFUNCTION("""COMPUTED_VALUE"""),"Reverified")</f>
        <v>Reverified</v>
      </c>
      <c r="E1494" s="13">
        <f>IFERROR(__xludf.DUMMYFUNCTION("""COMPUTED_VALUE"""),46310.0)</f>
        <v>46310</v>
      </c>
      <c r="F1494" s="5" t="str">
        <f>IFERROR(__xludf.DUMMYFUNCTION("""COMPUTED_VALUE"""),"Available")</f>
        <v>Available</v>
      </c>
      <c r="G1494" s="5"/>
      <c r="H1494" s="5"/>
      <c r="I1494" s="5"/>
      <c r="J1494" s="5" t="str">
        <f>IFERROR(__xludf.DUMMYFUNCTION("""COMPUTED_VALUE"""),"Anesthesia")</f>
        <v>Anesthesia</v>
      </c>
      <c r="K1494" s="5" t="str">
        <f>IFERROR(__xludf.DUMMYFUNCTION("""COMPUTED_VALUE"""),"Current")</f>
        <v>Current</v>
      </c>
      <c r="L1494" s="5"/>
      <c r="M1494" s="5"/>
      <c r="N1494" s="10">
        <f>IFERROR(__xludf.DUMMYFUNCTION("""COMPUTED_VALUE"""),43182.0)</f>
        <v>43182</v>
      </c>
      <c r="O1494" s="5">
        <v>2018.0</v>
      </c>
      <c r="P1494" s="5" t="str">
        <f>IFERROR(__xludf.DUMMYFUNCTION("""COMPUTED_VALUE"""),"Available")</f>
        <v>Available</v>
      </c>
      <c r="Q1494" s="5" t="s">
        <v>135</v>
      </c>
      <c r="R1494" s="5" t="s">
        <v>136</v>
      </c>
      <c r="S1494" s="11">
        <v>3139.0</v>
      </c>
    </row>
    <row r="1495">
      <c r="A1495" s="5" t="str">
        <f>IFERROR(__xludf.DUMMYFUNCTION("""COMPUTED_VALUE"""),"Ropivacaine Hydrochloride Injection")</f>
        <v>Ropivacaine Hydrochloride Injection</v>
      </c>
      <c r="B1495" s="5" t="str">
        <f>IFERROR(__xludf.DUMMYFUNCTION("""COMPUTED_VALUE"""),"Fresenius Kabi USA, LLC")</f>
        <v>Fresenius Kabi USA, LLC</v>
      </c>
      <c r="C1495" s="5" t="str">
        <f>IFERROR(__xludf.DUMMYFUNCTION("""COMPUTED_VALUE"""),"Naropin, Injection, 2 mg/1 mL (NDC 63323-285-13)")</f>
        <v>Naropin, Injection, 2 mg/1 mL (NDC 63323-285-13)</v>
      </c>
      <c r="D1495" s="5" t="str">
        <f>IFERROR(__xludf.DUMMYFUNCTION("""COMPUTED_VALUE"""),"Revised")</f>
        <v>Revised</v>
      </c>
      <c r="E1495" s="13">
        <f>IFERROR(__xludf.DUMMYFUNCTION("""COMPUTED_VALUE"""),46310.0)</f>
        <v>46310</v>
      </c>
      <c r="F1495" s="5" t="str">
        <f>IFERROR(__xludf.DUMMYFUNCTION("""COMPUTED_VALUE"""),"Unavailable")</f>
        <v>Unavailable</v>
      </c>
      <c r="G1495" s="5" t="str">
        <f>IFERROR(__xludf.DUMMYFUNCTION("""COMPUTED_VALUE"""),"Next release not available at this time.  Check wholesalers for inventory.")</f>
        <v>Next release not available at this time.  Check wholesalers for inventory.</v>
      </c>
      <c r="H1495" s="5"/>
      <c r="I1495" s="5" t="str">
        <f>IFERROR(__xludf.DUMMYFUNCTION("""COMPUTED_VALUE"""),"Other")</f>
        <v>Other</v>
      </c>
      <c r="J1495" s="5" t="str">
        <f>IFERROR(__xludf.DUMMYFUNCTION("""COMPUTED_VALUE"""),"Anesthesia")</f>
        <v>Anesthesia</v>
      </c>
      <c r="K1495" s="5" t="str">
        <f>IFERROR(__xludf.DUMMYFUNCTION("""COMPUTED_VALUE"""),"Current")</f>
        <v>Current</v>
      </c>
      <c r="L1495" s="5"/>
      <c r="M1495" s="5"/>
      <c r="N1495" s="10">
        <f>IFERROR(__xludf.DUMMYFUNCTION("""COMPUTED_VALUE"""),43182.0)</f>
        <v>43182</v>
      </c>
      <c r="O1495" s="5">
        <v>2018.0</v>
      </c>
      <c r="P1495" s="5" t="str">
        <f>IFERROR(__xludf.DUMMYFUNCTION("""COMPUTED_VALUE"""),"Unavailable")</f>
        <v>Unavailable</v>
      </c>
      <c r="Q1495" s="5" t="s">
        <v>47</v>
      </c>
      <c r="R1495" s="5" t="s">
        <v>136</v>
      </c>
      <c r="S1495" s="11">
        <v>3139.0</v>
      </c>
    </row>
    <row r="1496">
      <c r="A1496" s="5" t="str">
        <f>IFERROR(__xludf.DUMMYFUNCTION("""COMPUTED_VALUE"""),"Ropivacaine Hydrochloride Injection")</f>
        <v>Ropivacaine Hydrochloride Injection</v>
      </c>
      <c r="B1496" s="5" t="str">
        <f>IFERROR(__xludf.DUMMYFUNCTION("""COMPUTED_VALUE"""),"Fresenius Kabi USA, LLC")</f>
        <v>Fresenius Kabi USA, LLC</v>
      </c>
      <c r="C1496" s="5" t="str">
        <f>IFERROR(__xludf.DUMMYFUNCTION("""COMPUTED_VALUE"""),"Naropin, Injection, 2 mg/1 mL (NDC 63323-285-23)")</f>
        <v>Naropin, Injection, 2 mg/1 mL (NDC 63323-285-23)</v>
      </c>
      <c r="D1496" s="5" t="str">
        <f>IFERROR(__xludf.DUMMYFUNCTION("""COMPUTED_VALUE"""),"Reverified")</f>
        <v>Reverified</v>
      </c>
      <c r="E1496" s="13">
        <f>IFERROR(__xludf.DUMMYFUNCTION("""COMPUTED_VALUE"""),46310.0)</f>
        <v>46310</v>
      </c>
      <c r="F1496" s="5" t="str">
        <f>IFERROR(__xludf.DUMMYFUNCTION("""COMPUTED_VALUE"""),"Available")</f>
        <v>Available</v>
      </c>
      <c r="G1496" s="5" t="str">
        <f>IFERROR(__xludf.DUMMYFUNCTION("""COMPUTED_VALUE"""),"Check wholesalers for inventory")</f>
        <v>Check wholesalers for inventory</v>
      </c>
      <c r="H1496" s="5"/>
      <c r="I1496" s="5"/>
      <c r="J1496" s="5" t="str">
        <f>IFERROR(__xludf.DUMMYFUNCTION("""COMPUTED_VALUE"""),"Anesthesia")</f>
        <v>Anesthesia</v>
      </c>
      <c r="K1496" s="5" t="str">
        <f>IFERROR(__xludf.DUMMYFUNCTION("""COMPUTED_VALUE"""),"Current")</f>
        <v>Current</v>
      </c>
      <c r="L1496" s="5"/>
      <c r="M1496" s="5"/>
      <c r="N1496" s="10">
        <f>IFERROR(__xludf.DUMMYFUNCTION("""COMPUTED_VALUE"""),43182.0)</f>
        <v>43182</v>
      </c>
      <c r="O1496" s="5">
        <v>2018.0</v>
      </c>
      <c r="P1496" s="5" t="str">
        <f>IFERROR(__xludf.DUMMYFUNCTION("""COMPUTED_VALUE"""),"Available")</f>
        <v>Available</v>
      </c>
      <c r="Q1496" s="5" t="s">
        <v>135</v>
      </c>
      <c r="R1496" s="5" t="s">
        <v>136</v>
      </c>
      <c r="S1496" s="11">
        <v>3139.0</v>
      </c>
    </row>
    <row r="1497">
      <c r="A1497" s="5" t="str">
        <f>IFERROR(__xludf.DUMMYFUNCTION("""COMPUTED_VALUE"""),"Ropivacaine Hydrochloride Injection")</f>
        <v>Ropivacaine Hydrochloride Injection</v>
      </c>
      <c r="B1497" s="5" t="str">
        <f>IFERROR(__xludf.DUMMYFUNCTION("""COMPUTED_VALUE"""),"Fresenius Kabi USA, LLC")</f>
        <v>Fresenius Kabi USA, LLC</v>
      </c>
      <c r="C1497" s="5" t="str">
        <f>IFERROR(__xludf.DUMMYFUNCTION("""COMPUTED_VALUE"""),"Naropin, Injection, 5 mg/1 mL (NDC 63323-286-35)")</f>
        <v>Naropin, Injection, 5 mg/1 mL (NDC 63323-286-35)</v>
      </c>
      <c r="D1497" s="5" t="str">
        <f>IFERROR(__xludf.DUMMYFUNCTION("""COMPUTED_VALUE"""),"Reverified")</f>
        <v>Reverified</v>
      </c>
      <c r="E1497" s="13">
        <f>IFERROR(__xludf.DUMMYFUNCTION("""COMPUTED_VALUE"""),46310.0)</f>
        <v>46310</v>
      </c>
      <c r="F1497" s="5" t="str">
        <f>IFERROR(__xludf.DUMMYFUNCTION("""COMPUTED_VALUE"""),"Available")</f>
        <v>Available</v>
      </c>
      <c r="G1497" s="5" t="str">
        <f>IFERROR(__xludf.DUMMYFUNCTION("""COMPUTED_VALUE"""),"Check wholesalers for inventory")</f>
        <v>Check wholesalers for inventory</v>
      </c>
      <c r="H1497" s="5"/>
      <c r="I1497" s="5"/>
      <c r="J1497" s="5" t="str">
        <f>IFERROR(__xludf.DUMMYFUNCTION("""COMPUTED_VALUE"""),"Anesthesia")</f>
        <v>Anesthesia</v>
      </c>
      <c r="K1497" s="5" t="str">
        <f>IFERROR(__xludf.DUMMYFUNCTION("""COMPUTED_VALUE"""),"Current")</f>
        <v>Current</v>
      </c>
      <c r="L1497" s="5"/>
      <c r="M1497" s="5"/>
      <c r="N1497" s="10">
        <f>IFERROR(__xludf.DUMMYFUNCTION("""COMPUTED_VALUE"""),43182.0)</f>
        <v>43182</v>
      </c>
      <c r="O1497" s="5">
        <v>2018.0</v>
      </c>
      <c r="P1497" s="5" t="str">
        <f>IFERROR(__xludf.DUMMYFUNCTION("""COMPUTED_VALUE"""),"Available")</f>
        <v>Available</v>
      </c>
      <c r="Q1497" s="5" t="s">
        <v>135</v>
      </c>
      <c r="R1497" s="5" t="s">
        <v>136</v>
      </c>
      <c r="S1497" s="11">
        <v>3139.0</v>
      </c>
    </row>
    <row r="1498">
      <c r="A1498" s="5" t="str">
        <f>IFERROR(__xludf.DUMMYFUNCTION("""COMPUTED_VALUE"""),"Ropivacaine Hydrochloride Injection")</f>
        <v>Ropivacaine Hydrochloride Injection</v>
      </c>
      <c r="B1498" s="5" t="str">
        <f>IFERROR(__xludf.DUMMYFUNCTION("""COMPUTED_VALUE"""),"Fresenius Kabi USA, LLC")</f>
        <v>Fresenius Kabi USA, LLC</v>
      </c>
      <c r="C1498" s="5" t="str">
        <f>IFERROR(__xludf.DUMMYFUNCTION("""COMPUTED_VALUE"""),"Naropin, Injection, 5 mg/1 mL (NDC 63323-286-23)")</f>
        <v>Naropin, Injection, 5 mg/1 mL (NDC 63323-286-23)</v>
      </c>
      <c r="D1498" s="5" t="str">
        <f>IFERROR(__xludf.DUMMYFUNCTION("""COMPUTED_VALUE"""),"Reverified")</f>
        <v>Reverified</v>
      </c>
      <c r="E1498" s="13">
        <f>IFERROR(__xludf.DUMMYFUNCTION("""COMPUTED_VALUE"""),46310.0)</f>
        <v>46310</v>
      </c>
      <c r="F1498" s="5" t="str">
        <f>IFERROR(__xludf.DUMMYFUNCTION("""COMPUTED_VALUE"""),"Available")</f>
        <v>Available</v>
      </c>
      <c r="G1498" s="5"/>
      <c r="H1498" s="5"/>
      <c r="I1498" s="5"/>
      <c r="J1498" s="5" t="str">
        <f>IFERROR(__xludf.DUMMYFUNCTION("""COMPUTED_VALUE"""),"Anesthesia")</f>
        <v>Anesthesia</v>
      </c>
      <c r="K1498" s="5" t="str">
        <f>IFERROR(__xludf.DUMMYFUNCTION("""COMPUTED_VALUE"""),"Current")</f>
        <v>Current</v>
      </c>
      <c r="L1498" s="5"/>
      <c r="M1498" s="5"/>
      <c r="N1498" s="10">
        <f>IFERROR(__xludf.DUMMYFUNCTION("""COMPUTED_VALUE"""),43182.0)</f>
        <v>43182</v>
      </c>
      <c r="O1498" s="5">
        <v>2018.0</v>
      </c>
      <c r="P1498" s="5" t="str">
        <f>IFERROR(__xludf.DUMMYFUNCTION("""COMPUTED_VALUE"""),"Available")</f>
        <v>Available</v>
      </c>
      <c r="Q1498" s="5" t="s">
        <v>135</v>
      </c>
      <c r="R1498" s="5" t="s">
        <v>136</v>
      </c>
      <c r="S1498" s="11">
        <v>3139.0</v>
      </c>
    </row>
    <row r="1499">
      <c r="A1499" s="5" t="str">
        <f>IFERROR(__xludf.DUMMYFUNCTION("""COMPUTED_VALUE"""),"Ropivacaine Hydrochloride Injection")</f>
        <v>Ropivacaine Hydrochloride Injection</v>
      </c>
      <c r="B1499" s="5" t="str">
        <f>IFERROR(__xludf.DUMMYFUNCTION("""COMPUTED_VALUE"""),"Fresenius Kabi USA, LLC")</f>
        <v>Fresenius Kabi USA, LLC</v>
      </c>
      <c r="C1499" s="5" t="str">
        <f>IFERROR(__xludf.DUMMYFUNCTION("""COMPUTED_VALUE"""),"Naropin, Injection, 7.5 mg/1 mL (NDC 63323-287-21)")</f>
        <v>Naropin, Injection, 7.5 mg/1 mL (NDC 63323-287-21)</v>
      </c>
      <c r="D1499" s="5" t="str">
        <f>IFERROR(__xludf.DUMMYFUNCTION("""COMPUTED_VALUE"""),"Reverified")</f>
        <v>Reverified</v>
      </c>
      <c r="E1499" s="13">
        <f>IFERROR(__xludf.DUMMYFUNCTION("""COMPUTED_VALUE"""),46310.0)</f>
        <v>46310</v>
      </c>
      <c r="F1499" s="5" t="str">
        <f>IFERROR(__xludf.DUMMYFUNCTION("""COMPUTED_VALUE"""),"Available")</f>
        <v>Available</v>
      </c>
      <c r="G1499" s="5" t="str">
        <f>IFERROR(__xludf.DUMMYFUNCTION("""COMPUTED_VALUE"""),"Check wholesalers for inventory")</f>
        <v>Check wholesalers for inventory</v>
      </c>
      <c r="H1499" s="5"/>
      <c r="I1499" s="5"/>
      <c r="J1499" s="5" t="str">
        <f>IFERROR(__xludf.DUMMYFUNCTION("""COMPUTED_VALUE"""),"Anesthesia")</f>
        <v>Anesthesia</v>
      </c>
      <c r="K1499" s="5" t="str">
        <f>IFERROR(__xludf.DUMMYFUNCTION("""COMPUTED_VALUE"""),"Current")</f>
        <v>Current</v>
      </c>
      <c r="L1499" s="5"/>
      <c r="M1499" s="5"/>
      <c r="N1499" s="10">
        <f>IFERROR(__xludf.DUMMYFUNCTION("""COMPUTED_VALUE"""),43182.0)</f>
        <v>43182</v>
      </c>
      <c r="O1499" s="5">
        <v>2018.0</v>
      </c>
      <c r="P1499" s="5" t="str">
        <f>IFERROR(__xludf.DUMMYFUNCTION("""COMPUTED_VALUE"""),"Available")</f>
        <v>Available</v>
      </c>
      <c r="Q1499" s="5" t="s">
        <v>135</v>
      </c>
      <c r="R1499" s="5" t="s">
        <v>136</v>
      </c>
      <c r="S1499" s="11">
        <v>3139.0</v>
      </c>
    </row>
    <row r="1500">
      <c r="A1500" s="5" t="str">
        <f>IFERROR(__xludf.DUMMYFUNCTION("""COMPUTED_VALUE"""),"Ropivacaine Hydrochloride Injection")</f>
        <v>Ropivacaine Hydrochloride Injection</v>
      </c>
      <c r="B1500" s="5" t="str">
        <f>IFERROR(__xludf.DUMMYFUNCTION("""COMPUTED_VALUE"""),"Fresenius Kabi USA, LLC")</f>
        <v>Fresenius Kabi USA, LLC</v>
      </c>
      <c r="C1500" s="5" t="str">
        <f>IFERROR(__xludf.DUMMYFUNCTION("""COMPUTED_VALUE"""),"Naropin, Injection, 10 mg/1 mL (NDC 63323-288-11)")</f>
        <v>Naropin, Injection, 10 mg/1 mL (NDC 63323-288-11)</v>
      </c>
      <c r="D1500" s="5" t="str">
        <f>IFERROR(__xludf.DUMMYFUNCTION("""COMPUTED_VALUE"""),"Reverified")</f>
        <v>Reverified</v>
      </c>
      <c r="E1500" s="13">
        <f>IFERROR(__xludf.DUMMYFUNCTION("""COMPUTED_VALUE"""),46310.0)</f>
        <v>46310</v>
      </c>
      <c r="F1500" s="5" t="str">
        <f>IFERROR(__xludf.DUMMYFUNCTION("""COMPUTED_VALUE"""),"Available")</f>
        <v>Available</v>
      </c>
      <c r="G1500" s="5"/>
      <c r="H1500" s="5"/>
      <c r="I1500" s="5"/>
      <c r="J1500" s="5" t="str">
        <f>IFERROR(__xludf.DUMMYFUNCTION("""COMPUTED_VALUE"""),"Anesthesia")</f>
        <v>Anesthesia</v>
      </c>
      <c r="K1500" s="5" t="str">
        <f>IFERROR(__xludf.DUMMYFUNCTION("""COMPUTED_VALUE"""),"Current")</f>
        <v>Current</v>
      </c>
      <c r="L1500" s="5"/>
      <c r="M1500" s="5"/>
      <c r="N1500" s="10">
        <f>IFERROR(__xludf.DUMMYFUNCTION("""COMPUTED_VALUE"""),43182.0)</f>
        <v>43182</v>
      </c>
      <c r="O1500" s="5">
        <v>2018.0</v>
      </c>
      <c r="P1500" s="5" t="str">
        <f>IFERROR(__xludf.DUMMYFUNCTION("""COMPUTED_VALUE"""),"Available")</f>
        <v>Available</v>
      </c>
      <c r="Q1500" s="5" t="s">
        <v>135</v>
      </c>
      <c r="R1500" s="5" t="s">
        <v>136</v>
      </c>
      <c r="S1500" s="11">
        <v>3139.0</v>
      </c>
    </row>
    <row r="1501">
      <c r="A1501" s="5" t="str">
        <f>IFERROR(__xludf.DUMMYFUNCTION("""COMPUTED_VALUE"""),"Ropivacaine Hydrochloride Injection")</f>
        <v>Ropivacaine Hydrochloride Injection</v>
      </c>
      <c r="B1501" s="5" t="str">
        <f>IFERROR(__xludf.DUMMYFUNCTION("""COMPUTED_VALUE"""),"Fresenius Kabi USA, LLC")</f>
        <v>Fresenius Kabi USA, LLC</v>
      </c>
      <c r="C1501" s="5" t="str">
        <f>IFERROR(__xludf.DUMMYFUNCTION("""COMPUTED_VALUE"""),"Naropin, Injection, 10 mg/1 mL (NDC 63323-288-21)")</f>
        <v>Naropin, Injection, 10 mg/1 mL (NDC 63323-288-21)</v>
      </c>
      <c r="D1501" s="5" t="str">
        <f>IFERROR(__xludf.DUMMYFUNCTION("""COMPUTED_VALUE"""),"Reverified")</f>
        <v>Reverified</v>
      </c>
      <c r="E1501" s="13">
        <f>IFERROR(__xludf.DUMMYFUNCTION("""COMPUTED_VALUE"""),46310.0)</f>
        <v>46310</v>
      </c>
      <c r="F1501" s="5" t="str">
        <f>IFERROR(__xludf.DUMMYFUNCTION("""COMPUTED_VALUE"""),"Available")</f>
        <v>Available</v>
      </c>
      <c r="G1501" s="5"/>
      <c r="H1501" s="5"/>
      <c r="I1501" s="5"/>
      <c r="J1501" s="5" t="str">
        <f>IFERROR(__xludf.DUMMYFUNCTION("""COMPUTED_VALUE"""),"Anesthesia")</f>
        <v>Anesthesia</v>
      </c>
      <c r="K1501" s="5" t="str">
        <f>IFERROR(__xludf.DUMMYFUNCTION("""COMPUTED_VALUE"""),"Current")</f>
        <v>Current</v>
      </c>
      <c r="L1501" s="5"/>
      <c r="M1501" s="5"/>
      <c r="N1501" s="10">
        <f>IFERROR(__xludf.DUMMYFUNCTION("""COMPUTED_VALUE"""),43182.0)</f>
        <v>43182</v>
      </c>
      <c r="O1501" s="5">
        <v>2018.0</v>
      </c>
      <c r="P1501" s="5" t="str">
        <f>IFERROR(__xludf.DUMMYFUNCTION("""COMPUTED_VALUE"""),"Available")</f>
        <v>Available</v>
      </c>
      <c r="Q1501" s="5" t="s">
        <v>135</v>
      </c>
      <c r="R1501" s="5" t="s">
        <v>136</v>
      </c>
      <c r="S1501" s="11">
        <v>3139.0</v>
      </c>
    </row>
    <row r="1502">
      <c r="A1502" s="5" t="str">
        <f>IFERROR(__xludf.DUMMYFUNCTION("""COMPUTED_VALUE"""),"Ropivacaine Hydrochloride Injection")</f>
        <v>Ropivacaine Hydrochloride Injection</v>
      </c>
      <c r="B1502" s="5" t="str">
        <f>IFERROR(__xludf.DUMMYFUNCTION("""COMPUTED_VALUE"""),"Fresenius Kabi USA, LLC")</f>
        <v>Fresenius Kabi USA, LLC</v>
      </c>
      <c r="C1502" s="5" t="str">
        <f>IFERROR(__xludf.DUMMYFUNCTION("""COMPUTED_VALUE"""),"Naropin, Injection, 5 mg/1 mL (NDC 63323-286-31)")</f>
        <v>Naropin, Injection, 5 mg/1 mL (NDC 63323-286-31)</v>
      </c>
      <c r="D1502" s="5" t="str">
        <f>IFERROR(__xludf.DUMMYFUNCTION("""COMPUTED_VALUE"""),"Reverified")</f>
        <v>Reverified</v>
      </c>
      <c r="E1502" s="13">
        <f>IFERROR(__xludf.DUMMYFUNCTION("""COMPUTED_VALUE"""),46310.0)</f>
        <v>46310</v>
      </c>
      <c r="F1502" s="5" t="str">
        <f>IFERROR(__xludf.DUMMYFUNCTION("""COMPUTED_VALUE"""),"Unavailable")</f>
        <v>Unavailable</v>
      </c>
      <c r="G1502" s="5" t="str">
        <f>IFERROR(__xludf.DUMMYFUNCTION("""COMPUTED_VALUE"""),"Estimated recovery: TBD")</f>
        <v>Estimated recovery: TBD</v>
      </c>
      <c r="H1502" s="5"/>
      <c r="I1502" s="5" t="str">
        <f>IFERROR(__xludf.DUMMYFUNCTION("""COMPUTED_VALUE"""),"Delay in shipping of the drug")</f>
        <v>Delay in shipping of the drug</v>
      </c>
      <c r="J1502" s="5" t="str">
        <f>IFERROR(__xludf.DUMMYFUNCTION("""COMPUTED_VALUE"""),"Anesthesia")</f>
        <v>Anesthesia</v>
      </c>
      <c r="K1502" s="5" t="str">
        <f>IFERROR(__xludf.DUMMYFUNCTION("""COMPUTED_VALUE"""),"Current")</f>
        <v>Current</v>
      </c>
      <c r="L1502" s="5"/>
      <c r="M1502" s="5"/>
      <c r="N1502" s="10">
        <f>IFERROR(__xludf.DUMMYFUNCTION("""COMPUTED_VALUE"""),43182.0)</f>
        <v>43182</v>
      </c>
      <c r="O1502" s="5">
        <v>2018.0</v>
      </c>
      <c r="P1502" s="5" t="str">
        <f>IFERROR(__xludf.DUMMYFUNCTION("""COMPUTED_VALUE"""),"Unavailable")</f>
        <v>Unavailable</v>
      </c>
      <c r="Q1502" s="5" t="s">
        <v>562</v>
      </c>
      <c r="R1502" s="5" t="s">
        <v>136</v>
      </c>
      <c r="S1502" s="11">
        <v>3139.0</v>
      </c>
    </row>
    <row r="1503">
      <c r="A1503" s="5" t="str">
        <f>IFERROR(__xludf.DUMMYFUNCTION("""COMPUTED_VALUE"""),"Ropivacaine Hydrochloride Injection")</f>
        <v>Ropivacaine Hydrochloride Injection</v>
      </c>
      <c r="B1503" s="5" t="str">
        <f>IFERROR(__xludf.DUMMYFUNCTION("""COMPUTED_VALUE"""),"Fresenius Kabi USA, LLC")</f>
        <v>Fresenius Kabi USA, LLC</v>
      </c>
      <c r="C1503" s="5" t="str">
        <f>IFERROR(__xludf.DUMMYFUNCTION("""COMPUTED_VALUE"""),"Naropin, Injection, 2 mg/1 mL (NDC 65219-632-10)")</f>
        <v>Naropin, Injection, 2 mg/1 mL (NDC 65219-632-10)</v>
      </c>
      <c r="D1503" s="5" t="str">
        <f>IFERROR(__xludf.DUMMYFUNCTION("""COMPUTED_VALUE"""),"Reverified")</f>
        <v>Reverified</v>
      </c>
      <c r="E1503" s="13">
        <f>IFERROR(__xludf.DUMMYFUNCTION("""COMPUTED_VALUE"""),46310.0)</f>
        <v>46310</v>
      </c>
      <c r="F1503" s="5" t="str">
        <f>IFERROR(__xludf.DUMMYFUNCTION("""COMPUTED_VALUE"""),"Available")</f>
        <v>Available</v>
      </c>
      <c r="G1503" s="5"/>
      <c r="H1503" s="5"/>
      <c r="I1503" s="5"/>
      <c r="J1503" s="5" t="str">
        <f>IFERROR(__xludf.DUMMYFUNCTION("""COMPUTED_VALUE"""),"Anesthesia")</f>
        <v>Anesthesia</v>
      </c>
      <c r="K1503" s="5" t="str">
        <f>IFERROR(__xludf.DUMMYFUNCTION("""COMPUTED_VALUE"""),"Current")</f>
        <v>Current</v>
      </c>
      <c r="L1503" s="5"/>
      <c r="M1503" s="5"/>
      <c r="N1503" s="10">
        <f>IFERROR(__xludf.DUMMYFUNCTION("""COMPUTED_VALUE"""),43182.0)</f>
        <v>43182</v>
      </c>
      <c r="O1503" s="5">
        <v>2018.0</v>
      </c>
      <c r="P1503" s="5" t="str">
        <f>IFERROR(__xludf.DUMMYFUNCTION("""COMPUTED_VALUE"""),"Available")</f>
        <v>Available</v>
      </c>
      <c r="Q1503" s="5" t="s">
        <v>135</v>
      </c>
      <c r="R1503" s="5" t="s">
        <v>136</v>
      </c>
      <c r="S1503" s="11">
        <v>3139.0</v>
      </c>
    </row>
    <row r="1504">
      <c r="A1504" s="5" t="str">
        <f>IFERROR(__xludf.DUMMYFUNCTION("""COMPUTED_VALUE"""),"Ropivacaine Hydrochloride Injection")</f>
        <v>Ropivacaine Hydrochloride Injection</v>
      </c>
      <c r="B1504" s="5" t="str">
        <f>IFERROR(__xludf.DUMMYFUNCTION("""COMPUTED_VALUE"""),"Fresenius Kabi USA, LLC")</f>
        <v>Fresenius Kabi USA, LLC</v>
      </c>
      <c r="C1504" s="5" t="str">
        <f>IFERROR(__xludf.DUMMYFUNCTION("""COMPUTED_VALUE"""),"Naropin, Injection, 2 mg/1 mL (NDC 65219-632-20)")</f>
        <v>Naropin, Injection, 2 mg/1 mL (NDC 65219-632-20)</v>
      </c>
      <c r="D1504" s="5" t="str">
        <f>IFERROR(__xludf.DUMMYFUNCTION("""COMPUTED_VALUE"""),"Reverified")</f>
        <v>Reverified</v>
      </c>
      <c r="E1504" s="13">
        <f>IFERROR(__xludf.DUMMYFUNCTION("""COMPUTED_VALUE"""),46310.0)</f>
        <v>46310</v>
      </c>
      <c r="F1504" s="5" t="str">
        <f>IFERROR(__xludf.DUMMYFUNCTION("""COMPUTED_VALUE"""),"Available")</f>
        <v>Available</v>
      </c>
      <c r="G1504" s="5"/>
      <c r="H1504" s="5"/>
      <c r="I1504" s="5"/>
      <c r="J1504" s="5" t="str">
        <f>IFERROR(__xludf.DUMMYFUNCTION("""COMPUTED_VALUE"""),"Anesthesia")</f>
        <v>Anesthesia</v>
      </c>
      <c r="K1504" s="5" t="str">
        <f>IFERROR(__xludf.DUMMYFUNCTION("""COMPUTED_VALUE"""),"Current")</f>
        <v>Current</v>
      </c>
      <c r="L1504" s="5"/>
      <c r="M1504" s="5"/>
      <c r="N1504" s="10">
        <f>IFERROR(__xludf.DUMMYFUNCTION("""COMPUTED_VALUE"""),43182.0)</f>
        <v>43182</v>
      </c>
      <c r="O1504" s="5">
        <v>2018.0</v>
      </c>
      <c r="P1504" s="5" t="str">
        <f>IFERROR(__xludf.DUMMYFUNCTION("""COMPUTED_VALUE"""),"Available")</f>
        <v>Available</v>
      </c>
      <c r="Q1504" s="5" t="s">
        <v>135</v>
      </c>
      <c r="R1504" s="5" t="s">
        <v>136</v>
      </c>
      <c r="S1504" s="11">
        <v>3139.0</v>
      </c>
    </row>
    <row r="1505">
      <c r="A1505" s="5" t="str">
        <f>IFERROR(__xludf.DUMMYFUNCTION("""COMPUTED_VALUE"""),"Ropivacaine Hydrochloride Injection")</f>
        <v>Ropivacaine Hydrochloride Injection</v>
      </c>
      <c r="B1505" s="5" t="str">
        <f>IFERROR(__xludf.DUMMYFUNCTION("""COMPUTED_VALUE"""),"Somerset Therapeutics, LLC")</f>
        <v>Somerset Therapeutics, LLC</v>
      </c>
      <c r="C1505" s="5" t="str">
        <f>IFERROR(__xludf.DUMMYFUNCTION("""COMPUTED_VALUE"""),"Ropivacaine Hydrochloride, Injection, 2 mg/1 mL (NDC 70069-061-10)")</f>
        <v>Ropivacaine Hydrochloride, Injection, 2 mg/1 mL (NDC 70069-061-10)</v>
      </c>
      <c r="D1505" s="5" t="str">
        <f>IFERROR(__xludf.DUMMYFUNCTION("""COMPUTED_VALUE"""),"Reverified")</f>
        <v>Reverified</v>
      </c>
      <c r="E1505" s="10">
        <f>IFERROR(__xludf.DUMMYFUNCTION("""COMPUTED_VALUE"""),46276.0)</f>
        <v>46276</v>
      </c>
      <c r="F1505" s="5" t="str">
        <f>IFERROR(__xludf.DUMMYFUNCTION("""COMPUTED_VALUE"""),"Available")</f>
        <v>Available</v>
      </c>
      <c r="G1505" s="5"/>
      <c r="H1505" s="5"/>
      <c r="I1505" s="5"/>
      <c r="J1505" s="5" t="str">
        <f>IFERROR(__xludf.DUMMYFUNCTION("""COMPUTED_VALUE"""),"Anesthesia")</f>
        <v>Anesthesia</v>
      </c>
      <c r="K1505" s="5" t="str">
        <f>IFERROR(__xludf.DUMMYFUNCTION("""COMPUTED_VALUE"""),"Current")</f>
        <v>Current</v>
      </c>
      <c r="L1505" s="5"/>
      <c r="M1505" s="5"/>
      <c r="N1505" s="10">
        <f>IFERROR(__xludf.DUMMYFUNCTION("""COMPUTED_VALUE"""),43182.0)</f>
        <v>43182</v>
      </c>
      <c r="O1505" s="5">
        <v>2018.0</v>
      </c>
      <c r="P1505" s="5" t="str">
        <f>IFERROR(__xludf.DUMMYFUNCTION("""COMPUTED_VALUE"""),"Available")</f>
        <v>Available</v>
      </c>
      <c r="Q1505" s="5" t="s">
        <v>135</v>
      </c>
      <c r="R1505" s="5" t="s">
        <v>136</v>
      </c>
      <c r="S1505" s="11">
        <v>3139.0</v>
      </c>
    </row>
    <row r="1506">
      <c r="A1506" s="5" t="str">
        <f>IFERROR(__xludf.DUMMYFUNCTION("""COMPUTED_VALUE"""),"Ropivacaine Hydrochloride Injection")</f>
        <v>Ropivacaine Hydrochloride Injection</v>
      </c>
      <c r="B1506" s="5" t="str">
        <f>IFERROR(__xludf.DUMMYFUNCTION("""COMPUTED_VALUE"""),"Somerset Therapeutics, LLC")</f>
        <v>Somerset Therapeutics, LLC</v>
      </c>
      <c r="C1506" s="5" t="str">
        <f>IFERROR(__xludf.DUMMYFUNCTION("""COMPUTED_VALUE"""),"Ropivacaine Hydrochloride, Injection, 2 mg/1 mL (NDC 70069-061-25)")</f>
        <v>Ropivacaine Hydrochloride, Injection, 2 mg/1 mL (NDC 70069-061-25)</v>
      </c>
      <c r="D1506" s="5" t="str">
        <f>IFERROR(__xludf.DUMMYFUNCTION("""COMPUTED_VALUE"""),"Reverified")</f>
        <v>Reverified</v>
      </c>
      <c r="E1506" s="10">
        <f>IFERROR(__xludf.DUMMYFUNCTION("""COMPUTED_VALUE"""),46276.0)</f>
        <v>46276</v>
      </c>
      <c r="F1506" s="5" t="str">
        <f>IFERROR(__xludf.DUMMYFUNCTION("""COMPUTED_VALUE"""),"Available")</f>
        <v>Available</v>
      </c>
      <c r="G1506" s="5"/>
      <c r="H1506" s="5"/>
      <c r="I1506" s="5"/>
      <c r="J1506" s="5" t="str">
        <f>IFERROR(__xludf.DUMMYFUNCTION("""COMPUTED_VALUE"""),"Anesthesia")</f>
        <v>Anesthesia</v>
      </c>
      <c r="K1506" s="5" t="str">
        <f>IFERROR(__xludf.DUMMYFUNCTION("""COMPUTED_VALUE"""),"Current")</f>
        <v>Current</v>
      </c>
      <c r="L1506" s="5"/>
      <c r="M1506" s="5"/>
      <c r="N1506" s="10">
        <f>IFERROR(__xludf.DUMMYFUNCTION("""COMPUTED_VALUE"""),43182.0)</f>
        <v>43182</v>
      </c>
      <c r="O1506" s="5">
        <v>2018.0</v>
      </c>
      <c r="P1506" s="5" t="str">
        <f>IFERROR(__xludf.DUMMYFUNCTION("""COMPUTED_VALUE"""),"Available")</f>
        <v>Available</v>
      </c>
      <c r="Q1506" s="5" t="s">
        <v>135</v>
      </c>
      <c r="R1506" s="5" t="s">
        <v>136</v>
      </c>
      <c r="S1506" s="11">
        <v>3139.0</v>
      </c>
    </row>
    <row r="1507">
      <c r="A1507" s="5" t="str">
        <f>IFERROR(__xludf.DUMMYFUNCTION("""COMPUTED_VALUE"""),"Ropivacaine Hydrochloride Injection")</f>
        <v>Ropivacaine Hydrochloride Injection</v>
      </c>
      <c r="B1507" s="5" t="str">
        <f>IFERROR(__xludf.DUMMYFUNCTION("""COMPUTED_VALUE"""),"Somerset Therapeutics, LLC")</f>
        <v>Somerset Therapeutics, LLC</v>
      </c>
      <c r="C1507" s="5" t="str">
        <f>IFERROR(__xludf.DUMMYFUNCTION("""COMPUTED_VALUE"""),"Ropivacaine Hydrochloride, Injection, 2 mg/1 mL (NDC 70069-062-10)")</f>
        <v>Ropivacaine Hydrochloride, Injection, 2 mg/1 mL (NDC 70069-062-10)</v>
      </c>
      <c r="D1507" s="5" t="str">
        <f>IFERROR(__xludf.DUMMYFUNCTION("""COMPUTED_VALUE"""),"Reverified")</f>
        <v>Reverified</v>
      </c>
      <c r="E1507" s="10">
        <f>IFERROR(__xludf.DUMMYFUNCTION("""COMPUTED_VALUE"""),46276.0)</f>
        <v>46276</v>
      </c>
      <c r="F1507" s="5" t="str">
        <f>IFERROR(__xludf.DUMMYFUNCTION("""COMPUTED_VALUE"""),"Available")</f>
        <v>Available</v>
      </c>
      <c r="G1507" s="5"/>
      <c r="H1507" s="5"/>
      <c r="I1507" s="5"/>
      <c r="J1507" s="5" t="str">
        <f>IFERROR(__xludf.DUMMYFUNCTION("""COMPUTED_VALUE"""),"Anesthesia")</f>
        <v>Anesthesia</v>
      </c>
      <c r="K1507" s="5" t="str">
        <f>IFERROR(__xludf.DUMMYFUNCTION("""COMPUTED_VALUE"""),"Current")</f>
        <v>Current</v>
      </c>
      <c r="L1507" s="5"/>
      <c r="M1507" s="5"/>
      <c r="N1507" s="10">
        <f>IFERROR(__xludf.DUMMYFUNCTION("""COMPUTED_VALUE"""),43182.0)</f>
        <v>43182</v>
      </c>
      <c r="O1507" s="5">
        <v>2018.0</v>
      </c>
      <c r="P1507" s="5" t="str">
        <f>IFERROR(__xludf.DUMMYFUNCTION("""COMPUTED_VALUE"""),"Available")</f>
        <v>Available</v>
      </c>
      <c r="Q1507" s="5" t="s">
        <v>135</v>
      </c>
      <c r="R1507" s="5" t="s">
        <v>136</v>
      </c>
      <c r="S1507" s="11">
        <v>3139.0</v>
      </c>
    </row>
    <row r="1508">
      <c r="A1508" s="5" t="str">
        <f>IFERROR(__xludf.DUMMYFUNCTION("""COMPUTED_VALUE"""),"Ropivacaine Hydrochloride Injection")</f>
        <v>Ropivacaine Hydrochloride Injection</v>
      </c>
      <c r="B1508" s="5" t="str">
        <f>IFERROR(__xludf.DUMMYFUNCTION("""COMPUTED_VALUE"""),"Somerset Therapeutics, LLC")</f>
        <v>Somerset Therapeutics, LLC</v>
      </c>
      <c r="C1508" s="5" t="str">
        <f>IFERROR(__xludf.DUMMYFUNCTION("""COMPUTED_VALUE"""),"Ropivacaine Hydrochloride, Injection, 2 mg/1 mL (NDC 70069-062-25)")</f>
        <v>Ropivacaine Hydrochloride, Injection, 2 mg/1 mL (NDC 70069-062-25)</v>
      </c>
      <c r="D1508" s="5" t="str">
        <f>IFERROR(__xludf.DUMMYFUNCTION("""COMPUTED_VALUE"""),"Reverified")</f>
        <v>Reverified</v>
      </c>
      <c r="E1508" s="10">
        <f>IFERROR(__xludf.DUMMYFUNCTION("""COMPUTED_VALUE"""),46276.0)</f>
        <v>46276</v>
      </c>
      <c r="F1508" s="5" t="str">
        <f>IFERROR(__xludf.DUMMYFUNCTION("""COMPUTED_VALUE"""),"Available")</f>
        <v>Available</v>
      </c>
      <c r="G1508" s="5"/>
      <c r="H1508" s="5"/>
      <c r="I1508" s="5"/>
      <c r="J1508" s="5" t="str">
        <f>IFERROR(__xludf.DUMMYFUNCTION("""COMPUTED_VALUE"""),"Anesthesia")</f>
        <v>Anesthesia</v>
      </c>
      <c r="K1508" s="5" t="str">
        <f>IFERROR(__xludf.DUMMYFUNCTION("""COMPUTED_VALUE"""),"Current")</f>
        <v>Current</v>
      </c>
      <c r="L1508" s="5"/>
      <c r="M1508" s="5"/>
      <c r="N1508" s="10">
        <f>IFERROR(__xludf.DUMMYFUNCTION("""COMPUTED_VALUE"""),43182.0)</f>
        <v>43182</v>
      </c>
      <c r="O1508" s="5">
        <v>2018.0</v>
      </c>
      <c r="P1508" s="5" t="str">
        <f>IFERROR(__xludf.DUMMYFUNCTION("""COMPUTED_VALUE"""),"Available")</f>
        <v>Available</v>
      </c>
      <c r="Q1508" s="5" t="s">
        <v>135</v>
      </c>
      <c r="R1508" s="5" t="s">
        <v>136</v>
      </c>
      <c r="S1508" s="11">
        <v>3139.0</v>
      </c>
    </row>
    <row r="1509">
      <c r="A1509" s="5" t="str">
        <f>IFERROR(__xludf.DUMMYFUNCTION("""COMPUTED_VALUE"""),"Ropivacaine Hydrochloride Injection")</f>
        <v>Ropivacaine Hydrochloride Injection</v>
      </c>
      <c r="B1509" s="5" t="str">
        <f>IFERROR(__xludf.DUMMYFUNCTION("""COMPUTED_VALUE"""),"Somerset Therapeutics, LLC")</f>
        <v>Somerset Therapeutics, LLC</v>
      </c>
      <c r="C1509" s="5" t="str">
        <f>IFERROR(__xludf.DUMMYFUNCTION("""COMPUTED_VALUE"""),"Ropivacaine Hydrochloride, Injection, 5 mg/1 mL (NDC 70069-063-25)")</f>
        <v>Ropivacaine Hydrochloride, Injection, 5 mg/1 mL (NDC 70069-063-25)</v>
      </c>
      <c r="D1509" s="5" t="str">
        <f>IFERROR(__xludf.DUMMYFUNCTION("""COMPUTED_VALUE"""),"Reverified")</f>
        <v>Reverified</v>
      </c>
      <c r="E1509" s="10">
        <f>IFERROR(__xludf.DUMMYFUNCTION("""COMPUTED_VALUE"""),46276.0)</f>
        <v>46276</v>
      </c>
      <c r="F1509" s="5" t="str">
        <f>IFERROR(__xludf.DUMMYFUNCTION("""COMPUTED_VALUE"""),"Available")</f>
        <v>Available</v>
      </c>
      <c r="G1509" s="5"/>
      <c r="H1509" s="5"/>
      <c r="I1509" s="5"/>
      <c r="J1509" s="5" t="str">
        <f>IFERROR(__xludf.DUMMYFUNCTION("""COMPUTED_VALUE"""),"Anesthesia")</f>
        <v>Anesthesia</v>
      </c>
      <c r="K1509" s="5" t="str">
        <f>IFERROR(__xludf.DUMMYFUNCTION("""COMPUTED_VALUE"""),"Current")</f>
        <v>Current</v>
      </c>
      <c r="L1509" s="5"/>
      <c r="M1509" s="5"/>
      <c r="N1509" s="10">
        <f>IFERROR(__xludf.DUMMYFUNCTION("""COMPUTED_VALUE"""),43182.0)</f>
        <v>43182</v>
      </c>
      <c r="O1509" s="5">
        <v>2018.0</v>
      </c>
      <c r="P1509" s="5" t="str">
        <f>IFERROR(__xludf.DUMMYFUNCTION("""COMPUTED_VALUE"""),"Available")</f>
        <v>Available</v>
      </c>
      <c r="Q1509" s="5" t="s">
        <v>135</v>
      </c>
      <c r="R1509" s="5" t="s">
        <v>136</v>
      </c>
      <c r="S1509" s="11">
        <v>3139.0</v>
      </c>
    </row>
    <row r="1510">
      <c r="A1510" s="5" t="str">
        <f>IFERROR(__xludf.DUMMYFUNCTION("""COMPUTED_VALUE"""),"Ropivacaine Hydrochloride Injection")</f>
        <v>Ropivacaine Hydrochloride Injection</v>
      </c>
      <c r="B1510" s="5" t="str">
        <f>IFERROR(__xludf.DUMMYFUNCTION("""COMPUTED_VALUE"""),"Somerset Therapeutics, LLC")</f>
        <v>Somerset Therapeutics, LLC</v>
      </c>
      <c r="C1510" s="5" t="str">
        <f>IFERROR(__xludf.DUMMYFUNCTION("""COMPUTED_VALUE"""),"Ropivacaine Hydrochloride, Injection, 10 mg/1 mL (NDC 70069-067-10)")</f>
        <v>Ropivacaine Hydrochloride, Injection, 10 mg/1 mL (NDC 70069-067-10)</v>
      </c>
      <c r="D1510" s="5" t="str">
        <f>IFERROR(__xludf.DUMMYFUNCTION("""COMPUTED_VALUE"""),"Reverified")</f>
        <v>Reverified</v>
      </c>
      <c r="E1510" s="10">
        <f>IFERROR(__xludf.DUMMYFUNCTION("""COMPUTED_VALUE"""),46276.0)</f>
        <v>46276</v>
      </c>
      <c r="F1510" s="5" t="str">
        <f>IFERROR(__xludf.DUMMYFUNCTION("""COMPUTED_VALUE"""),"Available")</f>
        <v>Available</v>
      </c>
      <c r="G1510" s="5"/>
      <c r="H1510" s="5"/>
      <c r="I1510" s="5"/>
      <c r="J1510" s="5" t="str">
        <f>IFERROR(__xludf.DUMMYFUNCTION("""COMPUTED_VALUE"""),"Anesthesia")</f>
        <v>Anesthesia</v>
      </c>
      <c r="K1510" s="5" t="str">
        <f>IFERROR(__xludf.DUMMYFUNCTION("""COMPUTED_VALUE"""),"Current")</f>
        <v>Current</v>
      </c>
      <c r="L1510" s="5"/>
      <c r="M1510" s="5"/>
      <c r="N1510" s="10">
        <f>IFERROR(__xludf.DUMMYFUNCTION("""COMPUTED_VALUE"""),43182.0)</f>
        <v>43182</v>
      </c>
      <c r="O1510" s="5">
        <v>2018.0</v>
      </c>
      <c r="P1510" s="5" t="str">
        <f>IFERROR(__xludf.DUMMYFUNCTION("""COMPUTED_VALUE"""),"Available")</f>
        <v>Available</v>
      </c>
      <c r="Q1510" s="5" t="s">
        <v>135</v>
      </c>
      <c r="R1510" s="5" t="s">
        <v>136</v>
      </c>
      <c r="S1510" s="11">
        <v>3139.0</v>
      </c>
    </row>
    <row r="1511">
      <c r="A1511" s="5" t="str">
        <f>IFERROR(__xludf.DUMMYFUNCTION("""COMPUTED_VALUE"""),"Ropivacaine Hydrochloride Injection")</f>
        <v>Ropivacaine Hydrochloride Injection</v>
      </c>
      <c r="B1511" s="5" t="str">
        <f>IFERROR(__xludf.DUMMYFUNCTION("""COMPUTED_VALUE"""),"Somerset Therapeutics, LLC")</f>
        <v>Somerset Therapeutics, LLC</v>
      </c>
      <c r="C1511" s="5" t="str">
        <f>IFERROR(__xludf.DUMMYFUNCTION("""COMPUTED_VALUE"""),"Ropivacaine Hydrochloride, Injection, 10 mg/1 mL (NDC 70069-067-25)")</f>
        <v>Ropivacaine Hydrochloride, Injection, 10 mg/1 mL (NDC 70069-067-25)</v>
      </c>
      <c r="D1511" s="5" t="str">
        <f>IFERROR(__xludf.DUMMYFUNCTION("""COMPUTED_VALUE"""),"Reverified")</f>
        <v>Reverified</v>
      </c>
      <c r="E1511" s="10">
        <f>IFERROR(__xludf.DUMMYFUNCTION("""COMPUTED_VALUE"""),46276.0)</f>
        <v>46276</v>
      </c>
      <c r="F1511" s="5" t="str">
        <f>IFERROR(__xludf.DUMMYFUNCTION("""COMPUTED_VALUE"""),"Available")</f>
        <v>Available</v>
      </c>
      <c r="G1511" s="5"/>
      <c r="H1511" s="5"/>
      <c r="I1511" s="5"/>
      <c r="J1511" s="5" t="str">
        <f>IFERROR(__xludf.DUMMYFUNCTION("""COMPUTED_VALUE"""),"Anesthesia")</f>
        <v>Anesthesia</v>
      </c>
      <c r="K1511" s="5" t="str">
        <f>IFERROR(__xludf.DUMMYFUNCTION("""COMPUTED_VALUE"""),"Current")</f>
        <v>Current</v>
      </c>
      <c r="L1511" s="5"/>
      <c r="M1511" s="5"/>
      <c r="N1511" s="10">
        <f>IFERROR(__xludf.DUMMYFUNCTION("""COMPUTED_VALUE"""),43182.0)</f>
        <v>43182</v>
      </c>
      <c r="O1511" s="5">
        <v>2018.0</v>
      </c>
      <c r="P1511" s="5" t="str">
        <f>IFERROR(__xludf.DUMMYFUNCTION("""COMPUTED_VALUE"""),"Available")</f>
        <v>Available</v>
      </c>
      <c r="Q1511" s="5" t="s">
        <v>135</v>
      </c>
      <c r="R1511" s="5" t="s">
        <v>136</v>
      </c>
      <c r="S1511" s="11">
        <v>3139.0</v>
      </c>
    </row>
    <row r="1512">
      <c r="A1512" s="5" t="str">
        <f>IFERROR(__xludf.DUMMYFUNCTION("""COMPUTED_VALUE"""),"Scopolamine Transdermal System")</f>
        <v>Scopolamine Transdermal System</v>
      </c>
      <c r="B1512" s="5" t="str">
        <f>IFERROR(__xludf.DUMMYFUNCTION("""COMPUTED_VALUE"""),"Padagis US LLC")</f>
        <v>Padagis US LLC</v>
      </c>
      <c r="C1512" s="5" t="str">
        <f>IFERROR(__xludf.DUMMYFUNCTION("""COMPUTED_VALUE"""),"Scopolamine, Transdermal System, 1 mg (NDC 45802-580-46)")</f>
        <v>Scopolamine, Transdermal System, 1 mg (NDC 45802-580-46)</v>
      </c>
      <c r="D1512" s="5" t="str">
        <f>IFERROR(__xludf.DUMMYFUNCTION("""COMPUTED_VALUE"""),"New")</f>
        <v>New</v>
      </c>
      <c r="E1512" s="10">
        <f>IFERROR(__xludf.DUMMYFUNCTION("""COMPUTED_VALUE"""),45964.0)</f>
        <v>45964</v>
      </c>
      <c r="F1512" s="5"/>
      <c r="G1512" s="5" t="str">
        <f>IFERROR(__xludf.DUMMYFUNCTION("""COMPUTED_VALUE"""),"Discontinuation of the manufacture of the drug")</f>
        <v>Discontinuation of the manufacture of the drug</v>
      </c>
      <c r="H1512" s="5"/>
      <c r="I1512" s="5"/>
      <c r="J1512" s="5" t="str">
        <f>IFERROR(__xludf.DUMMYFUNCTION("""COMPUTED_VALUE"""),"Gastroenterology; Neurology; Other")</f>
        <v>Gastroenterology; Neurology; Other</v>
      </c>
      <c r="K1512" s="5" t="str">
        <f>IFERROR(__xludf.DUMMYFUNCTION("""COMPUTED_VALUE"""),"To Be Discontinued")</f>
        <v>To Be Discontinued</v>
      </c>
      <c r="L1512" s="5"/>
      <c r="M1512" s="10">
        <f>IFERROR(__xludf.DUMMYFUNCTION("""COMPUTED_VALUE"""),45964.0)</f>
        <v>45964</v>
      </c>
      <c r="N1512" s="10">
        <f>IFERROR(__xludf.DUMMYFUNCTION("""COMPUTED_VALUE"""),45964.0)</f>
        <v>45964</v>
      </c>
      <c r="O1512" s="5">
        <v>2025.0</v>
      </c>
      <c r="P1512" s="5" t="str">
        <f>IFERROR(__xludf.DUMMYFUNCTION("""COMPUTED_VALUE"""),"Not stated")</f>
        <v>Not stated</v>
      </c>
      <c r="Q1512" s="5" t="s">
        <v>135</v>
      </c>
      <c r="R1512" s="5" t="s">
        <v>136</v>
      </c>
      <c r="S1512" s="11">
        <v>357.0</v>
      </c>
    </row>
    <row r="1513">
      <c r="A1513" s="5" t="str">
        <f>IFERROR(__xludf.DUMMYFUNCTION("""COMPUTED_VALUE"""),"Semaglutide Tablet")</f>
        <v>Semaglutide Tablet</v>
      </c>
      <c r="B1513" s="5" t="str">
        <f>IFERROR(__xludf.DUMMYFUNCTION("""COMPUTED_VALUE"""),"Novo Nordisk, Inc.")</f>
        <v>Novo Nordisk, Inc.</v>
      </c>
      <c r="C1513" s="5" t="str">
        <f>IFERROR(__xludf.DUMMYFUNCTION("""COMPUTED_VALUE"""),"Rybelsus, Tablet, 3 mg (NDC 0169-4303-30)")</f>
        <v>Rybelsus, Tablet, 3 mg (NDC 0169-4303-30)</v>
      </c>
      <c r="D1513" s="5" t="str">
        <f>IFERROR(__xludf.DUMMYFUNCTION("""COMPUTED_VALUE"""),"New")</f>
        <v>New</v>
      </c>
      <c r="E1513" s="10">
        <f>IFERROR(__xludf.DUMMYFUNCTION("""COMPUTED_VALUE"""),46177.0)</f>
        <v>46177</v>
      </c>
      <c r="F1513" s="5"/>
      <c r="G1513" s="5" t="str">
        <f>IFERROR(__xludf.DUMMYFUNCTION("""COMPUTED_VALUE"""),"Discontinuation of the manufacture of the drug. These products will be replaced by Ozempic (semaglutide) tablets.")</f>
        <v>Discontinuation of the manufacture of the drug. These products will be replaced by Ozempic (semaglutide) tablets.</v>
      </c>
      <c r="H1513" s="5"/>
      <c r="I1513" s="5"/>
      <c r="J1513" s="5" t="str">
        <f>IFERROR(__xludf.DUMMYFUNCTION("""COMPUTED_VALUE"""),"Endocrinology/Metabolism")</f>
        <v>Endocrinology/Metabolism</v>
      </c>
      <c r="K1513" s="5" t="str">
        <f>IFERROR(__xludf.DUMMYFUNCTION("""COMPUTED_VALUE"""),"To Be Discontinued")</f>
        <v>To Be Discontinued</v>
      </c>
      <c r="L1513" s="5"/>
      <c r="M1513" s="10">
        <f>IFERROR(__xludf.DUMMYFUNCTION("""COMPUTED_VALUE"""),46177.0)</f>
        <v>46177</v>
      </c>
      <c r="N1513" s="10">
        <f>IFERROR(__xludf.DUMMYFUNCTION("""COMPUTED_VALUE"""),46177.0)</f>
        <v>46177</v>
      </c>
      <c r="O1513" s="5">
        <v>2026.0</v>
      </c>
      <c r="P1513" s="5" t="str">
        <f>IFERROR(__xludf.DUMMYFUNCTION("""COMPUTED_VALUE"""),"Not stated")</f>
        <v>Not stated</v>
      </c>
      <c r="Q1513" s="5" t="s">
        <v>135</v>
      </c>
      <c r="R1513" s="5" t="s">
        <v>136</v>
      </c>
      <c r="S1513" s="11">
        <v>144.0</v>
      </c>
    </row>
    <row r="1514">
      <c r="A1514" s="5" t="str">
        <f>IFERROR(__xludf.DUMMYFUNCTION("""COMPUTED_VALUE"""),"Semaglutide Tablet")</f>
        <v>Semaglutide Tablet</v>
      </c>
      <c r="B1514" s="5" t="str">
        <f>IFERROR(__xludf.DUMMYFUNCTION("""COMPUTED_VALUE"""),"Novo Nordisk, Inc.")</f>
        <v>Novo Nordisk, Inc.</v>
      </c>
      <c r="C1514" s="5" t="str">
        <f>IFERROR(__xludf.DUMMYFUNCTION("""COMPUTED_VALUE"""),"Rybelsus, Tablet, 7 mg (NDC 0169-4307-30)")</f>
        <v>Rybelsus, Tablet, 7 mg (NDC 0169-4307-30)</v>
      </c>
      <c r="D1514" s="5" t="str">
        <f>IFERROR(__xludf.DUMMYFUNCTION("""COMPUTED_VALUE"""),"New")</f>
        <v>New</v>
      </c>
      <c r="E1514" s="10">
        <f>IFERROR(__xludf.DUMMYFUNCTION("""COMPUTED_VALUE"""),46177.0)</f>
        <v>46177</v>
      </c>
      <c r="F1514" s="5"/>
      <c r="G1514" s="5" t="str">
        <f>IFERROR(__xludf.DUMMYFUNCTION("""COMPUTED_VALUE"""),"Discontinuation of the manufacture of the drug. These products will be replaced by Ozempic (semaglutide) tablets.")</f>
        <v>Discontinuation of the manufacture of the drug. These products will be replaced by Ozempic (semaglutide) tablets.</v>
      </c>
      <c r="H1514" s="5"/>
      <c r="I1514" s="5"/>
      <c r="J1514" s="5" t="str">
        <f>IFERROR(__xludf.DUMMYFUNCTION("""COMPUTED_VALUE"""),"Endocrinology/Metabolism")</f>
        <v>Endocrinology/Metabolism</v>
      </c>
      <c r="K1514" s="5" t="str">
        <f>IFERROR(__xludf.DUMMYFUNCTION("""COMPUTED_VALUE"""),"To Be Discontinued")</f>
        <v>To Be Discontinued</v>
      </c>
      <c r="L1514" s="5"/>
      <c r="M1514" s="10">
        <f>IFERROR(__xludf.DUMMYFUNCTION("""COMPUTED_VALUE"""),46177.0)</f>
        <v>46177</v>
      </c>
      <c r="N1514" s="10">
        <f>IFERROR(__xludf.DUMMYFUNCTION("""COMPUTED_VALUE"""),46177.0)</f>
        <v>46177</v>
      </c>
      <c r="O1514" s="5">
        <v>2026.0</v>
      </c>
      <c r="P1514" s="5" t="str">
        <f>IFERROR(__xludf.DUMMYFUNCTION("""COMPUTED_VALUE"""),"Not stated")</f>
        <v>Not stated</v>
      </c>
      <c r="Q1514" s="5" t="s">
        <v>135</v>
      </c>
      <c r="R1514" s="5" t="s">
        <v>136</v>
      </c>
      <c r="S1514" s="11">
        <v>144.0</v>
      </c>
    </row>
    <row r="1515">
      <c r="A1515" s="5" t="str">
        <f>IFERROR(__xludf.DUMMYFUNCTION("""COMPUTED_VALUE"""),"Semaglutide Tablet")</f>
        <v>Semaglutide Tablet</v>
      </c>
      <c r="B1515" s="5" t="str">
        <f>IFERROR(__xludf.DUMMYFUNCTION("""COMPUTED_VALUE"""),"Novo Nordisk, Inc.")</f>
        <v>Novo Nordisk, Inc.</v>
      </c>
      <c r="C1515" s="5" t="str">
        <f>IFERROR(__xludf.DUMMYFUNCTION("""COMPUTED_VALUE"""),"Rybelsus, Tablet, 14 mg (NDC 0169-4314-30)")</f>
        <v>Rybelsus, Tablet, 14 mg (NDC 0169-4314-30)</v>
      </c>
      <c r="D1515" s="5" t="str">
        <f>IFERROR(__xludf.DUMMYFUNCTION("""COMPUTED_VALUE"""),"New")</f>
        <v>New</v>
      </c>
      <c r="E1515" s="10">
        <f>IFERROR(__xludf.DUMMYFUNCTION("""COMPUTED_VALUE"""),46177.0)</f>
        <v>46177</v>
      </c>
      <c r="F1515" s="5"/>
      <c r="G1515" s="5" t="str">
        <f>IFERROR(__xludf.DUMMYFUNCTION("""COMPUTED_VALUE"""),"Discontinuation of the manufacture of the drug. These products will be replaced by Ozempic (semaglutide) tablets.")</f>
        <v>Discontinuation of the manufacture of the drug. These products will be replaced by Ozempic (semaglutide) tablets.</v>
      </c>
      <c r="H1515" s="5"/>
      <c r="I1515" s="5"/>
      <c r="J1515" s="5" t="str">
        <f>IFERROR(__xludf.DUMMYFUNCTION("""COMPUTED_VALUE"""),"Endocrinology/Metabolism")</f>
        <v>Endocrinology/Metabolism</v>
      </c>
      <c r="K1515" s="5" t="str">
        <f>IFERROR(__xludf.DUMMYFUNCTION("""COMPUTED_VALUE"""),"To Be Discontinued")</f>
        <v>To Be Discontinued</v>
      </c>
      <c r="L1515" s="5"/>
      <c r="M1515" s="10">
        <f>IFERROR(__xludf.DUMMYFUNCTION("""COMPUTED_VALUE"""),46177.0)</f>
        <v>46177</v>
      </c>
      <c r="N1515" s="10">
        <f>IFERROR(__xludf.DUMMYFUNCTION("""COMPUTED_VALUE"""),46177.0)</f>
        <v>46177</v>
      </c>
      <c r="O1515" s="5">
        <v>2026.0</v>
      </c>
      <c r="P1515" s="5" t="str">
        <f>IFERROR(__xludf.DUMMYFUNCTION("""COMPUTED_VALUE"""),"Not stated")</f>
        <v>Not stated</v>
      </c>
      <c r="Q1515" s="5" t="s">
        <v>135</v>
      </c>
      <c r="R1515" s="5" t="s">
        <v>136</v>
      </c>
      <c r="S1515" s="11">
        <v>144.0</v>
      </c>
    </row>
    <row r="1516">
      <c r="A1516" s="5" t="str">
        <f>IFERROR(__xludf.DUMMYFUNCTION("""COMPUTED_VALUE"""),"Sodium Acetate Injection")</f>
        <v>Sodium Acetate Injection</v>
      </c>
      <c r="B1516" s="5" t="str">
        <f>IFERROR(__xludf.DUMMYFUNCTION("""COMPUTED_VALUE"""),"Somerset Therapeutics, LLC")</f>
        <v>Somerset Therapeutics, LLC</v>
      </c>
      <c r="C1516" s="5" t="str">
        <f>IFERROR(__xludf.DUMMYFUNCTION("""COMPUTED_VALUE"""),"Sodium Acetate, Injection, 164 mg/1 mL (NDC 70069-047-25)")</f>
        <v>Sodium Acetate, Injection, 164 mg/1 mL (NDC 70069-047-25)</v>
      </c>
      <c r="D1516" s="5" t="str">
        <f>IFERROR(__xludf.DUMMYFUNCTION("""COMPUTED_VALUE"""),"Reverified")</f>
        <v>Reverified</v>
      </c>
      <c r="E1516" s="10">
        <f>IFERROR(__xludf.DUMMYFUNCTION("""COMPUTED_VALUE"""),46276.0)</f>
        <v>46276</v>
      </c>
      <c r="F1516" s="5" t="str">
        <f>IFERROR(__xludf.DUMMYFUNCTION("""COMPUTED_VALUE"""),"Available")</f>
        <v>Available</v>
      </c>
      <c r="G1516" s="5"/>
      <c r="H1516" s="5"/>
      <c r="I1516" s="5"/>
      <c r="J1516" s="5" t="str">
        <f>IFERROR(__xludf.DUMMYFUNCTION("""COMPUTED_VALUE"""),"Endocrinology/Metabolism; Gastroenterology; Pediatric; Total Parenteral Nutrition")</f>
        <v>Endocrinology/Metabolism; Gastroenterology; Pediatric; Total Parenteral Nutrition</v>
      </c>
      <c r="K1516" s="5" t="str">
        <f>IFERROR(__xludf.DUMMYFUNCTION("""COMPUTED_VALUE"""),"Current")</f>
        <v>Current</v>
      </c>
      <c r="L1516" s="5"/>
      <c r="M1516" s="5"/>
      <c r="N1516" s="10">
        <f>IFERROR(__xludf.DUMMYFUNCTION("""COMPUTED_VALUE"""),42403.0)</f>
        <v>42403</v>
      </c>
      <c r="O1516" s="5">
        <v>2016.0</v>
      </c>
      <c r="P1516" s="5" t="str">
        <f>IFERROR(__xludf.DUMMYFUNCTION("""COMPUTED_VALUE"""),"Available")</f>
        <v>Available</v>
      </c>
      <c r="Q1516" s="5" t="s">
        <v>135</v>
      </c>
      <c r="R1516" s="5" t="s">
        <v>136</v>
      </c>
      <c r="S1516" s="11">
        <v>3918.0</v>
      </c>
    </row>
    <row r="1517">
      <c r="A1517" s="5" t="str">
        <f>IFERROR(__xludf.DUMMYFUNCTION("""COMPUTED_VALUE"""),"Sodium Acetate Injection")</f>
        <v>Sodium Acetate Injection</v>
      </c>
      <c r="B1517" s="5" t="str">
        <f>IFERROR(__xludf.DUMMYFUNCTION("""COMPUTED_VALUE"""),"Somerset Therapeutics, LLC")</f>
        <v>Somerset Therapeutics, LLC</v>
      </c>
      <c r="C1517" s="5" t="str">
        <f>IFERROR(__xludf.DUMMYFUNCTION("""COMPUTED_VALUE"""),"Sodium Acetate, Injection, 164 mg/1 mL (NDC 70069-048-20)")</f>
        <v>Sodium Acetate, Injection, 164 mg/1 mL (NDC 70069-048-20)</v>
      </c>
      <c r="D1517" s="5" t="str">
        <f>IFERROR(__xludf.DUMMYFUNCTION("""COMPUTED_VALUE"""),"Reverified")</f>
        <v>Reverified</v>
      </c>
      <c r="E1517" s="10">
        <f>IFERROR(__xludf.DUMMYFUNCTION("""COMPUTED_VALUE"""),46276.0)</f>
        <v>46276</v>
      </c>
      <c r="F1517" s="5" t="str">
        <f>IFERROR(__xludf.DUMMYFUNCTION("""COMPUTED_VALUE"""),"Available")</f>
        <v>Available</v>
      </c>
      <c r="G1517" s="5"/>
      <c r="H1517" s="5"/>
      <c r="I1517" s="5"/>
      <c r="J1517" s="5" t="str">
        <f>IFERROR(__xludf.DUMMYFUNCTION("""COMPUTED_VALUE"""),"Endocrinology/Metabolism; Gastroenterology; Pediatric; Total Parenteral Nutrition")</f>
        <v>Endocrinology/Metabolism; Gastroenterology; Pediatric; Total Parenteral Nutrition</v>
      </c>
      <c r="K1517" s="5" t="str">
        <f>IFERROR(__xludf.DUMMYFUNCTION("""COMPUTED_VALUE"""),"Current")</f>
        <v>Current</v>
      </c>
      <c r="L1517" s="5"/>
      <c r="M1517" s="5"/>
      <c r="N1517" s="10">
        <f>IFERROR(__xludf.DUMMYFUNCTION("""COMPUTED_VALUE"""),42403.0)</f>
        <v>42403</v>
      </c>
      <c r="O1517" s="5">
        <v>2016.0</v>
      </c>
      <c r="P1517" s="5" t="str">
        <f>IFERROR(__xludf.DUMMYFUNCTION("""COMPUTED_VALUE"""),"Available")</f>
        <v>Available</v>
      </c>
      <c r="Q1517" s="5" t="s">
        <v>135</v>
      </c>
      <c r="R1517" s="5" t="s">
        <v>136</v>
      </c>
      <c r="S1517" s="11">
        <v>3918.0</v>
      </c>
    </row>
    <row r="1518">
      <c r="A1518" s="5" t="str">
        <f>IFERROR(__xludf.DUMMYFUNCTION("""COMPUTED_VALUE"""),"Sodium Acetate Injection")</f>
        <v>Sodium Acetate Injection</v>
      </c>
      <c r="B1518" s="5" t="str">
        <f>IFERROR(__xludf.DUMMYFUNCTION("""COMPUTED_VALUE"""),"Milla Pharmaceuticals")</f>
        <v>Milla Pharmaceuticals</v>
      </c>
      <c r="C1518" s="5" t="str">
        <f>IFERROR(__xludf.DUMMYFUNCTION("""COMPUTED_VALUE"""),"Sodium Acetate, Injection, 40 mEq/20mL (2 mEq/mL) (NDC 71357-002-10)")</f>
        <v>Sodium Acetate, Injection, 40 mEq/20mL (2 mEq/mL) (NDC 71357-002-10)</v>
      </c>
      <c r="D1518" s="5" t="str">
        <f>IFERROR(__xludf.DUMMYFUNCTION("""COMPUTED_VALUE"""),"Reverified")</f>
        <v>Reverified</v>
      </c>
      <c r="E1518" s="13">
        <f>IFERROR(__xludf.DUMMYFUNCTION("""COMPUTED_VALUE"""),46310.0)</f>
        <v>46310</v>
      </c>
      <c r="F1518" s="5" t="str">
        <f>IFERROR(__xludf.DUMMYFUNCTION("""COMPUTED_VALUE"""),"Available")</f>
        <v>Available</v>
      </c>
      <c r="G1518" s="5"/>
      <c r="H1518" s="5"/>
      <c r="I1518" s="5"/>
      <c r="J1518" s="5" t="str">
        <f>IFERROR(__xludf.DUMMYFUNCTION("""COMPUTED_VALUE"""),"Endocrinology/Metabolism; Gastroenterology; Pediatric; Total Parenteral Nutrition")</f>
        <v>Endocrinology/Metabolism; Gastroenterology; Pediatric; Total Parenteral Nutrition</v>
      </c>
      <c r="K1518" s="5" t="str">
        <f>IFERROR(__xludf.DUMMYFUNCTION("""COMPUTED_VALUE"""),"Current")</f>
        <v>Current</v>
      </c>
      <c r="L1518" s="5"/>
      <c r="M1518" s="5"/>
      <c r="N1518" s="10">
        <f>IFERROR(__xludf.DUMMYFUNCTION("""COMPUTED_VALUE"""),42403.0)</f>
        <v>42403</v>
      </c>
      <c r="O1518" s="5">
        <v>2016.0</v>
      </c>
      <c r="P1518" s="5" t="str">
        <f>IFERROR(__xludf.DUMMYFUNCTION("""COMPUTED_VALUE"""),"Available")</f>
        <v>Available</v>
      </c>
      <c r="Q1518" s="5" t="s">
        <v>135</v>
      </c>
      <c r="R1518" s="5" t="s">
        <v>136</v>
      </c>
      <c r="S1518" s="11">
        <v>3918.0</v>
      </c>
    </row>
    <row r="1519">
      <c r="A1519" s="5" t="str">
        <f>IFERROR(__xludf.DUMMYFUNCTION("""COMPUTED_VALUE"""),"Sodium Acetate Injection")</f>
        <v>Sodium Acetate Injection</v>
      </c>
      <c r="B1519" s="5" t="str">
        <f>IFERROR(__xludf.DUMMYFUNCTION("""COMPUTED_VALUE"""),"Hikma Pharmaceuticals USA, Inc.")</f>
        <v>Hikma Pharmaceuticals USA, Inc.</v>
      </c>
      <c r="C1519" s="5" t="str">
        <f>IFERROR(__xludf.DUMMYFUNCTION("""COMPUTED_VALUE"""),"Sodium Acetate, Injection, 40 mEq/20mL (2 mEq/mL) (NDC 0641-6261-01)")</f>
        <v>Sodium Acetate, Injection, 40 mEq/20mL (2 mEq/mL) (NDC 0641-6261-01)</v>
      </c>
      <c r="D1519" s="5" t="str">
        <f>IFERROR(__xludf.DUMMYFUNCTION("""COMPUTED_VALUE"""),"Reverified")</f>
        <v>Reverified</v>
      </c>
      <c r="E1519" s="13">
        <f>IFERROR(__xludf.DUMMYFUNCTION("""COMPUTED_VALUE"""),46309.0)</f>
        <v>46309</v>
      </c>
      <c r="F1519" s="5" t="str">
        <f>IFERROR(__xludf.DUMMYFUNCTION("""COMPUTED_VALUE"""),"Available")</f>
        <v>Available</v>
      </c>
      <c r="G1519" s="5" t="str">
        <f>IFERROR(__xludf.DUMMYFUNCTION("""COMPUTED_VALUE"""),"Additional lots will be available. Product will be made available as it is released.")</f>
        <v>Additional lots will be available. Product will be made available as it is released.</v>
      </c>
      <c r="H1519" s="5"/>
      <c r="I1519" s="5"/>
      <c r="J1519" s="5" t="str">
        <f>IFERROR(__xludf.DUMMYFUNCTION("""COMPUTED_VALUE"""),"Endocrinology/Metabolism; Gastroenterology; Pediatric; Total Parenteral Nutrition")</f>
        <v>Endocrinology/Metabolism; Gastroenterology; Pediatric; Total Parenteral Nutrition</v>
      </c>
      <c r="K1519" s="5" t="str">
        <f>IFERROR(__xludf.DUMMYFUNCTION("""COMPUTED_VALUE"""),"Current")</f>
        <v>Current</v>
      </c>
      <c r="L1519" s="5"/>
      <c r="M1519" s="5"/>
      <c r="N1519" s="10">
        <f>IFERROR(__xludf.DUMMYFUNCTION("""COMPUTED_VALUE"""),42403.0)</f>
        <v>42403</v>
      </c>
      <c r="O1519" s="5">
        <v>2016.0</v>
      </c>
      <c r="P1519" s="5" t="str">
        <f>IFERROR(__xludf.DUMMYFUNCTION("""COMPUTED_VALUE"""),"Available")</f>
        <v>Available</v>
      </c>
      <c r="Q1519" s="5" t="s">
        <v>135</v>
      </c>
      <c r="R1519" s="5" t="s">
        <v>136</v>
      </c>
      <c r="S1519" s="11">
        <v>3918.0</v>
      </c>
    </row>
    <row r="1520">
      <c r="A1520" s="5" t="str">
        <f>IFERROR(__xludf.DUMMYFUNCTION("""COMPUTED_VALUE"""),"Sodium Acetate Injection")</f>
        <v>Sodium Acetate Injection</v>
      </c>
      <c r="B1520" s="5" t="str">
        <f>IFERROR(__xludf.DUMMYFUNCTION("""COMPUTED_VALUE"""),"Hikma Pharmaceuticals USA, Inc.")</f>
        <v>Hikma Pharmaceuticals USA, Inc.</v>
      </c>
      <c r="C1520" s="5" t="str">
        <f>IFERROR(__xludf.DUMMYFUNCTION("""COMPUTED_VALUE"""),"Sodium Acetate, Injection, 100 mEq/50mL (2 mEq/mL) (NDC 0641-6262-01)")</f>
        <v>Sodium Acetate, Injection, 100 mEq/50mL (2 mEq/mL) (NDC 0641-6262-01)</v>
      </c>
      <c r="D1520" s="5" t="str">
        <f>IFERROR(__xludf.DUMMYFUNCTION("""COMPUTED_VALUE"""),"Reverified")</f>
        <v>Reverified</v>
      </c>
      <c r="E1520" s="13">
        <f>IFERROR(__xludf.DUMMYFUNCTION("""COMPUTED_VALUE"""),46309.0)</f>
        <v>46309</v>
      </c>
      <c r="F1520" s="5" t="str">
        <f>IFERROR(__xludf.DUMMYFUNCTION("""COMPUTED_VALUE"""),"Available")</f>
        <v>Available</v>
      </c>
      <c r="G1520" s="5" t="str">
        <f>IFERROR(__xludf.DUMMYFUNCTION("""COMPUTED_VALUE"""),"Additional lots will be available.  Product will be made available as it is released.")</f>
        <v>Additional lots will be available.  Product will be made available as it is released.</v>
      </c>
      <c r="H1520" s="5"/>
      <c r="I1520" s="5"/>
      <c r="J1520" s="5" t="str">
        <f>IFERROR(__xludf.DUMMYFUNCTION("""COMPUTED_VALUE"""),"Endocrinology/Metabolism; Gastroenterology; Pediatric; Total Parenteral Nutrition")</f>
        <v>Endocrinology/Metabolism; Gastroenterology; Pediatric; Total Parenteral Nutrition</v>
      </c>
      <c r="K1520" s="5" t="str">
        <f>IFERROR(__xludf.DUMMYFUNCTION("""COMPUTED_VALUE"""),"Current")</f>
        <v>Current</v>
      </c>
      <c r="L1520" s="5"/>
      <c r="M1520" s="5"/>
      <c r="N1520" s="10">
        <f>IFERROR(__xludf.DUMMYFUNCTION("""COMPUTED_VALUE"""),42403.0)</f>
        <v>42403</v>
      </c>
      <c r="O1520" s="5">
        <v>2016.0</v>
      </c>
      <c r="P1520" s="5" t="str">
        <f>IFERROR(__xludf.DUMMYFUNCTION("""COMPUTED_VALUE"""),"Available")</f>
        <v>Available</v>
      </c>
      <c r="Q1520" s="5" t="s">
        <v>135</v>
      </c>
      <c r="R1520" s="5" t="s">
        <v>136</v>
      </c>
      <c r="S1520" s="11">
        <v>3918.0</v>
      </c>
    </row>
    <row r="1521">
      <c r="A1521" s="5" t="str">
        <f>IFERROR(__xludf.DUMMYFUNCTION("""COMPUTED_VALUE"""),"Sodium Acetate Injection")</f>
        <v>Sodium Acetate Injection</v>
      </c>
      <c r="B1521" s="5" t="str">
        <f>IFERROR(__xludf.DUMMYFUNCTION("""COMPUTED_VALUE"""),"Milla Pharmaceuticals")</f>
        <v>Milla Pharmaceuticals</v>
      </c>
      <c r="C1521" s="5" t="str">
        <f>IFERROR(__xludf.DUMMYFUNCTION("""COMPUTED_VALUE"""),"Sodium Acetate, Injection, 400 mEq/100mL (4 mEq/mL) (NDC 71357-009-10)")</f>
        <v>Sodium Acetate, Injection, 400 mEq/100mL (4 mEq/mL) (NDC 71357-009-10)</v>
      </c>
      <c r="D1521" s="5" t="str">
        <f>IFERROR(__xludf.DUMMYFUNCTION("""COMPUTED_VALUE"""),"Reverified")</f>
        <v>Reverified</v>
      </c>
      <c r="E1521" s="13">
        <f>IFERROR(__xludf.DUMMYFUNCTION("""COMPUTED_VALUE"""),46310.0)</f>
        <v>46310</v>
      </c>
      <c r="F1521" s="5" t="str">
        <f>IFERROR(__xludf.DUMMYFUNCTION("""COMPUTED_VALUE"""),"Limited Availability")</f>
        <v>Limited Availability</v>
      </c>
      <c r="G1521" s="5" t="str">
        <f>IFERROR(__xludf.DUMMYFUNCTION("""COMPUTED_VALUE"""),"Estimated recovery: TBD")</f>
        <v>Estimated recovery: TBD</v>
      </c>
      <c r="H1521" s="5"/>
      <c r="I1521" s="5" t="str">
        <f>IFERROR(__xludf.DUMMYFUNCTION("""COMPUTED_VALUE"""),"Other")</f>
        <v>Other</v>
      </c>
      <c r="J1521" s="5" t="str">
        <f>IFERROR(__xludf.DUMMYFUNCTION("""COMPUTED_VALUE"""),"Endocrinology/Metabolism; Gastroenterology; Pediatric; Total Parenteral Nutrition")</f>
        <v>Endocrinology/Metabolism; Gastroenterology; Pediatric; Total Parenteral Nutrition</v>
      </c>
      <c r="K1521" s="5" t="str">
        <f>IFERROR(__xludf.DUMMYFUNCTION("""COMPUTED_VALUE"""),"Current")</f>
        <v>Current</v>
      </c>
      <c r="L1521" s="5"/>
      <c r="M1521" s="5"/>
      <c r="N1521" s="10">
        <f>IFERROR(__xludf.DUMMYFUNCTION("""COMPUTED_VALUE"""),42403.0)</f>
        <v>42403</v>
      </c>
      <c r="O1521" s="5">
        <v>2016.0</v>
      </c>
      <c r="P1521" s="5" t="str">
        <f>IFERROR(__xludf.DUMMYFUNCTION("""COMPUTED_VALUE"""),"Limited Availability")</f>
        <v>Limited Availability</v>
      </c>
      <c r="Q1521" s="5" t="s">
        <v>47</v>
      </c>
      <c r="R1521" s="5" t="s">
        <v>136</v>
      </c>
      <c r="S1521" s="11">
        <v>3918.0</v>
      </c>
    </row>
    <row r="1522">
      <c r="A1522" s="5" t="str">
        <f>IFERROR(__xludf.DUMMYFUNCTION("""COMPUTED_VALUE"""),"Sodium Acetate Injection")</f>
        <v>Sodium Acetate Injection</v>
      </c>
      <c r="B1522" s="5" t="str">
        <f>IFERROR(__xludf.DUMMYFUNCTION("""COMPUTED_VALUE"""),"Hospira, Inc., a Pfizer Company")</f>
        <v>Hospira, Inc., a Pfizer Company</v>
      </c>
      <c r="C1522" s="5" t="str">
        <f>IFERROR(__xludf.DUMMYFUNCTION("""COMPUTED_VALUE"""),"Sodium Acetate, Injection, 100 mEq/50 mL (2 mEq/mL) (NDC 0409-3299-05)")</f>
        <v>Sodium Acetate, Injection, 100 mEq/50 mL (2 mEq/mL) (NDC 0409-3299-05)</v>
      </c>
      <c r="D1522" s="5" t="str">
        <f>IFERROR(__xludf.DUMMYFUNCTION("""COMPUTED_VALUE"""),"Reverified")</f>
        <v>Reverified</v>
      </c>
      <c r="E1522" s="13">
        <f>IFERROR(__xludf.DUMMYFUNCTION("""COMPUTED_VALUE"""),46316.0)</f>
        <v>46316</v>
      </c>
      <c r="F1522" s="5" t="str">
        <f>IFERROR(__xludf.DUMMYFUNCTION("""COMPUTED_VALUE"""),"Available")</f>
        <v>Available</v>
      </c>
      <c r="G1522" s="5"/>
      <c r="H1522" s="5"/>
      <c r="I1522" s="5"/>
      <c r="J1522" s="5" t="str">
        <f>IFERROR(__xludf.DUMMYFUNCTION("""COMPUTED_VALUE"""),"Endocrinology/Metabolism; Gastroenterology; Pediatric; Total Parenteral Nutrition")</f>
        <v>Endocrinology/Metabolism; Gastroenterology; Pediatric; Total Parenteral Nutrition</v>
      </c>
      <c r="K1522" s="5" t="str">
        <f>IFERROR(__xludf.DUMMYFUNCTION("""COMPUTED_VALUE"""),"Current")</f>
        <v>Current</v>
      </c>
      <c r="L1522" s="5"/>
      <c r="M1522" s="5"/>
      <c r="N1522" s="10">
        <f>IFERROR(__xludf.DUMMYFUNCTION("""COMPUTED_VALUE"""),42403.0)</f>
        <v>42403</v>
      </c>
      <c r="O1522" s="5">
        <v>2016.0</v>
      </c>
      <c r="P1522" s="5" t="str">
        <f>IFERROR(__xludf.DUMMYFUNCTION("""COMPUTED_VALUE"""),"Available")</f>
        <v>Available</v>
      </c>
      <c r="Q1522" s="5" t="s">
        <v>135</v>
      </c>
      <c r="R1522" s="5" t="s">
        <v>136</v>
      </c>
      <c r="S1522" s="11">
        <v>3918.0</v>
      </c>
    </row>
    <row r="1523">
      <c r="A1523" s="5" t="str">
        <f>IFERROR(__xludf.DUMMYFUNCTION("""COMPUTED_VALUE"""),"Sodium Acetate Injection")</f>
        <v>Sodium Acetate Injection</v>
      </c>
      <c r="B1523" s="5" t="str">
        <f>IFERROR(__xludf.DUMMYFUNCTION("""COMPUTED_VALUE"""),"Hospira, Inc., a Pfizer Company")</f>
        <v>Hospira, Inc., a Pfizer Company</v>
      </c>
      <c r="C1523" s="5" t="str">
        <f>IFERROR(__xludf.DUMMYFUNCTION("""COMPUTED_VALUE"""),"Sodium Acetate, Injection, 200 mEq/100 mL (2 mEq/mL) (NDC 0409-3299-06)")</f>
        <v>Sodium Acetate, Injection, 200 mEq/100 mL (2 mEq/mL) (NDC 0409-3299-06)</v>
      </c>
      <c r="D1523" s="5" t="str">
        <f>IFERROR(__xludf.DUMMYFUNCTION("""COMPUTED_VALUE"""),"Revised")</f>
        <v>Revised</v>
      </c>
      <c r="E1523" s="13">
        <f>IFERROR(__xludf.DUMMYFUNCTION("""COMPUTED_VALUE"""),46316.0)</f>
        <v>46316</v>
      </c>
      <c r="F1523" s="5" t="str">
        <f>IFERROR(__xludf.DUMMYFUNCTION("""COMPUTED_VALUE"""),"Available")</f>
        <v>Available</v>
      </c>
      <c r="G1523" s="5"/>
      <c r="H1523" s="5"/>
      <c r="I1523" s="5"/>
      <c r="J1523" s="5" t="str">
        <f>IFERROR(__xludf.DUMMYFUNCTION("""COMPUTED_VALUE"""),"Endocrinology/Metabolism; Gastroenterology; Pediatric; Total Parenteral Nutrition")</f>
        <v>Endocrinology/Metabolism; Gastroenterology; Pediatric; Total Parenteral Nutrition</v>
      </c>
      <c r="K1523" s="5" t="str">
        <f>IFERROR(__xludf.DUMMYFUNCTION("""COMPUTED_VALUE"""),"Current")</f>
        <v>Current</v>
      </c>
      <c r="L1523" s="5"/>
      <c r="M1523" s="5"/>
      <c r="N1523" s="10">
        <f>IFERROR(__xludf.DUMMYFUNCTION("""COMPUTED_VALUE"""),42403.0)</f>
        <v>42403</v>
      </c>
      <c r="O1523" s="5">
        <v>2016.0</v>
      </c>
      <c r="P1523" s="5" t="str">
        <f>IFERROR(__xludf.DUMMYFUNCTION("""COMPUTED_VALUE"""),"Available")</f>
        <v>Available</v>
      </c>
      <c r="Q1523" s="5" t="s">
        <v>135</v>
      </c>
      <c r="R1523" s="5" t="s">
        <v>136</v>
      </c>
      <c r="S1523" s="11">
        <v>3918.0</v>
      </c>
    </row>
    <row r="1524">
      <c r="A1524" s="5" t="str">
        <f>IFERROR(__xludf.DUMMYFUNCTION("""COMPUTED_VALUE"""),"Sodium Acetate Injection")</f>
        <v>Sodium Acetate Injection</v>
      </c>
      <c r="B1524" s="5" t="str">
        <f>IFERROR(__xludf.DUMMYFUNCTION("""COMPUTED_VALUE"""),"Hospira, Inc., a Pfizer Company")</f>
        <v>Hospira, Inc., a Pfizer Company</v>
      </c>
      <c r="C1524" s="5" t="str">
        <f>IFERROR(__xludf.DUMMYFUNCTION("""COMPUTED_VALUE"""),"Sodium Acetate, Injection, 40 mEq/20 mL (2 mEq/mL) (NDC 0409-7299-73)")</f>
        <v>Sodium Acetate, Injection, 40 mEq/20 mL (2 mEq/mL) (NDC 0409-7299-73)</v>
      </c>
      <c r="D1524" s="5" t="str">
        <f>IFERROR(__xludf.DUMMYFUNCTION("""COMPUTED_VALUE"""),"Reverified")</f>
        <v>Reverified</v>
      </c>
      <c r="E1524" s="13">
        <f>IFERROR(__xludf.DUMMYFUNCTION("""COMPUTED_VALUE"""),46316.0)</f>
        <v>46316</v>
      </c>
      <c r="F1524" s="5" t="str">
        <f>IFERROR(__xludf.DUMMYFUNCTION("""COMPUTED_VALUE"""),"Available")</f>
        <v>Available</v>
      </c>
      <c r="G1524" s="5"/>
      <c r="H1524" s="5"/>
      <c r="I1524" s="5"/>
      <c r="J1524" s="5" t="str">
        <f>IFERROR(__xludf.DUMMYFUNCTION("""COMPUTED_VALUE"""),"Endocrinology/Metabolism; Gastroenterology; Pediatric; Total Parenteral Nutrition")</f>
        <v>Endocrinology/Metabolism; Gastroenterology; Pediatric; Total Parenteral Nutrition</v>
      </c>
      <c r="K1524" s="5" t="str">
        <f>IFERROR(__xludf.DUMMYFUNCTION("""COMPUTED_VALUE"""),"Current")</f>
        <v>Current</v>
      </c>
      <c r="L1524" s="5"/>
      <c r="M1524" s="5"/>
      <c r="N1524" s="10">
        <f>IFERROR(__xludf.DUMMYFUNCTION("""COMPUTED_VALUE"""),42403.0)</f>
        <v>42403</v>
      </c>
      <c r="O1524" s="5">
        <v>2016.0</v>
      </c>
      <c r="P1524" s="5" t="str">
        <f>IFERROR(__xludf.DUMMYFUNCTION("""COMPUTED_VALUE"""),"Available")</f>
        <v>Available</v>
      </c>
      <c r="Q1524" s="5" t="s">
        <v>135</v>
      </c>
      <c r="R1524" s="5" t="s">
        <v>136</v>
      </c>
      <c r="S1524" s="11">
        <v>3918.0</v>
      </c>
    </row>
    <row r="1525">
      <c r="A1525" s="5" t="str">
        <f>IFERROR(__xludf.DUMMYFUNCTION("""COMPUTED_VALUE"""),"Sodium Acetate Injection")</f>
        <v>Sodium Acetate Injection</v>
      </c>
      <c r="B1525" s="5" t="str">
        <f>IFERROR(__xludf.DUMMYFUNCTION("""COMPUTED_VALUE"""),"Fresenius Kabi USA, LLC")</f>
        <v>Fresenius Kabi USA, LLC</v>
      </c>
      <c r="C1525" s="5" t="str">
        <f>IFERROR(__xludf.DUMMYFUNCTION("""COMPUTED_VALUE"""),"Sodium Acetate, Injection, 4 meq/100 mL (NDC 63323-032-00)")</f>
        <v>Sodium Acetate, Injection, 4 meq/100 mL (NDC 63323-032-00)</v>
      </c>
      <c r="D1525" s="5" t="str">
        <f>IFERROR(__xludf.DUMMYFUNCTION("""COMPUTED_VALUE"""),"Revised")</f>
        <v>Revised</v>
      </c>
      <c r="E1525" s="13">
        <f>IFERROR(__xludf.DUMMYFUNCTION("""COMPUTED_VALUE"""),46310.0)</f>
        <v>46310</v>
      </c>
      <c r="F1525" s="5" t="str">
        <f>IFERROR(__xludf.DUMMYFUNCTION("""COMPUTED_VALUE"""),"Unavailable")</f>
        <v>Unavailable</v>
      </c>
      <c r="G1525" s="5" t="str">
        <f>IFERROR(__xludf.DUMMYFUNCTION("""COMPUTED_VALUE"""),"Next release November 2026. Check wholesalers for inventory.")</f>
        <v>Next release November 2026. Check wholesalers for inventory.</v>
      </c>
      <c r="H1525" s="5"/>
      <c r="I1525" s="5" t="str">
        <f>IFERROR(__xludf.DUMMYFUNCTION("""COMPUTED_VALUE"""),"Other")</f>
        <v>Other</v>
      </c>
      <c r="J1525" s="5" t="str">
        <f>IFERROR(__xludf.DUMMYFUNCTION("""COMPUTED_VALUE"""),"Endocrinology/Metabolism; Gastroenterology; Pediatric; Total Parenteral Nutrition")</f>
        <v>Endocrinology/Metabolism; Gastroenterology; Pediatric; Total Parenteral Nutrition</v>
      </c>
      <c r="K1525" s="5" t="str">
        <f>IFERROR(__xludf.DUMMYFUNCTION("""COMPUTED_VALUE"""),"Current")</f>
        <v>Current</v>
      </c>
      <c r="L1525" s="5"/>
      <c r="M1525" s="5"/>
      <c r="N1525" s="10">
        <f>IFERROR(__xludf.DUMMYFUNCTION("""COMPUTED_VALUE"""),42452.0)</f>
        <v>42452</v>
      </c>
      <c r="O1525" s="5">
        <v>2016.0</v>
      </c>
      <c r="P1525" s="5" t="str">
        <f>IFERROR(__xludf.DUMMYFUNCTION("""COMPUTED_VALUE"""),"Unavailable")</f>
        <v>Unavailable</v>
      </c>
      <c r="Q1525" s="5" t="s">
        <v>47</v>
      </c>
      <c r="R1525" s="5" t="s">
        <v>136</v>
      </c>
      <c r="S1525" s="11">
        <v>3869.0</v>
      </c>
    </row>
    <row r="1526">
      <c r="A1526" s="5" t="str">
        <f>IFERROR(__xludf.DUMMYFUNCTION("""COMPUTED_VALUE"""),"Sodium Acetate Injection")</f>
        <v>Sodium Acetate Injection</v>
      </c>
      <c r="B1526" s="5" t="str">
        <f>IFERROR(__xludf.DUMMYFUNCTION("""COMPUTED_VALUE"""),"Milla Pharmaceuticals")</f>
        <v>Milla Pharmaceuticals</v>
      </c>
      <c r="C1526" s="5" t="str">
        <f>IFERROR(__xludf.DUMMYFUNCTION("""COMPUTED_VALUE"""),"Sodium Acetate, Injection, 100 mEq/50mL (2 mEq/mL) (NDC 71357-007-10)")</f>
        <v>Sodium Acetate, Injection, 100 mEq/50mL (2 mEq/mL) (NDC 71357-007-10)</v>
      </c>
      <c r="D1526" s="5" t="str">
        <f>IFERROR(__xludf.DUMMYFUNCTION("""COMPUTED_VALUE"""),"Reverified")</f>
        <v>Reverified</v>
      </c>
      <c r="E1526" s="13">
        <f>IFERROR(__xludf.DUMMYFUNCTION("""COMPUTED_VALUE"""),46310.0)</f>
        <v>46310</v>
      </c>
      <c r="F1526" s="5" t="str">
        <f>IFERROR(__xludf.DUMMYFUNCTION("""COMPUTED_VALUE"""),"Available")</f>
        <v>Available</v>
      </c>
      <c r="G1526" s="5"/>
      <c r="H1526" s="5"/>
      <c r="I1526" s="5"/>
      <c r="J1526" s="5" t="str">
        <f>IFERROR(__xludf.DUMMYFUNCTION("""COMPUTED_VALUE"""),"Total Parenteral Nutrition")</f>
        <v>Total Parenteral Nutrition</v>
      </c>
      <c r="K1526" s="5" t="str">
        <f>IFERROR(__xludf.DUMMYFUNCTION("""COMPUTED_VALUE"""),"Current")</f>
        <v>Current</v>
      </c>
      <c r="L1526" s="5"/>
      <c r="M1526" s="5"/>
      <c r="N1526" s="10">
        <f>IFERROR(__xludf.DUMMYFUNCTION("""COMPUTED_VALUE"""),42452.0)</f>
        <v>42452</v>
      </c>
      <c r="O1526" s="5">
        <v>2016.0</v>
      </c>
      <c r="P1526" s="5" t="str">
        <f>IFERROR(__xludf.DUMMYFUNCTION("""COMPUTED_VALUE"""),"Available")</f>
        <v>Available</v>
      </c>
      <c r="Q1526" s="5" t="s">
        <v>135</v>
      </c>
      <c r="R1526" s="5" t="s">
        <v>136</v>
      </c>
      <c r="S1526" s="11">
        <v>3869.0</v>
      </c>
    </row>
    <row r="1527">
      <c r="A1527" s="5" t="str">
        <f>IFERROR(__xludf.DUMMYFUNCTION("""COMPUTED_VALUE"""),"Sodium Acetate Injection")</f>
        <v>Sodium Acetate Injection</v>
      </c>
      <c r="B1527" s="5" t="str">
        <f>IFERROR(__xludf.DUMMYFUNCTION("""COMPUTED_VALUE"""),"Milla Pharmaceuticals")</f>
        <v>Milla Pharmaceuticals</v>
      </c>
      <c r="C1527" s="5" t="str">
        <f>IFERROR(__xludf.DUMMYFUNCTION("""COMPUTED_VALUE"""),"Sodium Acetate, Injection, 200 mEq/100mL (2 mEq/mL) (NDC 71357-008-10)")</f>
        <v>Sodium Acetate, Injection, 200 mEq/100mL (2 mEq/mL) (NDC 71357-008-10)</v>
      </c>
      <c r="D1527" s="5" t="str">
        <f>IFERROR(__xludf.DUMMYFUNCTION("""COMPUTED_VALUE"""),"Reverified")</f>
        <v>Reverified</v>
      </c>
      <c r="E1527" s="13">
        <f>IFERROR(__xludf.DUMMYFUNCTION("""COMPUTED_VALUE"""),46310.0)</f>
        <v>46310</v>
      </c>
      <c r="F1527" s="5" t="str">
        <f>IFERROR(__xludf.DUMMYFUNCTION("""COMPUTED_VALUE"""),"Available")</f>
        <v>Available</v>
      </c>
      <c r="G1527" s="5"/>
      <c r="H1527" s="5"/>
      <c r="I1527" s="5"/>
      <c r="J1527" s="5" t="str">
        <f>IFERROR(__xludf.DUMMYFUNCTION("""COMPUTED_VALUE"""),"Total Parenteral Nutrition")</f>
        <v>Total Parenteral Nutrition</v>
      </c>
      <c r="K1527" s="5" t="str">
        <f>IFERROR(__xludf.DUMMYFUNCTION("""COMPUTED_VALUE"""),"Current")</f>
        <v>Current</v>
      </c>
      <c r="L1527" s="5"/>
      <c r="M1527" s="5"/>
      <c r="N1527" s="10">
        <f>IFERROR(__xludf.DUMMYFUNCTION("""COMPUTED_VALUE"""),42452.0)</f>
        <v>42452</v>
      </c>
      <c r="O1527" s="5">
        <v>2016.0</v>
      </c>
      <c r="P1527" s="5" t="str">
        <f>IFERROR(__xludf.DUMMYFUNCTION("""COMPUTED_VALUE"""),"Available")</f>
        <v>Available</v>
      </c>
      <c r="Q1527" s="5" t="s">
        <v>135</v>
      </c>
      <c r="R1527" s="5" t="s">
        <v>136</v>
      </c>
      <c r="S1527" s="11">
        <v>3869.0</v>
      </c>
    </row>
    <row r="1528">
      <c r="A1528" s="5" t="str">
        <f>IFERROR(__xludf.DUMMYFUNCTION("""COMPUTED_VALUE"""),"Sodium Acetate Injection")</f>
        <v>Sodium Acetate Injection</v>
      </c>
      <c r="B1528" s="5" t="str">
        <f>IFERROR(__xludf.DUMMYFUNCTION("""COMPUTED_VALUE"""),"Hospira, Inc., a Pfizer Company")</f>
        <v>Hospira, Inc., a Pfizer Company</v>
      </c>
      <c r="C1528" s="5" t="str">
        <f>IFERROR(__xludf.DUMMYFUNCTION("""COMPUTED_VALUE"""),"Sodium Acetate, Injection, 200 mEq/100 mL (2 mEq/mL) (NDC 0409-3299-25)")</f>
        <v>Sodium Acetate, Injection, 200 mEq/100 mL (2 mEq/mL) (NDC 0409-3299-25)</v>
      </c>
      <c r="D1528" s="5" t="str">
        <f>IFERROR(__xludf.DUMMYFUNCTION("""COMPUTED_VALUE"""),"Reverified")</f>
        <v>Reverified</v>
      </c>
      <c r="E1528" s="13">
        <f>IFERROR(__xludf.DUMMYFUNCTION("""COMPUTED_VALUE"""),46316.0)</f>
        <v>46316</v>
      </c>
      <c r="F1528" s="5" t="str">
        <f>IFERROR(__xludf.DUMMYFUNCTION("""COMPUTED_VALUE"""),"Available")</f>
        <v>Available</v>
      </c>
      <c r="G1528" s="5"/>
      <c r="H1528" s="5"/>
      <c r="I1528" s="5"/>
      <c r="J1528" s="5" t="str">
        <f>IFERROR(__xludf.DUMMYFUNCTION("""COMPUTED_VALUE"""),"Endocrinology/Metabolism; Gastroenterology; Pediatric; Total Parenteral Nutrition")</f>
        <v>Endocrinology/Metabolism; Gastroenterology; Pediatric; Total Parenteral Nutrition</v>
      </c>
      <c r="K1528" s="5" t="str">
        <f>IFERROR(__xludf.DUMMYFUNCTION("""COMPUTED_VALUE"""),"Current")</f>
        <v>Current</v>
      </c>
      <c r="L1528" s="5"/>
      <c r="M1528" s="5"/>
      <c r="N1528" s="10">
        <f>IFERROR(__xludf.DUMMYFUNCTION("""COMPUTED_VALUE"""),42403.0)</f>
        <v>42403</v>
      </c>
      <c r="O1528" s="5">
        <v>2016.0</v>
      </c>
      <c r="P1528" s="5" t="str">
        <f>IFERROR(__xludf.DUMMYFUNCTION("""COMPUTED_VALUE"""),"Available")</f>
        <v>Available</v>
      </c>
      <c r="Q1528" s="5" t="s">
        <v>135</v>
      </c>
      <c r="R1528" s="5" t="s">
        <v>136</v>
      </c>
      <c r="S1528" s="11">
        <v>3918.0</v>
      </c>
    </row>
    <row r="1529">
      <c r="A1529" s="5" t="str">
        <f>IFERROR(__xludf.DUMMYFUNCTION("""COMPUTED_VALUE"""),"Sodium Acetate Injection")</f>
        <v>Sodium Acetate Injection</v>
      </c>
      <c r="B1529" s="5" t="str">
        <f>IFERROR(__xludf.DUMMYFUNCTION("""COMPUTED_VALUE"""),"Hospira, Inc., a Pfizer Company")</f>
        <v>Hospira, Inc., a Pfizer Company</v>
      </c>
      <c r="C1529" s="5" t="str">
        <f>IFERROR(__xludf.DUMMYFUNCTION("""COMPUTED_VALUE"""),"Sodium Acetate, Injection, 100 mEq/50 mL (2 mEq/mL) (NDC 0409-3299-26)")</f>
        <v>Sodium Acetate, Injection, 100 mEq/50 mL (2 mEq/mL) (NDC 0409-3299-26)</v>
      </c>
      <c r="D1529" s="5" t="str">
        <f>IFERROR(__xludf.DUMMYFUNCTION("""COMPUTED_VALUE"""),"Reverified")</f>
        <v>Reverified</v>
      </c>
      <c r="E1529" s="13">
        <f>IFERROR(__xludf.DUMMYFUNCTION("""COMPUTED_VALUE"""),46316.0)</f>
        <v>46316</v>
      </c>
      <c r="F1529" s="5" t="str">
        <f>IFERROR(__xludf.DUMMYFUNCTION("""COMPUTED_VALUE"""),"Available")</f>
        <v>Available</v>
      </c>
      <c r="G1529" s="5"/>
      <c r="H1529" s="5"/>
      <c r="I1529" s="5"/>
      <c r="J1529" s="5" t="str">
        <f>IFERROR(__xludf.DUMMYFUNCTION("""COMPUTED_VALUE"""),"Endocrinology/Metabolism; Gastroenterology; Pediatric; Total Parenteral Nutrition")</f>
        <v>Endocrinology/Metabolism; Gastroenterology; Pediatric; Total Parenteral Nutrition</v>
      </c>
      <c r="K1529" s="5" t="str">
        <f>IFERROR(__xludf.DUMMYFUNCTION("""COMPUTED_VALUE"""),"Current")</f>
        <v>Current</v>
      </c>
      <c r="L1529" s="5"/>
      <c r="M1529" s="5"/>
      <c r="N1529" s="10">
        <f>IFERROR(__xludf.DUMMYFUNCTION("""COMPUTED_VALUE"""),42403.0)</f>
        <v>42403</v>
      </c>
      <c r="O1529" s="5">
        <v>2016.0</v>
      </c>
      <c r="P1529" s="5" t="str">
        <f>IFERROR(__xludf.DUMMYFUNCTION("""COMPUTED_VALUE"""),"Available")</f>
        <v>Available</v>
      </c>
      <c r="Q1529" s="5" t="s">
        <v>135</v>
      </c>
      <c r="R1529" s="5" t="s">
        <v>136</v>
      </c>
      <c r="S1529" s="11">
        <v>3918.0</v>
      </c>
    </row>
    <row r="1530">
      <c r="A1530" s="5" t="str">
        <f>IFERROR(__xludf.DUMMYFUNCTION("""COMPUTED_VALUE"""),"Sodium Acetate Injection")</f>
        <v>Sodium Acetate Injection</v>
      </c>
      <c r="B1530" s="5" t="str">
        <f>IFERROR(__xludf.DUMMYFUNCTION("""COMPUTED_VALUE"""),"Hospira, Inc., a Pfizer Company")</f>
        <v>Hospira, Inc., a Pfizer Company</v>
      </c>
      <c r="C1530" s="5" t="str">
        <f>IFERROR(__xludf.DUMMYFUNCTION("""COMPUTED_VALUE"""),"Sodium Acetate, Injection, 40 mEq/20 mL (2 mEq/mL) (NDC 0409-7299-25)")</f>
        <v>Sodium Acetate, Injection, 40 mEq/20 mL (2 mEq/mL) (NDC 0409-7299-25)</v>
      </c>
      <c r="D1530" s="5" t="str">
        <f>IFERROR(__xludf.DUMMYFUNCTION("""COMPUTED_VALUE"""),"Reverified")</f>
        <v>Reverified</v>
      </c>
      <c r="E1530" s="13">
        <f>IFERROR(__xludf.DUMMYFUNCTION("""COMPUTED_VALUE"""),46316.0)</f>
        <v>46316</v>
      </c>
      <c r="F1530" s="5" t="str">
        <f>IFERROR(__xludf.DUMMYFUNCTION("""COMPUTED_VALUE"""),"Available")</f>
        <v>Available</v>
      </c>
      <c r="G1530" s="5"/>
      <c r="H1530" s="5"/>
      <c r="I1530" s="5"/>
      <c r="J1530" s="5" t="str">
        <f>IFERROR(__xludf.DUMMYFUNCTION("""COMPUTED_VALUE"""),"Endocrinology/Metabolism; Gastroenterology; Pediatric; Total Parenteral Nutrition")</f>
        <v>Endocrinology/Metabolism; Gastroenterology; Pediatric; Total Parenteral Nutrition</v>
      </c>
      <c r="K1530" s="5" t="str">
        <f>IFERROR(__xludf.DUMMYFUNCTION("""COMPUTED_VALUE"""),"Current")</f>
        <v>Current</v>
      </c>
      <c r="L1530" s="5"/>
      <c r="M1530" s="5"/>
      <c r="N1530" s="10">
        <f>IFERROR(__xludf.DUMMYFUNCTION("""COMPUTED_VALUE"""),42403.0)</f>
        <v>42403</v>
      </c>
      <c r="O1530" s="5">
        <v>2016.0</v>
      </c>
      <c r="P1530" s="5" t="str">
        <f>IFERROR(__xludf.DUMMYFUNCTION("""COMPUTED_VALUE"""),"Available")</f>
        <v>Available</v>
      </c>
      <c r="Q1530" s="5" t="s">
        <v>135</v>
      </c>
      <c r="R1530" s="5" t="s">
        <v>136</v>
      </c>
      <c r="S1530" s="11">
        <v>3918.0</v>
      </c>
    </row>
    <row r="1531">
      <c r="A1531" s="5" t="str">
        <f>IFERROR(__xludf.DUMMYFUNCTION("""COMPUTED_VALUE"""),"Sodium Bicarbonate Injection")</f>
        <v>Sodium Bicarbonate Injection</v>
      </c>
      <c r="B1531" s="5" t="str">
        <f>IFERROR(__xludf.DUMMYFUNCTION("""COMPUTED_VALUE"""),"Exela Pharma Sciences, LLC")</f>
        <v>Exela Pharma Sciences, LLC</v>
      </c>
      <c r="C1531" s="5" t="str">
        <f>IFERROR(__xludf.DUMMYFUNCTION("""COMPUTED_VALUE"""),"Sodium Bicarbonate, Injection, 84 mg/1 mL (NDC 51754-5011-4)")</f>
        <v>Sodium Bicarbonate, Injection, 84 mg/1 mL (NDC 51754-5011-4)</v>
      </c>
      <c r="D1531" s="5" t="str">
        <f>IFERROR(__xludf.DUMMYFUNCTION("""COMPUTED_VALUE"""),"Reverified")</f>
        <v>Reverified</v>
      </c>
      <c r="E1531" s="13">
        <f>IFERROR(__xludf.DUMMYFUNCTION("""COMPUTED_VALUE"""),46310.0)</f>
        <v>46310</v>
      </c>
      <c r="F1531" s="5" t="str">
        <f>IFERROR(__xludf.DUMMYFUNCTION("""COMPUTED_VALUE"""),"Available")</f>
        <v>Available</v>
      </c>
      <c r="G1531" s="5"/>
      <c r="H1531" s="5"/>
      <c r="I1531" s="5"/>
      <c r="J1531" s="5" t="str">
        <f>IFERROR(__xludf.DUMMYFUNCTION("""COMPUTED_VALUE"""),"Endocrinology/Metabolism; Gastroenterology; Pediatric")</f>
        <v>Endocrinology/Metabolism; Gastroenterology; Pediatric</v>
      </c>
      <c r="K1531" s="5" t="str">
        <f>IFERROR(__xludf.DUMMYFUNCTION("""COMPUTED_VALUE"""),"Current")</f>
        <v>Current</v>
      </c>
      <c r="L1531" s="5"/>
      <c r="M1531" s="5"/>
      <c r="N1531" s="10">
        <f>IFERROR(__xludf.DUMMYFUNCTION("""COMPUTED_VALUE"""),42940.0)</f>
        <v>42940</v>
      </c>
      <c r="O1531" s="5">
        <v>2017.0</v>
      </c>
      <c r="P1531" s="5" t="str">
        <f>IFERROR(__xludf.DUMMYFUNCTION("""COMPUTED_VALUE"""),"Available")</f>
        <v>Available</v>
      </c>
      <c r="Q1531" s="5" t="s">
        <v>135</v>
      </c>
      <c r="R1531" s="5" t="s">
        <v>136</v>
      </c>
      <c r="S1531" s="11">
        <v>3381.0</v>
      </c>
    </row>
    <row r="1532">
      <c r="A1532" s="5" t="str">
        <f>IFERROR(__xludf.DUMMYFUNCTION("""COMPUTED_VALUE"""),"Sodium Bicarbonate Injection")</f>
        <v>Sodium Bicarbonate Injection</v>
      </c>
      <c r="B1532" s="5" t="str">
        <f>IFERROR(__xludf.DUMMYFUNCTION("""COMPUTED_VALUE"""),"Exela Pharma Sciences, LLC")</f>
        <v>Exela Pharma Sciences, LLC</v>
      </c>
      <c r="C1532" s="5" t="str">
        <f>IFERROR(__xludf.DUMMYFUNCTION("""COMPUTED_VALUE"""),"Sodium Bicarbonate, Injection, 42 mg/1 mL (NDC 51754-5012-4)")</f>
        <v>Sodium Bicarbonate, Injection, 42 mg/1 mL (NDC 51754-5012-4)</v>
      </c>
      <c r="D1532" s="5" t="str">
        <f>IFERROR(__xludf.DUMMYFUNCTION("""COMPUTED_VALUE"""),"Reverified")</f>
        <v>Reverified</v>
      </c>
      <c r="E1532" s="13">
        <f>IFERROR(__xludf.DUMMYFUNCTION("""COMPUTED_VALUE"""),46310.0)</f>
        <v>46310</v>
      </c>
      <c r="F1532" s="5" t="str">
        <f>IFERROR(__xludf.DUMMYFUNCTION("""COMPUTED_VALUE"""),"Available")</f>
        <v>Available</v>
      </c>
      <c r="G1532" s="5"/>
      <c r="H1532" s="5"/>
      <c r="I1532" s="5"/>
      <c r="J1532" s="5" t="str">
        <f>IFERROR(__xludf.DUMMYFUNCTION("""COMPUTED_VALUE"""),"Endocrinology/Metabolism; Gastroenterology; Pediatric")</f>
        <v>Endocrinology/Metabolism; Gastroenterology; Pediatric</v>
      </c>
      <c r="K1532" s="5" t="str">
        <f>IFERROR(__xludf.DUMMYFUNCTION("""COMPUTED_VALUE"""),"Current")</f>
        <v>Current</v>
      </c>
      <c r="L1532" s="5"/>
      <c r="M1532" s="5"/>
      <c r="N1532" s="10">
        <f>IFERROR(__xludf.DUMMYFUNCTION("""COMPUTED_VALUE"""),42940.0)</f>
        <v>42940</v>
      </c>
      <c r="O1532" s="5">
        <v>2017.0</v>
      </c>
      <c r="P1532" s="5" t="str">
        <f>IFERROR(__xludf.DUMMYFUNCTION("""COMPUTED_VALUE"""),"Available")</f>
        <v>Available</v>
      </c>
      <c r="Q1532" s="5" t="s">
        <v>135</v>
      </c>
      <c r="R1532" s="5" t="s">
        <v>136</v>
      </c>
      <c r="S1532" s="11">
        <v>3381.0</v>
      </c>
    </row>
    <row r="1533">
      <c r="A1533" s="5" t="str">
        <f>IFERROR(__xludf.DUMMYFUNCTION("""COMPUTED_VALUE"""),"Sodium Bicarbonate Injection")</f>
        <v>Sodium Bicarbonate Injection</v>
      </c>
      <c r="B1533" s="5" t="str">
        <f>IFERROR(__xludf.DUMMYFUNCTION("""COMPUTED_VALUE"""),"Hospira, Inc., a Pfizer Company")</f>
        <v>Hospira, Inc., a Pfizer Company</v>
      </c>
      <c r="C1533" s="5" t="str">
        <f>IFERROR(__xludf.DUMMYFUNCTION("""COMPUTED_VALUE"""),"Sodium Bicarbonate, Injection, 2.5 mEq/5 mL (4.2%, 0.5 mEq/mL) (NDC 0409-5555-02)")</f>
        <v>Sodium Bicarbonate, Injection, 2.5 mEq/5 mL (4.2%, 0.5 mEq/mL) (NDC 0409-5555-02)</v>
      </c>
      <c r="D1533" s="5" t="str">
        <f>IFERROR(__xludf.DUMMYFUNCTION("""COMPUTED_VALUE"""),"Revised")</f>
        <v>Revised</v>
      </c>
      <c r="E1533" s="13">
        <f>IFERROR(__xludf.DUMMYFUNCTION("""COMPUTED_VALUE"""),46316.0)</f>
        <v>46316</v>
      </c>
      <c r="F1533" s="5" t="str">
        <f>IFERROR(__xludf.DUMMYFUNCTION("""COMPUTED_VALUE"""),"Limited Availability")</f>
        <v>Limited Availability</v>
      </c>
      <c r="G1533" s="5" t="str">
        <f>IFERROR(__xludf.DUMMYFUNCTION("""COMPUTED_VALUE"""),"Limited Supply Available. Next Delivery: February 2027; Estimated Recovery: March 2027")</f>
        <v>Limited Supply Available. Next Delivery: February 2027; Estimated Recovery: March 2027</v>
      </c>
      <c r="H1533" s="5"/>
      <c r="I1533" s="5" t="str">
        <f>IFERROR(__xludf.DUMMYFUNCTION("""COMPUTED_VALUE"""),"Demand increase for the drug")</f>
        <v>Demand increase for the drug</v>
      </c>
      <c r="J1533" s="5" t="str">
        <f>IFERROR(__xludf.DUMMYFUNCTION("""COMPUTED_VALUE"""),"Endocrinology/Metabolism; Gastroenterology; Pediatric")</f>
        <v>Endocrinology/Metabolism; Gastroenterology; Pediatric</v>
      </c>
      <c r="K1533" s="5" t="str">
        <f>IFERROR(__xludf.DUMMYFUNCTION("""COMPUTED_VALUE"""),"Current")</f>
        <v>Current</v>
      </c>
      <c r="L1533" s="5"/>
      <c r="M1533" s="5"/>
      <c r="N1533" s="10">
        <f>IFERROR(__xludf.DUMMYFUNCTION("""COMPUTED_VALUE"""),42795.0)</f>
        <v>42795</v>
      </c>
      <c r="O1533" s="5">
        <v>2017.0</v>
      </c>
      <c r="P1533" s="5" t="str">
        <f>IFERROR(__xludf.DUMMYFUNCTION("""COMPUTED_VALUE"""),"Limited Availability")</f>
        <v>Limited Availability</v>
      </c>
      <c r="Q1533" s="5" t="s">
        <v>134</v>
      </c>
      <c r="R1533" s="5" t="s">
        <v>136</v>
      </c>
      <c r="S1533" s="11">
        <v>3526.0</v>
      </c>
    </row>
    <row r="1534">
      <c r="A1534" s="5" t="str">
        <f>IFERROR(__xludf.DUMMYFUNCTION("""COMPUTED_VALUE"""),"Sodium Bicarbonate Injection")</f>
        <v>Sodium Bicarbonate Injection</v>
      </c>
      <c r="B1534" s="5" t="str">
        <f>IFERROR(__xludf.DUMMYFUNCTION("""COMPUTED_VALUE"""),"Hospira, Inc., a Pfizer Company")</f>
        <v>Hospira, Inc., a Pfizer Company</v>
      </c>
      <c r="C1534" s="5" t="str">
        <f>IFERROR(__xludf.DUMMYFUNCTION("""COMPUTED_VALUE"""),"Sodium Bicarbonate, Injection, 2.5 mEq/5 mL (4.2%, 0.5 mEq/mL) (NDC 0409-5555-01)")</f>
        <v>Sodium Bicarbonate, Injection, 2.5 mEq/5 mL (4.2%, 0.5 mEq/mL) (NDC 0409-5555-01)</v>
      </c>
      <c r="D1534" s="5" t="str">
        <f>IFERROR(__xludf.DUMMYFUNCTION("""COMPUTED_VALUE"""),"Revised")</f>
        <v>Revised</v>
      </c>
      <c r="E1534" s="13">
        <f>IFERROR(__xludf.DUMMYFUNCTION("""COMPUTED_VALUE"""),46316.0)</f>
        <v>46316</v>
      </c>
      <c r="F1534" s="5" t="str">
        <f>IFERROR(__xludf.DUMMYFUNCTION("""COMPUTED_VALUE"""),"Limited Supply Available. Next Delivery and Estimated Recovery: June 2027")</f>
        <v>Limited Supply Available. Next Delivery and Estimated Recovery: June 2027</v>
      </c>
      <c r="G1534" s="5" t="str">
        <f>IFERROR(__xludf.DUMMYFUNCTION("""COMPUTED_VALUE"""),"Limited Supply Available. Next Delivery and Estimated Recovery: June 2027; Shortage per Manufacturer: Manufacturing Delay")</f>
        <v>Limited Supply Available. Next Delivery and Estimated Recovery: June 2027; Shortage per Manufacturer: Manufacturing Delay</v>
      </c>
      <c r="H1534" s="5"/>
      <c r="I1534" s="5" t="str">
        <f>IFERROR(__xludf.DUMMYFUNCTION("""COMPUTED_VALUE"""),"Other")</f>
        <v>Other</v>
      </c>
      <c r="J1534" s="5" t="str">
        <f>IFERROR(__xludf.DUMMYFUNCTION("""COMPUTED_VALUE"""),"Endocrinology/Metabolism; Gastroenterology; Pediatric")</f>
        <v>Endocrinology/Metabolism; Gastroenterology; Pediatric</v>
      </c>
      <c r="K1534" s="5" t="str">
        <f>IFERROR(__xludf.DUMMYFUNCTION("""COMPUTED_VALUE"""),"Current")</f>
        <v>Current</v>
      </c>
      <c r="L1534" s="5"/>
      <c r="M1534" s="5"/>
      <c r="N1534" s="10">
        <f>IFERROR(__xludf.DUMMYFUNCTION("""COMPUTED_VALUE"""),42795.0)</f>
        <v>42795</v>
      </c>
      <c r="O1534" s="5">
        <v>2017.0</v>
      </c>
      <c r="P1534" s="5" t="str">
        <f>IFERROR(__xludf.DUMMYFUNCTION("""COMPUTED_VALUE"""),"Limited Availability")</f>
        <v>Limited Availability</v>
      </c>
      <c r="Q1534" s="5" t="s">
        <v>47</v>
      </c>
      <c r="R1534" s="5" t="s">
        <v>136</v>
      </c>
      <c r="S1534" s="11">
        <v>3526.0</v>
      </c>
    </row>
    <row r="1535">
      <c r="A1535" s="5" t="str">
        <f>IFERROR(__xludf.DUMMYFUNCTION("""COMPUTED_VALUE"""),"Sodium Bicarbonate Injection")</f>
        <v>Sodium Bicarbonate Injection</v>
      </c>
      <c r="B1535" s="5" t="str">
        <f>IFERROR(__xludf.DUMMYFUNCTION("""COMPUTED_VALUE"""),"Hospira, Inc., a Pfizer Company")</f>
        <v>Hospira, Inc., a Pfizer Company</v>
      </c>
      <c r="C1535" s="5" t="str">
        <f>IFERROR(__xludf.DUMMYFUNCTION("""COMPUTED_VALUE"""),"Sodium Bicarbonate, Injection, 50 mEq/50 mL (8.4%, 1 mEq/mL) (NDC 0409-6625-14)")</f>
        <v>Sodium Bicarbonate, Injection, 50 mEq/50 mL (8.4%, 1 mEq/mL) (NDC 0409-6625-14)</v>
      </c>
      <c r="D1535" s="5" t="str">
        <f>IFERROR(__xludf.DUMMYFUNCTION("""COMPUTED_VALUE"""),"Revised")</f>
        <v>Revised</v>
      </c>
      <c r="E1535" s="13">
        <f>IFERROR(__xludf.DUMMYFUNCTION("""COMPUTED_VALUE"""),46316.0)</f>
        <v>46316</v>
      </c>
      <c r="F1535" s="5" t="str">
        <f>IFERROR(__xludf.DUMMYFUNCTION("""COMPUTED_VALUE"""),"Available")</f>
        <v>Available</v>
      </c>
      <c r="G1535" s="5"/>
      <c r="H1535" s="5"/>
      <c r="I1535" s="5"/>
      <c r="J1535" s="5" t="str">
        <f>IFERROR(__xludf.DUMMYFUNCTION("""COMPUTED_VALUE"""),"Endocrinology/Metabolism; Gastroenterology; Pediatric")</f>
        <v>Endocrinology/Metabolism; Gastroenterology; Pediatric</v>
      </c>
      <c r="K1535" s="5" t="str">
        <f>IFERROR(__xludf.DUMMYFUNCTION("""COMPUTED_VALUE"""),"Current")</f>
        <v>Current</v>
      </c>
      <c r="L1535" s="5"/>
      <c r="M1535" s="5"/>
      <c r="N1535" s="10">
        <f>IFERROR(__xludf.DUMMYFUNCTION("""COMPUTED_VALUE"""),42795.0)</f>
        <v>42795</v>
      </c>
      <c r="O1535" s="5">
        <v>2017.0</v>
      </c>
      <c r="P1535" s="5" t="str">
        <f>IFERROR(__xludf.DUMMYFUNCTION("""COMPUTED_VALUE"""),"Available")</f>
        <v>Available</v>
      </c>
      <c r="Q1535" s="5" t="s">
        <v>135</v>
      </c>
      <c r="R1535" s="5" t="s">
        <v>136</v>
      </c>
      <c r="S1535" s="11">
        <v>3526.0</v>
      </c>
    </row>
    <row r="1536">
      <c r="A1536" s="5" t="str">
        <f>IFERROR(__xludf.DUMMYFUNCTION("""COMPUTED_VALUE"""),"Sodium Bicarbonate Injection")</f>
        <v>Sodium Bicarbonate Injection</v>
      </c>
      <c r="B1536" s="5" t="str">
        <f>IFERROR(__xludf.DUMMYFUNCTION("""COMPUTED_VALUE"""),"Hospira, Inc., a Pfizer Company")</f>
        <v>Hospira, Inc., a Pfizer Company</v>
      </c>
      <c r="C1536" s="5" t="str">
        <f>IFERROR(__xludf.DUMMYFUNCTION("""COMPUTED_VALUE"""),"Sodium Bicarbonate, Injection, 50 mEq/50 mL (8.4%, 1 mEq/mL) (NDC 0409-6625-35)")</f>
        <v>Sodium Bicarbonate, Injection, 50 mEq/50 mL (8.4%, 1 mEq/mL) (NDC 0409-6625-35)</v>
      </c>
      <c r="D1536" s="5" t="str">
        <f>IFERROR(__xludf.DUMMYFUNCTION("""COMPUTED_VALUE"""),"Revised")</f>
        <v>Revised</v>
      </c>
      <c r="E1536" s="13">
        <f>IFERROR(__xludf.DUMMYFUNCTION("""COMPUTED_VALUE"""),46316.0)</f>
        <v>46316</v>
      </c>
      <c r="F1536" s="5" t="str">
        <f>IFERROR(__xludf.DUMMYFUNCTION("""COMPUTED_VALUE"""),"Unavailable")</f>
        <v>Unavailable</v>
      </c>
      <c r="G1536" s="5" t="str">
        <f>IFERROR(__xludf.DUMMYFUNCTION("""COMPUTED_VALUE"""),"Next Delivery and Estimated Recovery: June 2027; Shortage per Manufacturer: Manufacturing Delay")</f>
        <v>Next Delivery and Estimated Recovery: June 2027; Shortage per Manufacturer: Manufacturing Delay</v>
      </c>
      <c r="H1536" s="5"/>
      <c r="I1536" s="5" t="str">
        <f>IFERROR(__xludf.DUMMYFUNCTION("""COMPUTED_VALUE"""),"Other")</f>
        <v>Other</v>
      </c>
      <c r="J1536" s="5" t="str">
        <f>IFERROR(__xludf.DUMMYFUNCTION("""COMPUTED_VALUE"""),"Endocrinology/Metabolism; Gastroenterology; Pediatric")</f>
        <v>Endocrinology/Metabolism; Gastroenterology; Pediatric</v>
      </c>
      <c r="K1536" s="5" t="str">
        <f>IFERROR(__xludf.DUMMYFUNCTION("""COMPUTED_VALUE"""),"Current")</f>
        <v>Current</v>
      </c>
      <c r="L1536" s="5"/>
      <c r="M1536" s="5"/>
      <c r="N1536" s="10">
        <f>IFERROR(__xludf.DUMMYFUNCTION("""COMPUTED_VALUE"""),42795.0)</f>
        <v>42795</v>
      </c>
      <c r="O1536" s="5">
        <v>2017.0</v>
      </c>
      <c r="P1536" s="5" t="str">
        <f>IFERROR(__xludf.DUMMYFUNCTION("""COMPUTED_VALUE"""),"Unavailable")</f>
        <v>Unavailable</v>
      </c>
      <c r="Q1536" s="5" t="s">
        <v>47</v>
      </c>
      <c r="R1536" s="5" t="s">
        <v>136</v>
      </c>
      <c r="S1536" s="11">
        <v>3526.0</v>
      </c>
    </row>
    <row r="1537">
      <c r="A1537" s="5" t="str">
        <f>IFERROR(__xludf.DUMMYFUNCTION("""COMPUTED_VALUE"""),"Sodium Bicarbonate Injection")</f>
        <v>Sodium Bicarbonate Injection</v>
      </c>
      <c r="B1537" s="5" t="str">
        <f>IFERROR(__xludf.DUMMYFUNCTION("""COMPUTED_VALUE"""),"Exela Pharma Sciences, LLC")</f>
        <v>Exela Pharma Sciences, LLC</v>
      </c>
      <c r="C1537" s="5" t="str">
        <f>IFERROR(__xludf.DUMMYFUNCTION("""COMPUTED_VALUE"""),"Sodium Bicarbonate, Injection, 84 mg/1 mL (NDC 51754-5001-5)")</f>
        <v>Sodium Bicarbonate, Injection, 84 mg/1 mL (NDC 51754-5001-5)</v>
      </c>
      <c r="D1537" s="5" t="str">
        <f>IFERROR(__xludf.DUMMYFUNCTION("""COMPUTED_VALUE"""),"Reverified")</f>
        <v>Reverified</v>
      </c>
      <c r="E1537" s="13">
        <f>IFERROR(__xludf.DUMMYFUNCTION("""COMPUTED_VALUE"""),46310.0)</f>
        <v>46310</v>
      </c>
      <c r="F1537" s="5" t="str">
        <f>IFERROR(__xludf.DUMMYFUNCTION("""COMPUTED_VALUE"""),"Available")</f>
        <v>Available</v>
      </c>
      <c r="G1537" s="5"/>
      <c r="H1537" s="5"/>
      <c r="I1537" s="5"/>
      <c r="J1537" s="5" t="str">
        <f>IFERROR(__xludf.DUMMYFUNCTION("""COMPUTED_VALUE"""),"Endocrinology/Metabolism; Gastroenterology; Pediatric")</f>
        <v>Endocrinology/Metabolism; Gastroenterology; Pediatric</v>
      </c>
      <c r="K1537" s="5" t="str">
        <f>IFERROR(__xludf.DUMMYFUNCTION("""COMPUTED_VALUE"""),"Current")</f>
        <v>Current</v>
      </c>
      <c r="L1537" s="5"/>
      <c r="M1537" s="5"/>
      <c r="N1537" s="10">
        <f>IFERROR(__xludf.DUMMYFUNCTION("""COMPUTED_VALUE"""),42940.0)</f>
        <v>42940</v>
      </c>
      <c r="O1537" s="5">
        <v>2017.0</v>
      </c>
      <c r="P1537" s="5" t="str">
        <f>IFERROR(__xludf.DUMMYFUNCTION("""COMPUTED_VALUE"""),"Available")</f>
        <v>Available</v>
      </c>
      <c r="Q1537" s="5" t="s">
        <v>135</v>
      </c>
      <c r="R1537" s="5" t="s">
        <v>136</v>
      </c>
      <c r="S1537" s="11">
        <v>3381.0</v>
      </c>
    </row>
    <row r="1538">
      <c r="A1538" s="5" t="str">
        <f>IFERROR(__xludf.DUMMYFUNCTION("""COMPUTED_VALUE"""),"Sodium Bicarbonate Injection")</f>
        <v>Sodium Bicarbonate Injection</v>
      </c>
      <c r="B1538" s="5" t="str">
        <f>IFERROR(__xludf.DUMMYFUNCTION("""COMPUTED_VALUE"""),"Amphastar Pharmaceuticals, Inc.")</f>
        <v>Amphastar Pharmaceuticals, Inc.</v>
      </c>
      <c r="C1538" s="5" t="str">
        <f>IFERROR(__xludf.DUMMYFUNCTION("""COMPUTED_VALUE"""),"Sodium Bicarbonate, Injection, 84 mg/1 mL (NDC 76329-3352-1)")</f>
        <v>Sodium Bicarbonate, Injection, 84 mg/1 mL (NDC 76329-3352-1)</v>
      </c>
      <c r="D1538" s="5" t="str">
        <f>IFERROR(__xludf.DUMMYFUNCTION("""COMPUTED_VALUE"""),"Reverified")</f>
        <v>Reverified</v>
      </c>
      <c r="E1538" s="13">
        <f>IFERROR(__xludf.DUMMYFUNCTION("""COMPUTED_VALUE"""),46311.0)</f>
        <v>46311</v>
      </c>
      <c r="F1538" s="5" t="str">
        <f>IFERROR(__xludf.DUMMYFUNCTION("""COMPUTED_VALUE"""),"Limited Availability")</f>
        <v>Limited Availability</v>
      </c>
      <c r="G1538" s="5" t="str">
        <f>IFERROR(__xludf.DUMMYFUNCTION("""COMPUTED_VALUE"""),"Available on allocation")</f>
        <v>Available on allocation</v>
      </c>
      <c r="H1538" s="5"/>
      <c r="I1538" s="5" t="str">
        <f>IFERROR(__xludf.DUMMYFUNCTION("""COMPUTED_VALUE"""),"Demand increase for the drug")</f>
        <v>Demand increase for the drug</v>
      </c>
      <c r="J1538" s="5" t="str">
        <f>IFERROR(__xludf.DUMMYFUNCTION("""COMPUTED_VALUE"""),"Endocrinology/Metabolism; Gastroenterology; Pediatric")</f>
        <v>Endocrinology/Metabolism; Gastroenterology; Pediatric</v>
      </c>
      <c r="K1538" s="5" t="str">
        <f>IFERROR(__xludf.DUMMYFUNCTION("""COMPUTED_VALUE"""),"Current")</f>
        <v>Current</v>
      </c>
      <c r="L1538" s="5"/>
      <c r="M1538" s="5"/>
      <c r="N1538" s="10">
        <f>IFERROR(__xludf.DUMMYFUNCTION("""COMPUTED_VALUE"""),42795.0)</f>
        <v>42795</v>
      </c>
      <c r="O1538" s="5">
        <v>2017.0</v>
      </c>
      <c r="P1538" s="5" t="str">
        <f>IFERROR(__xludf.DUMMYFUNCTION("""COMPUTED_VALUE"""),"Limited Availability")</f>
        <v>Limited Availability</v>
      </c>
      <c r="Q1538" s="5" t="s">
        <v>134</v>
      </c>
      <c r="R1538" s="5" t="s">
        <v>136</v>
      </c>
      <c r="S1538" s="11">
        <v>3526.0</v>
      </c>
    </row>
    <row r="1539">
      <c r="A1539" s="5" t="str">
        <f>IFERROR(__xludf.DUMMYFUNCTION("""COMPUTED_VALUE"""),"Sodium Bicarbonate Injection")</f>
        <v>Sodium Bicarbonate Injection</v>
      </c>
      <c r="B1539" s="5" t="str">
        <f>IFERROR(__xludf.DUMMYFUNCTION("""COMPUTED_VALUE"""),"Fresenius Kabi USA, LLC")</f>
        <v>Fresenius Kabi USA, LLC</v>
      </c>
      <c r="C1539" s="5" t="str">
        <f>IFERROR(__xludf.DUMMYFUNCTION("""COMPUTED_VALUE"""),"Sodium Bicarbonate, Injection, 42 mg/1 mL (NDC 63323-083-05)")</f>
        <v>Sodium Bicarbonate, Injection, 42 mg/1 mL (NDC 63323-083-05)</v>
      </c>
      <c r="D1539" s="5" t="str">
        <f>IFERROR(__xludf.DUMMYFUNCTION("""COMPUTED_VALUE"""),"Reverified")</f>
        <v>Reverified</v>
      </c>
      <c r="E1539" s="13">
        <f>IFERROR(__xludf.DUMMYFUNCTION("""COMPUTED_VALUE"""),46310.0)</f>
        <v>46310</v>
      </c>
      <c r="F1539" s="5" t="str">
        <f>IFERROR(__xludf.DUMMYFUNCTION("""COMPUTED_VALUE"""),"Available")</f>
        <v>Available</v>
      </c>
      <c r="G1539" s="5" t="str">
        <f>IFERROR(__xludf.DUMMYFUNCTION("""COMPUTED_VALUE"""),"Check wholesalers for inventory.")</f>
        <v>Check wholesalers for inventory.</v>
      </c>
      <c r="H1539" s="5"/>
      <c r="I1539" s="5"/>
      <c r="J1539" s="5" t="str">
        <f>IFERROR(__xludf.DUMMYFUNCTION("""COMPUTED_VALUE"""),"Endocrinology/Metabolism; Gastroenterology; Pediatric")</f>
        <v>Endocrinology/Metabolism; Gastroenterology; Pediatric</v>
      </c>
      <c r="K1539" s="5" t="str">
        <f>IFERROR(__xludf.DUMMYFUNCTION("""COMPUTED_VALUE"""),"Current")</f>
        <v>Current</v>
      </c>
      <c r="L1539" s="5"/>
      <c r="M1539" s="5"/>
      <c r="N1539" s="10">
        <f>IFERROR(__xludf.DUMMYFUNCTION("""COMPUTED_VALUE"""),42940.0)</f>
        <v>42940</v>
      </c>
      <c r="O1539" s="5">
        <v>2017.0</v>
      </c>
      <c r="P1539" s="5" t="str">
        <f>IFERROR(__xludf.DUMMYFUNCTION("""COMPUTED_VALUE"""),"Available")</f>
        <v>Available</v>
      </c>
      <c r="Q1539" s="5" t="s">
        <v>135</v>
      </c>
      <c r="R1539" s="5" t="s">
        <v>136</v>
      </c>
      <c r="S1539" s="11">
        <v>3381.0</v>
      </c>
    </row>
    <row r="1540">
      <c r="A1540" s="5" t="str">
        <f>IFERROR(__xludf.DUMMYFUNCTION("""COMPUTED_VALUE"""),"Sodium Bicarbonate Injection")</f>
        <v>Sodium Bicarbonate Injection</v>
      </c>
      <c r="B1540" s="5" t="str">
        <f>IFERROR(__xludf.DUMMYFUNCTION("""COMPUTED_VALUE"""),"Fresenius Kabi USA, LLC")</f>
        <v>Fresenius Kabi USA, LLC</v>
      </c>
      <c r="C1540" s="5" t="str">
        <f>IFERROR(__xludf.DUMMYFUNCTION("""COMPUTED_VALUE"""),"Sodium Bicarbonate, Injection, 84 mg/1 mL (NDC 63323-089-50)")</f>
        <v>Sodium Bicarbonate, Injection, 84 mg/1 mL (NDC 63323-089-50)</v>
      </c>
      <c r="D1540" s="5" t="str">
        <f>IFERROR(__xludf.DUMMYFUNCTION("""COMPUTED_VALUE"""),"Reverified")</f>
        <v>Reverified</v>
      </c>
      <c r="E1540" s="13">
        <f>IFERROR(__xludf.DUMMYFUNCTION("""COMPUTED_VALUE"""),46310.0)</f>
        <v>46310</v>
      </c>
      <c r="F1540" s="5" t="str">
        <f>IFERROR(__xludf.DUMMYFUNCTION("""COMPUTED_VALUE"""),"Available")</f>
        <v>Available</v>
      </c>
      <c r="G1540" s="5" t="str">
        <f>IFERROR(__xludf.DUMMYFUNCTION("""COMPUTED_VALUE"""),"Check wholesalers for inventory")</f>
        <v>Check wholesalers for inventory</v>
      </c>
      <c r="H1540" s="5"/>
      <c r="I1540" s="5"/>
      <c r="J1540" s="5" t="str">
        <f>IFERROR(__xludf.DUMMYFUNCTION("""COMPUTED_VALUE"""),"Endocrinology/Metabolism; Gastroenterology; Pediatric")</f>
        <v>Endocrinology/Metabolism; Gastroenterology; Pediatric</v>
      </c>
      <c r="K1540" s="5" t="str">
        <f>IFERROR(__xludf.DUMMYFUNCTION("""COMPUTED_VALUE"""),"Current")</f>
        <v>Current</v>
      </c>
      <c r="L1540" s="5"/>
      <c r="M1540" s="5"/>
      <c r="N1540" s="10">
        <f>IFERROR(__xludf.DUMMYFUNCTION("""COMPUTED_VALUE"""),42940.0)</f>
        <v>42940</v>
      </c>
      <c r="O1540" s="5">
        <v>2017.0</v>
      </c>
      <c r="P1540" s="5" t="str">
        <f>IFERROR(__xludf.DUMMYFUNCTION("""COMPUTED_VALUE"""),"Available")</f>
        <v>Available</v>
      </c>
      <c r="Q1540" s="5" t="s">
        <v>135</v>
      </c>
      <c r="R1540" s="5" t="s">
        <v>136</v>
      </c>
      <c r="S1540" s="11">
        <v>3381.0</v>
      </c>
    </row>
    <row r="1541">
      <c r="A1541" s="5" t="str">
        <f>IFERROR(__xludf.DUMMYFUNCTION("""COMPUTED_VALUE"""),"Sodium Bicarbonate Injection")</f>
        <v>Sodium Bicarbonate Injection</v>
      </c>
      <c r="B1541" s="5" t="str">
        <f>IFERROR(__xludf.DUMMYFUNCTION("""COMPUTED_VALUE"""),"Long Grove Pharmaceuticals LLC")</f>
        <v>Long Grove Pharmaceuticals LLC</v>
      </c>
      <c r="C1541" s="5" t="str">
        <f>IFERROR(__xludf.DUMMYFUNCTION("""COMPUTED_VALUE"""),"Sodium Bicarbonate, Injection, 84 mg/1 mL (NDC 81298-7620-3)")</f>
        <v>Sodium Bicarbonate, Injection, 84 mg/1 mL (NDC 81298-7620-3)</v>
      </c>
      <c r="D1541" s="5" t="str">
        <f>IFERROR(__xludf.DUMMYFUNCTION("""COMPUTED_VALUE"""),"Reverified")</f>
        <v>Reverified</v>
      </c>
      <c r="E1541" s="13">
        <f>IFERROR(__xludf.DUMMYFUNCTION("""COMPUTED_VALUE"""),46311.0)</f>
        <v>46311</v>
      </c>
      <c r="F1541" s="5" t="str">
        <f>IFERROR(__xludf.DUMMYFUNCTION("""COMPUTED_VALUE"""),"Available")</f>
        <v>Available</v>
      </c>
      <c r="G1541" s="5"/>
      <c r="H1541" s="5"/>
      <c r="I1541" s="5"/>
      <c r="J1541" s="5" t="str">
        <f>IFERROR(__xludf.DUMMYFUNCTION("""COMPUTED_VALUE"""),"Endocrinology/Metabolism; Gastroenterology; Pediatric")</f>
        <v>Endocrinology/Metabolism; Gastroenterology; Pediatric</v>
      </c>
      <c r="K1541" s="5" t="str">
        <f>IFERROR(__xludf.DUMMYFUNCTION("""COMPUTED_VALUE"""),"Current")</f>
        <v>Current</v>
      </c>
      <c r="L1541" s="5"/>
      <c r="M1541" s="5"/>
      <c r="N1541" s="10">
        <f>IFERROR(__xludf.DUMMYFUNCTION("""COMPUTED_VALUE"""),42795.0)</f>
        <v>42795</v>
      </c>
      <c r="O1541" s="5">
        <v>2017.0</v>
      </c>
      <c r="P1541" s="5" t="str">
        <f>IFERROR(__xludf.DUMMYFUNCTION("""COMPUTED_VALUE"""),"Available")</f>
        <v>Available</v>
      </c>
      <c r="Q1541" s="5" t="s">
        <v>135</v>
      </c>
      <c r="R1541" s="5" t="s">
        <v>136</v>
      </c>
      <c r="S1541" s="11">
        <v>3526.0</v>
      </c>
    </row>
    <row r="1542">
      <c r="A1542" s="5" t="str">
        <f>IFERROR(__xludf.DUMMYFUNCTION("""COMPUTED_VALUE"""),"Sodium Bicarbonate Injection")</f>
        <v>Sodium Bicarbonate Injection</v>
      </c>
      <c r="B1542" s="5" t="str">
        <f>IFERROR(__xludf.DUMMYFUNCTION("""COMPUTED_VALUE"""),"Hospira, Inc., a Pfizer Company")</f>
        <v>Hospira, Inc., a Pfizer Company</v>
      </c>
      <c r="C1542" s="5" t="str">
        <f>IFERROR(__xludf.DUMMYFUNCTION("""COMPUTED_VALUE"""),"Sodium Bicarbonate, Injection, 84 mg/1 mL (NDC 0409-4900-14)")</f>
        <v>Sodium Bicarbonate, Injection, 84 mg/1 mL (NDC 0409-4900-14)</v>
      </c>
      <c r="D1542" s="5" t="str">
        <f>IFERROR(__xludf.DUMMYFUNCTION("""COMPUTED_VALUE"""),"New")</f>
        <v>New</v>
      </c>
      <c r="E1542" s="10">
        <f>IFERROR(__xludf.DUMMYFUNCTION("""COMPUTED_VALUE"""),45968.0)</f>
        <v>45968</v>
      </c>
      <c r="F1542" s="5"/>
      <c r="G1542" s="5" t="str">
        <f>IFERROR(__xludf.DUMMYFUNCTION("""COMPUTED_VALUE"""),"Discontinuation of the manufacture of the drug")</f>
        <v>Discontinuation of the manufacture of the drug</v>
      </c>
      <c r="H1542" s="5"/>
      <c r="I1542" s="5"/>
      <c r="J1542" s="5" t="str">
        <f>IFERROR(__xludf.DUMMYFUNCTION("""COMPUTED_VALUE"""),"Endocrinology/Metabolism; Gastroenterology; Pediatric")</f>
        <v>Endocrinology/Metabolism; Gastroenterology; Pediatric</v>
      </c>
      <c r="K1542" s="5" t="str">
        <f>IFERROR(__xludf.DUMMYFUNCTION("""COMPUTED_VALUE"""),"To Be Discontinued")</f>
        <v>To Be Discontinued</v>
      </c>
      <c r="L1542" s="5"/>
      <c r="M1542" s="10">
        <f>IFERROR(__xludf.DUMMYFUNCTION("""COMPUTED_VALUE"""),45968.0)</f>
        <v>45968</v>
      </c>
      <c r="N1542" s="10">
        <f>IFERROR(__xludf.DUMMYFUNCTION("""COMPUTED_VALUE"""),45968.0)</f>
        <v>45968</v>
      </c>
      <c r="O1542" s="5">
        <v>2025.0</v>
      </c>
      <c r="P1542" s="5" t="str">
        <f>IFERROR(__xludf.DUMMYFUNCTION("""COMPUTED_VALUE"""),"Not stated")</f>
        <v>Not stated</v>
      </c>
      <c r="Q1542" s="5" t="s">
        <v>135</v>
      </c>
      <c r="R1542" s="5" t="s">
        <v>136</v>
      </c>
      <c r="S1542" s="11">
        <v>353.0</v>
      </c>
    </row>
    <row r="1543">
      <c r="A1543" s="5" t="str">
        <f>IFERROR(__xludf.DUMMYFUNCTION("""COMPUTED_VALUE"""),"Sodium Bicarbonate Injection")</f>
        <v>Sodium Bicarbonate Injection</v>
      </c>
      <c r="B1543" s="5" t="str">
        <f>IFERROR(__xludf.DUMMYFUNCTION("""COMPUTED_VALUE"""),"Hospira, Inc., a Pfizer Company")</f>
        <v>Hospira, Inc., a Pfizer Company</v>
      </c>
      <c r="C1543" s="5" t="str">
        <f>IFERROR(__xludf.DUMMYFUNCTION("""COMPUTED_VALUE"""),"Sodium Bicarbonate, Injection, 75 mg/1 mL (NDC 0409-4916-14)")</f>
        <v>Sodium Bicarbonate, Injection, 75 mg/1 mL (NDC 0409-4916-14)</v>
      </c>
      <c r="D1543" s="5" t="str">
        <f>IFERROR(__xludf.DUMMYFUNCTION("""COMPUTED_VALUE"""),"New")</f>
        <v>New</v>
      </c>
      <c r="E1543" s="10">
        <f>IFERROR(__xludf.DUMMYFUNCTION("""COMPUTED_VALUE"""),45968.0)</f>
        <v>45968</v>
      </c>
      <c r="F1543" s="5"/>
      <c r="G1543" s="5" t="str">
        <f>IFERROR(__xludf.DUMMYFUNCTION("""COMPUTED_VALUE"""),"Discontinuation of the manufacture of the drug")</f>
        <v>Discontinuation of the manufacture of the drug</v>
      </c>
      <c r="H1543" s="5"/>
      <c r="I1543" s="5"/>
      <c r="J1543" s="5" t="str">
        <f>IFERROR(__xludf.DUMMYFUNCTION("""COMPUTED_VALUE"""),"Endocrinology/Metabolism; Gastroenterology; Pediatric")</f>
        <v>Endocrinology/Metabolism; Gastroenterology; Pediatric</v>
      </c>
      <c r="K1543" s="5" t="str">
        <f>IFERROR(__xludf.DUMMYFUNCTION("""COMPUTED_VALUE"""),"To Be Discontinued")</f>
        <v>To Be Discontinued</v>
      </c>
      <c r="L1543" s="5"/>
      <c r="M1543" s="10">
        <f>IFERROR(__xludf.DUMMYFUNCTION("""COMPUTED_VALUE"""),45968.0)</f>
        <v>45968</v>
      </c>
      <c r="N1543" s="10">
        <f>IFERROR(__xludf.DUMMYFUNCTION("""COMPUTED_VALUE"""),45968.0)</f>
        <v>45968</v>
      </c>
      <c r="O1543" s="5">
        <v>2025.0</v>
      </c>
      <c r="P1543" s="5" t="str">
        <f>IFERROR(__xludf.DUMMYFUNCTION("""COMPUTED_VALUE"""),"Not stated")</f>
        <v>Not stated</v>
      </c>
      <c r="Q1543" s="5" t="s">
        <v>135</v>
      </c>
      <c r="R1543" s="5" t="s">
        <v>136</v>
      </c>
      <c r="S1543" s="11">
        <v>353.0</v>
      </c>
    </row>
    <row r="1544">
      <c r="A1544" s="5" t="str">
        <f>IFERROR(__xludf.DUMMYFUNCTION("""COMPUTED_VALUE"""),"Sodium Bicarbonate Injection")</f>
        <v>Sodium Bicarbonate Injection</v>
      </c>
      <c r="B1544" s="5" t="str">
        <f>IFERROR(__xludf.DUMMYFUNCTION("""COMPUTED_VALUE"""),"Hospira, Inc., a Pfizer Company")</f>
        <v>Hospira, Inc., a Pfizer Company</v>
      </c>
      <c r="C1544" s="5" t="str">
        <f>IFERROR(__xludf.DUMMYFUNCTION("""COMPUTED_VALUE"""),"Sodium Bicarbonate, Injection, 42 mg/1 mL (NDC 0409-5534-14)")</f>
        <v>Sodium Bicarbonate, Injection, 42 mg/1 mL (NDC 0409-5534-14)</v>
      </c>
      <c r="D1544" s="5" t="str">
        <f>IFERROR(__xludf.DUMMYFUNCTION("""COMPUTED_VALUE"""),"New")</f>
        <v>New</v>
      </c>
      <c r="E1544" s="10">
        <f>IFERROR(__xludf.DUMMYFUNCTION("""COMPUTED_VALUE"""),45968.0)</f>
        <v>45968</v>
      </c>
      <c r="F1544" s="5"/>
      <c r="G1544" s="5" t="str">
        <f>IFERROR(__xludf.DUMMYFUNCTION("""COMPUTED_VALUE"""),"Discontinuation of the manufacture of the drug")</f>
        <v>Discontinuation of the manufacture of the drug</v>
      </c>
      <c r="H1544" s="5"/>
      <c r="I1544" s="5"/>
      <c r="J1544" s="5" t="str">
        <f>IFERROR(__xludf.DUMMYFUNCTION("""COMPUTED_VALUE"""),"Endocrinology/Metabolism; Gastroenterology; Pediatric")</f>
        <v>Endocrinology/Metabolism; Gastroenterology; Pediatric</v>
      </c>
      <c r="K1544" s="5" t="str">
        <f>IFERROR(__xludf.DUMMYFUNCTION("""COMPUTED_VALUE"""),"To Be Discontinued")</f>
        <v>To Be Discontinued</v>
      </c>
      <c r="L1544" s="5"/>
      <c r="M1544" s="10">
        <f>IFERROR(__xludf.DUMMYFUNCTION("""COMPUTED_VALUE"""),45968.0)</f>
        <v>45968</v>
      </c>
      <c r="N1544" s="10">
        <f>IFERROR(__xludf.DUMMYFUNCTION("""COMPUTED_VALUE"""),45968.0)</f>
        <v>45968</v>
      </c>
      <c r="O1544" s="5">
        <v>2025.0</v>
      </c>
      <c r="P1544" s="5" t="str">
        <f>IFERROR(__xludf.DUMMYFUNCTION("""COMPUTED_VALUE"""),"Not stated")</f>
        <v>Not stated</v>
      </c>
      <c r="Q1544" s="5" t="s">
        <v>135</v>
      </c>
      <c r="R1544" s="5" t="s">
        <v>136</v>
      </c>
      <c r="S1544" s="11">
        <v>353.0</v>
      </c>
    </row>
    <row r="1545">
      <c r="A1545" s="5" t="str">
        <f>IFERROR(__xludf.DUMMYFUNCTION("""COMPUTED_VALUE"""),"Sodium Bicarbonate Injection")</f>
        <v>Sodium Bicarbonate Injection</v>
      </c>
      <c r="B1545" s="5" t="str">
        <f>IFERROR(__xludf.DUMMYFUNCTION("""COMPUTED_VALUE"""),"Hospira, Inc., a Pfizer Company")</f>
        <v>Hospira, Inc., a Pfizer Company</v>
      </c>
      <c r="C1545" s="5" t="str">
        <f>IFERROR(__xludf.DUMMYFUNCTION("""COMPUTED_VALUE"""),"Sodium Bicarbonate, Injection, 84 mg/1 mL (NDC 0409-6637-14)")</f>
        <v>Sodium Bicarbonate, Injection, 84 mg/1 mL (NDC 0409-6637-14)</v>
      </c>
      <c r="D1545" s="5" t="str">
        <f>IFERROR(__xludf.DUMMYFUNCTION("""COMPUTED_VALUE"""),"New")</f>
        <v>New</v>
      </c>
      <c r="E1545" s="10">
        <f>IFERROR(__xludf.DUMMYFUNCTION("""COMPUTED_VALUE"""),45968.0)</f>
        <v>45968</v>
      </c>
      <c r="F1545" s="5"/>
      <c r="G1545" s="5" t="str">
        <f>IFERROR(__xludf.DUMMYFUNCTION("""COMPUTED_VALUE"""),"Discontinuation of the manufacture of the drug")</f>
        <v>Discontinuation of the manufacture of the drug</v>
      </c>
      <c r="H1545" s="5"/>
      <c r="I1545" s="5"/>
      <c r="J1545" s="5" t="str">
        <f>IFERROR(__xludf.DUMMYFUNCTION("""COMPUTED_VALUE"""),"Endocrinology/Metabolism; Gastroenterology; Pediatric")</f>
        <v>Endocrinology/Metabolism; Gastroenterology; Pediatric</v>
      </c>
      <c r="K1545" s="5" t="str">
        <f>IFERROR(__xludf.DUMMYFUNCTION("""COMPUTED_VALUE"""),"To Be Discontinued")</f>
        <v>To Be Discontinued</v>
      </c>
      <c r="L1545" s="5"/>
      <c r="M1545" s="10">
        <f>IFERROR(__xludf.DUMMYFUNCTION("""COMPUTED_VALUE"""),45968.0)</f>
        <v>45968</v>
      </c>
      <c r="N1545" s="10">
        <f>IFERROR(__xludf.DUMMYFUNCTION("""COMPUTED_VALUE"""),45968.0)</f>
        <v>45968</v>
      </c>
      <c r="O1545" s="5">
        <v>2025.0</v>
      </c>
      <c r="P1545" s="5" t="str">
        <f>IFERROR(__xludf.DUMMYFUNCTION("""COMPUTED_VALUE"""),"Not stated")</f>
        <v>Not stated</v>
      </c>
      <c r="Q1545" s="5" t="s">
        <v>135</v>
      </c>
      <c r="R1545" s="5" t="s">
        <v>136</v>
      </c>
      <c r="S1545" s="11">
        <v>353.0</v>
      </c>
    </row>
    <row r="1546">
      <c r="A1546" s="5" t="str">
        <f>IFERROR(__xludf.DUMMYFUNCTION("""COMPUTED_VALUE"""),"Sodium Chloride 0.9% Injection")</f>
        <v>Sodium Chloride 0.9% Injection</v>
      </c>
      <c r="B1546" s="5" t="str">
        <f>IFERROR(__xludf.DUMMYFUNCTION("""COMPUTED_VALUE"""),"Hospira, Inc., a Pfizer Company")</f>
        <v>Hospira, Inc., a Pfizer Company</v>
      </c>
      <c r="C1546" s="5" t="str">
        <f>IFERROR(__xludf.DUMMYFUNCTION("""COMPUTED_VALUE"""),"Sodium Chloride 0.9%, Injection, 250 mL  ADD-Vantage® Flexible Container (NDC 0409-7101-02)")</f>
        <v>Sodium Chloride 0.9%, Injection, 250 mL  ADD-Vantage® Flexible Container (NDC 0409-7101-02)</v>
      </c>
      <c r="D1546" s="5" t="str">
        <f>IFERROR(__xludf.DUMMYFUNCTION("""COMPUTED_VALUE"""),"New")</f>
        <v>New</v>
      </c>
      <c r="E1546" s="10">
        <f>IFERROR(__xludf.DUMMYFUNCTION("""COMPUTED_VALUE"""),45994.0)</f>
        <v>45994</v>
      </c>
      <c r="F1546" s="5"/>
      <c r="G1546" s="5" t="str">
        <f>IFERROR(__xludf.DUMMYFUNCTION("""COMPUTED_VALUE"""),"Discontinuation of the manufacture of the drug")</f>
        <v>Discontinuation of the manufacture of the drug</v>
      </c>
      <c r="H1546" s="5"/>
      <c r="I1546" s="5"/>
      <c r="J1546" s="5" t="str">
        <f>IFERROR(__xludf.DUMMYFUNCTION("""COMPUTED_VALUE"""),"Gastroenterology; Other; Renal")</f>
        <v>Gastroenterology; Other; Renal</v>
      </c>
      <c r="K1546" s="5" t="str">
        <f>IFERROR(__xludf.DUMMYFUNCTION("""COMPUTED_VALUE"""),"To Be Discontinued")</f>
        <v>To Be Discontinued</v>
      </c>
      <c r="L1546" s="5"/>
      <c r="M1546" s="10">
        <f>IFERROR(__xludf.DUMMYFUNCTION("""COMPUTED_VALUE"""),45994.0)</f>
        <v>45994</v>
      </c>
      <c r="N1546" s="10">
        <f>IFERROR(__xludf.DUMMYFUNCTION("""COMPUTED_VALUE"""),45994.0)</f>
        <v>45994</v>
      </c>
      <c r="O1546" s="5">
        <v>2025.0</v>
      </c>
      <c r="P1546" s="5" t="str">
        <f>IFERROR(__xludf.DUMMYFUNCTION("""COMPUTED_VALUE"""),"Not stated")</f>
        <v>Not stated</v>
      </c>
      <c r="Q1546" s="5" t="s">
        <v>135</v>
      </c>
      <c r="R1546" s="5" t="s">
        <v>136</v>
      </c>
      <c r="S1546" s="11">
        <v>327.0</v>
      </c>
    </row>
    <row r="1547">
      <c r="A1547" s="5" t="str">
        <f>IFERROR(__xludf.DUMMYFUNCTION("""COMPUTED_VALUE"""),"Sodium Chloride 0.9% Injection")</f>
        <v>Sodium Chloride 0.9% Injection</v>
      </c>
      <c r="B1547" s="5" t="str">
        <f>IFERROR(__xludf.DUMMYFUNCTION("""COMPUTED_VALUE"""),"Hospira, Inc., a Pfizer Company")</f>
        <v>Hospira, Inc., a Pfizer Company</v>
      </c>
      <c r="C1547" s="5" t="str">
        <f>IFERROR(__xludf.DUMMYFUNCTION("""COMPUTED_VALUE"""),"Sodium Chloride 0.9%, Injection, 50 mL  ADD-Vantage® Flexible Container (NDC 0409-7101-66)")</f>
        <v>Sodium Chloride 0.9%, Injection, 50 mL  ADD-Vantage® Flexible Container (NDC 0409-7101-66)</v>
      </c>
      <c r="D1547" s="5" t="str">
        <f>IFERROR(__xludf.DUMMYFUNCTION("""COMPUTED_VALUE"""),"New")</f>
        <v>New</v>
      </c>
      <c r="E1547" s="10">
        <f>IFERROR(__xludf.DUMMYFUNCTION("""COMPUTED_VALUE"""),45994.0)</f>
        <v>45994</v>
      </c>
      <c r="F1547" s="5"/>
      <c r="G1547" s="5" t="str">
        <f>IFERROR(__xludf.DUMMYFUNCTION("""COMPUTED_VALUE"""),"Discontinuation of the manufacture of the drug")</f>
        <v>Discontinuation of the manufacture of the drug</v>
      </c>
      <c r="H1547" s="5"/>
      <c r="I1547" s="5"/>
      <c r="J1547" s="5" t="str">
        <f>IFERROR(__xludf.DUMMYFUNCTION("""COMPUTED_VALUE"""),"Gastroenterology; Other; Renal")</f>
        <v>Gastroenterology; Other; Renal</v>
      </c>
      <c r="K1547" s="5" t="str">
        <f>IFERROR(__xludf.DUMMYFUNCTION("""COMPUTED_VALUE"""),"To Be Discontinued")</f>
        <v>To Be Discontinued</v>
      </c>
      <c r="L1547" s="5"/>
      <c r="M1547" s="10">
        <f>IFERROR(__xludf.DUMMYFUNCTION("""COMPUTED_VALUE"""),45994.0)</f>
        <v>45994</v>
      </c>
      <c r="N1547" s="10">
        <f>IFERROR(__xludf.DUMMYFUNCTION("""COMPUTED_VALUE"""),45994.0)</f>
        <v>45994</v>
      </c>
      <c r="O1547" s="5">
        <v>2025.0</v>
      </c>
      <c r="P1547" s="5" t="str">
        <f>IFERROR(__xludf.DUMMYFUNCTION("""COMPUTED_VALUE"""),"Not stated")</f>
        <v>Not stated</v>
      </c>
      <c r="Q1547" s="5" t="s">
        <v>135</v>
      </c>
      <c r="R1547" s="5" t="s">
        <v>136</v>
      </c>
      <c r="S1547" s="11">
        <v>327.0</v>
      </c>
    </row>
    <row r="1548">
      <c r="A1548" s="5" t="str">
        <f>IFERROR(__xludf.DUMMYFUNCTION("""COMPUTED_VALUE"""),"Sodium Chloride 0.9% Injection")</f>
        <v>Sodium Chloride 0.9% Injection</v>
      </c>
      <c r="B1548" s="5" t="str">
        <f>IFERROR(__xludf.DUMMYFUNCTION("""COMPUTED_VALUE"""),"Hospira, Inc., a Pfizer Company")</f>
        <v>Hospira, Inc., a Pfizer Company</v>
      </c>
      <c r="C1548" s="5" t="str">
        <f>IFERROR(__xludf.DUMMYFUNCTION("""COMPUTED_VALUE"""),"Sodium Chloride 0.9%, Injection, 100 mL  ADD-Vantage® Flexible Container (NDC 0409-7101-67)")</f>
        <v>Sodium Chloride 0.9%, Injection, 100 mL  ADD-Vantage® Flexible Container (NDC 0409-7101-67)</v>
      </c>
      <c r="D1548" s="5" t="str">
        <f>IFERROR(__xludf.DUMMYFUNCTION("""COMPUTED_VALUE"""),"New")</f>
        <v>New</v>
      </c>
      <c r="E1548" s="10">
        <f>IFERROR(__xludf.DUMMYFUNCTION("""COMPUTED_VALUE"""),45994.0)</f>
        <v>45994</v>
      </c>
      <c r="F1548" s="5"/>
      <c r="G1548" s="5" t="str">
        <f>IFERROR(__xludf.DUMMYFUNCTION("""COMPUTED_VALUE"""),"Discontinuation of the manufacture of the drug")</f>
        <v>Discontinuation of the manufacture of the drug</v>
      </c>
      <c r="H1548" s="5"/>
      <c r="I1548" s="5"/>
      <c r="J1548" s="5" t="str">
        <f>IFERROR(__xludf.DUMMYFUNCTION("""COMPUTED_VALUE"""),"Gastroenterology; Other; Renal")</f>
        <v>Gastroenterology; Other; Renal</v>
      </c>
      <c r="K1548" s="5" t="str">
        <f>IFERROR(__xludf.DUMMYFUNCTION("""COMPUTED_VALUE"""),"To Be Discontinued")</f>
        <v>To Be Discontinued</v>
      </c>
      <c r="L1548" s="5"/>
      <c r="M1548" s="10">
        <f>IFERROR(__xludf.DUMMYFUNCTION("""COMPUTED_VALUE"""),45994.0)</f>
        <v>45994</v>
      </c>
      <c r="N1548" s="10">
        <f>IFERROR(__xludf.DUMMYFUNCTION("""COMPUTED_VALUE"""),45994.0)</f>
        <v>45994</v>
      </c>
      <c r="O1548" s="5">
        <v>2025.0</v>
      </c>
      <c r="P1548" s="5" t="str">
        <f>IFERROR(__xludf.DUMMYFUNCTION("""COMPUTED_VALUE"""),"Not stated")</f>
        <v>Not stated</v>
      </c>
      <c r="Q1548" s="5" t="s">
        <v>135</v>
      </c>
      <c r="R1548" s="5" t="s">
        <v>136</v>
      </c>
      <c r="S1548" s="11">
        <v>327.0</v>
      </c>
    </row>
    <row r="1549">
      <c r="A1549" s="5" t="str">
        <f>IFERROR(__xludf.DUMMYFUNCTION("""COMPUTED_VALUE"""),"Sodium Oxybate Solution")</f>
        <v>Sodium Oxybate Solution</v>
      </c>
      <c r="B1549" s="5" t="str">
        <f>IFERROR(__xludf.DUMMYFUNCTION("""COMPUTED_VALUE"""),"Amneal Pharmaceuticals")</f>
        <v>Amneal Pharmaceuticals</v>
      </c>
      <c r="C1549" s="5" t="str">
        <f>IFERROR(__xludf.DUMMYFUNCTION("""COMPUTED_VALUE"""),"Sodium Oxybate, Solution, .5 g/1 mL (NDC 69238-2391-1)")</f>
        <v>Sodium Oxybate, Solution, .5 g/1 mL (NDC 69238-2391-1)</v>
      </c>
      <c r="D1549" s="5" t="str">
        <f>IFERROR(__xludf.DUMMYFUNCTION("""COMPUTED_VALUE"""),"New")</f>
        <v>New</v>
      </c>
      <c r="E1549" s="13">
        <f>IFERROR(__xludf.DUMMYFUNCTION("""COMPUTED_VALUE"""),46020.0)</f>
        <v>46020</v>
      </c>
      <c r="F1549" s="5"/>
      <c r="G1549" s="5" t="str">
        <f>IFERROR(__xludf.DUMMYFUNCTION("""COMPUTED_VALUE"""),"Discontinuation of the manufacture of the drug")</f>
        <v>Discontinuation of the manufacture of the drug</v>
      </c>
      <c r="H1549" s="5"/>
      <c r="I1549" s="5"/>
      <c r="J1549" s="5" t="str">
        <f>IFERROR(__xludf.DUMMYFUNCTION("""COMPUTED_VALUE"""),"Psychiatry")</f>
        <v>Psychiatry</v>
      </c>
      <c r="K1549" s="5" t="str">
        <f>IFERROR(__xludf.DUMMYFUNCTION("""COMPUTED_VALUE"""),"To Be Discontinued")</f>
        <v>To Be Discontinued</v>
      </c>
      <c r="L1549" s="5"/>
      <c r="M1549" s="13">
        <f>IFERROR(__xludf.DUMMYFUNCTION("""COMPUTED_VALUE"""),46020.0)</f>
        <v>46020</v>
      </c>
      <c r="N1549" s="13">
        <f>IFERROR(__xludf.DUMMYFUNCTION("""COMPUTED_VALUE"""),46020.0)</f>
        <v>46020</v>
      </c>
      <c r="O1549" s="5">
        <v>2025.0</v>
      </c>
      <c r="P1549" s="5" t="str">
        <f>IFERROR(__xludf.DUMMYFUNCTION("""COMPUTED_VALUE"""),"Not stated")</f>
        <v>Not stated</v>
      </c>
      <c r="Q1549" s="5" t="s">
        <v>135</v>
      </c>
      <c r="R1549" s="5" t="s">
        <v>136</v>
      </c>
      <c r="S1549" s="11">
        <v>301.0</v>
      </c>
    </row>
    <row r="1550">
      <c r="A1550" s="5" t="str">
        <f>IFERROR(__xludf.DUMMYFUNCTION("""COMPUTED_VALUE"""),"Somatropin Injection")</f>
        <v>Somatropin Injection</v>
      </c>
      <c r="B1550" s="5" t="str">
        <f>IFERROR(__xludf.DUMMYFUNCTION("""COMPUTED_VALUE"""),"Novo Nordisk, Inc.")</f>
        <v>Novo Nordisk, Inc.</v>
      </c>
      <c r="C1550" s="5" t="str">
        <f>IFERROR(__xludf.DUMMYFUNCTION("""COMPUTED_VALUE"""),"Norditropin, Injection, 30 mg/3 mL (NDC 0169-7703-21)")</f>
        <v>Norditropin, Injection, 30 mg/3 mL (NDC 0169-7703-21)</v>
      </c>
      <c r="D1550" s="5" t="str">
        <f>IFERROR(__xludf.DUMMYFUNCTION("""COMPUTED_VALUE"""),"New")</f>
        <v>New</v>
      </c>
      <c r="E1550" s="13">
        <f>IFERROR(__xludf.DUMMYFUNCTION("""COMPUTED_VALUE"""),45975.0)</f>
        <v>45975</v>
      </c>
      <c r="F1550" s="5"/>
      <c r="G1550" s="5" t="str">
        <f>IFERROR(__xludf.DUMMYFUNCTION("""COMPUTED_VALUE"""),"Discontinuation of the manufacture of the drug")</f>
        <v>Discontinuation of the manufacture of the drug</v>
      </c>
      <c r="H1550" s="5"/>
      <c r="I1550" s="5"/>
      <c r="J1550" s="5" t="str">
        <f>IFERROR(__xludf.DUMMYFUNCTION("""COMPUTED_VALUE"""),"Endocrinology/Metabolism")</f>
        <v>Endocrinology/Metabolism</v>
      </c>
      <c r="K1550" s="5" t="str">
        <f>IFERROR(__xludf.DUMMYFUNCTION("""COMPUTED_VALUE"""),"To Be Discontinued")</f>
        <v>To Be Discontinued</v>
      </c>
      <c r="L1550" s="5"/>
      <c r="M1550" s="13">
        <f>IFERROR(__xludf.DUMMYFUNCTION("""COMPUTED_VALUE"""),45975.0)</f>
        <v>45975</v>
      </c>
      <c r="N1550" s="13">
        <f>IFERROR(__xludf.DUMMYFUNCTION("""COMPUTED_VALUE"""),45975.0)</f>
        <v>45975</v>
      </c>
      <c r="O1550" s="5">
        <v>2025.0</v>
      </c>
      <c r="P1550" s="5" t="str">
        <f>IFERROR(__xludf.DUMMYFUNCTION("""COMPUTED_VALUE"""),"Not stated")</f>
        <v>Not stated</v>
      </c>
      <c r="Q1550" s="5" t="s">
        <v>135</v>
      </c>
      <c r="R1550" s="5" t="s">
        <v>136</v>
      </c>
      <c r="S1550" s="11">
        <v>346.0</v>
      </c>
    </row>
    <row r="1551">
      <c r="A1551" s="5" t="str">
        <f>IFERROR(__xludf.DUMMYFUNCTION("""COMPUTED_VALUE"""),"Spironolactone Tablet")</f>
        <v>Spironolactone Tablet</v>
      </c>
      <c r="B1551" s="5" t="str">
        <f>IFERROR(__xludf.DUMMYFUNCTION("""COMPUTED_VALUE"""),"Pfizer Inc.")</f>
        <v>Pfizer Inc.</v>
      </c>
      <c r="C1551" s="5" t="str">
        <f>IFERROR(__xludf.DUMMYFUNCTION("""COMPUTED_VALUE"""),"Aldactone, Tablet, 25 mg (NDC 0025-1001-31)")</f>
        <v>Aldactone, Tablet, 25 mg (NDC 0025-1001-31)</v>
      </c>
      <c r="D1551" s="5" t="str">
        <f>IFERROR(__xludf.DUMMYFUNCTION("""COMPUTED_VALUE"""),"New")</f>
        <v>New</v>
      </c>
      <c r="E1551" s="13">
        <f>IFERROR(__xludf.DUMMYFUNCTION("""COMPUTED_VALUE"""),46001.0)</f>
        <v>46001</v>
      </c>
      <c r="F1551" s="5"/>
      <c r="G1551" s="5" t="str">
        <f>IFERROR(__xludf.DUMMYFUNCTION("""COMPUTED_VALUE"""),"Discontinuation of the manufacture of the drug.")</f>
        <v>Discontinuation of the manufacture of the drug.</v>
      </c>
      <c r="H1551" s="5"/>
      <c r="I1551" s="5"/>
      <c r="J1551" s="5" t="str">
        <f>IFERROR(__xludf.DUMMYFUNCTION("""COMPUTED_VALUE"""),"Cardiovascular")</f>
        <v>Cardiovascular</v>
      </c>
      <c r="K1551" s="5" t="str">
        <f>IFERROR(__xludf.DUMMYFUNCTION("""COMPUTED_VALUE"""),"To Be Discontinued")</f>
        <v>To Be Discontinued</v>
      </c>
      <c r="L1551" s="5"/>
      <c r="M1551" s="13">
        <f>IFERROR(__xludf.DUMMYFUNCTION("""COMPUTED_VALUE"""),46001.0)</f>
        <v>46001</v>
      </c>
      <c r="N1551" s="13">
        <f>IFERROR(__xludf.DUMMYFUNCTION("""COMPUTED_VALUE"""),46001.0)</f>
        <v>46001</v>
      </c>
      <c r="O1551" s="5">
        <v>2025.0</v>
      </c>
      <c r="P1551" s="5" t="str">
        <f>IFERROR(__xludf.DUMMYFUNCTION("""COMPUTED_VALUE"""),"Not stated")</f>
        <v>Not stated</v>
      </c>
      <c r="Q1551" s="5" t="s">
        <v>135</v>
      </c>
      <c r="R1551" s="5" t="s">
        <v>136</v>
      </c>
      <c r="S1551" s="11">
        <v>320.0</v>
      </c>
    </row>
    <row r="1552">
      <c r="A1552" s="5" t="str">
        <f>IFERROR(__xludf.DUMMYFUNCTION("""COMPUTED_VALUE"""),"Spironolactone Tablet")</f>
        <v>Spironolactone Tablet</v>
      </c>
      <c r="B1552" s="5" t="str">
        <f>IFERROR(__xludf.DUMMYFUNCTION("""COMPUTED_VALUE"""),"Pfizer Inc.")</f>
        <v>Pfizer Inc.</v>
      </c>
      <c r="C1552" s="5" t="str">
        <f>IFERROR(__xludf.DUMMYFUNCTION("""COMPUTED_VALUE"""),"Aldactone, Tablet, 100 mg (NDC 0025-1031-31)")</f>
        <v>Aldactone, Tablet, 100 mg (NDC 0025-1031-31)</v>
      </c>
      <c r="D1552" s="5" t="str">
        <f>IFERROR(__xludf.DUMMYFUNCTION("""COMPUTED_VALUE"""),"New")</f>
        <v>New</v>
      </c>
      <c r="E1552" s="13">
        <f>IFERROR(__xludf.DUMMYFUNCTION("""COMPUTED_VALUE"""),46001.0)</f>
        <v>46001</v>
      </c>
      <c r="F1552" s="5"/>
      <c r="G1552" s="5" t="str">
        <f>IFERROR(__xludf.DUMMYFUNCTION("""COMPUTED_VALUE"""),"Discontinuation of the manufacture of the drug.")</f>
        <v>Discontinuation of the manufacture of the drug.</v>
      </c>
      <c r="H1552" s="5"/>
      <c r="I1552" s="5"/>
      <c r="J1552" s="5" t="str">
        <f>IFERROR(__xludf.DUMMYFUNCTION("""COMPUTED_VALUE"""),"Cardiovascular")</f>
        <v>Cardiovascular</v>
      </c>
      <c r="K1552" s="5" t="str">
        <f>IFERROR(__xludf.DUMMYFUNCTION("""COMPUTED_VALUE"""),"To Be Discontinued")</f>
        <v>To Be Discontinued</v>
      </c>
      <c r="L1552" s="5"/>
      <c r="M1552" s="13">
        <f>IFERROR(__xludf.DUMMYFUNCTION("""COMPUTED_VALUE"""),46001.0)</f>
        <v>46001</v>
      </c>
      <c r="N1552" s="13">
        <f>IFERROR(__xludf.DUMMYFUNCTION("""COMPUTED_VALUE"""),46001.0)</f>
        <v>46001</v>
      </c>
      <c r="O1552" s="5">
        <v>2025.0</v>
      </c>
      <c r="P1552" s="5" t="str">
        <f>IFERROR(__xludf.DUMMYFUNCTION("""COMPUTED_VALUE"""),"Not stated")</f>
        <v>Not stated</v>
      </c>
      <c r="Q1552" s="5" t="s">
        <v>135</v>
      </c>
      <c r="R1552" s="5" t="s">
        <v>136</v>
      </c>
      <c r="S1552" s="11">
        <v>320.0</v>
      </c>
    </row>
    <row r="1553">
      <c r="A1553" s="5" t="str">
        <f>IFERROR(__xludf.DUMMYFUNCTION("""COMPUTED_VALUE"""),"Sterile Water Injection")</f>
        <v>Sterile Water Injection</v>
      </c>
      <c r="B1553" s="5" t="str">
        <f>IFERROR(__xludf.DUMMYFUNCTION("""COMPUTED_VALUE"""),"Hikma Pharmaceuticals USA, Inc.")</f>
        <v>Hikma Pharmaceuticals USA, Inc.</v>
      </c>
      <c r="C1553" s="5" t="str">
        <f>IFERROR(__xludf.DUMMYFUNCTION("""COMPUTED_VALUE"""),"Sterile Water, Injection, 1 mL/1 mL (NDC 0641-6147-10)")</f>
        <v>Sterile Water, Injection, 1 mL/1 mL (NDC 0641-6147-10)</v>
      </c>
      <c r="D1553" s="5" t="str">
        <f>IFERROR(__xludf.DUMMYFUNCTION("""COMPUTED_VALUE"""),"Revised")</f>
        <v>Revised</v>
      </c>
      <c r="E1553" s="13">
        <f>IFERROR(__xludf.DUMMYFUNCTION("""COMPUTED_VALUE"""),46309.0)</f>
        <v>46309</v>
      </c>
      <c r="F1553" s="5" t="str">
        <f>IFERROR(__xludf.DUMMYFUNCTION("""COMPUTED_VALUE"""),"Unavailable")</f>
        <v>Unavailable</v>
      </c>
      <c r="G1553" s="5" t="str">
        <f>IFERROR(__xludf.DUMMYFUNCTION("""COMPUTED_VALUE"""),"Additional lots will be available in the November 2026 timeframe.  Product will be made available as it is released.")</f>
        <v>Additional lots will be available in the November 2026 timeframe.  Product will be made available as it is released.</v>
      </c>
      <c r="H1553" s="5"/>
      <c r="I1553" s="5" t="str">
        <f>IFERROR(__xludf.DUMMYFUNCTION("""COMPUTED_VALUE"""),"Demand increase for the drug")</f>
        <v>Demand increase for the drug</v>
      </c>
      <c r="J1553" s="5" t="str">
        <f>IFERROR(__xludf.DUMMYFUNCTION("""COMPUTED_VALUE"""),"Other")</f>
        <v>Other</v>
      </c>
      <c r="K1553" s="5" t="str">
        <f>IFERROR(__xludf.DUMMYFUNCTION("""COMPUTED_VALUE"""),"Current")</f>
        <v>Current</v>
      </c>
      <c r="L1553" s="5"/>
      <c r="M1553" s="5"/>
      <c r="N1553" s="13">
        <f>IFERROR(__xludf.DUMMYFUNCTION("""COMPUTED_VALUE"""),44523.0)</f>
        <v>44523</v>
      </c>
      <c r="O1553" s="5">
        <v>2021.0</v>
      </c>
      <c r="P1553" s="5" t="str">
        <f>IFERROR(__xludf.DUMMYFUNCTION("""COMPUTED_VALUE"""),"Unavailable")</f>
        <v>Unavailable</v>
      </c>
      <c r="Q1553" s="5" t="s">
        <v>134</v>
      </c>
      <c r="R1553" s="5" t="s">
        <v>136</v>
      </c>
      <c r="S1553" s="11">
        <v>1798.0</v>
      </c>
    </row>
    <row r="1554">
      <c r="A1554" s="5" t="str">
        <f>IFERROR(__xludf.DUMMYFUNCTION("""COMPUTED_VALUE"""),"Sterile Water Injection")</f>
        <v>Sterile Water Injection</v>
      </c>
      <c r="B1554" s="5" t="str">
        <f>IFERROR(__xludf.DUMMYFUNCTION("""COMPUTED_VALUE"""),"Hospira, Inc., a Pfizer Company")</f>
        <v>Hospira, Inc., a Pfizer Company</v>
      </c>
      <c r="C1554" s="5" t="str">
        <f>IFERROR(__xludf.DUMMYFUNCTION("""COMPUTED_VALUE"""),"Sterile Water, Injection, 1 mL/1 mL (NDC 0409-4887-10)")</f>
        <v>Sterile Water, Injection, 1 mL/1 mL (NDC 0409-4887-10)</v>
      </c>
      <c r="D1554" s="5" t="str">
        <f>IFERROR(__xludf.DUMMYFUNCTION("""COMPUTED_VALUE"""),"Reverified")</f>
        <v>Reverified</v>
      </c>
      <c r="E1554" s="13">
        <f>IFERROR(__xludf.DUMMYFUNCTION("""COMPUTED_VALUE"""),46316.0)</f>
        <v>46316</v>
      </c>
      <c r="F1554" s="5" t="str">
        <f>IFERROR(__xludf.DUMMYFUNCTION("""COMPUTED_VALUE"""),"Available")</f>
        <v>Available</v>
      </c>
      <c r="G1554" s="5"/>
      <c r="H1554" s="5"/>
      <c r="I1554" s="5"/>
      <c r="J1554" s="5" t="str">
        <f>IFERROR(__xludf.DUMMYFUNCTION("""COMPUTED_VALUE"""),"Other")</f>
        <v>Other</v>
      </c>
      <c r="K1554" s="5" t="str">
        <f>IFERROR(__xludf.DUMMYFUNCTION("""COMPUTED_VALUE"""),"Current")</f>
        <v>Current</v>
      </c>
      <c r="L1554" s="5"/>
      <c r="M1554" s="5"/>
      <c r="N1554" s="13">
        <f>IFERROR(__xludf.DUMMYFUNCTION("""COMPUTED_VALUE"""),44523.0)</f>
        <v>44523</v>
      </c>
      <c r="O1554" s="5">
        <v>2021.0</v>
      </c>
      <c r="P1554" s="5" t="str">
        <f>IFERROR(__xludf.DUMMYFUNCTION("""COMPUTED_VALUE"""),"Available")</f>
        <v>Available</v>
      </c>
      <c r="Q1554" s="5" t="s">
        <v>135</v>
      </c>
      <c r="R1554" s="5" t="s">
        <v>136</v>
      </c>
      <c r="S1554" s="11">
        <v>1798.0</v>
      </c>
    </row>
    <row r="1555">
      <c r="A1555" s="5" t="str">
        <f>IFERROR(__xludf.DUMMYFUNCTION("""COMPUTED_VALUE"""),"Sterile Water Injection")</f>
        <v>Sterile Water Injection</v>
      </c>
      <c r="B1555" s="5" t="str">
        <f>IFERROR(__xludf.DUMMYFUNCTION("""COMPUTED_VALUE"""),"Hospira, Inc., a Pfizer Company")</f>
        <v>Hospira, Inc., a Pfizer Company</v>
      </c>
      <c r="C1555" s="5" t="str">
        <f>IFERROR(__xludf.DUMMYFUNCTION("""COMPUTED_VALUE"""),"Sterile Water, Injection, 1 mL/1 mL (NDC 0409-4887-20)")</f>
        <v>Sterile Water, Injection, 1 mL/1 mL (NDC 0409-4887-20)</v>
      </c>
      <c r="D1555" s="5" t="str">
        <f>IFERROR(__xludf.DUMMYFUNCTION("""COMPUTED_VALUE"""),"Reverified")</f>
        <v>Reverified</v>
      </c>
      <c r="E1555" s="13">
        <f>IFERROR(__xludf.DUMMYFUNCTION("""COMPUTED_VALUE"""),46316.0)</f>
        <v>46316</v>
      </c>
      <c r="F1555" s="5" t="str">
        <f>IFERROR(__xludf.DUMMYFUNCTION("""COMPUTED_VALUE"""),"Available")</f>
        <v>Available</v>
      </c>
      <c r="G1555" s="5"/>
      <c r="H1555" s="5"/>
      <c r="I1555" s="5"/>
      <c r="J1555" s="5" t="str">
        <f>IFERROR(__xludf.DUMMYFUNCTION("""COMPUTED_VALUE"""),"Other")</f>
        <v>Other</v>
      </c>
      <c r="K1555" s="5" t="str">
        <f>IFERROR(__xludf.DUMMYFUNCTION("""COMPUTED_VALUE"""),"Current")</f>
        <v>Current</v>
      </c>
      <c r="L1555" s="5"/>
      <c r="M1555" s="5"/>
      <c r="N1555" s="13">
        <f>IFERROR(__xludf.DUMMYFUNCTION("""COMPUTED_VALUE"""),44523.0)</f>
        <v>44523</v>
      </c>
      <c r="O1555" s="5">
        <v>2021.0</v>
      </c>
      <c r="P1555" s="5" t="str">
        <f>IFERROR(__xludf.DUMMYFUNCTION("""COMPUTED_VALUE"""),"Available")</f>
        <v>Available</v>
      </c>
      <c r="Q1555" s="5" t="s">
        <v>135</v>
      </c>
      <c r="R1555" s="5" t="s">
        <v>136</v>
      </c>
      <c r="S1555" s="11">
        <v>1798.0</v>
      </c>
    </row>
    <row r="1556">
      <c r="A1556" s="5" t="str">
        <f>IFERROR(__xludf.DUMMYFUNCTION("""COMPUTED_VALUE"""),"Sterile Water Injection")</f>
        <v>Sterile Water Injection</v>
      </c>
      <c r="B1556" s="5" t="str">
        <f>IFERROR(__xludf.DUMMYFUNCTION("""COMPUTED_VALUE"""),"Hospira, Inc., a Pfizer Company")</f>
        <v>Hospira, Inc., a Pfizer Company</v>
      </c>
      <c r="C1556" s="5" t="str">
        <f>IFERROR(__xludf.DUMMYFUNCTION("""COMPUTED_VALUE"""),"Sterile Water, Injection, 1 mL/1 mL (NDC 0409-4887-50)")</f>
        <v>Sterile Water, Injection, 1 mL/1 mL (NDC 0409-4887-50)</v>
      </c>
      <c r="D1556" s="5" t="str">
        <f>IFERROR(__xludf.DUMMYFUNCTION("""COMPUTED_VALUE"""),"Reverified")</f>
        <v>Reverified</v>
      </c>
      <c r="E1556" s="13">
        <f>IFERROR(__xludf.DUMMYFUNCTION("""COMPUTED_VALUE"""),46316.0)</f>
        <v>46316</v>
      </c>
      <c r="F1556" s="5" t="str">
        <f>IFERROR(__xludf.DUMMYFUNCTION("""COMPUTED_VALUE"""),"Available")</f>
        <v>Available</v>
      </c>
      <c r="G1556" s="5"/>
      <c r="H1556" s="5"/>
      <c r="I1556" s="5"/>
      <c r="J1556" s="5" t="str">
        <f>IFERROR(__xludf.DUMMYFUNCTION("""COMPUTED_VALUE"""),"Other")</f>
        <v>Other</v>
      </c>
      <c r="K1556" s="5" t="str">
        <f>IFERROR(__xludf.DUMMYFUNCTION("""COMPUTED_VALUE"""),"Current")</f>
        <v>Current</v>
      </c>
      <c r="L1556" s="5"/>
      <c r="M1556" s="5"/>
      <c r="N1556" s="13">
        <f>IFERROR(__xludf.DUMMYFUNCTION("""COMPUTED_VALUE"""),44523.0)</f>
        <v>44523</v>
      </c>
      <c r="O1556" s="5">
        <v>2021.0</v>
      </c>
      <c r="P1556" s="5" t="str">
        <f>IFERROR(__xludf.DUMMYFUNCTION("""COMPUTED_VALUE"""),"Available")</f>
        <v>Available</v>
      </c>
      <c r="Q1556" s="5" t="s">
        <v>135</v>
      </c>
      <c r="R1556" s="5" t="s">
        <v>136</v>
      </c>
      <c r="S1556" s="11">
        <v>1798.0</v>
      </c>
    </row>
    <row r="1557">
      <c r="A1557" s="5" t="str">
        <f>IFERROR(__xludf.DUMMYFUNCTION("""COMPUTED_VALUE"""),"Sterile Water Injection")</f>
        <v>Sterile Water Injection</v>
      </c>
      <c r="B1557" s="5" t="str">
        <f>IFERROR(__xludf.DUMMYFUNCTION("""COMPUTED_VALUE"""),"Hospira, Inc., a Pfizer Company")</f>
        <v>Hospira, Inc., a Pfizer Company</v>
      </c>
      <c r="C1557" s="5" t="str">
        <f>IFERROR(__xludf.DUMMYFUNCTION("""COMPUTED_VALUE"""),"Sterile Water, Injection, 1 mL/1 mL (NDC 0409-4887-99)")</f>
        <v>Sterile Water, Injection, 1 mL/1 mL (NDC 0409-4887-99)</v>
      </c>
      <c r="D1557" s="5" t="str">
        <f>IFERROR(__xludf.DUMMYFUNCTION("""COMPUTED_VALUE"""),"Reverified")</f>
        <v>Reverified</v>
      </c>
      <c r="E1557" s="13">
        <f>IFERROR(__xludf.DUMMYFUNCTION("""COMPUTED_VALUE"""),46316.0)</f>
        <v>46316</v>
      </c>
      <c r="F1557" s="5" t="str">
        <f>IFERROR(__xludf.DUMMYFUNCTION("""COMPUTED_VALUE"""),"Available")</f>
        <v>Available</v>
      </c>
      <c r="G1557" s="5"/>
      <c r="H1557" s="5"/>
      <c r="I1557" s="5"/>
      <c r="J1557" s="5" t="str">
        <f>IFERROR(__xludf.DUMMYFUNCTION("""COMPUTED_VALUE"""),"Other")</f>
        <v>Other</v>
      </c>
      <c r="K1557" s="5" t="str">
        <f>IFERROR(__xludf.DUMMYFUNCTION("""COMPUTED_VALUE"""),"Current")</f>
        <v>Current</v>
      </c>
      <c r="L1557" s="5"/>
      <c r="M1557" s="5"/>
      <c r="N1557" s="13">
        <f>IFERROR(__xludf.DUMMYFUNCTION("""COMPUTED_VALUE"""),44523.0)</f>
        <v>44523</v>
      </c>
      <c r="O1557" s="5">
        <v>2021.0</v>
      </c>
      <c r="P1557" s="5" t="str">
        <f>IFERROR(__xludf.DUMMYFUNCTION("""COMPUTED_VALUE"""),"Available")</f>
        <v>Available</v>
      </c>
      <c r="Q1557" s="5" t="s">
        <v>135</v>
      </c>
      <c r="R1557" s="5" t="s">
        <v>136</v>
      </c>
      <c r="S1557" s="11">
        <v>1798.0</v>
      </c>
    </row>
    <row r="1558">
      <c r="A1558" s="5" t="str">
        <f>IFERROR(__xludf.DUMMYFUNCTION("""COMPUTED_VALUE"""),"Sterile Water Injection")</f>
        <v>Sterile Water Injection</v>
      </c>
      <c r="B1558" s="5" t="str">
        <f>IFERROR(__xludf.DUMMYFUNCTION("""COMPUTED_VALUE"""),"Fresenius Kabi USA, LLC")</f>
        <v>Fresenius Kabi USA, LLC</v>
      </c>
      <c r="C1558" s="5" t="str">
        <f>IFERROR(__xludf.DUMMYFUNCTION("""COMPUTED_VALUE"""),"Sterile Water For Injection In Plastic Container, Injection, 1 mL/1 mL (NDC 63323-185-10)")</f>
        <v>Sterile Water For Injection In Plastic Container, Injection, 1 mL/1 mL (NDC 63323-185-10)</v>
      </c>
      <c r="D1558" s="5" t="str">
        <f>IFERROR(__xludf.DUMMYFUNCTION("""COMPUTED_VALUE"""),"Reverified")</f>
        <v>Reverified</v>
      </c>
      <c r="E1558" s="13">
        <f>IFERROR(__xludf.DUMMYFUNCTION("""COMPUTED_VALUE"""),46310.0)</f>
        <v>46310</v>
      </c>
      <c r="F1558" s="5" t="str">
        <f>IFERROR(__xludf.DUMMYFUNCTION("""COMPUTED_VALUE"""),"Unavailable")</f>
        <v>Unavailable</v>
      </c>
      <c r="G1558" s="5" t="str">
        <f>IFERROR(__xludf.DUMMYFUNCTION("""COMPUTED_VALUE"""),"Next release October 2026. Check wholesalers for inventory.")</f>
        <v>Next release October 2026. Check wholesalers for inventory.</v>
      </c>
      <c r="H1558" s="5"/>
      <c r="I1558" s="5" t="str">
        <f>IFERROR(__xludf.DUMMYFUNCTION("""COMPUTED_VALUE"""),"Demand increase for the drug")</f>
        <v>Demand increase for the drug</v>
      </c>
      <c r="J1558" s="5" t="str">
        <f>IFERROR(__xludf.DUMMYFUNCTION("""COMPUTED_VALUE"""),"Other")</f>
        <v>Other</v>
      </c>
      <c r="K1558" s="5" t="str">
        <f>IFERROR(__xludf.DUMMYFUNCTION("""COMPUTED_VALUE"""),"Current")</f>
        <v>Current</v>
      </c>
      <c r="L1558" s="5"/>
      <c r="M1558" s="5"/>
      <c r="N1558" s="13">
        <f>IFERROR(__xludf.DUMMYFUNCTION("""COMPUTED_VALUE"""),44523.0)</f>
        <v>44523</v>
      </c>
      <c r="O1558" s="5">
        <v>2021.0</v>
      </c>
      <c r="P1558" s="5" t="str">
        <f>IFERROR(__xludf.DUMMYFUNCTION("""COMPUTED_VALUE"""),"Unavailable")</f>
        <v>Unavailable</v>
      </c>
      <c r="Q1558" s="5" t="s">
        <v>134</v>
      </c>
      <c r="R1558" s="5" t="s">
        <v>136</v>
      </c>
      <c r="S1558" s="11">
        <v>1798.0</v>
      </c>
    </row>
    <row r="1559">
      <c r="A1559" s="5" t="str">
        <f>IFERROR(__xludf.DUMMYFUNCTION("""COMPUTED_VALUE"""),"Sterile Water Injection")</f>
        <v>Sterile Water Injection</v>
      </c>
      <c r="B1559" s="5" t="str">
        <f>IFERROR(__xludf.DUMMYFUNCTION("""COMPUTED_VALUE"""),"Fresenius Kabi USA, LLC")</f>
        <v>Fresenius Kabi USA, LLC</v>
      </c>
      <c r="C1559" s="5" t="str">
        <f>IFERROR(__xludf.DUMMYFUNCTION("""COMPUTED_VALUE"""),"Sterile Water For Injection In Plastic Container, Injection, 1 mL/1 mL (NDC 63323-185-20)")</f>
        <v>Sterile Water For Injection In Plastic Container, Injection, 1 mL/1 mL (NDC 63323-185-20)</v>
      </c>
      <c r="D1559" s="5" t="str">
        <f>IFERROR(__xludf.DUMMYFUNCTION("""COMPUTED_VALUE"""),"Reverified")</f>
        <v>Reverified</v>
      </c>
      <c r="E1559" s="13">
        <f>IFERROR(__xludf.DUMMYFUNCTION("""COMPUTED_VALUE"""),46310.0)</f>
        <v>46310</v>
      </c>
      <c r="F1559" s="5" t="str">
        <f>IFERROR(__xludf.DUMMYFUNCTION("""COMPUTED_VALUE"""),"Available")</f>
        <v>Available</v>
      </c>
      <c r="G1559" s="5" t="str">
        <f>IFERROR(__xludf.DUMMYFUNCTION("""COMPUTED_VALUE"""),"Check wholesalers for inventory")</f>
        <v>Check wholesalers for inventory</v>
      </c>
      <c r="H1559" s="5"/>
      <c r="I1559" s="5"/>
      <c r="J1559" s="5" t="str">
        <f>IFERROR(__xludf.DUMMYFUNCTION("""COMPUTED_VALUE"""),"Other")</f>
        <v>Other</v>
      </c>
      <c r="K1559" s="5" t="str">
        <f>IFERROR(__xludf.DUMMYFUNCTION("""COMPUTED_VALUE"""),"Current")</f>
        <v>Current</v>
      </c>
      <c r="L1559" s="5"/>
      <c r="M1559" s="5"/>
      <c r="N1559" s="13">
        <f>IFERROR(__xludf.DUMMYFUNCTION("""COMPUTED_VALUE"""),44523.0)</f>
        <v>44523</v>
      </c>
      <c r="O1559" s="5">
        <v>2021.0</v>
      </c>
      <c r="P1559" s="5" t="str">
        <f>IFERROR(__xludf.DUMMYFUNCTION("""COMPUTED_VALUE"""),"Available")</f>
        <v>Available</v>
      </c>
      <c r="Q1559" s="5" t="s">
        <v>135</v>
      </c>
      <c r="R1559" s="5" t="s">
        <v>136</v>
      </c>
      <c r="S1559" s="11">
        <v>1798.0</v>
      </c>
    </row>
    <row r="1560">
      <c r="A1560" s="5" t="str">
        <f>IFERROR(__xludf.DUMMYFUNCTION("""COMPUTED_VALUE"""),"Sterile Water Injection")</f>
        <v>Sterile Water Injection</v>
      </c>
      <c r="B1560" s="5" t="str">
        <f>IFERROR(__xludf.DUMMYFUNCTION("""COMPUTED_VALUE"""),"Fresenius Kabi USA, LLC")</f>
        <v>Fresenius Kabi USA, LLC</v>
      </c>
      <c r="C1560" s="5" t="str">
        <f>IFERROR(__xludf.DUMMYFUNCTION("""COMPUTED_VALUE"""),"Sterile Water For Injection In Plastic Container, Injection, 1 mL/1 mL (NDC 63323-185-50)")</f>
        <v>Sterile Water For Injection In Plastic Container, Injection, 1 mL/1 mL (NDC 63323-185-50)</v>
      </c>
      <c r="D1560" s="5" t="str">
        <f>IFERROR(__xludf.DUMMYFUNCTION("""COMPUTED_VALUE"""),"Reverified")</f>
        <v>Reverified</v>
      </c>
      <c r="E1560" s="13">
        <f>IFERROR(__xludf.DUMMYFUNCTION("""COMPUTED_VALUE"""),46310.0)</f>
        <v>46310</v>
      </c>
      <c r="F1560" s="5" t="str">
        <f>IFERROR(__xludf.DUMMYFUNCTION("""COMPUTED_VALUE"""),"Available")</f>
        <v>Available</v>
      </c>
      <c r="G1560" s="5" t="str">
        <f>IFERROR(__xludf.DUMMYFUNCTION("""COMPUTED_VALUE"""),"Check wholesalers for inventory")</f>
        <v>Check wholesalers for inventory</v>
      </c>
      <c r="H1560" s="5"/>
      <c r="I1560" s="5"/>
      <c r="J1560" s="5" t="str">
        <f>IFERROR(__xludf.DUMMYFUNCTION("""COMPUTED_VALUE"""),"Other")</f>
        <v>Other</v>
      </c>
      <c r="K1560" s="5" t="str">
        <f>IFERROR(__xludf.DUMMYFUNCTION("""COMPUTED_VALUE"""),"Current")</f>
        <v>Current</v>
      </c>
      <c r="L1560" s="5"/>
      <c r="M1560" s="5"/>
      <c r="N1560" s="13">
        <f>IFERROR(__xludf.DUMMYFUNCTION("""COMPUTED_VALUE"""),44523.0)</f>
        <v>44523</v>
      </c>
      <c r="O1560" s="5">
        <v>2021.0</v>
      </c>
      <c r="P1560" s="5" t="str">
        <f>IFERROR(__xludf.DUMMYFUNCTION("""COMPUTED_VALUE"""),"Available")</f>
        <v>Available</v>
      </c>
      <c r="Q1560" s="5" t="s">
        <v>135</v>
      </c>
      <c r="R1560" s="5" t="s">
        <v>136</v>
      </c>
      <c r="S1560" s="11">
        <v>1798.0</v>
      </c>
    </row>
    <row r="1561">
      <c r="A1561" s="5" t="str">
        <f>IFERROR(__xludf.DUMMYFUNCTION("""COMPUTED_VALUE"""),"Sterile Water Injection")</f>
        <v>Sterile Water Injection</v>
      </c>
      <c r="B1561" s="5" t="str">
        <f>IFERROR(__xludf.DUMMYFUNCTION("""COMPUTED_VALUE"""),"Medefil, Inc.")</f>
        <v>Medefil, Inc.</v>
      </c>
      <c r="C1561" s="5" t="str">
        <f>IFERROR(__xludf.DUMMYFUNCTION("""COMPUTED_VALUE"""),"Sterile Water, Injection, 10 mL/10 mL (NDC 64253-020-30)")</f>
        <v>Sterile Water, Injection, 10 mL/10 mL (NDC 64253-020-30)</v>
      </c>
      <c r="D1561" s="5" t="str">
        <f>IFERROR(__xludf.DUMMYFUNCTION("""COMPUTED_VALUE"""),"Reverified")</f>
        <v>Reverified</v>
      </c>
      <c r="E1561" s="13">
        <f>IFERROR(__xludf.DUMMYFUNCTION("""COMPUTED_VALUE"""),46310.0)</f>
        <v>46310</v>
      </c>
      <c r="F1561" s="5" t="str">
        <f>IFERROR(__xludf.DUMMYFUNCTION("""COMPUTED_VALUE"""),"Available")</f>
        <v>Available</v>
      </c>
      <c r="G1561" s="5"/>
      <c r="H1561" s="5"/>
      <c r="I1561" s="5"/>
      <c r="J1561" s="5" t="str">
        <f>IFERROR(__xludf.DUMMYFUNCTION("""COMPUTED_VALUE"""),"Other")</f>
        <v>Other</v>
      </c>
      <c r="K1561" s="5" t="str">
        <f>IFERROR(__xludf.DUMMYFUNCTION("""COMPUTED_VALUE"""),"Current")</f>
        <v>Current</v>
      </c>
      <c r="L1561" s="5"/>
      <c r="M1561" s="5"/>
      <c r="N1561" s="13">
        <f>IFERROR(__xludf.DUMMYFUNCTION("""COMPUTED_VALUE"""),44523.0)</f>
        <v>44523</v>
      </c>
      <c r="O1561" s="5">
        <v>2021.0</v>
      </c>
      <c r="P1561" s="5" t="str">
        <f>IFERROR(__xludf.DUMMYFUNCTION("""COMPUTED_VALUE"""),"Available")</f>
        <v>Available</v>
      </c>
      <c r="Q1561" s="5" t="s">
        <v>135</v>
      </c>
      <c r="R1561" s="5" t="s">
        <v>136</v>
      </c>
      <c r="S1561" s="11">
        <v>1798.0</v>
      </c>
    </row>
    <row r="1562">
      <c r="A1562" s="5" t="str">
        <f>IFERROR(__xludf.DUMMYFUNCTION("""COMPUTED_VALUE"""),"Sterile Water Injection")</f>
        <v>Sterile Water Injection</v>
      </c>
      <c r="B1562" s="5" t="str">
        <f>IFERROR(__xludf.DUMMYFUNCTION("""COMPUTED_VALUE"""),"Hospira, Inc., a Pfizer Company")</f>
        <v>Hospira, Inc., a Pfizer Company</v>
      </c>
      <c r="C1562" s="5" t="str">
        <f>IFERROR(__xludf.DUMMYFUNCTION("""COMPUTED_VALUE"""),"Bacteriostatic Water For Injection In Plastic Container, Injection, 1 mL/1 mL (NDC 0409-3977-03)")</f>
        <v>Bacteriostatic Water For Injection In Plastic Container, Injection, 1 mL/1 mL (NDC 0409-3977-03)</v>
      </c>
      <c r="D1562" s="5" t="str">
        <f>IFERROR(__xludf.DUMMYFUNCTION("""COMPUTED_VALUE"""),"Reverified")</f>
        <v>Reverified</v>
      </c>
      <c r="E1562" s="13">
        <f>IFERROR(__xludf.DUMMYFUNCTION("""COMPUTED_VALUE"""),46316.0)</f>
        <v>46316</v>
      </c>
      <c r="F1562" s="5" t="str">
        <f>IFERROR(__xludf.DUMMYFUNCTION("""COMPUTED_VALUE"""),"Available")</f>
        <v>Available</v>
      </c>
      <c r="G1562" s="5"/>
      <c r="H1562" s="5"/>
      <c r="I1562" s="5"/>
      <c r="J1562" s="5" t="str">
        <f>IFERROR(__xludf.DUMMYFUNCTION("""COMPUTED_VALUE"""),"Other")</f>
        <v>Other</v>
      </c>
      <c r="K1562" s="5" t="str">
        <f>IFERROR(__xludf.DUMMYFUNCTION("""COMPUTED_VALUE"""),"Current")</f>
        <v>Current</v>
      </c>
      <c r="L1562" s="5"/>
      <c r="M1562" s="5"/>
      <c r="N1562" s="10">
        <f>IFERROR(__xludf.DUMMYFUNCTION("""COMPUTED_VALUE"""),44533.0)</f>
        <v>44533</v>
      </c>
      <c r="O1562" s="5">
        <v>2021.0</v>
      </c>
      <c r="P1562" s="5" t="str">
        <f>IFERROR(__xludf.DUMMYFUNCTION("""COMPUTED_VALUE"""),"Available")</f>
        <v>Available</v>
      </c>
      <c r="Q1562" s="5" t="s">
        <v>135</v>
      </c>
      <c r="R1562" s="5" t="s">
        <v>136</v>
      </c>
      <c r="S1562" s="11">
        <v>1788.0</v>
      </c>
    </row>
    <row r="1563">
      <c r="A1563" s="5" t="str">
        <f>IFERROR(__xludf.DUMMYFUNCTION("""COMPUTED_VALUE"""),"Sterile Water Injection")</f>
        <v>Sterile Water Injection</v>
      </c>
      <c r="B1563" s="5" t="str">
        <f>IFERROR(__xludf.DUMMYFUNCTION("""COMPUTED_VALUE"""),"Fresenius Kabi USA, LLC")</f>
        <v>Fresenius Kabi USA, LLC</v>
      </c>
      <c r="C1563" s="5" t="str">
        <f>IFERROR(__xludf.DUMMYFUNCTION("""COMPUTED_VALUE"""),"Sterile Water, Injection, 1000 mL/1000 mL (NDC 63323-178-76)")</f>
        <v>Sterile Water, Injection, 1000 mL/1000 mL (NDC 63323-178-76)</v>
      </c>
      <c r="D1563" s="5" t="str">
        <f>IFERROR(__xludf.DUMMYFUNCTION("""COMPUTED_VALUE"""),"Reverified")</f>
        <v>Reverified</v>
      </c>
      <c r="E1563" s="13">
        <f>IFERROR(__xludf.DUMMYFUNCTION("""COMPUTED_VALUE"""),46310.0)</f>
        <v>46310</v>
      </c>
      <c r="F1563" s="5" t="str">
        <f>IFERROR(__xludf.DUMMYFUNCTION("""COMPUTED_VALUE"""),"Available")</f>
        <v>Available</v>
      </c>
      <c r="G1563" s="5" t="str">
        <f>IFERROR(__xludf.DUMMYFUNCTION("""COMPUTED_VALUE"""),"Check wholesalers for inventory")</f>
        <v>Check wholesalers for inventory</v>
      </c>
      <c r="H1563" s="5"/>
      <c r="I1563" s="5"/>
      <c r="J1563" s="5" t="str">
        <f>IFERROR(__xludf.DUMMYFUNCTION("""COMPUTED_VALUE"""),"Other")</f>
        <v>Other</v>
      </c>
      <c r="K1563" s="5" t="str">
        <f>IFERROR(__xludf.DUMMYFUNCTION("""COMPUTED_VALUE"""),"Current")</f>
        <v>Current</v>
      </c>
      <c r="L1563" s="5"/>
      <c r="M1563" s="5"/>
      <c r="N1563" s="13">
        <f>IFERROR(__xludf.DUMMYFUNCTION("""COMPUTED_VALUE"""),44523.0)</f>
        <v>44523</v>
      </c>
      <c r="O1563" s="5">
        <v>2021.0</v>
      </c>
      <c r="P1563" s="5" t="str">
        <f>IFERROR(__xludf.DUMMYFUNCTION("""COMPUTED_VALUE"""),"Available")</f>
        <v>Available</v>
      </c>
      <c r="Q1563" s="5" t="s">
        <v>135</v>
      </c>
      <c r="R1563" s="5" t="s">
        <v>136</v>
      </c>
      <c r="S1563" s="11">
        <v>1798.0</v>
      </c>
    </row>
    <row r="1564">
      <c r="A1564" s="5" t="str">
        <f>IFERROR(__xludf.DUMMYFUNCTION("""COMPUTED_VALUE"""),"Sterile Water Injection")</f>
        <v>Sterile Water Injection</v>
      </c>
      <c r="B1564" s="5" t="str">
        <f>IFERROR(__xludf.DUMMYFUNCTION("""COMPUTED_VALUE"""),"Nephron Pharmaceuticals Corporation")</f>
        <v>Nephron Pharmaceuticals Corporation</v>
      </c>
      <c r="C1564" s="5" t="str">
        <f>IFERROR(__xludf.DUMMYFUNCTION("""COMPUTED_VALUE"""),"Sterile Water, Injection, 1 mL/1 mL (NDC 0487-6105-01)")</f>
        <v>Sterile Water, Injection, 1 mL/1 mL (NDC 0487-6105-01)</v>
      </c>
      <c r="D1564" s="5" t="str">
        <f>IFERROR(__xludf.DUMMYFUNCTION("""COMPUTED_VALUE"""),"Reverified")</f>
        <v>Reverified</v>
      </c>
      <c r="E1564" s="10">
        <f>IFERROR(__xludf.DUMMYFUNCTION("""COMPUTED_VALUE"""),46238.0)</f>
        <v>46238</v>
      </c>
      <c r="F1564" s="5" t="str">
        <f>IFERROR(__xludf.DUMMYFUNCTION("""COMPUTED_VALUE"""),"Limited Availability")</f>
        <v>Limited Availability</v>
      </c>
      <c r="G1564" s="5" t="str">
        <f>IFERROR(__xludf.DUMMYFUNCTION("""COMPUTED_VALUE"""),"Small amount of inventory available with 12/31/2026 dating")</f>
        <v>Small amount of inventory available with 12/31/2026 dating</v>
      </c>
      <c r="H1564" s="5"/>
      <c r="I1564" s="5" t="str">
        <f>IFERROR(__xludf.DUMMYFUNCTION("""COMPUTED_VALUE"""),"Other")</f>
        <v>Other</v>
      </c>
      <c r="J1564" s="5" t="str">
        <f>IFERROR(__xludf.DUMMYFUNCTION("""COMPUTED_VALUE"""),"Other")</f>
        <v>Other</v>
      </c>
      <c r="K1564" s="5" t="str">
        <f>IFERROR(__xludf.DUMMYFUNCTION("""COMPUTED_VALUE"""),"Current")</f>
        <v>Current</v>
      </c>
      <c r="L1564" s="5"/>
      <c r="M1564" s="5"/>
      <c r="N1564" s="13">
        <f>IFERROR(__xludf.DUMMYFUNCTION("""COMPUTED_VALUE"""),44523.0)</f>
        <v>44523</v>
      </c>
      <c r="O1564" s="5">
        <v>2021.0</v>
      </c>
      <c r="P1564" s="5" t="str">
        <f>IFERROR(__xludf.DUMMYFUNCTION("""COMPUTED_VALUE"""),"Limited Availability")</f>
        <v>Limited Availability</v>
      </c>
      <c r="Q1564" s="5" t="s">
        <v>47</v>
      </c>
      <c r="R1564" s="5" t="s">
        <v>136</v>
      </c>
      <c r="S1564" s="11">
        <v>1798.0</v>
      </c>
    </row>
    <row r="1565">
      <c r="A1565" s="5" t="str">
        <f>IFERROR(__xludf.DUMMYFUNCTION("""COMPUTED_VALUE"""),"Sterile Water Irrigant")</f>
        <v>Sterile Water Irrigant</v>
      </c>
      <c r="B1565" s="5" t="str">
        <f>IFERROR(__xludf.DUMMYFUNCTION("""COMPUTED_VALUE"""),"Otsuka ICU Medical LLC")</f>
        <v>Otsuka ICU Medical LLC</v>
      </c>
      <c r="C1565" s="5" t="str">
        <f>IFERROR(__xludf.DUMMYFUNCTION("""COMPUTED_VALUE"""),"Sterile Water In Plastic Container, Irrigant, 1 mL/1 mL (NDC 0990-6139-22)")</f>
        <v>Sterile Water In Plastic Container, Irrigant, 1 mL/1 mL (NDC 0990-6139-22)</v>
      </c>
      <c r="D1565" s="5" t="str">
        <f>IFERROR(__xludf.DUMMYFUNCTION("""COMPUTED_VALUE"""),"Reverified")</f>
        <v>Reverified</v>
      </c>
      <c r="E1565" s="13">
        <f>IFERROR(__xludf.DUMMYFUNCTION("""COMPUTED_VALUE"""),46311.0)</f>
        <v>46311</v>
      </c>
      <c r="F1565" s="5" t="str">
        <f>IFERROR(__xludf.DUMMYFUNCTION("""COMPUTED_VALUE"""),"Unavailable")</f>
        <v>Unavailable</v>
      </c>
      <c r="G1565" s="5" t="str">
        <f>IFERROR(__xludf.DUMMYFUNCTION("""COMPUTED_VALUE"""),"Product temporarily unavailable. Estimated recovery: TBD. This product is distributed by ICU Medical. For questions regarding this product, please contact ICU Medical.")</f>
        <v>Product temporarily unavailable. Estimated recovery: TBD. This product is distributed by ICU Medical. For questions regarding this product, please contact ICU Medical.</v>
      </c>
      <c r="H1565" s="5"/>
      <c r="I1565" s="5" t="str">
        <f>IFERROR(__xludf.DUMMYFUNCTION("""COMPUTED_VALUE"""),"Discontinuation of the manufacture of the drug")</f>
        <v>Discontinuation of the manufacture of the drug</v>
      </c>
      <c r="J1565" s="5" t="str">
        <f>IFERROR(__xludf.DUMMYFUNCTION("""COMPUTED_VALUE"""),"Gastroenterology; Other; Pediatric")</f>
        <v>Gastroenterology; Other; Pediatric</v>
      </c>
      <c r="K1565" s="5" t="str">
        <f>IFERROR(__xludf.DUMMYFUNCTION("""COMPUTED_VALUE"""),"Current")</f>
        <v>Current</v>
      </c>
      <c r="L1565" s="5"/>
      <c r="M1565" s="5"/>
      <c r="N1565" s="10">
        <f>IFERROR(__xludf.DUMMYFUNCTION("""COMPUTED_VALUE"""),45044.0)</f>
        <v>45044</v>
      </c>
      <c r="O1565" s="5">
        <v>2023.0</v>
      </c>
      <c r="P1565" s="5" t="str">
        <f>IFERROR(__xludf.DUMMYFUNCTION("""COMPUTED_VALUE"""),"Unavailable")</f>
        <v>Unavailable</v>
      </c>
      <c r="Q1565" s="5" t="s">
        <v>33</v>
      </c>
      <c r="R1565" s="5" t="s">
        <v>136</v>
      </c>
      <c r="S1565" s="11">
        <v>1277.0</v>
      </c>
    </row>
    <row r="1566">
      <c r="A1566" s="5" t="str">
        <f>IFERROR(__xludf.DUMMYFUNCTION("""COMPUTED_VALUE"""),"Sterile Water Irrigant")</f>
        <v>Sterile Water Irrigant</v>
      </c>
      <c r="B1566" s="5" t="str">
        <f>IFERROR(__xludf.DUMMYFUNCTION("""COMPUTED_VALUE"""),"Otsuka ICU Medical LLC")</f>
        <v>Otsuka ICU Medical LLC</v>
      </c>
      <c r="C1566" s="5" t="str">
        <f>IFERROR(__xludf.DUMMYFUNCTION("""COMPUTED_VALUE"""),"Sterile Water In Plastic Container, Irrigant, 1 mL/1 mL (NDC 0990-6139-03)")</f>
        <v>Sterile Water In Plastic Container, Irrigant, 1 mL/1 mL (NDC 0990-6139-03)</v>
      </c>
      <c r="D1566" s="5" t="str">
        <f>IFERROR(__xludf.DUMMYFUNCTION("""COMPUTED_VALUE"""),"Reverified")</f>
        <v>Reverified</v>
      </c>
      <c r="E1566" s="13">
        <f>IFERROR(__xludf.DUMMYFUNCTION("""COMPUTED_VALUE"""),46311.0)</f>
        <v>46311</v>
      </c>
      <c r="F1566" s="5" t="str">
        <f>IFERROR(__xludf.DUMMYFUNCTION("""COMPUTED_VALUE"""),"Unavailable")</f>
        <v>Unavailable</v>
      </c>
      <c r="G1566" s="5" t="str">
        <f>IFERROR(__xludf.DUMMYFUNCTION("""COMPUTED_VALUE"""),"Product temporarily unavailable. Estimated recovery: TBD. This product is distributed by ICU Medical. For questions regarding this product, please contact ICU Medical.")</f>
        <v>Product temporarily unavailable. Estimated recovery: TBD. This product is distributed by ICU Medical. For questions regarding this product, please contact ICU Medical.</v>
      </c>
      <c r="H1566" s="5"/>
      <c r="I1566" s="5" t="str">
        <f>IFERROR(__xludf.DUMMYFUNCTION("""COMPUTED_VALUE"""),"Discontinuation of the manufacture of the drug")</f>
        <v>Discontinuation of the manufacture of the drug</v>
      </c>
      <c r="J1566" s="5" t="str">
        <f>IFERROR(__xludf.DUMMYFUNCTION("""COMPUTED_VALUE"""),"Gastroenterology; Other; Pediatric")</f>
        <v>Gastroenterology; Other; Pediatric</v>
      </c>
      <c r="K1566" s="5" t="str">
        <f>IFERROR(__xludf.DUMMYFUNCTION("""COMPUTED_VALUE"""),"Current")</f>
        <v>Current</v>
      </c>
      <c r="L1566" s="5"/>
      <c r="M1566" s="5"/>
      <c r="N1566" s="10">
        <f>IFERROR(__xludf.DUMMYFUNCTION("""COMPUTED_VALUE"""),45044.0)</f>
        <v>45044</v>
      </c>
      <c r="O1566" s="5">
        <v>2023.0</v>
      </c>
      <c r="P1566" s="5" t="str">
        <f>IFERROR(__xludf.DUMMYFUNCTION("""COMPUTED_VALUE"""),"Unavailable")</f>
        <v>Unavailable</v>
      </c>
      <c r="Q1566" s="5" t="s">
        <v>33</v>
      </c>
      <c r="R1566" s="5" t="s">
        <v>136</v>
      </c>
      <c r="S1566" s="11">
        <v>1277.0</v>
      </c>
    </row>
    <row r="1567">
      <c r="A1567" s="5" t="str">
        <f>IFERROR(__xludf.DUMMYFUNCTION("""COMPUTED_VALUE"""),"Sterile Water Irrigant")</f>
        <v>Sterile Water Irrigant</v>
      </c>
      <c r="B1567" s="5" t="str">
        <f>IFERROR(__xludf.DUMMYFUNCTION("""COMPUTED_VALUE"""),"Otsuka ICU Medical LLC")</f>
        <v>Otsuka ICU Medical LLC</v>
      </c>
      <c r="C1567" s="5" t="str">
        <f>IFERROR(__xludf.DUMMYFUNCTION("""COMPUTED_VALUE"""),"Sterile Water In Plastic Container, Irrigant, 1 mL/1 mL (NDC 0990-7139-09)")</f>
        <v>Sterile Water In Plastic Container, Irrigant, 1 mL/1 mL (NDC 0990-7139-09)</v>
      </c>
      <c r="D1567" s="5" t="str">
        <f>IFERROR(__xludf.DUMMYFUNCTION("""COMPUTED_VALUE"""),"Reverified")</f>
        <v>Reverified</v>
      </c>
      <c r="E1567" s="13">
        <f>IFERROR(__xludf.DUMMYFUNCTION("""COMPUTED_VALUE"""),46311.0)</f>
        <v>46311</v>
      </c>
      <c r="F1567" s="5" t="str">
        <f>IFERROR(__xludf.DUMMYFUNCTION("""COMPUTED_VALUE"""),"Unavailable")</f>
        <v>Unavailable</v>
      </c>
      <c r="G1567" s="5" t="str">
        <f>IFERROR(__xludf.DUMMYFUNCTION("""COMPUTED_VALUE"""),"Product temporarily unavailable. Estimated recovery: TBD. This product is distributed by ICU Medical. For questions regarding this product, please contact ICU Medical.")</f>
        <v>Product temporarily unavailable. Estimated recovery: TBD. This product is distributed by ICU Medical. For questions regarding this product, please contact ICU Medical.</v>
      </c>
      <c r="H1567" s="5"/>
      <c r="I1567" s="5" t="str">
        <f>IFERROR(__xludf.DUMMYFUNCTION("""COMPUTED_VALUE"""),"Discontinuation of the manufacture of the drug")</f>
        <v>Discontinuation of the manufacture of the drug</v>
      </c>
      <c r="J1567" s="5" t="str">
        <f>IFERROR(__xludf.DUMMYFUNCTION("""COMPUTED_VALUE"""),"Gastroenterology; Other; Pediatric")</f>
        <v>Gastroenterology; Other; Pediatric</v>
      </c>
      <c r="K1567" s="5" t="str">
        <f>IFERROR(__xludf.DUMMYFUNCTION("""COMPUTED_VALUE"""),"Current")</f>
        <v>Current</v>
      </c>
      <c r="L1567" s="5"/>
      <c r="M1567" s="5"/>
      <c r="N1567" s="10">
        <f>IFERROR(__xludf.DUMMYFUNCTION("""COMPUTED_VALUE"""),45044.0)</f>
        <v>45044</v>
      </c>
      <c r="O1567" s="5">
        <v>2023.0</v>
      </c>
      <c r="P1567" s="5" t="str">
        <f>IFERROR(__xludf.DUMMYFUNCTION("""COMPUTED_VALUE"""),"Unavailable")</f>
        <v>Unavailable</v>
      </c>
      <c r="Q1567" s="5" t="s">
        <v>33</v>
      </c>
      <c r="R1567" s="5" t="s">
        <v>136</v>
      </c>
      <c r="S1567" s="11">
        <v>1277.0</v>
      </c>
    </row>
    <row r="1568">
      <c r="A1568" s="5" t="str">
        <f>IFERROR(__xludf.DUMMYFUNCTION("""COMPUTED_VALUE"""),"Sterile Water Irrigant")</f>
        <v>Sterile Water Irrigant</v>
      </c>
      <c r="B1568" s="5" t="str">
        <f>IFERROR(__xludf.DUMMYFUNCTION("""COMPUTED_VALUE"""),"Otsuka ICU Medical LLC")</f>
        <v>Otsuka ICU Medical LLC</v>
      </c>
      <c r="C1568" s="5" t="str">
        <f>IFERROR(__xludf.DUMMYFUNCTION("""COMPUTED_VALUE"""),"Sterile Water In Plastic Container, Irrigant, 1 mL/1 mL (NDC 0990-7139-36)")</f>
        <v>Sterile Water In Plastic Container, Irrigant, 1 mL/1 mL (NDC 0990-7139-36)</v>
      </c>
      <c r="D1568" s="5" t="str">
        <f>IFERROR(__xludf.DUMMYFUNCTION("""COMPUTED_VALUE"""),"Reverified")</f>
        <v>Reverified</v>
      </c>
      <c r="E1568" s="13">
        <f>IFERROR(__xludf.DUMMYFUNCTION("""COMPUTED_VALUE"""),46311.0)</f>
        <v>46311</v>
      </c>
      <c r="F1568" s="5" t="str">
        <f>IFERROR(__xludf.DUMMYFUNCTION("""COMPUTED_VALUE"""),"Unavailable")</f>
        <v>Unavailable</v>
      </c>
      <c r="G1568" s="5" t="str">
        <f>IFERROR(__xludf.DUMMYFUNCTION("""COMPUTED_VALUE"""),"Product temporarily unavailable. Estimated recovery: TBD. This product is distributed by ICU Medical. For questions regarding this product, please contact ICU Medical.")</f>
        <v>Product temporarily unavailable. Estimated recovery: TBD. This product is distributed by ICU Medical. For questions regarding this product, please contact ICU Medical.</v>
      </c>
      <c r="H1568" s="5"/>
      <c r="I1568" s="5" t="str">
        <f>IFERROR(__xludf.DUMMYFUNCTION("""COMPUTED_VALUE"""),"Discontinuation of the manufacture of the drug")</f>
        <v>Discontinuation of the manufacture of the drug</v>
      </c>
      <c r="J1568" s="5" t="str">
        <f>IFERROR(__xludf.DUMMYFUNCTION("""COMPUTED_VALUE"""),"Gastroenterology; Other; Pediatric")</f>
        <v>Gastroenterology; Other; Pediatric</v>
      </c>
      <c r="K1568" s="5" t="str">
        <f>IFERROR(__xludf.DUMMYFUNCTION("""COMPUTED_VALUE"""),"Current")</f>
        <v>Current</v>
      </c>
      <c r="L1568" s="5"/>
      <c r="M1568" s="5"/>
      <c r="N1568" s="10">
        <f>IFERROR(__xludf.DUMMYFUNCTION("""COMPUTED_VALUE"""),45044.0)</f>
        <v>45044</v>
      </c>
      <c r="O1568" s="5">
        <v>2023.0</v>
      </c>
      <c r="P1568" s="5" t="str">
        <f>IFERROR(__xludf.DUMMYFUNCTION("""COMPUTED_VALUE"""),"Unavailable")</f>
        <v>Unavailable</v>
      </c>
      <c r="Q1568" s="5" t="s">
        <v>33</v>
      </c>
      <c r="R1568" s="5" t="s">
        <v>136</v>
      </c>
      <c r="S1568" s="11">
        <v>1277.0</v>
      </c>
    </row>
    <row r="1569">
      <c r="A1569" s="5" t="str">
        <f>IFERROR(__xludf.DUMMYFUNCTION("""COMPUTED_VALUE"""),"Sterile Water Irrigant")</f>
        <v>Sterile Water Irrigant</v>
      </c>
      <c r="B1569" s="5" t="str">
        <f>IFERROR(__xludf.DUMMYFUNCTION("""COMPUTED_VALUE"""),"Baxter Healthcare")</f>
        <v>Baxter Healthcare</v>
      </c>
      <c r="C1569" s="5" t="str">
        <f>IFERROR(__xludf.DUMMYFUNCTION("""COMPUTED_VALUE"""),"Sterile Water, Irrigant, 100 mL/100 mL (NDC 0338-0004-02)")</f>
        <v>Sterile Water, Irrigant, 100 mL/100 mL (NDC 0338-0004-02)</v>
      </c>
      <c r="D1569" s="5" t="str">
        <f>IFERROR(__xludf.DUMMYFUNCTION("""COMPUTED_VALUE"""),"Reverified")</f>
        <v>Reverified</v>
      </c>
      <c r="E1569" s="13">
        <f>IFERROR(__xludf.DUMMYFUNCTION("""COMPUTED_VALUE"""),46311.0)</f>
        <v>46311</v>
      </c>
      <c r="F1569" s="5" t="str">
        <f>IFERROR(__xludf.DUMMYFUNCTION("""COMPUTED_VALUE"""),"Available")</f>
        <v>Available</v>
      </c>
      <c r="G1569" s="5"/>
      <c r="H1569" s="5"/>
      <c r="I1569" s="5"/>
      <c r="J1569" s="5" t="str">
        <f>IFERROR(__xludf.DUMMYFUNCTION("""COMPUTED_VALUE"""),"Gastroenterology; Other; Pediatric")</f>
        <v>Gastroenterology; Other; Pediatric</v>
      </c>
      <c r="K1569" s="5" t="str">
        <f>IFERROR(__xludf.DUMMYFUNCTION("""COMPUTED_VALUE"""),"Current")</f>
        <v>Current</v>
      </c>
      <c r="L1569" s="5"/>
      <c r="M1569" s="5"/>
      <c r="N1569" s="10">
        <f>IFERROR(__xludf.DUMMYFUNCTION("""COMPUTED_VALUE"""),45044.0)</f>
        <v>45044</v>
      </c>
      <c r="O1569" s="5">
        <v>2023.0</v>
      </c>
      <c r="P1569" s="5" t="str">
        <f>IFERROR(__xludf.DUMMYFUNCTION("""COMPUTED_VALUE"""),"Available")</f>
        <v>Available</v>
      </c>
      <c r="Q1569" s="5" t="s">
        <v>135</v>
      </c>
      <c r="R1569" s="5" t="s">
        <v>136</v>
      </c>
      <c r="S1569" s="11">
        <v>1277.0</v>
      </c>
    </row>
    <row r="1570">
      <c r="A1570" s="5" t="str">
        <f>IFERROR(__xludf.DUMMYFUNCTION("""COMPUTED_VALUE"""),"Sterile Water Irrigant")</f>
        <v>Sterile Water Irrigant</v>
      </c>
      <c r="B1570" s="5" t="str">
        <f>IFERROR(__xludf.DUMMYFUNCTION("""COMPUTED_VALUE"""),"Baxter Healthcare")</f>
        <v>Baxter Healthcare</v>
      </c>
      <c r="C1570" s="5" t="str">
        <f>IFERROR(__xludf.DUMMYFUNCTION("""COMPUTED_VALUE"""),"Sterile Water, Irrigant, 100 mL/100 mL (NDC 0338-0004-03)")</f>
        <v>Sterile Water, Irrigant, 100 mL/100 mL (NDC 0338-0004-03)</v>
      </c>
      <c r="D1570" s="5" t="str">
        <f>IFERROR(__xludf.DUMMYFUNCTION("""COMPUTED_VALUE"""),"Revised")</f>
        <v>Revised</v>
      </c>
      <c r="E1570" s="13">
        <f>IFERROR(__xludf.DUMMYFUNCTION("""COMPUTED_VALUE"""),46311.0)</f>
        <v>46311</v>
      </c>
      <c r="F1570" s="5" t="str">
        <f>IFERROR(__xludf.DUMMYFUNCTION("""COMPUTED_VALUE"""),"Available")</f>
        <v>Available</v>
      </c>
      <c r="G1570" s="5"/>
      <c r="H1570" s="5"/>
      <c r="I1570" s="5"/>
      <c r="J1570" s="5" t="str">
        <f>IFERROR(__xludf.DUMMYFUNCTION("""COMPUTED_VALUE"""),"Gastroenterology; Other; Pediatric")</f>
        <v>Gastroenterology; Other; Pediatric</v>
      </c>
      <c r="K1570" s="5" t="str">
        <f>IFERROR(__xludf.DUMMYFUNCTION("""COMPUTED_VALUE"""),"Current")</f>
        <v>Current</v>
      </c>
      <c r="L1570" s="5"/>
      <c r="M1570" s="5"/>
      <c r="N1570" s="10">
        <f>IFERROR(__xludf.DUMMYFUNCTION("""COMPUTED_VALUE"""),45044.0)</f>
        <v>45044</v>
      </c>
      <c r="O1570" s="5">
        <v>2023.0</v>
      </c>
      <c r="P1570" s="5" t="str">
        <f>IFERROR(__xludf.DUMMYFUNCTION("""COMPUTED_VALUE"""),"Available")</f>
        <v>Available</v>
      </c>
      <c r="Q1570" s="5" t="s">
        <v>135</v>
      </c>
      <c r="R1570" s="5" t="s">
        <v>136</v>
      </c>
      <c r="S1570" s="11">
        <v>1277.0</v>
      </c>
    </row>
    <row r="1571">
      <c r="A1571" s="5" t="str">
        <f>IFERROR(__xludf.DUMMYFUNCTION("""COMPUTED_VALUE"""),"Sterile Water Irrigant")</f>
        <v>Sterile Water Irrigant</v>
      </c>
      <c r="B1571" s="5" t="str">
        <f>IFERROR(__xludf.DUMMYFUNCTION("""COMPUTED_VALUE"""),"Baxter Healthcare")</f>
        <v>Baxter Healthcare</v>
      </c>
      <c r="C1571" s="5" t="str">
        <f>IFERROR(__xludf.DUMMYFUNCTION("""COMPUTED_VALUE"""),"Sterile Water, Irrigant, 100 mL/100 mL (NDC 0338-0004-04)")</f>
        <v>Sterile Water, Irrigant, 100 mL/100 mL (NDC 0338-0004-04)</v>
      </c>
      <c r="D1571" s="5" t="str">
        <f>IFERROR(__xludf.DUMMYFUNCTION("""COMPUTED_VALUE"""),"Revised")</f>
        <v>Revised</v>
      </c>
      <c r="E1571" s="13">
        <f>IFERROR(__xludf.DUMMYFUNCTION("""COMPUTED_VALUE"""),46311.0)</f>
        <v>46311</v>
      </c>
      <c r="F1571" s="5" t="str">
        <f>IFERROR(__xludf.DUMMYFUNCTION("""COMPUTED_VALUE"""),"Limited Availability")</f>
        <v>Limited Availability</v>
      </c>
      <c r="G1571" s="5" t="str">
        <f>IFERROR(__xludf.DUMMYFUNCTION("""COMPUTED_VALUE"""),"Estimated Recovery: January 2027")</f>
        <v>Estimated Recovery: January 2027</v>
      </c>
      <c r="H1571" s="5"/>
      <c r="I1571" s="5" t="str">
        <f>IFERROR(__xludf.DUMMYFUNCTION("""COMPUTED_VALUE"""),"Other")</f>
        <v>Other</v>
      </c>
      <c r="J1571" s="5" t="str">
        <f>IFERROR(__xludf.DUMMYFUNCTION("""COMPUTED_VALUE"""),"Gastroenterology; Other; Pediatric")</f>
        <v>Gastroenterology; Other; Pediatric</v>
      </c>
      <c r="K1571" s="5" t="str">
        <f>IFERROR(__xludf.DUMMYFUNCTION("""COMPUTED_VALUE"""),"Current")</f>
        <v>Current</v>
      </c>
      <c r="L1571" s="5"/>
      <c r="M1571" s="5"/>
      <c r="N1571" s="10">
        <f>IFERROR(__xludf.DUMMYFUNCTION("""COMPUTED_VALUE"""),45044.0)</f>
        <v>45044</v>
      </c>
      <c r="O1571" s="5">
        <v>2023.0</v>
      </c>
      <c r="P1571" s="5" t="str">
        <f>IFERROR(__xludf.DUMMYFUNCTION("""COMPUTED_VALUE"""),"Limited Availability")</f>
        <v>Limited Availability</v>
      </c>
      <c r="Q1571" s="5" t="s">
        <v>47</v>
      </c>
      <c r="R1571" s="5" t="s">
        <v>136</v>
      </c>
      <c r="S1571" s="11">
        <v>1277.0</v>
      </c>
    </row>
    <row r="1572">
      <c r="A1572" s="5" t="str">
        <f>IFERROR(__xludf.DUMMYFUNCTION("""COMPUTED_VALUE"""),"Sterile Water Irrigant")</f>
        <v>Sterile Water Irrigant</v>
      </c>
      <c r="B1572" s="5" t="str">
        <f>IFERROR(__xludf.DUMMYFUNCTION("""COMPUTED_VALUE"""),"B. Braun Medical Inc.")</f>
        <v>B. Braun Medical Inc.</v>
      </c>
      <c r="C1572" s="5" t="str">
        <f>IFERROR(__xludf.DUMMYFUNCTION("""COMPUTED_VALUE"""),"Sterile Water In Plastic Container, Irrigant, 1 mL/1 mL (NDC 0264-2101-10)")</f>
        <v>Sterile Water In Plastic Container, Irrigant, 1 mL/1 mL (NDC 0264-2101-10)</v>
      </c>
      <c r="D1572" s="5" t="str">
        <f>IFERROR(__xludf.DUMMYFUNCTION("""COMPUTED_VALUE"""),"Reverified")</f>
        <v>Reverified</v>
      </c>
      <c r="E1572" s="13">
        <f>IFERROR(__xludf.DUMMYFUNCTION("""COMPUTED_VALUE"""),46314.0)</f>
        <v>46314</v>
      </c>
      <c r="F1572" s="5" t="str">
        <f>IFERROR(__xludf.DUMMYFUNCTION("""COMPUTED_VALUE"""),"Available")</f>
        <v>Available</v>
      </c>
      <c r="G1572" s="5"/>
      <c r="H1572" s="5"/>
      <c r="I1572" s="5"/>
      <c r="J1572" s="5" t="str">
        <f>IFERROR(__xludf.DUMMYFUNCTION("""COMPUTED_VALUE"""),"Gastroenterology; Other; Pediatric")</f>
        <v>Gastroenterology; Other; Pediatric</v>
      </c>
      <c r="K1572" s="5" t="str">
        <f>IFERROR(__xludf.DUMMYFUNCTION("""COMPUTED_VALUE"""),"Current")</f>
        <v>Current</v>
      </c>
      <c r="L1572" s="5"/>
      <c r="M1572" s="5"/>
      <c r="N1572" s="10">
        <f>IFERROR(__xludf.DUMMYFUNCTION("""COMPUTED_VALUE"""),45044.0)</f>
        <v>45044</v>
      </c>
      <c r="O1572" s="5">
        <v>2023.0</v>
      </c>
      <c r="P1572" s="5" t="str">
        <f>IFERROR(__xludf.DUMMYFUNCTION("""COMPUTED_VALUE"""),"Available")</f>
        <v>Available</v>
      </c>
      <c r="Q1572" s="5" t="s">
        <v>135</v>
      </c>
      <c r="R1572" s="5" t="s">
        <v>136</v>
      </c>
      <c r="S1572" s="11">
        <v>1277.0</v>
      </c>
    </row>
    <row r="1573">
      <c r="A1573" s="5" t="str">
        <f>IFERROR(__xludf.DUMMYFUNCTION("""COMPUTED_VALUE"""),"Sterile Water Irrigant")</f>
        <v>Sterile Water Irrigant</v>
      </c>
      <c r="B1573" s="5" t="str">
        <f>IFERROR(__xludf.DUMMYFUNCTION("""COMPUTED_VALUE"""),"B. Braun Medical Inc.")</f>
        <v>B. Braun Medical Inc.</v>
      </c>
      <c r="C1573" s="5" t="str">
        <f>IFERROR(__xludf.DUMMYFUNCTION("""COMPUTED_VALUE"""),"Sterile Water In Plastic Container, Irrigant, 1 mL/1 mL (NDC 0264-2101-00)")</f>
        <v>Sterile Water In Plastic Container, Irrigant, 1 mL/1 mL (NDC 0264-2101-00)</v>
      </c>
      <c r="D1573" s="5" t="str">
        <f>IFERROR(__xludf.DUMMYFUNCTION("""COMPUTED_VALUE"""),"Reverified")</f>
        <v>Reverified</v>
      </c>
      <c r="E1573" s="13">
        <f>IFERROR(__xludf.DUMMYFUNCTION("""COMPUTED_VALUE"""),46314.0)</f>
        <v>46314</v>
      </c>
      <c r="F1573" s="5" t="str">
        <f>IFERROR(__xludf.DUMMYFUNCTION("""COMPUTED_VALUE"""),"Available")</f>
        <v>Available</v>
      </c>
      <c r="G1573" s="5"/>
      <c r="H1573" s="5"/>
      <c r="I1573" s="5"/>
      <c r="J1573" s="5" t="str">
        <f>IFERROR(__xludf.DUMMYFUNCTION("""COMPUTED_VALUE"""),"Gastroenterology; Other; Pediatric")</f>
        <v>Gastroenterology; Other; Pediatric</v>
      </c>
      <c r="K1573" s="5" t="str">
        <f>IFERROR(__xludf.DUMMYFUNCTION("""COMPUTED_VALUE"""),"Current")</f>
        <v>Current</v>
      </c>
      <c r="L1573" s="5"/>
      <c r="M1573" s="5"/>
      <c r="N1573" s="10">
        <f>IFERROR(__xludf.DUMMYFUNCTION("""COMPUTED_VALUE"""),45044.0)</f>
        <v>45044</v>
      </c>
      <c r="O1573" s="5">
        <v>2023.0</v>
      </c>
      <c r="P1573" s="5" t="str">
        <f>IFERROR(__xludf.DUMMYFUNCTION("""COMPUTED_VALUE"""),"Available")</f>
        <v>Available</v>
      </c>
      <c r="Q1573" s="5" t="s">
        <v>135</v>
      </c>
      <c r="R1573" s="5" t="s">
        <v>136</v>
      </c>
      <c r="S1573" s="11">
        <v>1277.0</v>
      </c>
    </row>
    <row r="1574">
      <c r="A1574" s="5" t="str">
        <f>IFERROR(__xludf.DUMMYFUNCTION("""COMPUTED_VALUE"""),"Streptozocin Powder, For Solution")</f>
        <v>Streptozocin Powder, For Solution</v>
      </c>
      <c r="B1574" s="5" t="str">
        <f>IFERROR(__xludf.DUMMYFUNCTION("""COMPUTED_VALUE"""),"Teva Pharmaceuticals USA, Inc.")</f>
        <v>Teva Pharmaceuticals USA, Inc.</v>
      </c>
      <c r="C1574" s="5" t="str">
        <f>IFERROR(__xludf.DUMMYFUNCTION("""COMPUTED_VALUE"""),"Zanosar, Powder, For Solution, 100 mg/1 mL (NDC 0703-4636-01)")</f>
        <v>Zanosar, Powder, For Solution, 100 mg/1 mL (NDC 0703-4636-01)</v>
      </c>
      <c r="D1574" s="5" t="str">
        <f>IFERROR(__xludf.DUMMYFUNCTION("""COMPUTED_VALUE"""),"Reverified")</f>
        <v>Reverified</v>
      </c>
      <c r="E1574" s="13">
        <f>IFERROR(__xludf.DUMMYFUNCTION("""COMPUTED_VALUE"""),46310.0)</f>
        <v>46310</v>
      </c>
      <c r="F1574" s="5" t="str">
        <f>IFERROR(__xludf.DUMMYFUNCTION("""COMPUTED_VALUE"""),"Unavailable")</f>
        <v>Unavailable</v>
      </c>
      <c r="G1574" s="5" t="str">
        <f>IFERROR(__xludf.DUMMYFUNCTION("""COMPUTED_VALUE"""),"Estimated recovery: TBD")</f>
        <v>Estimated recovery: TBD</v>
      </c>
      <c r="H1574" s="5"/>
      <c r="I1574" s="5" t="str">
        <f>IFERROR(__xludf.DUMMYFUNCTION("""COMPUTED_VALUE"""),"Other")</f>
        <v>Other</v>
      </c>
      <c r="J1574" s="5" t="str">
        <f>IFERROR(__xludf.DUMMYFUNCTION("""COMPUTED_VALUE"""),"Oncology")</f>
        <v>Oncology</v>
      </c>
      <c r="K1574" s="5" t="str">
        <f>IFERROR(__xludf.DUMMYFUNCTION("""COMPUTED_VALUE"""),"Current")</f>
        <v>Current</v>
      </c>
      <c r="L1574" s="5"/>
      <c r="M1574" s="5"/>
      <c r="N1574" s="10">
        <f>IFERROR(__xludf.DUMMYFUNCTION("""COMPUTED_VALUE"""),44754.0)</f>
        <v>44754</v>
      </c>
      <c r="O1574" s="5">
        <v>2022.0</v>
      </c>
      <c r="P1574" s="5" t="str">
        <f>IFERROR(__xludf.DUMMYFUNCTION("""COMPUTED_VALUE"""),"Unavailable")</f>
        <v>Unavailable</v>
      </c>
      <c r="Q1574" s="5" t="s">
        <v>47</v>
      </c>
      <c r="R1574" s="5" t="s">
        <v>136</v>
      </c>
      <c r="S1574" s="11">
        <v>1567.0</v>
      </c>
    </row>
    <row r="1575">
      <c r="A1575" s="5" t="str">
        <f>IFERROR(__xludf.DUMMYFUNCTION("""COMPUTED_VALUE"""),"Streptozocin Powder, For Solution")</f>
        <v>Streptozocin Powder, For Solution</v>
      </c>
      <c r="B1575" s="5" t="str">
        <f>IFERROR(__xludf.DUMMYFUNCTION("""COMPUTED_VALUE"""),"ESTEVE PHARMACEUTICALS, S.A.")</f>
        <v>ESTEVE PHARMACEUTICALS, S.A.</v>
      </c>
      <c r="C1575" s="5" t="str">
        <f>IFERROR(__xludf.DUMMYFUNCTION("""COMPUTED_VALUE"""),"Zanosar, Powder, For Solution, 1 g/10 mL (NDC 68118-100-01)")</f>
        <v>Zanosar, Powder, For Solution, 1 g/10 mL (NDC 68118-100-01)</v>
      </c>
      <c r="D1575" s="5" t="str">
        <f>IFERROR(__xludf.DUMMYFUNCTION("""COMPUTED_VALUE"""),"Revised")</f>
        <v>Revised</v>
      </c>
      <c r="E1575" s="10">
        <f>IFERROR(__xludf.DUMMYFUNCTION("""COMPUTED_VALUE"""),46281.0)</f>
        <v>46281</v>
      </c>
      <c r="F1575" s="5" t="str">
        <f>IFERROR(__xludf.DUMMYFUNCTION("""COMPUTED_VALUE"""),"Available")</f>
        <v>Available</v>
      </c>
      <c r="G1575" s="5"/>
      <c r="H1575" s="5"/>
      <c r="I1575" s="5"/>
      <c r="J1575" s="5" t="str">
        <f>IFERROR(__xludf.DUMMYFUNCTION("""COMPUTED_VALUE"""),"Oncology")</f>
        <v>Oncology</v>
      </c>
      <c r="K1575" s="5" t="str">
        <f>IFERROR(__xludf.DUMMYFUNCTION("""COMPUTED_VALUE"""),"Current")</f>
        <v>Current</v>
      </c>
      <c r="L1575" s="5"/>
      <c r="M1575" s="5"/>
      <c r="N1575" s="10">
        <f>IFERROR(__xludf.DUMMYFUNCTION("""COMPUTED_VALUE"""),44754.0)</f>
        <v>44754</v>
      </c>
      <c r="O1575" s="5">
        <v>2022.0</v>
      </c>
      <c r="P1575" s="5" t="str">
        <f>IFERROR(__xludf.DUMMYFUNCTION("""COMPUTED_VALUE"""),"Available")</f>
        <v>Available</v>
      </c>
      <c r="Q1575" s="5" t="s">
        <v>135</v>
      </c>
      <c r="R1575" s="5" t="s">
        <v>136</v>
      </c>
      <c r="S1575" s="11">
        <v>1567.0</v>
      </c>
    </row>
    <row r="1576">
      <c r="A1576" s="5" t="str">
        <f>IFERROR(__xludf.DUMMYFUNCTION("""COMPUTED_VALUE"""),"Succinylcholine Chloride Injection")</f>
        <v>Succinylcholine Chloride Injection</v>
      </c>
      <c r="B1576" s="5" t="str">
        <f>IFERROR(__xludf.DUMMYFUNCTION("""COMPUTED_VALUE"""),"Fresenius Kabi USA, LLC")</f>
        <v>Fresenius Kabi USA, LLC</v>
      </c>
      <c r="C1576" s="5" t="str">
        <f>IFERROR(__xludf.DUMMYFUNCTION("""COMPUTED_VALUE"""),"Succinylcholine Chloride, Injection, 20 mg/1 mL (NDC 63323-943-10)")</f>
        <v>Succinylcholine Chloride, Injection, 20 mg/1 mL (NDC 63323-943-10)</v>
      </c>
      <c r="D1576" s="5" t="str">
        <f>IFERROR(__xludf.DUMMYFUNCTION("""COMPUTED_VALUE"""),"New")</f>
        <v>New</v>
      </c>
      <c r="E1576" s="10">
        <f>IFERROR(__xludf.DUMMYFUNCTION("""COMPUTED_VALUE"""),46226.0)</f>
        <v>46226</v>
      </c>
      <c r="F1576" s="5"/>
      <c r="G1576" s="5" t="str">
        <f>IFERROR(__xludf.DUMMYFUNCTION("""COMPUTED_VALUE"""),"Discontinuation of the manufacture of the drug")</f>
        <v>Discontinuation of the manufacture of the drug</v>
      </c>
      <c r="H1576" s="5"/>
      <c r="I1576" s="5"/>
      <c r="J1576" s="5" t="str">
        <f>IFERROR(__xludf.DUMMYFUNCTION("""COMPUTED_VALUE"""),"Anesthesia")</f>
        <v>Anesthesia</v>
      </c>
      <c r="K1576" s="5" t="str">
        <f>IFERROR(__xludf.DUMMYFUNCTION("""COMPUTED_VALUE"""),"To Be Discontinued")</f>
        <v>To Be Discontinued</v>
      </c>
      <c r="L1576" s="5"/>
      <c r="M1576" s="10">
        <f>IFERROR(__xludf.DUMMYFUNCTION("""COMPUTED_VALUE"""),46226.0)</f>
        <v>46226</v>
      </c>
      <c r="N1576" s="10">
        <f>IFERROR(__xludf.DUMMYFUNCTION("""COMPUTED_VALUE"""),46226.0)</f>
        <v>46226</v>
      </c>
      <c r="O1576" s="5">
        <v>2026.0</v>
      </c>
      <c r="P1576" s="5" t="str">
        <f>IFERROR(__xludf.DUMMYFUNCTION("""COMPUTED_VALUE"""),"Not stated")</f>
        <v>Not stated</v>
      </c>
      <c r="Q1576" s="5" t="s">
        <v>135</v>
      </c>
      <c r="R1576" s="5" t="s">
        <v>136</v>
      </c>
      <c r="S1576" s="11">
        <v>95.0</v>
      </c>
    </row>
    <row r="1577">
      <c r="A1577" s="5" t="str">
        <f>IFERROR(__xludf.DUMMYFUNCTION("""COMPUTED_VALUE"""),"Sufentanil Citrate Injection")</f>
        <v>Sufentanil Citrate Injection</v>
      </c>
      <c r="B1577" s="5" t="str">
        <f>IFERROR(__xludf.DUMMYFUNCTION("""COMPUTED_VALUE"""),"Hospira, Inc., a Pfizer Company")</f>
        <v>Hospira, Inc., a Pfizer Company</v>
      </c>
      <c r="C1577" s="5" t="str">
        <f>IFERROR(__xludf.DUMMYFUNCTION("""COMPUTED_VALUE"""),"Sufentanil Citrate, Injection, 50 ug/1 mL (NDC 0409-3382-21)")</f>
        <v>Sufentanil Citrate, Injection, 50 ug/1 mL (NDC 0409-3382-21)</v>
      </c>
      <c r="D1577" s="5" t="str">
        <f>IFERROR(__xludf.DUMMYFUNCTION("""COMPUTED_VALUE"""),"Revised")</f>
        <v>Revised</v>
      </c>
      <c r="E1577" s="13">
        <f>IFERROR(__xludf.DUMMYFUNCTION("""COMPUTED_VALUE"""),46316.0)</f>
        <v>46316</v>
      </c>
      <c r="F1577" s="5" t="str">
        <f>IFERROR(__xludf.DUMMYFUNCTION("""COMPUTED_VALUE"""),"Limited Availability")</f>
        <v>Limited Availability</v>
      </c>
      <c r="G1577" s="5" t="str">
        <f>IFERROR(__xludf.DUMMYFUNCTION("""COMPUTED_VALUE"""),"Limited Supply Available. Next Delivery: October 2026; Estimated Recovery: December 2026; Shortage per Manufacturer: Manufacturing Delay")</f>
        <v>Limited Supply Available. Next Delivery: October 2026; Estimated Recovery: December 2026; Shortage per Manufacturer: Manufacturing Delay</v>
      </c>
      <c r="H1577" s="5"/>
      <c r="I1577" s="5" t="str">
        <f>IFERROR(__xludf.DUMMYFUNCTION("""COMPUTED_VALUE"""),"Other")</f>
        <v>Other</v>
      </c>
      <c r="J1577" s="5" t="str">
        <f>IFERROR(__xludf.DUMMYFUNCTION("""COMPUTED_VALUE"""),"Analgesia/Addiction; Pediatric")</f>
        <v>Analgesia/Addiction; Pediatric</v>
      </c>
      <c r="K1577" s="5" t="str">
        <f>IFERROR(__xludf.DUMMYFUNCTION("""COMPUTED_VALUE"""),"Current")</f>
        <v>Current</v>
      </c>
      <c r="L1577" s="5"/>
      <c r="M1577" s="5"/>
      <c r="N1577" s="10">
        <f>IFERROR(__xludf.DUMMYFUNCTION("""COMPUTED_VALUE"""),44684.0)</f>
        <v>44684</v>
      </c>
      <c r="O1577" s="5">
        <v>2022.0</v>
      </c>
      <c r="P1577" s="5" t="str">
        <f>IFERROR(__xludf.DUMMYFUNCTION("""COMPUTED_VALUE"""),"Limited Availability")</f>
        <v>Limited Availability</v>
      </c>
      <c r="Q1577" s="5" t="s">
        <v>47</v>
      </c>
      <c r="R1577" s="5" t="s">
        <v>136</v>
      </c>
      <c r="S1577" s="11">
        <v>1637.0</v>
      </c>
    </row>
    <row r="1578">
      <c r="A1578" s="5" t="str">
        <f>IFERROR(__xludf.DUMMYFUNCTION("""COMPUTED_VALUE"""),"Sufentanil Citrate Injection")</f>
        <v>Sufentanil Citrate Injection</v>
      </c>
      <c r="B1578" s="5" t="str">
        <f>IFERROR(__xludf.DUMMYFUNCTION("""COMPUTED_VALUE"""),"Hikma Pharmaceuticals USA, Inc.")</f>
        <v>Hikma Pharmaceuticals USA, Inc.</v>
      </c>
      <c r="C1578" s="5" t="str">
        <f>IFERROR(__xludf.DUMMYFUNCTION("""COMPUTED_VALUE"""),"Sufentanil Citrate, Injection, 50 mcg/1 mL (NDC 17478-050-01)")</f>
        <v>Sufentanil Citrate, Injection, 50 mcg/1 mL (NDC 17478-050-01)</v>
      </c>
      <c r="D1578" s="5" t="str">
        <f>IFERROR(__xludf.DUMMYFUNCTION("""COMPUTED_VALUE"""),"Reverified")</f>
        <v>Reverified</v>
      </c>
      <c r="E1578" s="13">
        <f>IFERROR(__xludf.DUMMYFUNCTION("""COMPUTED_VALUE"""),46309.0)</f>
        <v>46309</v>
      </c>
      <c r="F1578" s="5" t="str">
        <f>IFERROR(__xludf.DUMMYFUNCTION("""COMPUTED_VALUE"""),"Unavailable")</f>
        <v>Unavailable</v>
      </c>
      <c r="G1578" s="5" t="str">
        <f>IFERROR(__xludf.DUMMYFUNCTION("""COMPUTED_VALUE"""),"Not currently manufactured")</f>
        <v>Not currently manufactured</v>
      </c>
      <c r="H1578" s="5"/>
      <c r="I1578" s="5" t="str">
        <f>IFERROR(__xludf.DUMMYFUNCTION("""COMPUTED_VALUE"""),"Other")</f>
        <v>Other</v>
      </c>
      <c r="J1578" s="5" t="str">
        <f>IFERROR(__xludf.DUMMYFUNCTION("""COMPUTED_VALUE"""),"Analgesia/Addiction; Pediatric")</f>
        <v>Analgesia/Addiction; Pediatric</v>
      </c>
      <c r="K1578" s="5" t="str">
        <f>IFERROR(__xludf.DUMMYFUNCTION("""COMPUTED_VALUE"""),"Current")</f>
        <v>Current</v>
      </c>
      <c r="L1578" s="5"/>
      <c r="M1578" s="5"/>
      <c r="N1578" s="10">
        <f>IFERROR(__xludf.DUMMYFUNCTION("""COMPUTED_VALUE"""),44684.0)</f>
        <v>44684</v>
      </c>
      <c r="O1578" s="5">
        <v>2022.0</v>
      </c>
      <c r="P1578" s="5" t="str">
        <f>IFERROR(__xludf.DUMMYFUNCTION("""COMPUTED_VALUE"""),"Unavailable")</f>
        <v>Unavailable</v>
      </c>
      <c r="Q1578" s="5" t="s">
        <v>47</v>
      </c>
      <c r="R1578" s="5" t="s">
        <v>136</v>
      </c>
      <c r="S1578" s="11">
        <v>1637.0</v>
      </c>
    </row>
    <row r="1579">
      <c r="A1579" s="5" t="str">
        <f>IFERROR(__xludf.DUMMYFUNCTION("""COMPUTED_VALUE"""),"Sufentanil Citrate Injection")</f>
        <v>Sufentanil Citrate Injection</v>
      </c>
      <c r="B1579" s="5" t="str">
        <f>IFERROR(__xludf.DUMMYFUNCTION("""COMPUTED_VALUE"""),"Hikma Pharmaceuticals USA, Inc.")</f>
        <v>Hikma Pharmaceuticals USA, Inc.</v>
      </c>
      <c r="C1579" s="5" t="str">
        <f>IFERROR(__xludf.DUMMYFUNCTION("""COMPUTED_VALUE"""),"Sufentanil Citrate, Injection, 50 mcg/1 mL (NDC 17478-050-02)")</f>
        <v>Sufentanil Citrate, Injection, 50 mcg/1 mL (NDC 17478-050-02)</v>
      </c>
      <c r="D1579" s="5" t="str">
        <f>IFERROR(__xludf.DUMMYFUNCTION("""COMPUTED_VALUE"""),"Reverified")</f>
        <v>Reverified</v>
      </c>
      <c r="E1579" s="13">
        <f>IFERROR(__xludf.DUMMYFUNCTION("""COMPUTED_VALUE"""),46309.0)</f>
        <v>46309</v>
      </c>
      <c r="F1579" s="5" t="str">
        <f>IFERROR(__xludf.DUMMYFUNCTION("""COMPUTED_VALUE"""),"Unavailable")</f>
        <v>Unavailable</v>
      </c>
      <c r="G1579" s="5" t="str">
        <f>IFERROR(__xludf.DUMMYFUNCTION("""COMPUTED_VALUE"""),"Not currently manufactured")</f>
        <v>Not currently manufactured</v>
      </c>
      <c r="H1579" s="5"/>
      <c r="I1579" s="5" t="str">
        <f>IFERROR(__xludf.DUMMYFUNCTION("""COMPUTED_VALUE"""),"Other")</f>
        <v>Other</v>
      </c>
      <c r="J1579" s="5" t="str">
        <f>IFERROR(__xludf.DUMMYFUNCTION("""COMPUTED_VALUE"""),"Analgesia/Addiction; Pediatric")</f>
        <v>Analgesia/Addiction; Pediatric</v>
      </c>
      <c r="K1579" s="5" t="str">
        <f>IFERROR(__xludf.DUMMYFUNCTION("""COMPUTED_VALUE"""),"Current")</f>
        <v>Current</v>
      </c>
      <c r="L1579" s="5"/>
      <c r="M1579" s="5"/>
      <c r="N1579" s="10">
        <f>IFERROR(__xludf.DUMMYFUNCTION("""COMPUTED_VALUE"""),44684.0)</f>
        <v>44684</v>
      </c>
      <c r="O1579" s="5">
        <v>2022.0</v>
      </c>
      <c r="P1579" s="5" t="str">
        <f>IFERROR(__xludf.DUMMYFUNCTION("""COMPUTED_VALUE"""),"Unavailable")</f>
        <v>Unavailable</v>
      </c>
      <c r="Q1579" s="5" t="s">
        <v>47</v>
      </c>
      <c r="R1579" s="5" t="s">
        <v>136</v>
      </c>
      <c r="S1579" s="11">
        <v>1637.0</v>
      </c>
    </row>
    <row r="1580">
      <c r="A1580" s="5" t="str">
        <f>IFERROR(__xludf.DUMMYFUNCTION("""COMPUTED_VALUE"""),"Sufentanil Citrate Injection")</f>
        <v>Sufentanil Citrate Injection</v>
      </c>
      <c r="B1580" s="5" t="str">
        <f>IFERROR(__xludf.DUMMYFUNCTION("""COMPUTED_VALUE"""),"Hikma Pharmaceuticals USA, Inc.")</f>
        <v>Hikma Pharmaceuticals USA, Inc.</v>
      </c>
      <c r="C1580" s="5" t="str">
        <f>IFERROR(__xludf.DUMMYFUNCTION("""COMPUTED_VALUE"""),"Sufentanil Citrate, Injection, 50 mcg/1 mL (NDC 17478-050-05)")</f>
        <v>Sufentanil Citrate, Injection, 50 mcg/1 mL (NDC 17478-050-05)</v>
      </c>
      <c r="D1580" s="5" t="str">
        <f>IFERROR(__xludf.DUMMYFUNCTION("""COMPUTED_VALUE"""),"Reverified")</f>
        <v>Reverified</v>
      </c>
      <c r="E1580" s="13">
        <f>IFERROR(__xludf.DUMMYFUNCTION("""COMPUTED_VALUE"""),46309.0)</f>
        <v>46309</v>
      </c>
      <c r="F1580" s="5" t="str">
        <f>IFERROR(__xludf.DUMMYFUNCTION("""COMPUTED_VALUE"""),"Unavailable")</f>
        <v>Unavailable</v>
      </c>
      <c r="G1580" s="5" t="str">
        <f>IFERROR(__xludf.DUMMYFUNCTION("""COMPUTED_VALUE"""),"Not currently manufactured")</f>
        <v>Not currently manufactured</v>
      </c>
      <c r="H1580" s="5"/>
      <c r="I1580" s="5" t="str">
        <f>IFERROR(__xludf.DUMMYFUNCTION("""COMPUTED_VALUE"""),"Other")</f>
        <v>Other</v>
      </c>
      <c r="J1580" s="5" t="str">
        <f>IFERROR(__xludf.DUMMYFUNCTION("""COMPUTED_VALUE"""),"Analgesia/Addiction; Pediatric")</f>
        <v>Analgesia/Addiction; Pediatric</v>
      </c>
      <c r="K1580" s="5" t="str">
        <f>IFERROR(__xludf.DUMMYFUNCTION("""COMPUTED_VALUE"""),"Current")</f>
        <v>Current</v>
      </c>
      <c r="L1580" s="5"/>
      <c r="M1580" s="5"/>
      <c r="N1580" s="10">
        <f>IFERROR(__xludf.DUMMYFUNCTION("""COMPUTED_VALUE"""),44684.0)</f>
        <v>44684</v>
      </c>
      <c r="O1580" s="5">
        <v>2022.0</v>
      </c>
      <c r="P1580" s="5" t="str">
        <f>IFERROR(__xludf.DUMMYFUNCTION("""COMPUTED_VALUE"""),"Unavailable")</f>
        <v>Unavailable</v>
      </c>
      <c r="Q1580" s="5" t="s">
        <v>47</v>
      </c>
      <c r="R1580" s="5" t="s">
        <v>136</v>
      </c>
      <c r="S1580" s="11">
        <v>1637.0</v>
      </c>
    </row>
    <row r="1581">
      <c r="A1581" s="5" t="str">
        <f>IFERROR(__xludf.DUMMYFUNCTION("""COMPUTED_VALUE"""),"Sulconazole Nitrate Solution")</f>
        <v>Sulconazole Nitrate Solution</v>
      </c>
      <c r="B1581" s="5" t="str">
        <f>IFERROR(__xludf.DUMMYFUNCTION("""COMPUTED_VALUE"""),"Journey Medical Corporation")</f>
        <v>Journey Medical Corporation</v>
      </c>
      <c r="C1581" s="5" t="str">
        <f>IFERROR(__xludf.DUMMYFUNCTION("""COMPUTED_VALUE"""),"Exelderm, Solution, 1.0% 5 mL (NDC 69489-721-05)")</f>
        <v>Exelderm, Solution, 1.0% 5 mL (NDC 69489-721-05)</v>
      </c>
      <c r="D1581" s="5" t="str">
        <f>IFERROR(__xludf.DUMMYFUNCTION("""COMPUTED_VALUE"""),"New")</f>
        <v>New</v>
      </c>
      <c r="E1581" s="10">
        <f>IFERROR(__xludf.DUMMYFUNCTION("""COMPUTED_VALUE"""),46150.0)</f>
        <v>46150</v>
      </c>
      <c r="F1581" s="5"/>
      <c r="G1581" s="5" t="str">
        <f>IFERROR(__xludf.DUMMYFUNCTION("""COMPUTED_VALUE"""),"Discontinuation of the manufacture of the drug")</f>
        <v>Discontinuation of the manufacture of the drug</v>
      </c>
      <c r="H1581" s="5"/>
      <c r="I1581" s="5"/>
      <c r="J1581" s="5" t="str">
        <f>IFERROR(__xludf.DUMMYFUNCTION("""COMPUTED_VALUE"""),"Dermatology")</f>
        <v>Dermatology</v>
      </c>
      <c r="K1581" s="5" t="str">
        <f>IFERROR(__xludf.DUMMYFUNCTION("""COMPUTED_VALUE"""),"To Be Discontinued")</f>
        <v>To Be Discontinued</v>
      </c>
      <c r="L1581" s="5"/>
      <c r="M1581" s="10">
        <f>IFERROR(__xludf.DUMMYFUNCTION("""COMPUTED_VALUE"""),46150.0)</f>
        <v>46150</v>
      </c>
      <c r="N1581" s="10">
        <f>IFERROR(__xludf.DUMMYFUNCTION("""COMPUTED_VALUE"""),46150.0)</f>
        <v>46150</v>
      </c>
      <c r="O1581" s="5">
        <v>2026.0</v>
      </c>
      <c r="P1581" s="5" t="str">
        <f>IFERROR(__xludf.DUMMYFUNCTION("""COMPUTED_VALUE"""),"Not stated")</f>
        <v>Not stated</v>
      </c>
      <c r="Q1581" s="5" t="s">
        <v>135</v>
      </c>
      <c r="R1581" s="5" t="s">
        <v>136</v>
      </c>
      <c r="S1581" s="11">
        <v>171.0</v>
      </c>
    </row>
    <row r="1582">
      <c r="A1582" s="5" t="str">
        <f>IFERROR(__xludf.DUMMYFUNCTION("""COMPUTED_VALUE"""),"Sulconazole Nitrate Solution")</f>
        <v>Sulconazole Nitrate Solution</v>
      </c>
      <c r="B1582" s="5" t="str">
        <f>IFERROR(__xludf.DUMMYFUNCTION("""COMPUTED_VALUE"""),"Journey Medical Corporation")</f>
        <v>Journey Medical Corporation</v>
      </c>
      <c r="C1582" s="5" t="str">
        <f>IFERROR(__xludf.DUMMYFUNCTION("""COMPUTED_VALUE"""),"Exelderm, Solution, 1.0% 30 mL (NDC 69489-721-30)")</f>
        <v>Exelderm, Solution, 1.0% 30 mL (NDC 69489-721-30)</v>
      </c>
      <c r="D1582" s="5" t="str">
        <f>IFERROR(__xludf.DUMMYFUNCTION("""COMPUTED_VALUE"""),"New")</f>
        <v>New</v>
      </c>
      <c r="E1582" s="10">
        <f>IFERROR(__xludf.DUMMYFUNCTION("""COMPUTED_VALUE"""),46150.0)</f>
        <v>46150</v>
      </c>
      <c r="F1582" s="5"/>
      <c r="G1582" s="5" t="str">
        <f>IFERROR(__xludf.DUMMYFUNCTION("""COMPUTED_VALUE"""),"Discontinuation of the manufacture of the drug")</f>
        <v>Discontinuation of the manufacture of the drug</v>
      </c>
      <c r="H1582" s="5"/>
      <c r="I1582" s="5"/>
      <c r="J1582" s="5" t="str">
        <f>IFERROR(__xludf.DUMMYFUNCTION("""COMPUTED_VALUE"""),"Dermatology")</f>
        <v>Dermatology</v>
      </c>
      <c r="K1582" s="5" t="str">
        <f>IFERROR(__xludf.DUMMYFUNCTION("""COMPUTED_VALUE"""),"To Be Discontinued")</f>
        <v>To Be Discontinued</v>
      </c>
      <c r="L1582" s="5"/>
      <c r="M1582" s="10">
        <f>IFERROR(__xludf.DUMMYFUNCTION("""COMPUTED_VALUE"""),46150.0)</f>
        <v>46150</v>
      </c>
      <c r="N1582" s="10">
        <f>IFERROR(__xludf.DUMMYFUNCTION("""COMPUTED_VALUE"""),46150.0)</f>
        <v>46150</v>
      </c>
      <c r="O1582" s="5">
        <v>2026.0</v>
      </c>
      <c r="P1582" s="5" t="str">
        <f>IFERROR(__xludf.DUMMYFUNCTION("""COMPUTED_VALUE"""),"Not stated")</f>
        <v>Not stated</v>
      </c>
      <c r="Q1582" s="5" t="s">
        <v>135</v>
      </c>
      <c r="R1582" s="5" t="s">
        <v>136</v>
      </c>
      <c r="S1582" s="11">
        <v>171.0</v>
      </c>
    </row>
    <row r="1583">
      <c r="A1583" s="5" t="str">
        <f>IFERROR(__xludf.DUMMYFUNCTION("""COMPUTED_VALUE"""),"Sulconazole Nitrate Solution")</f>
        <v>Sulconazole Nitrate Solution</v>
      </c>
      <c r="B1583" s="5" t="str">
        <f>IFERROR(__xludf.DUMMYFUNCTION("""COMPUTED_VALUE"""),"Journey Medical Corporation")</f>
        <v>Journey Medical Corporation</v>
      </c>
      <c r="C1583" s="5" t="str">
        <f>IFERROR(__xludf.DUMMYFUNCTION("""COMPUTED_VALUE"""),"Sulconazole Nitrate, Solution, 30 mL (NDC 72143-321-30)")</f>
        <v>Sulconazole Nitrate, Solution, 30 mL (NDC 72143-321-30)</v>
      </c>
      <c r="D1583" s="5" t="str">
        <f>IFERROR(__xludf.DUMMYFUNCTION("""COMPUTED_VALUE"""),"New")</f>
        <v>New</v>
      </c>
      <c r="E1583" s="10">
        <f>IFERROR(__xludf.DUMMYFUNCTION("""COMPUTED_VALUE"""),46150.0)</f>
        <v>46150</v>
      </c>
      <c r="F1583" s="5"/>
      <c r="G1583" s="5" t="str">
        <f>IFERROR(__xludf.DUMMYFUNCTION("""COMPUTED_VALUE"""),"Discontinuation of the manufacture of the drug. Manufactured for JG Pharma")</f>
        <v>Discontinuation of the manufacture of the drug. Manufactured for JG Pharma</v>
      </c>
      <c r="H1583" s="5"/>
      <c r="I1583" s="5"/>
      <c r="J1583" s="5" t="str">
        <f>IFERROR(__xludf.DUMMYFUNCTION("""COMPUTED_VALUE"""),"Dermatology")</f>
        <v>Dermatology</v>
      </c>
      <c r="K1583" s="5" t="str">
        <f>IFERROR(__xludf.DUMMYFUNCTION("""COMPUTED_VALUE"""),"To Be Discontinued")</f>
        <v>To Be Discontinued</v>
      </c>
      <c r="L1583" s="5"/>
      <c r="M1583" s="10">
        <f>IFERROR(__xludf.DUMMYFUNCTION("""COMPUTED_VALUE"""),46150.0)</f>
        <v>46150</v>
      </c>
      <c r="N1583" s="10">
        <f>IFERROR(__xludf.DUMMYFUNCTION("""COMPUTED_VALUE"""),46150.0)</f>
        <v>46150</v>
      </c>
      <c r="O1583" s="5">
        <v>2026.0</v>
      </c>
      <c r="P1583" s="5" t="str">
        <f>IFERROR(__xludf.DUMMYFUNCTION("""COMPUTED_VALUE"""),"Not stated")</f>
        <v>Not stated</v>
      </c>
      <c r="Q1583" s="5" t="s">
        <v>135</v>
      </c>
      <c r="R1583" s="5" t="s">
        <v>136</v>
      </c>
      <c r="S1583" s="11">
        <v>171.0</v>
      </c>
    </row>
    <row r="1584">
      <c r="A1584" s="5" t="str">
        <f>IFERROR(__xludf.DUMMYFUNCTION("""COMPUTED_VALUE"""),"Tazemetostat Hydrobromide Tablet")</f>
        <v>Tazemetostat Hydrobromide Tablet</v>
      </c>
      <c r="B1584" s="5" t="str">
        <f>IFERROR(__xludf.DUMMYFUNCTION("""COMPUTED_VALUE"""),"Epizyme, Inc. (An Ipsen Company)")</f>
        <v>Epizyme, Inc. (An Ipsen Company)</v>
      </c>
      <c r="C1584" s="5" t="str">
        <f>IFERROR(__xludf.DUMMYFUNCTION("""COMPUTED_VALUE"""),"Tazverik, Tablet, 200 mg (NDC 72607-100-00)")</f>
        <v>Tazverik, Tablet, 200 mg (NDC 72607-100-00)</v>
      </c>
      <c r="D1584" s="5" t="str">
        <f>IFERROR(__xludf.DUMMYFUNCTION("""COMPUTED_VALUE"""),"New")</f>
        <v>New</v>
      </c>
      <c r="E1584" s="10">
        <f>IFERROR(__xludf.DUMMYFUNCTION("""COMPUTED_VALUE"""),46108.0)</f>
        <v>46108</v>
      </c>
      <c r="F1584" s="5"/>
      <c r="G1584" s="5" t="str">
        <f>IFERROR(__xludf.DUMMYFUNCTION("""COMPUTED_VALUE"""),"Discontinuation of the manufacture of the drug product")</f>
        <v>Discontinuation of the manufacture of the drug product</v>
      </c>
      <c r="H1584" s="5"/>
      <c r="I1584" s="5"/>
      <c r="J1584" s="5" t="str">
        <f>IFERROR(__xludf.DUMMYFUNCTION("""COMPUTED_VALUE"""),"Oncology")</f>
        <v>Oncology</v>
      </c>
      <c r="K1584" s="5" t="str">
        <f>IFERROR(__xludf.DUMMYFUNCTION("""COMPUTED_VALUE"""),"To Be Discontinued")</f>
        <v>To Be Discontinued</v>
      </c>
      <c r="L1584" s="5"/>
      <c r="M1584" s="10">
        <f>IFERROR(__xludf.DUMMYFUNCTION("""COMPUTED_VALUE"""),46108.0)</f>
        <v>46108</v>
      </c>
      <c r="N1584" s="10">
        <f>IFERROR(__xludf.DUMMYFUNCTION("""COMPUTED_VALUE"""),46108.0)</f>
        <v>46108</v>
      </c>
      <c r="O1584" s="5">
        <v>2026.0</v>
      </c>
      <c r="P1584" s="5" t="str">
        <f>IFERROR(__xludf.DUMMYFUNCTION("""COMPUTED_VALUE"""),"Not stated")</f>
        <v>Not stated</v>
      </c>
      <c r="Q1584" s="5" t="s">
        <v>135</v>
      </c>
      <c r="R1584" s="5" t="s">
        <v>136</v>
      </c>
      <c r="S1584" s="11">
        <v>213.0</v>
      </c>
    </row>
    <row r="1585">
      <c r="A1585" s="5" t="str">
        <f>IFERROR(__xludf.DUMMYFUNCTION("""COMPUTED_VALUE"""),"Technetium TC-99M Pyrophosphate Kit Injection")</f>
        <v>Technetium TC-99M Pyrophosphate Kit Injection</v>
      </c>
      <c r="B1585" s="5" t="str">
        <f>IFERROR(__xludf.DUMMYFUNCTION("""COMPUTED_VALUE"""),"Curium US LLC")</f>
        <v>Curium US LLC</v>
      </c>
      <c r="C1585" s="5" t="str">
        <f>IFERROR(__xludf.DUMMYFUNCTION("""COMPUTED_VALUE"""),"Technescan PYP, Injection, 11.9 mg/10 mL; 3.2 mg/10 mL (NDC 69945-094-20)")</f>
        <v>Technescan PYP, Injection, 11.9 mg/10 mL; 3.2 mg/10 mL (NDC 69945-094-20)</v>
      </c>
      <c r="D1585" s="5" t="str">
        <f>IFERROR(__xludf.DUMMYFUNCTION("""COMPUTED_VALUE"""),"Reverified")</f>
        <v>Reverified</v>
      </c>
      <c r="E1585" s="13">
        <f>IFERROR(__xludf.DUMMYFUNCTION("""COMPUTED_VALUE"""),46311.0)</f>
        <v>46311</v>
      </c>
      <c r="F1585" s="5" t="str">
        <f>IFERROR(__xludf.DUMMYFUNCTION("""COMPUTED_VALUE"""),"Limited Availability")</f>
        <v>Limited Availability</v>
      </c>
      <c r="G1585" s="5" t="str">
        <f>IFERROR(__xludf.DUMMYFUNCTION("""COMPUTED_VALUE"""),"On allocation")</f>
        <v>On allocation</v>
      </c>
      <c r="H1585" s="5"/>
      <c r="I1585" s="5" t="str">
        <f>IFERROR(__xludf.DUMMYFUNCTION("""COMPUTED_VALUE"""),"Shortage of an active ingredient")</f>
        <v>Shortage of an active ingredient</v>
      </c>
      <c r="J1585" s="5" t="str">
        <f>IFERROR(__xludf.DUMMYFUNCTION("""COMPUTED_VALUE"""),"Medical Imaging")</f>
        <v>Medical Imaging</v>
      </c>
      <c r="K1585" s="5" t="str">
        <f>IFERROR(__xludf.DUMMYFUNCTION("""COMPUTED_VALUE"""),"Current")</f>
        <v>Current</v>
      </c>
      <c r="L1585" s="5"/>
      <c r="M1585" s="5"/>
      <c r="N1585" s="13">
        <f>IFERROR(__xludf.DUMMYFUNCTION("""COMPUTED_VALUE"""),45287.0)</f>
        <v>45287</v>
      </c>
      <c r="O1585" s="5">
        <v>2023.0</v>
      </c>
      <c r="P1585" s="5" t="str">
        <f>IFERROR(__xludf.DUMMYFUNCTION("""COMPUTED_VALUE"""),"Limited Availability")</f>
        <v>Limited Availability</v>
      </c>
      <c r="Q1585" s="5" t="s">
        <v>122</v>
      </c>
      <c r="R1585" s="5" t="s">
        <v>136</v>
      </c>
      <c r="S1585" s="11">
        <v>1034.0</v>
      </c>
    </row>
    <row r="1586">
      <c r="A1586" s="5" t="str">
        <f>IFERROR(__xludf.DUMMYFUNCTION("""COMPUTED_VALUE"""),"Technetium TC-99M Pyrophosphate Kit Injection")</f>
        <v>Technetium TC-99M Pyrophosphate Kit Injection</v>
      </c>
      <c r="B1586" s="5" t="str">
        <f>IFERROR(__xludf.DUMMYFUNCTION("""COMPUTED_VALUE"""),"Sun Pharmaceutical Industries, Inc.")</f>
        <v>Sun Pharmaceutical Industries, Inc.</v>
      </c>
      <c r="C1586" s="5" t="str">
        <f>IFERROR(__xludf.DUMMYFUNCTION("""COMPUTED_VALUE"""),"CIS-PYRO, Injection, 12 mg/10 mL (NDC 45567-0060-1)")</f>
        <v>CIS-PYRO, Injection, 12 mg/10 mL (NDC 45567-0060-1)</v>
      </c>
      <c r="D1586" s="5" t="str">
        <f>IFERROR(__xludf.DUMMYFUNCTION("""COMPUTED_VALUE"""),"Reverified")</f>
        <v>Reverified</v>
      </c>
      <c r="E1586" s="13">
        <f>IFERROR(__xludf.DUMMYFUNCTION("""COMPUTED_VALUE"""),46314.0)</f>
        <v>46314</v>
      </c>
      <c r="F1586" s="5" t="str">
        <f>IFERROR(__xludf.DUMMYFUNCTION("""COMPUTED_VALUE"""),"Unavailable")</f>
        <v>Unavailable</v>
      </c>
      <c r="G1586" s="5" t="str">
        <f>IFERROR(__xludf.DUMMYFUNCTION("""COMPUTED_VALUE"""),"Estimated Recovery: TBD")</f>
        <v>Estimated Recovery: TBD</v>
      </c>
      <c r="H1586" s="5"/>
      <c r="I1586" s="5" t="str">
        <f>IFERROR(__xludf.DUMMYFUNCTION("""COMPUTED_VALUE"""),"Other")</f>
        <v>Other</v>
      </c>
      <c r="J1586" s="5" t="str">
        <f>IFERROR(__xludf.DUMMYFUNCTION("""COMPUTED_VALUE"""),"Medical Imaging")</f>
        <v>Medical Imaging</v>
      </c>
      <c r="K1586" s="5" t="str">
        <f>IFERROR(__xludf.DUMMYFUNCTION("""COMPUTED_VALUE"""),"Current")</f>
        <v>Current</v>
      </c>
      <c r="L1586" s="5"/>
      <c r="M1586" s="5"/>
      <c r="N1586" s="13">
        <f>IFERROR(__xludf.DUMMYFUNCTION("""COMPUTED_VALUE"""),45287.0)</f>
        <v>45287</v>
      </c>
      <c r="O1586" s="5">
        <v>2023.0</v>
      </c>
      <c r="P1586" s="5" t="str">
        <f>IFERROR(__xludf.DUMMYFUNCTION("""COMPUTED_VALUE"""),"Unavailable")</f>
        <v>Unavailable</v>
      </c>
      <c r="Q1586" s="5" t="s">
        <v>47</v>
      </c>
      <c r="R1586" s="5" t="s">
        <v>136</v>
      </c>
      <c r="S1586" s="11">
        <v>1034.0</v>
      </c>
    </row>
    <row r="1587">
      <c r="A1587" s="5" t="str">
        <f>IFERROR(__xludf.DUMMYFUNCTION("""COMPUTED_VALUE"""),"Technetium TC-99M Pyrophosphate Kit Injection")</f>
        <v>Technetium TC-99M Pyrophosphate Kit Injection</v>
      </c>
      <c r="B1587" s="5" t="str">
        <f>IFERROR(__xludf.DUMMYFUNCTION("""COMPUTED_VALUE"""),"Sun Pharmaceutical Industries, Inc.")</f>
        <v>Sun Pharmaceutical Industries, Inc.</v>
      </c>
      <c r="C1587" s="5" t="str">
        <f>IFERROR(__xludf.DUMMYFUNCTION("""COMPUTED_VALUE"""),"CIS-PYRO, Injection, 12 mg/10 mL (NDC 45567-0060-2)")</f>
        <v>CIS-PYRO, Injection, 12 mg/10 mL (NDC 45567-0060-2)</v>
      </c>
      <c r="D1587" s="5" t="str">
        <f>IFERROR(__xludf.DUMMYFUNCTION("""COMPUTED_VALUE"""),"Reverified")</f>
        <v>Reverified</v>
      </c>
      <c r="E1587" s="13">
        <f>IFERROR(__xludf.DUMMYFUNCTION("""COMPUTED_VALUE"""),46314.0)</f>
        <v>46314</v>
      </c>
      <c r="F1587" s="5" t="str">
        <f>IFERROR(__xludf.DUMMYFUNCTION("""COMPUTED_VALUE"""),"Unavailable")</f>
        <v>Unavailable</v>
      </c>
      <c r="G1587" s="5" t="str">
        <f>IFERROR(__xludf.DUMMYFUNCTION("""COMPUTED_VALUE"""),"Estimated Recovery: TBD")</f>
        <v>Estimated Recovery: TBD</v>
      </c>
      <c r="H1587" s="5"/>
      <c r="I1587" s="5" t="str">
        <f>IFERROR(__xludf.DUMMYFUNCTION("""COMPUTED_VALUE"""),"Other")</f>
        <v>Other</v>
      </c>
      <c r="J1587" s="5" t="str">
        <f>IFERROR(__xludf.DUMMYFUNCTION("""COMPUTED_VALUE"""),"Medical Imaging")</f>
        <v>Medical Imaging</v>
      </c>
      <c r="K1587" s="5" t="str">
        <f>IFERROR(__xludf.DUMMYFUNCTION("""COMPUTED_VALUE"""),"Current")</f>
        <v>Current</v>
      </c>
      <c r="L1587" s="5"/>
      <c r="M1587" s="5"/>
      <c r="N1587" s="13">
        <f>IFERROR(__xludf.DUMMYFUNCTION("""COMPUTED_VALUE"""),45287.0)</f>
        <v>45287</v>
      </c>
      <c r="O1587" s="5">
        <v>2023.0</v>
      </c>
      <c r="P1587" s="5" t="str">
        <f>IFERROR(__xludf.DUMMYFUNCTION("""COMPUTED_VALUE"""),"Unavailable")</f>
        <v>Unavailable</v>
      </c>
      <c r="Q1587" s="5" t="s">
        <v>47</v>
      </c>
      <c r="R1587" s="5" t="s">
        <v>136</v>
      </c>
      <c r="S1587" s="11">
        <v>1034.0</v>
      </c>
    </row>
    <row r="1588">
      <c r="A1588" s="5" t="str">
        <f>IFERROR(__xludf.DUMMYFUNCTION("""COMPUTED_VALUE"""),"Tiagabine Hydrochloride Tablet")</f>
        <v>Tiagabine Hydrochloride Tablet</v>
      </c>
      <c r="B1588" s="5" t="str">
        <f>IFERROR(__xludf.DUMMYFUNCTION("""COMPUTED_VALUE"""),"Teva Pharmaceuticals USA, Inc.")</f>
        <v>Teva Pharmaceuticals USA, Inc.</v>
      </c>
      <c r="C1588" s="5" t="str">
        <f>IFERROR(__xludf.DUMMYFUNCTION("""COMPUTED_VALUE"""),"Tiagabine Hydrochloride, Tablet, 2mg 30 count (NDC 0093-5030-56)")</f>
        <v>Tiagabine Hydrochloride, Tablet, 2mg 30 count (NDC 0093-5030-56)</v>
      </c>
      <c r="D1588" s="5" t="str">
        <f>IFERROR(__xludf.DUMMYFUNCTION("""COMPUTED_VALUE"""),"New")</f>
        <v>New</v>
      </c>
      <c r="E1588" s="10">
        <f>IFERROR(__xludf.DUMMYFUNCTION("""COMPUTED_VALUE"""),46127.0)</f>
        <v>46127</v>
      </c>
      <c r="F1588" s="5"/>
      <c r="G1588" s="5" t="str">
        <f>IFERROR(__xludf.DUMMYFUNCTION("""COMPUTED_VALUE"""),"Discontinuation of the manufacture of the drug")</f>
        <v>Discontinuation of the manufacture of the drug</v>
      </c>
      <c r="H1588" s="5"/>
      <c r="I1588" s="5"/>
      <c r="J1588" s="5" t="str">
        <f>IFERROR(__xludf.DUMMYFUNCTION("""COMPUTED_VALUE"""),"Neurology")</f>
        <v>Neurology</v>
      </c>
      <c r="K1588" s="5" t="str">
        <f>IFERROR(__xludf.DUMMYFUNCTION("""COMPUTED_VALUE"""),"To Be Discontinued")</f>
        <v>To Be Discontinued</v>
      </c>
      <c r="L1588" s="5"/>
      <c r="M1588" s="10">
        <f>IFERROR(__xludf.DUMMYFUNCTION("""COMPUTED_VALUE"""),46127.0)</f>
        <v>46127</v>
      </c>
      <c r="N1588" s="10">
        <f>IFERROR(__xludf.DUMMYFUNCTION("""COMPUTED_VALUE"""),46127.0)</f>
        <v>46127</v>
      </c>
      <c r="O1588" s="5">
        <v>2026.0</v>
      </c>
      <c r="P1588" s="5" t="str">
        <f>IFERROR(__xludf.DUMMYFUNCTION("""COMPUTED_VALUE"""),"Not stated")</f>
        <v>Not stated</v>
      </c>
      <c r="Q1588" s="5" t="s">
        <v>135</v>
      </c>
      <c r="R1588" s="5" t="s">
        <v>136</v>
      </c>
      <c r="S1588" s="11">
        <v>194.0</v>
      </c>
    </row>
    <row r="1589">
      <c r="A1589" s="5" t="str">
        <f>IFERROR(__xludf.DUMMYFUNCTION("""COMPUTED_VALUE"""),"Tiagabine Hydrochloride Tablet")</f>
        <v>Tiagabine Hydrochloride Tablet</v>
      </c>
      <c r="B1589" s="5" t="str">
        <f>IFERROR(__xludf.DUMMYFUNCTION("""COMPUTED_VALUE"""),"Teva Pharmaceuticals USA, Inc.")</f>
        <v>Teva Pharmaceuticals USA, Inc.</v>
      </c>
      <c r="C1589" s="5" t="str">
        <f>IFERROR(__xludf.DUMMYFUNCTION("""COMPUTED_VALUE"""),"Tiagabine Hydrochloride, Tablet, 4mg 30 count (NDC 0093-5031-56)")</f>
        <v>Tiagabine Hydrochloride, Tablet, 4mg 30 count (NDC 0093-5031-56)</v>
      </c>
      <c r="D1589" s="5" t="str">
        <f>IFERROR(__xludf.DUMMYFUNCTION("""COMPUTED_VALUE"""),"New")</f>
        <v>New</v>
      </c>
      <c r="E1589" s="10">
        <f>IFERROR(__xludf.DUMMYFUNCTION("""COMPUTED_VALUE"""),46127.0)</f>
        <v>46127</v>
      </c>
      <c r="F1589" s="5"/>
      <c r="G1589" s="5" t="str">
        <f>IFERROR(__xludf.DUMMYFUNCTION("""COMPUTED_VALUE"""),"Discontinuation of the manufacture of the drug")</f>
        <v>Discontinuation of the manufacture of the drug</v>
      </c>
      <c r="H1589" s="5"/>
      <c r="I1589" s="5"/>
      <c r="J1589" s="5" t="str">
        <f>IFERROR(__xludf.DUMMYFUNCTION("""COMPUTED_VALUE"""),"Neurology")</f>
        <v>Neurology</v>
      </c>
      <c r="K1589" s="5" t="str">
        <f>IFERROR(__xludf.DUMMYFUNCTION("""COMPUTED_VALUE"""),"To Be Discontinued")</f>
        <v>To Be Discontinued</v>
      </c>
      <c r="L1589" s="5"/>
      <c r="M1589" s="10">
        <f>IFERROR(__xludf.DUMMYFUNCTION("""COMPUTED_VALUE"""),46127.0)</f>
        <v>46127</v>
      </c>
      <c r="N1589" s="10">
        <f>IFERROR(__xludf.DUMMYFUNCTION("""COMPUTED_VALUE"""),46127.0)</f>
        <v>46127</v>
      </c>
      <c r="O1589" s="5">
        <v>2026.0</v>
      </c>
      <c r="P1589" s="5" t="str">
        <f>IFERROR(__xludf.DUMMYFUNCTION("""COMPUTED_VALUE"""),"Not stated")</f>
        <v>Not stated</v>
      </c>
      <c r="Q1589" s="5" t="s">
        <v>135</v>
      </c>
      <c r="R1589" s="5" t="s">
        <v>136</v>
      </c>
      <c r="S1589" s="11">
        <v>194.0</v>
      </c>
    </row>
    <row r="1590">
      <c r="A1590" s="5" t="str">
        <f>IFERROR(__xludf.DUMMYFUNCTION("""COMPUTED_VALUE"""),"Tiagabine Hydrochloride Tablet")</f>
        <v>Tiagabine Hydrochloride Tablet</v>
      </c>
      <c r="B1590" s="5" t="str">
        <f>IFERROR(__xludf.DUMMYFUNCTION("""COMPUTED_VALUE"""),"Teva Pharmaceuticals USA, Inc.")</f>
        <v>Teva Pharmaceuticals USA, Inc.</v>
      </c>
      <c r="C1590" s="5" t="str">
        <f>IFERROR(__xludf.DUMMYFUNCTION("""COMPUTED_VALUE"""),"Tiagabine Hydrochloride, Tablet, 12mg 30 count (NDC 0093-8072-56)")</f>
        <v>Tiagabine Hydrochloride, Tablet, 12mg 30 count (NDC 0093-8072-56)</v>
      </c>
      <c r="D1590" s="5" t="str">
        <f>IFERROR(__xludf.DUMMYFUNCTION("""COMPUTED_VALUE"""),"New")</f>
        <v>New</v>
      </c>
      <c r="E1590" s="10">
        <f>IFERROR(__xludf.DUMMYFUNCTION("""COMPUTED_VALUE"""),46127.0)</f>
        <v>46127</v>
      </c>
      <c r="F1590" s="5"/>
      <c r="G1590" s="5" t="str">
        <f>IFERROR(__xludf.DUMMYFUNCTION("""COMPUTED_VALUE"""),"Discontinuation of the manufacture of the drug")</f>
        <v>Discontinuation of the manufacture of the drug</v>
      </c>
      <c r="H1590" s="5"/>
      <c r="I1590" s="5"/>
      <c r="J1590" s="5" t="str">
        <f>IFERROR(__xludf.DUMMYFUNCTION("""COMPUTED_VALUE"""),"Neurology")</f>
        <v>Neurology</v>
      </c>
      <c r="K1590" s="5" t="str">
        <f>IFERROR(__xludf.DUMMYFUNCTION("""COMPUTED_VALUE"""),"To Be Discontinued")</f>
        <v>To Be Discontinued</v>
      </c>
      <c r="L1590" s="5"/>
      <c r="M1590" s="10">
        <f>IFERROR(__xludf.DUMMYFUNCTION("""COMPUTED_VALUE"""),46127.0)</f>
        <v>46127</v>
      </c>
      <c r="N1590" s="10">
        <f>IFERROR(__xludf.DUMMYFUNCTION("""COMPUTED_VALUE"""),46127.0)</f>
        <v>46127</v>
      </c>
      <c r="O1590" s="5">
        <v>2026.0</v>
      </c>
      <c r="P1590" s="5" t="str">
        <f>IFERROR(__xludf.DUMMYFUNCTION("""COMPUTED_VALUE"""),"Not stated")</f>
        <v>Not stated</v>
      </c>
      <c r="Q1590" s="5" t="s">
        <v>135</v>
      </c>
      <c r="R1590" s="5" t="s">
        <v>136</v>
      </c>
      <c r="S1590" s="11">
        <v>194.0</v>
      </c>
    </row>
    <row r="1591">
      <c r="A1591" s="5" t="str">
        <f>IFERROR(__xludf.DUMMYFUNCTION("""COMPUTED_VALUE"""),"Tiagabine Hydrochloride Tablet")</f>
        <v>Tiagabine Hydrochloride Tablet</v>
      </c>
      <c r="B1591" s="5" t="str">
        <f>IFERROR(__xludf.DUMMYFUNCTION("""COMPUTED_VALUE"""),"Teva Pharmaceuticals USA, Inc.")</f>
        <v>Teva Pharmaceuticals USA, Inc.</v>
      </c>
      <c r="C1591" s="5" t="str">
        <f>IFERROR(__xludf.DUMMYFUNCTION("""COMPUTED_VALUE"""),"Tiagabine Hydrochloride, Tablet, 16mg 30 count (NDC 0093-8076-56)")</f>
        <v>Tiagabine Hydrochloride, Tablet, 16mg 30 count (NDC 0093-8076-56)</v>
      </c>
      <c r="D1591" s="5" t="str">
        <f>IFERROR(__xludf.DUMMYFUNCTION("""COMPUTED_VALUE"""),"New")</f>
        <v>New</v>
      </c>
      <c r="E1591" s="10">
        <f>IFERROR(__xludf.DUMMYFUNCTION("""COMPUTED_VALUE"""),46127.0)</f>
        <v>46127</v>
      </c>
      <c r="F1591" s="5"/>
      <c r="G1591" s="5" t="str">
        <f>IFERROR(__xludf.DUMMYFUNCTION("""COMPUTED_VALUE"""),"Discontinuation of the manufacture of the drug")</f>
        <v>Discontinuation of the manufacture of the drug</v>
      </c>
      <c r="H1591" s="5"/>
      <c r="I1591" s="5"/>
      <c r="J1591" s="5" t="str">
        <f>IFERROR(__xludf.DUMMYFUNCTION("""COMPUTED_VALUE"""),"Neurology")</f>
        <v>Neurology</v>
      </c>
      <c r="K1591" s="5" t="str">
        <f>IFERROR(__xludf.DUMMYFUNCTION("""COMPUTED_VALUE"""),"To Be Discontinued")</f>
        <v>To Be Discontinued</v>
      </c>
      <c r="L1591" s="5"/>
      <c r="M1591" s="10">
        <f>IFERROR(__xludf.DUMMYFUNCTION("""COMPUTED_VALUE"""),46127.0)</f>
        <v>46127</v>
      </c>
      <c r="N1591" s="10">
        <f>IFERROR(__xludf.DUMMYFUNCTION("""COMPUTED_VALUE"""),46127.0)</f>
        <v>46127</v>
      </c>
      <c r="O1591" s="5">
        <v>2026.0</v>
      </c>
      <c r="P1591" s="5" t="str">
        <f>IFERROR(__xludf.DUMMYFUNCTION("""COMPUTED_VALUE"""),"Not stated")</f>
        <v>Not stated</v>
      </c>
      <c r="Q1591" s="5" t="s">
        <v>135</v>
      </c>
      <c r="R1591" s="5" t="s">
        <v>136</v>
      </c>
      <c r="S1591" s="11">
        <v>194.0</v>
      </c>
    </row>
    <row r="1592">
      <c r="A1592" s="5" t="str">
        <f>IFERROR(__xludf.DUMMYFUNCTION("""COMPUTED_VALUE"""),"Tobramycin Sulfate Injection")</f>
        <v>Tobramycin Sulfate Injection</v>
      </c>
      <c r="B1592" s="5" t="str">
        <f>IFERROR(__xludf.DUMMYFUNCTION("""COMPUTED_VALUE"""),"Hospira, Inc., a Pfizer Company")</f>
        <v>Hospira, Inc., a Pfizer Company</v>
      </c>
      <c r="C1592" s="5" t="str">
        <f>IFERROR(__xludf.DUMMYFUNCTION("""COMPUTED_VALUE"""),"Tobramycin Sulfate, Injection, 80 mg/2 mL (40 mg/mL); 2 mL Multiple Dose Glass Fliptop Vial (NDC 0409-3578-01)")</f>
        <v>Tobramycin Sulfate, Injection, 80 mg/2 mL (40 mg/mL); 2 mL Multiple Dose Glass Fliptop Vial (NDC 0409-3578-01)</v>
      </c>
      <c r="D1592" s="5" t="str">
        <f>IFERROR(__xludf.DUMMYFUNCTION("""COMPUTED_VALUE"""),"New")</f>
        <v>New</v>
      </c>
      <c r="E1592" s="10">
        <f>IFERROR(__xludf.DUMMYFUNCTION("""COMPUTED_VALUE"""),46220.0)</f>
        <v>46220</v>
      </c>
      <c r="F1592" s="5"/>
      <c r="G1592" s="5" t="str">
        <f>IFERROR(__xludf.DUMMYFUNCTION("""COMPUTED_VALUE"""),"Discontinuation of the manufacture of the drug")</f>
        <v>Discontinuation of the manufacture of the drug</v>
      </c>
      <c r="H1592" s="5"/>
      <c r="I1592" s="5"/>
      <c r="J1592" s="5" t="str">
        <f>IFERROR(__xludf.DUMMYFUNCTION("""COMPUTED_VALUE"""),"Anti-Infective")</f>
        <v>Anti-Infective</v>
      </c>
      <c r="K1592" s="5" t="str">
        <f>IFERROR(__xludf.DUMMYFUNCTION("""COMPUTED_VALUE"""),"To Be Discontinued")</f>
        <v>To Be Discontinued</v>
      </c>
      <c r="L1592" s="5"/>
      <c r="M1592" s="10">
        <f>IFERROR(__xludf.DUMMYFUNCTION("""COMPUTED_VALUE"""),46220.0)</f>
        <v>46220</v>
      </c>
      <c r="N1592" s="10">
        <f>IFERROR(__xludf.DUMMYFUNCTION("""COMPUTED_VALUE"""),46220.0)</f>
        <v>46220</v>
      </c>
      <c r="O1592" s="5">
        <v>2026.0</v>
      </c>
      <c r="P1592" s="5" t="str">
        <f>IFERROR(__xludf.DUMMYFUNCTION("""COMPUTED_VALUE"""),"Not stated")</f>
        <v>Not stated</v>
      </c>
      <c r="Q1592" s="5" t="s">
        <v>135</v>
      </c>
      <c r="R1592" s="5" t="s">
        <v>136</v>
      </c>
      <c r="S1592" s="11">
        <v>101.0</v>
      </c>
    </row>
    <row r="1593">
      <c r="A1593" s="5" t="str">
        <f>IFERROR(__xludf.DUMMYFUNCTION("""COMPUTED_VALUE"""),"Travoprost Ophthalmic Solution")</f>
        <v>Travoprost Ophthalmic Solution</v>
      </c>
      <c r="B1593" s="5" t="str">
        <f>IFERROR(__xludf.DUMMYFUNCTION("""COMPUTED_VALUE"""),"Mylan Pharmaceuticals Inc., a Viatris Company")</f>
        <v>Mylan Pharmaceuticals Inc., a Viatris Company</v>
      </c>
      <c r="C1593" s="5" t="str">
        <f>IFERROR(__xludf.DUMMYFUNCTION("""COMPUTED_VALUE"""),"Travoprost, Ophthalmic Solution, 0.004%, 2.5 mL (NDC 0378-9651-32)")</f>
        <v>Travoprost, Ophthalmic Solution, 0.004%, 2.5 mL (NDC 0378-9651-32)</v>
      </c>
      <c r="D1593" s="5" t="str">
        <f>IFERROR(__xludf.DUMMYFUNCTION("""COMPUTED_VALUE"""),"New")</f>
        <v>New</v>
      </c>
      <c r="E1593" s="10">
        <f>IFERROR(__xludf.DUMMYFUNCTION("""COMPUTED_VALUE"""),46210.0)</f>
        <v>46210</v>
      </c>
      <c r="F1593" s="5"/>
      <c r="G1593" s="5" t="str">
        <f>IFERROR(__xludf.DUMMYFUNCTION("""COMPUTED_VALUE"""),"Discontinuation of the manufacture of the drug")</f>
        <v>Discontinuation of the manufacture of the drug</v>
      </c>
      <c r="H1593" s="5"/>
      <c r="I1593" s="5"/>
      <c r="J1593" s="5" t="str">
        <f>IFERROR(__xludf.DUMMYFUNCTION("""COMPUTED_VALUE"""),"Ophthalmology")</f>
        <v>Ophthalmology</v>
      </c>
      <c r="K1593" s="5" t="str">
        <f>IFERROR(__xludf.DUMMYFUNCTION("""COMPUTED_VALUE"""),"To Be Discontinued")</f>
        <v>To Be Discontinued</v>
      </c>
      <c r="L1593" s="5"/>
      <c r="M1593" s="10">
        <f>IFERROR(__xludf.DUMMYFUNCTION("""COMPUTED_VALUE"""),46210.0)</f>
        <v>46210</v>
      </c>
      <c r="N1593" s="10">
        <f>IFERROR(__xludf.DUMMYFUNCTION("""COMPUTED_VALUE"""),46210.0)</f>
        <v>46210</v>
      </c>
      <c r="O1593" s="5">
        <v>2026.0</v>
      </c>
      <c r="P1593" s="5" t="str">
        <f>IFERROR(__xludf.DUMMYFUNCTION("""COMPUTED_VALUE"""),"Not stated")</f>
        <v>Not stated</v>
      </c>
      <c r="Q1593" s="5" t="s">
        <v>135</v>
      </c>
      <c r="R1593" s="5" t="s">
        <v>136</v>
      </c>
      <c r="S1593" s="11">
        <v>111.0</v>
      </c>
    </row>
    <row r="1594">
      <c r="A1594" s="5" t="str">
        <f>IFERROR(__xludf.DUMMYFUNCTION("""COMPUTED_VALUE"""),"Travoprost Ophthalmic Solution")</f>
        <v>Travoprost Ophthalmic Solution</v>
      </c>
      <c r="B1594" s="5" t="str">
        <f>IFERROR(__xludf.DUMMYFUNCTION("""COMPUTED_VALUE"""),"Mylan Pharmaceuticals Inc., a Viatris Company")</f>
        <v>Mylan Pharmaceuticals Inc., a Viatris Company</v>
      </c>
      <c r="C1594" s="5" t="str">
        <f>IFERROR(__xludf.DUMMYFUNCTION("""COMPUTED_VALUE"""),"Travoprost, Ophthalmic Solution, 0.004%, 5 mL (NDC 0378-9651-50)")</f>
        <v>Travoprost, Ophthalmic Solution, 0.004%, 5 mL (NDC 0378-9651-50)</v>
      </c>
      <c r="D1594" s="5" t="str">
        <f>IFERROR(__xludf.DUMMYFUNCTION("""COMPUTED_VALUE"""),"New")</f>
        <v>New</v>
      </c>
      <c r="E1594" s="10">
        <f>IFERROR(__xludf.DUMMYFUNCTION("""COMPUTED_VALUE"""),46210.0)</f>
        <v>46210</v>
      </c>
      <c r="F1594" s="5"/>
      <c r="G1594" s="5" t="str">
        <f>IFERROR(__xludf.DUMMYFUNCTION("""COMPUTED_VALUE"""),"Discontinuation of the manufacture of the drug")</f>
        <v>Discontinuation of the manufacture of the drug</v>
      </c>
      <c r="H1594" s="5"/>
      <c r="I1594" s="5"/>
      <c r="J1594" s="5" t="str">
        <f>IFERROR(__xludf.DUMMYFUNCTION("""COMPUTED_VALUE"""),"Ophthalmology")</f>
        <v>Ophthalmology</v>
      </c>
      <c r="K1594" s="5" t="str">
        <f>IFERROR(__xludf.DUMMYFUNCTION("""COMPUTED_VALUE"""),"To Be Discontinued")</f>
        <v>To Be Discontinued</v>
      </c>
      <c r="L1594" s="5"/>
      <c r="M1594" s="10">
        <f>IFERROR(__xludf.DUMMYFUNCTION("""COMPUTED_VALUE"""),46210.0)</f>
        <v>46210</v>
      </c>
      <c r="N1594" s="10">
        <f>IFERROR(__xludf.DUMMYFUNCTION("""COMPUTED_VALUE"""),46210.0)</f>
        <v>46210</v>
      </c>
      <c r="O1594" s="5">
        <v>2026.0</v>
      </c>
      <c r="P1594" s="5" t="str">
        <f>IFERROR(__xludf.DUMMYFUNCTION("""COMPUTED_VALUE"""),"Not stated")</f>
        <v>Not stated</v>
      </c>
      <c r="Q1594" s="5" t="s">
        <v>135</v>
      </c>
      <c r="R1594" s="5" t="s">
        <v>136</v>
      </c>
      <c r="S1594" s="11">
        <v>111.0</v>
      </c>
    </row>
    <row r="1595">
      <c r="A1595" s="5" t="str">
        <f>IFERROR(__xludf.DUMMYFUNCTION("""COMPUTED_VALUE"""),"Triamcinolone Acetonide Injection")</f>
        <v>Triamcinolone Acetonide Injection</v>
      </c>
      <c r="B1595" s="5" t="str">
        <f>IFERROR(__xludf.DUMMYFUNCTION("""COMPUTED_VALUE"""),"Harrow Eye, LLC")</f>
        <v>Harrow Eye, LLC</v>
      </c>
      <c r="C1595" s="5" t="str">
        <f>IFERROR(__xludf.DUMMYFUNCTION("""COMPUTED_VALUE"""),"Triesence, Injection, 40 mg/1 mL (NDC 82667-800-01)")</f>
        <v>Triesence, Injection, 40 mg/1 mL (NDC 82667-800-01)</v>
      </c>
      <c r="D1595" s="5" t="str">
        <f>IFERROR(__xludf.DUMMYFUNCTION("""COMPUTED_VALUE"""),"New")</f>
        <v>New</v>
      </c>
      <c r="E1595" s="10">
        <f>IFERROR(__xludf.DUMMYFUNCTION("""COMPUTED_VALUE"""),46234.0)</f>
        <v>46234</v>
      </c>
      <c r="F1595" s="5"/>
      <c r="G1595" s="5"/>
      <c r="H1595" s="5"/>
      <c r="I1595" s="5"/>
      <c r="J1595" s="5" t="str">
        <f>IFERROR(__xludf.DUMMYFUNCTION("""COMPUTED_VALUE"""),"Ophthalmology")</f>
        <v>Ophthalmology</v>
      </c>
      <c r="K1595" s="5" t="str">
        <f>IFERROR(__xludf.DUMMYFUNCTION("""COMPUTED_VALUE"""),"Resolved")</f>
        <v>Resolved</v>
      </c>
      <c r="L1595" s="10">
        <f>IFERROR(__xludf.DUMMYFUNCTION("""COMPUTED_VALUE"""),46234.0)</f>
        <v>46234</v>
      </c>
      <c r="M1595" s="5"/>
      <c r="N1595" s="10">
        <f>IFERROR(__xludf.DUMMYFUNCTION("""COMPUTED_VALUE"""),44466.0)</f>
        <v>44466</v>
      </c>
      <c r="O1595" s="5">
        <v>2021.0</v>
      </c>
      <c r="P1595" s="5" t="str">
        <f>IFERROR(__xludf.DUMMYFUNCTION("""COMPUTED_VALUE"""),"Not stated")</f>
        <v>Not stated</v>
      </c>
      <c r="Q1595" s="5" t="s">
        <v>135</v>
      </c>
      <c r="R1595" s="5" t="s">
        <v>136</v>
      </c>
      <c r="S1595" s="11">
        <v>1855.0</v>
      </c>
    </row>
    <row r="1596">
      <c r="A1596" s="5" t="str">
        <f>IFERROR(__xludf.DUMMYFUNCTION("""COMPUTED_VALUE"""),"Triamcinolone Hexacetonide Injection")</f>
        <v>Triamcinolone Hexacetonide Injection</v>
      </c>
      <c r="B1596" s="5" t="str">
        <f>IFERROR(__xludf.DUMMYFUNCTION("""COMPUTED_VALUE"""),"Medexus")</f>
        <v>Medexus</v>
      </c>
      <c r="C1596" s="5" t="str">
        <f>IFERROR(__xludf.DUMMYFUNCTION("""COMPUTED_VALUE"""),"Hexatrione, Injection, 40 mg/2 mL (NDC 59137-570-01)")</f>
        <v>Hexatrione, Injection, 40 mg/2 mL (NDC 59137-570-01)</v>
      </c>
      <c r="D1596" s="5" t="str">
        <f>IFERROR(__xludf.DUMMYFUNCTION("""COMPUTED_VALUE"""),"Revised")</f>
        <v>Revised</v>
      </c>
      <c r="E1596" s="10">
        <f>IFERROR(__xludf.DUMMYFUNCTION("""COMPUTED_VALUE"""),46280.0)</f>
        <v>46280</v>
      </c>
      <c r="F1596" s="5" t="str">
        <f>IFERROR(__xludf.DUMMYFUNCTION("""COMPUTED_VALUE"""),"Available")</f>
        <v>Available</v>
      </c>
      <c r="G1596" s="5"/>
      <c r="H1596" s="5"/>
      <c r="I1596" s="5"/>
      <c r="J1596" s="5" t="str">
        <f>IFERROR(__xludf.DUMMYFUNCTION("""COMPUTED_VALUE"""),"Rheumatology")</f>
        <v>Rheumatology</v>
      </c>
      <c r="K1596" s="5" t="str">
        <f>IFERROR(__xludf.DUMMYFUNCTION("""COMPUTED_VALUE"""),"Current")</f>
        <v>Current</v>
      </c>
      <c r="L1596" s="5"/>
      <c r="M1596" s="5"/>
      <c r="N1596" s="10">
        <f>IFERROR(__xludf.DUMMYFUNCTION("""COMPUTED_VALUE"""),44320.0)</f>
        <v>44320</v>
      </c>
      <c r="O1596" s="5">
        <v>2021.0</v>
      </c>
      <c r="P1596" s="5" t="str">
        <f>IFERROR(__xludf.DUMMYFUNCTION("""COMPUTED_VALUE"""),"Available")</f>
        <v>Available</v>
      </c>
      <c r="Q1596" s="5" t="s">
        <v>135</v>
      </c>
      <c r="R1596" s="5" t="s">
        <v>136</v>
      </c>
      <c r="S1596" s="11">
        <v>2001.0</v>
      </c>
    </row>
    <row r="1597">
      <c r="A1597" s="5" t="str">
        <f>IFERROR(__xludf.DUMMYFUNCTION("""COMPUTED_VALUE"""),"Ursodiol Capsule")</f>
        <v>Ursodiol Capsule</v>
      </c>
      <c r="B1597" s="5" t="str">
        <f>IFERROR(__xludf.DUMMYFUNCTION("""COMPUTED_VALUE"""),"Strides Pharma Inc.")</f>
        <v>Strides Pharma Inc.</v>
      </c>
      <c r="C1597" s="5" t="str">
        <f>IFERROR(__xludf.DUMMYFUNCTION("""COMPUTED_VALUE"""),"Ursodiol, Capsule, 300 mg (NDC 64380-844-06)")</f>
        <v>Ursodiol, Capsule, 300 mg (NDC 64380-844-06)</v>
      </c>
      <c r="D1597" s="5" t="str">
        <f>IFERROR(__xludf.DUMMYFUNCTION("""COMPUTED_VALUE"""),"New")</f>
        <v>New</v>
      </c>
      <c r="E1597" s="10">
        <f>IFERROR(__xludf.DUMMYFUNCTION("""COMPUTED_VALUE"""),46118.0)</f>
        <v>46118</v>
      </c>
      <c r="F1597" s="5"/>
      <c r="G1597" s="5" t="str">
        <f>IFERROR(__xludf.DUMMYFUNCTION("""COMPUTED_VALUE"""),"Discontinuation of the manufacture of the drug")</f>
        <v>Discontinuation of the manufacture of the drug</v>
      </c>
      <c r="H1597" s="5"/>
      <c r="I1597" s="5"/>
      <c r="J1597" s="5" t="str">
        <f>IFERROR(__xludf.DUMMYFUNCTION("""COMPUTED_VALUE"""),"Other")</f>
        <v>Other</v>
      </c>
      <c r="K1597" s="5" t="str">
        <f>IFERROR(__xludf.DUMMYFUNCTION("""COMPUTED_VALUE"""),"To Be Discontinued")</f>
        <v>To Be Discontinued</v>
      </c>
      <c r="L1597" s="5"/>
      <c r="M1597" s="10">
        <f>IFERROR(__xludf.DUMMYFUNCTION("""COMPUTED_VALUE"""),46118.0)</f>
        <v>46118</v>
      </c>
      <c r="N1597" s="10">
        <f>IFERROR(__xludf.DUMMYFUNCTION("""COMPUTED_VALUE"""),46118.0)</f>
        <v>46118</v>
      </c>
      <c r="O1597" s="5">
        <v>2026.0</v>
      </c>
      <c r="P1597" s="5" t="str">
        <f>IFERROR(__xludf.DUMMYFUNCTION("""COMPUTED_VALUE"""),"Not stated")</f>
        <v>Not stated</v>
      </c>
      <c r="Q1597" s="5" t="s">
        <v>135</v>
      </c>
      <c r="R1597" s="5" t="s">
        <v>136</v>
      </c>
      <c r="S1597" s="11">
        <v>203.0</v>
      </c>
    </row>
    <row r="1598">
      <c r="A1598" s="5" t="str">
        <f>IFERROR(__xludf.DUMMYFUNCTION("""COMPUTED_VALUE"""),"Valproate Sodium Injection")</f>
        <v>Valproate Sodium Injection</v>
      </c>
      <c r="B1598" s="5" t="str">
        <f>IFERROR(__xludf.DUMMYFUNCTION("""COMPUTED_VALUE"""),"Hikma Pharmaceuticals USA, Inc.")</f>
        <v>Hikma Pharmaceuticals USA, Inc.</v>
      </c>
      <c r="C1598" s="5" t="str">
        <f>IFERROR(__xludf.DUMMYFUNCTION("""COMPUTED_VALUE"""),"Valproate Sodium, Injection, 500 mg/5 mL (NDC 0143-9785-10)")</f>
        <v>Valproate Sodium, Injection, 500 mg/5 mL (NDC 0143-9785-10)</v>
      </c>
      <c r="D1598" s="5" t="str">
        <f>IFERROR(__xludf.DUMMYFUNCTION("""COMPUTED_VALUE"""),"Reverified")</f>
        <v>Reverified</v>
      </c>
      <c r="E1598" s="13">
        <f>IFERROR(__xludf.DUMMYFUNCTION("""COMPUTED_VALUE"""),46309.0)</f>
        <v>46309</v>
      </c>
      <c r="F1598" s="5" t="str">
        <f>IFERROR(__xludf.DUMMYFUNCTION("""COMPUTED_VALUE"""),"Available")</f>
        <v>Available</v>
      </c>
      <c r="G1598" s="5" t="str">
        <f>IFERROR(__xludf.DUMMYFUNCTION("""COMPUTED_VALUE"""),"Additional lots will be available.  Product will be made available as it is released.")</f>
        <v>Additional lots will be available.  Product will be made available as it is released.</v>
      </c>
      <c r="H1598" s="5"/>
      <c r="I1598" s="5"/>
      <c r="J1598" s="5" t="str">
        <f>IFERROR(__xludf.DUMMYFUNCTION("""COMPUTED_VALUE"""),"Neurology")</f>
        <v>Neurology</v>
      </c>
      <c r="K1598" s="5" t="str">
        <f>IFERROR(__xludf.DUMMYFUNCTION("""COMPUTED_VALUE"""),"Current")</f>
        <v>Current</v>
      </c>
      <c r="L1598" s="5"/>
      <c r="M1598" s="5"/>
      <c r="N1598" s="13">
        <f>IFERROR(__xludf.DUMMYFUNCTION("""COMPUTED_VALUE"""),44195.0)</f>
        <v>44195</v>
      </c>
      <c r="O1598" s="5">
        <v>2020.0</v>
      </c>
      <c r="P1598" s="5" t="str">
        <f>IFERROR(__xludf.DUMMYFUNCTION("""COMPUTED_VALUE"""),"Available")</f>
        <v>Available</v>
      </c>
      <c r="Q1598" s="5" t="s">
        <v>135</v>
      </c>
      <c r="R1598" s="5" t="s">
        <v>136</v>
      </c>
      <c r="S1598" s="11">
        <v>2126.0</v>
      </c>
    </row>
    <row r="1599">
      <c r="A1599" s="5" t="str">
        <f>IFERROR(__xludf.DUMMYFUNCTION("""COMPUTED_VALUE"""),"Valproate Sodium Injection")</f>
        <v>Valproate Sodium Injection</v>
      </c>
      <c r="B1599" s="5" t="str">
        <f>IFERROR(__xludf.DUMMYFUNCTION("""COMPUTED_VALUE"""),"Fresenius Kabi USA, LLC")</f>
        <v>Fresenius Kabi USA, LLC</v>
      </c>
      <c r="C1599" s="5" t="str">
        <f>IFERROR(__xludf.DUMMYFUNCTION("""COMPUTED_VALUE"""),"Valproate Sodium, Injection, 100 mg/1 mL (NDC 63323-494-05)")</f>
        <v>Valproate Sodium, Injection, 100 mg/1 mL (NDC 63323-494-05)</v>
      </c>
      <c r="D1599" s="5" t="str">
        <f>IFERROR(__xludf.DUMMYFUNCTION("""COMPUTED_VALUE"""),"Reverified")</f>
        <v>Reverified</v>
      </c>
      <c r="E1599" s="13">
        <f>IFERROR(__xludf.DUMMYFUNCTION("""COMPUTED_VALUE"""),46310.0)</f>
        <v>46310</v>
      </c>
      <c r="F1599" s="5" t="str">
        <f>IFERROR(__xludf.DUMMYFUNCTION("""COMPUTED_VALUE"""),"Unavailable")</f>
        <v>Unavailable</v>
      </c>
      <c r="G1599" s="5" t="str">
        <f>IFERROR(__xludf.DUMMYFUNCTION("""COMPUTED_VALUE"""),"Next release November 2026. Check wholesalers for inventory.")</f>
        <v>Next release November 2026. Check wholesalers for inventory.</v>
      </c>
      <c r="H1599" s="5"/>
      <c r="I1599" s="5" t="str">
        <f>IFERROR(__xludf.DUMMYFUNCTION("""COMPUTED_VALUE"""),"Demand increase for the drug")</f>
        <v>Demand increase for the drug</v>
      </c>
      <c r="J1599" s="5" t="str">
        <f>IFERROR(__xludf.DUMMYFUNCTION("""COMPUTED_VALUE"""),"Neurology")</f>
        <v>Neurology</v>
      </c>
      <c r="K1599" s="5" t="str">
        <f>IFERROR(__xludf.DUMMYFUNCTION("""COMPUTED_VALUE"""),"Current")</f>
        <v>Current</v>
      </c>
      <c r="L1599" s="5"/>
      <c r="M1599" s="5"/>
      <c r="N1599" s="13">
        <f>IFERROR(__xludf.DUMMYFUNCTION("""COMPUTED_VALUE"""),44195.0)</f>
        <v>44195</v>
      </c>
      <c r="O1599" s="5">
        <v>2020.0</v>
      </c>
      <c r="P1599" s="5" t="str">
        <f>IFERROR(__xludf.DUMMYFUNCTION("""COMPUTED_VALUE"""),"Unavailable")</f>
        <v>Unavailable</v>
      </c>
      <c r="Q1599" s="5" t="s">
        <v>134</v>
      </c>
      <c r="R1599" s="5" t="s">
        <v>136</v>
      </c>
      <c r="S1599" s="11">
        <v>2126.0</v>
      </c>
    </row>
    <row r="1600">
      <c r="A1600" s="5" t="str">
        <f>IFERROR(__xludf.DUMMYFUNCTION("""COMPUTED_VALUE"""),"Valsartan Tablet")</f>
        <v>Valsartan Tablet</v>
      </c>
      <c r="B1600" s="5" t="str">
        <f>IFERROR(__xludf.DUMMYFUNCTION("""COMPUTED_VALUE"""),"Mylan Pharmaceuticals Inc., a Viatris Company")</f>
        <v>Mylan Pharmaceuticals Inc., a Viatris Company</v>
      </c>
      <c r="C1600" s="5" t="str">
        <f>IFERROR(__xludf.DUMMYFUNCTION("""COMPUTED_VALUE"""),"Valsartan, Tablet, 40 mg (NDC 0378-5807-93)")</f>
        <v>Valsartan, Tablet, 40 mg (NDC 0378-5807-93)</v>
      </c>
      <c r="D1600" s="5" t="str">
        <f>IFERROR(__xludf.DUMMYFUNCTION("""COMPUTED_VALUE"""),"New")</f>
        <v>New</v>
      </c>
      <c r="E1600" s="13">
        <f>IFERROR(__xludf.DUMMYFUNCTION("""COMPUTED_VALUE"""),45980.0)</f>
        <v>45980</v>
      </c>
      <c r="F1600" s="5"/>
      <c r="G1600" s="5" t="str">
        <f>IFERROR(__xludf.DUMMYFUNCTION("""COMPUTED_VALUE"""),"A business decision was made to discontinue manufacture of the drug.")</f>
        <v>A business decision was made to discontinue manufacture of the drug.</v>
      </c>
      <c r="H1600" s="5"/>
      <c r="I1600" s="5"/>
      <c r="J1600" s="5" t="str">
        <f>IFERROR(__xludf.DUMMYFUNCTION("""COMPUTED_VALUE"""),"Cardiovascular")</f>
        <v>Cardiovascular</v>
      </c>
      <c r="K1600" s="5" t="str">
        <f>IFERROR(__xludf.DUMMYFUNCTION("""COMPUTED_VALUE"""),"To Be Discontinued")</f>
        <v>To Be Discontinued</v>
      </c>
      <c r="L1600" s="5"/>
      <c r="M1600" s="13">
        <f>IFERROR(__xludf.DUMMYFUNCTION("""COMPUTED_VALUE"""),45980.0)</f>
        <v>45980</v>
      </c>
      <c r="N1600" s="13">
        <f>IFERROR(__xludf.DUMMYFUNCTION("""COMPUTED_VALUE"""),45980.0)</f>
        <v>45980</v>
      </c>
      <c r="O1600" s="5">
        <v>2025.0</v>
      </c>
      <c r="P1600" s="5" t="str">
        <f>IFERROR(__xludf.DUMMYFUNCTION("""COMPUTED_VALUE"""),"Not stated")</f>
        <v>Not stated</v>
      </c>
      <c r="Q1600" s="5" t="s">
        <v>135</v>
      </c>
      <c r="R1600" s="5" t="s">
        <v>136</v>
      </c>
      <c r="S1600" s="11">
        <v>341.0</v>
      </c>
    </row>
    <row r="1601">
      <c r="A1601" s="5" t="str">
        <f>IFERROR(__xludf.DUMMYFUNCTION("""COMPUTED_VALUE"""),"Valsartan Tablet")</f>
        <v>Valsartan Tablet</v>
      </c>
      <c r="B1601" s="5" t="str">
        <f>IFERROR(__xludf.DUMMYFUNCTION("""COMPUTED_VALUE"""),"Mylan Pharmaceuticals Inc., a Viatris Company")</f>
        <v>Mylan Pharmaceuticals Inc., a Viatris Company</v>
      </c>
      <c r="C1601" s="5" t="str">
        <f>IFERROR(__xludf.DUMMYFUNCTION("""COMPUTED_VALUE"""),"Valsartan, Tablet, 80 mg (NDC 0378-5813-77)")</f>
        <v>Valsartan, Tablet, 80 mg (NDC 0378-5813-77)</v>
      </c>
      <c r="D1601" s="5" t="str">
        <f>IFERROR(__xludf.DUMMYFUNCTION("""COMPUTED_VALUE"""),"New")</f>
        <v>New</v>
      </c>
      <c r="E1601" s="13">
        <f>IFERROR(__xludf.DUMMYFUNCTION("""COMPUTED_VALUE"""),45980.0)</f>
        <v>45980</v>
      </c>
      <c r="F1601" s="5"/>
      <c r="G1601" s="5" t="str">
        <f>IFERROR(__xludf.DUMMYFUNCTION("""COMPUTED_VALUE"""),"A business decision was made to discontinue manufacture of the drug.")</f>
        <v>A business decision was made to discontinue manufacture of the drug.</v>
      </c>
      <c r="H1601" s="5"/>
      <c r="I1601" s="5"/>
      <c r="J1601" s="5" t="str">
        <f>IFERROR(__xludf.DUMMYFUNCTION("""COMPUTED_VALUE"""),"Cardiovascular")</f>
        <v>Cardiovascular</v>
      </c>
      <c r="K1601" s="5" t="str">
        <f>IFERROR(__xludf.DUMMYFUNCTION("""COMPUTED_VALUE"""),"To Be Discontinued")</f>
        <v>To Be Discontinued</v>
      </c>
      <c r="L1601" s="5"/>
      <c r="M1601" s="13">
        <f>IFERROR(__xludf.DUMMYFUNCTION("""COMPUTED_VALUE"""),45980.0)</f>
        <v>45980</v>
      </c>
      <c r="N1601" s="13">
        <f>IFERROR(__xludf.DUMMYFUNCTION("""COMPUTED_VALUE"""),45980.0)</f>
        <v>45980</v>
      </c>
      <c r="O1601" s="5">
        <v>2025.0</v>
      </c>
      <c r="P1601" s="5" t="str">
        <f>IFERROR(__xludf.DUMMYFUNCTION("""COMPUTED_VALUE"""),"Not stated")</f>
        <v>Not stated</v>
      </c>
      <c r="Q1601" s="5" t="s">
        <v>135</v>
      </c>
      <c r="R1601" s="5" t="s">
        <v>136</v>
      </c>
      <c r="S1601" s="11">
        <v>341.0</v>
      </c>
    </row>
    <row r="1602">
      <c r="A1602" s="5" t="str">
        <f>IFERROR(__xludf.DUMMYFUNCTION("""COMPUTED_VALUE"""),"Valsartan Tablet")</f>
        <v>Valsartan Tablet</v>
      </c>
      <c r="B1602" s="5" t="str">
        <f>IFERROR(__xludf.DUMMYFUNCTION("""COMPUTED_VALUE"""),"Mylan Pharmaceuticals Inc., a Viatris Company")</f>
        <v>Mylan Pharmaceuticals Inc., a Viatris Company</v>
      </c>
      <c r="C1602" s="5" t="str">
        <f>IFERROR(__xludf.DUMMYFUNCTION("""COMPUTED_VALUE"""),"Valsartan, Tablet, 160 mg (NDC 0378-5814-77)")</f>
        <v>Valsartan, Tablet, 160 mg (NDC 0378-5814-77)</v>
      </c>
      <c r="D1602" s="5" t="str">
        <f>IFERROR(__xludf.DUMMYFUNCTION("""COMPUTED_VALUE"""),"New")</f>
        <v>New</v>
      </c>
      <c r="E1602" s="13">
        <f>IFERROR(__xludf.DUMMYFUNCTION("""COMPUTED_VALUE"""),45980.0)</f>
        <v>45980</v>
      </c>
      <c r="F1602" s="5"/>
      <c r="G1602" s="5" t="str">
        <f>IFERROR(__xludf.DUMMYFUNCTION("""COMPUTED_VALUE"""),"A business decision was made to discontinue manufacture of the drug.")</f>
        <v>A business decision was made to discontinue manufacture of the drug.</v>
      </c>
      <c r="H1602" s="5"/>
      <c r="I1602" s="5"/>
      <c r="J1602" s="5" t="str">
        <f>IFERROR(__xludf.DUMMYFUNCTION("""COMPUTED_VALUE"""),"Cardiovascular")</f>
        <v>Cardiovascular</v>
      </c>
      <c r="K1602" s="5" t="str">
        <f>IFERROR(__xludf.DUMMYFUNCTION("""COMPUTED_VALUE"""),"To Be Discontinued")</f>
        <v>To Be Discontinued</v>
      </c>
      <c r="L1602" s="5"/>
      <c r="M1602" s="13">
        <f>IFERROR(__xludf.DUMMYFUNCTION("""COMPUTED_VALUE"""),45980.0)</f>
        <v>45980</v>
      </c>
      <c r="N1602" s="13">
        <f>IFERROR(__xludf.DUMMYFUNCTION("""COMPUTED_VALUE"""),45980.0)</f>
        <v>45980</v>
      </c>
      <c r="O1602" s="5">
        <v>2025.0</v>
      </c>
      <c r="P1602" s="5" t="str">
        <f>IFERROR(__xludf.DUMMYFUNCTION("""COMPUTED_VALUE"""),"Not stated")</f>
        <v>Not stated</v>
      </c>
      <c r="Q1602" s="5" t="s">
        <v>135</v>
      </c>
      <c r="R1602" s="5" t="s">
        <v>136</v>
      </c>
      <c r="S1602" s="11">
        <v>341.0</v>
      </c>
    </row>
    <row r="1603">
      <c r="A1603" s="5" t="str">
        <f>IFERROR(__xludf.DUMMYFUNCTION("""COMPUTED_VALUE"""),"Valsartan Tablet")</f>
        <v>Valsartan Tablet</v>
      </c>
      <c r="B1603" s="5" t="str">
        <f>IFERROR(__xludf.DUMMYFUNCTION("""COMPUTED_VALUE"""),"Mylan Pharmaceuticals Inc., a Viatris Company")</f>
        <v>Mylan Pharmaceuticals Inc., a Viatris Company</v>
      </c>
      <c r="C1603" s="5" t="str">
        <f>IFERROR(__xludf.DUMMYFUNCTION("""COMPUTED_VALUE"""),"Valsartan, Tablet, 320 mg (NDC 0378-5815-77)")</f>
        <v>Valsartan, Tablet, 320 mg (NDC 0378-5815-77)</v>
      </c>
      <c r="D1603" s="5" t="str">
        <f>IFERROR(__xludf.DUMMYFUNCTION("""COMPUTED_VALUE"""),"New")</f>
        <v>New</v>
      </c>
      <c r="E1603" s="13">
        <f>IFERROR(__xludf.DUMMYFUNCTION("""COMPUTED_VALUE"""),45980.0)</f>
        <v>45980</v>
      </c>
      <c r="F1603" s="5"/>
      <c r="G1603" s="5" t="str">
        <f>IFERROR(__xludf.DUMMYFUNCTION("""COMPUTED_VALUE"""),"A business decision was made to discontinue manufacture of the drug.")</f>
        <v>A business decision was made to discontinue manufacture of the drug.</v>
      </c>
      <c r="H1603" s="5"/>
      <c r="I1603" s="5"/>
      <c r="J1603" s="5" t="str">
        <f>IFERROR(__xludf.DUMMYFUNCTION("""COMPUTED_VALUE"""),"Cardiovascular")</f>
        <v>Cardiovascular</v>
      </c>
      <c r="K1603" s="5" t="str">
        <f>IFERROR(__xludf.DUMMYFUNCTION("""COMPUTED_VALUE"""),"To Be Discontinued")</f>
        <v>To Be Discontinued</v>
      </c>
      <c r="L1603" s="5"/>
      <c r="M1603" s="13">
        <f>IFERROR(__xludf.DUMMYFUNCTION("""COMPUTED_VALUE"""),45980.0)</f>
        <v>45980</v>
      </c>
      <c r="N1603" s="13">
        <f>IFERROR(__xludf.DUMMYFUNCTION("""COMPUTED_VALUE"""),45980.0)</f>
        <v>45980</v>
      </c>
      <c r="O1603" s="5">
        <v>2025.0</v>
      </c>
      <c r="P1603" s="5" t="str">
        <f>IFERROR(__xludf.DUMMYFUNCTION("""COMPUTED_VALUE"""),"Not stated")</f>
        <v>Not stated</v>
      </c>
      <c r="Q1603" s="5" t="s">
        <v>135</v>
      </c>
      <c r="R1603" s="5" t="s">
        <v>136</v>
      </c>
      <c r="S1603" s="11">
        <v>341.0</v>
      </c>
    </row>
    <row r="1604">
      <c r="A1604" s="5" t="str">
        <f>IFERROR(__xludf.DUMMYFUNCTION("""COMPUTED_VALUE"""),"Vancomycin Hydrochloride Injection")</f>
        <v>Vancomycin Hydrochloride Injection</v>
      </c>
      <c r="B1604" s="5" t="str">
        <f>IFERROR(__xludf.DUMMYFUNCTION("""COMPUTED_VALUE"""),"Hospira, Inc., a Pfizer Company")</f>
        <v>Hospira, Inc., a Pfizer Company</v>
      </c>
      <c r="C1604" s="5" t="str">
        <f>IFERROR(__xludf.DUMMYFUNCTION("""COMPUTED_VALUE"""),"Vancomycin Hydrochloride, Injection, 10 g Vial NovaPlus (NDC 0409-5017-01)")</f>
        <v>Vancomycin Hydrochloride, Injection, 10 g Vial NovaPlus (NDC 0409-5017-01)</v>
      </c>
      <c r="D1604" s="5" t="str">
        <f>IFERROR(__xludf.DUMMYFUNCTION("""COMPUTED_VALUE"""),"New")</f>
        <v>New</v>
      </c>
      <c r="E1604" s="13">
        <f>IFERROR(__xludf.DUMMYFUNCTION("""COMPUTED_VALUE"""),45975.0)</f>
        <v>45975</v>
      </c>
      <c r="F1604" s="5"/>
      <c r="G1604" s="5" t="str">
        <f>IFERROR(__xludf.DUMMYFUNCTION("""COMPUTED_VALUE"""),"Discontinuation of the manufacture of the drug")</f>
        <v>Discontinuation of the manufacture of the drug</v>
      </c>
      <c r="H1604" s="5"/>
      <c r="I1604" s="5"/>
      <c r="J1604" s="5" t="str">
        <f>IFERROR(__xludf.DUMMYFUNCTION("""COMPUTED_VALUE"""),"Anti-Infective")</f>
        <v>Anti-Infective</v>
      </c>
      <c r="K1604" s="5" t="str">
        <f>IFERROR(__xludf.DUMMYFUNCTION("""COMPUTED_VALUE"""),"To Be Discontinued")</f>
        <v>To Be Discontinued</v>
      </c>
      <c r="L1604" s="5"/>
      <c r="M1604" s="13">
        <f>IFERROR(__xludf.DUMMYFUNCTION("""COMPUTED_VALUE"""),45975.0)</f>
        <v>45975</v>
      </c>
      <c r="N1604" s="13">
        <f>IFERROR(__xludf.DUMMYFUNCTION("""COMPUTED_VALUE"""),45975.0)</f>
        <v>45975</v>
      </c>
      <c r="O1604" s="5">
        <v>2025.0</v>
      </c>
      <c r="P1604" s="5" t="str">
        <f>IFERROR(__xludf.DUMMYFUNCTION("""COMPUTED_VALUE"""),"Not stated")</f>
        <v>Not stated</v>
      </c>
      <c r="Q1604" s="5" t="s">
        <v>135</v>
      </c>
      <c r="R1604" s="5" t="s">
        <v>136</v>
      </c>
      <c r="S1604" s="11">
        <v>346.0</v>
      </c>
    </row>
    <row r="1605">
      <c r="A1605" s="5" t="str">
        <f>IFERROR(__xludf.DUMMYFUNCTION("""COMPUTED_VALUE"""),"Verapamil Hydrochloride Injection")</f>
        <v>Verapamil Hydrochloride Injection</v>
      </c>
      <c r="B1605" s="5" t="str">
        <f>IFERROR(__xludf.DUMMYFUNCTION("""COMPUTED_VALUE"""),"Pfizer Inc.")</f>
        <v>Pfizer Inc.</v>
      </c>
      <c r="C1605" s="5" t="str">
        <f>IFERROR(__xludf.DUMMYFUNCTION("""COMPUTED_VALUE"""),"Verapamil Hydrochloride, Injection, 2.5 mg/1 mL (NDC 0409-9633-05)")</f>
        <v>Verapamil Hydrochloride, Injection, 2.5 mg/1 mL (NDC 0409-9633-05)</v>
      </c>
      <c r="D1605" s="5" t="str">
        <f>IFERROR(__xludf.DUMMYFUNCTION("""COMPUTED_VALUE"""),"New")</f>
        <v>New</v>
      </c>
      <c r="E1605" s="13">
        <f>IFERROR(__xludf.DUMMYFUNCTION("""COMPUTED_VALUE"""),45982.0)</f>
        <v>45982</v>
      </c>
      <c r="F1605" s="5"/>
      <c r="G1605" s="5" t="str">
        <f>IFERROR(__xludf.DUMMYFUNCTION("""COMPUTED_VALUE"""),"Discontinuation of the manufacture of the drug")</f>
        <v>Discontinuation of the manufacture of the drug</v>
      </c>
      <c r="H1605" s="5"/>
      <c r="I1605" s="5"/>
      <c r="J1605" s="5" t="str">
        <f>IFERROR(__xludf.DUMMYFUNCTION("""COMPUTED_VALUE"""),"Cardiovascular")</f>
        <v>Cardiovascular</v>
      </c>
      <c r="K1605" s="5" t="str">
        <f>IFERROR(__xludf.DUMMYFUNCTION("""COMPUTED_VALUE"""),"To Be Discontinued")</f>
        <v>To Be Discontinued</v>
      </c>
      <c r="L1605" s="5"/>
      <c r="M1605" s="13">
        <f>IFERROR(__xludf.DUMMYFUNCTION("""COMPUTED_VALUE"""),45982.0)</f>
        <v>45982</v>
      </c>
      <c r="N1605" s="13">
        <f>IFERROR(__xludf.DUMMYFUNCTION("""COMPUTED_VALUE"""),45982.0)</f>
        <v>45982</v>
      </c>
      <c r="O1605" s="5">
        <v>2025.0</v>
      </c>
      <c r="P1605" s="5" t="str">
        <f>IFERROR(__xludf.DUMMYFUNCTION("""COMPUTED_VALUE"""),"Not stated")</f>
        <v>Not stated</v>
      </c>
      <c r="Q1605" s="5" t="s">
        <v>135</v>
      </c>
      <c r="R1605" s="5" t="s">
        <v>136</v>
      </c>
      <c r="S1605" s="11">
        <v>339.0</v>
      </c>
    </row>
    <row r="1606">
      <c r="A1606" s="5" t="str">
        <f>IFERROR(__xludf.DUMMYFUNCTION("""COMPUTED_VALUE"""),"Vigabatrin Tablet")</f>
        <v>Vigabatrin Tablet</v>
      </c>
      <c r="B1606" s="5" t="str">
        <f>IFERROR(__xludf.DUMMYFUNCTION("""COMPUTED_VALUE"""),"Hikma Pharmaceuticals USA, Inc.")</f>
        <v>Hikma Pharmaceuticals USA, Inc.</v>
      </c>
      <c r="C1606" s="5" t="str">
        <f>IFERROR(__xludf.DUMMYFUNCTION("""COMPUTED_VALUE"""),"Vigabatrin, Tablet, 500 mg (NDC 0054-0652-25)")</f>
        <v>Vigabatrin, Tablet, 500 mg (NDC 0054-0652-25)</v>
      </c>
      <c r="D1606" s="5" t="str">
        <f>IFERROR(__xludf.DUMMYFUNCTION("""COMPUTED_VALUE"""),"New")</f>
        <v>New</v>
      </c>
      <c r="E1606" s="13">
        <f>IFERROR(__xludf.DUMMYFUNCTION("""COMPUTED_VALUE"""),46311.0)</f>
        <v>46311</v>
      </c>
      <c r="F1606" s="5"/>
      <c r="G1606" s="5" t="str">
        <f>IFERROR(__xludf.DUMMYFUNCTION("""COMPUTED_VALUE"""),"The decision to discontinue this drug product was due to a business decision and not due to any reasons of safety or effectiveness.")</f>
        <v>The decision to discontinue this drug product was due to a business decision and not due to any reasons of safety or effectiveness.</v>
      </c>
      <c r="H1606" s="5"/>
      <c r="I1606" s="5"/>
      <c r="J1606" s="5" t="str">
        <f>IFERROR(__xludf.DUMMYFUNCTION("""COMPUTED_VALUE"""),"Neurology")</f>
        <v>Neurology</v>
      </c>
      <c r="K1606" s="5" t="str">
        <f>IFERROR(__xludf.DUMMYFUNCTION("""COMPUTED_VALUE"""),"To Be Discontinued")</f>
        <v>To Be Discontinued</v>
      </c>
      <c r="L1606" s="5"/>
      <c r="M1606" s="13">
        <f>IFERROR(__xludf.DUMMYFUNCTION("""COMPUTED_VALUE"""),46311.0)</f>
        <v>46311</v>
      </c>
      <c r="N1606" s="13">
        <f>IFERROR(__xludf.DUMMYFUNCTION("""COMPUTED_VALUE"""),46311.0)</f>
        <v>46311</v>
      </c>
      <c r="O1606" s="5">
        <v>2026.0</v>
      </c>
      <c r="P1606" s="5" t="str">
        <f>IFERROR(__xludf.DUMMYFUNCTION("""COMPUTED_VALUE"""),"Not stated")</f>
        <v>Not stated</v>
      </c>
      <c r="Q1606" s="5" t="s">
        <v>135</v>
      </c>
      <c r="R1606" s="5" t="s">
        <v>136</v>
      </c>
      <c r="S1606" s="11">
        <v>10.0</v>
      </c>
    </row>
    <row r="1607">
      <c r="O1607" s="5"/>
      <c r="P1607" s="5"/>
      <c r="Q1607" s="5"/>
      <c r="R1607" s="5"/>
      <c r="S1607" s="11"/>
    </row>
    <row r="1608">
      <c r="O1608" s="5"/>
      <c r="P1608" s="5"/>
      <c r="Q1608" s="5"/>
      <c r="R1608" s="5"/>
      <c r="S1608" s="11"/>
    </row>
    <row r="1609">
      <c r="O1609" s="5"/>
      <c r="P1609" s="5"/>
      <c r="Q1609" s="5"/>
      <c r="R1609" s="5"/>
      <c r="S1609" s="11"/>
    </row>
    <row r="1610">
      <c r="O1610" s="5"/>
      <c r="P1610" s="5"/>
      <c r="Q1610" s="5"/>
      <c r="R1610" s="5"/>
      <c r="S1610" s="11"/>
    </row>
    <row r="1611">
      <c r="O1611" s="5"/>
      <c r="P1611" s="5"/>
      <c r="Q1611" s="5"/>
      <c r="R1611" s="5"/>
      <c r="S1611" s="11"/>
    </row>
    <row r="1612">
      <c r="O1612" s="5"/>
      <c r="P1612" s="5"/>
      <c r="Q1612" s="5"/>
      <c r="R1612" s="5"/>
      <c r="S1612" s="11"/>
    </row>
    <row r="1613">
      <c r="O1613" s="5"/>
      <c r="P1613" s="5"/>
      <c r="Q1613" s="5"/>
      <c r="R1613" s="5"/>
      <c r="S1613" s="11"/>
    </row>
    <row r="1614">
      <c r="O1614" s="5"/>
      <c r="P1614" s="5"/>
      <c r="Q1614" s="5"/>
      <c r="R1614" s="5"/>
      <c r="S1614" s="11"/>
    </row>
    <row r="1615">
      <c r="O1615" s="5"/>
      <c r="P1615" s="5"/>
      <c r="Q1615" s="5"/>
      <c r="R1615" s="5"/>
      <c r="S1615" s="11"/>
    </row>
    <row r="1616">
      <c r="O1616" s="5"/>
      <c r="P1616" s="5"/>
      <c r="Q1616" s="5"/>
      <c r="R1616" s="5"/>
      <c r="S1616" s="11"/>
    </row>
    <row r="1617">
      <c r="O1617" s="5"/>
      <c r="P1617" s="5"/>
      <c r="Q1617" s="5"/>
      <c r="R1617" s="5"/>
      <c r="S1617" s="11"/>
    </row>
    <row r="1618">
      <c r="O1618" s="5"/>
      <c r="P1618" s="5"/>
      <c r="Q1618" s="5"/>
      <c r="R1618" s="5"/>
      <c r="S1618" s="11"/>
    </row>
    <row r="1619">
      <c r="O1619" s="5"/>
      <c r="P1619" s="5"/>
      <c r="Q1619" s="5"/>
      <c r="R1619" s="5"/>
      <c r="S1619" s="11"/>
    </row>
    <row r="1620">
      <c r="O1620" s="5"/>
      <c r="P1620" s="5"/>
      <c r="Q1620" s="5"/>
      <c r="R1620" s="5"/>
      <c r="S1620" s="11"/>
    </row>
    <row r="1621">
      <c r="O1621" s="5"/>
      <c r="P1621" s="5"/>
      <c r="Q1621" s="5"/>
      <c r="R1621" s="5"/>
      <c r="S1621" s="11"/>
    </row>
    <row r="1622">
      <c r="O1622" s="5"/>
      <c r="P1622" s="5"/>
      <c r="Q1622" s="5"/>
      <c r="R1622" s="5"/>
      <c r="S1622" s="11"/>
    </row>
    <row r="1623">
      <c r="O1623" s="5"/>
      <c r="P1623" s="5"/>
      <c r="Q1623" s="5"/>
      <c r="R1623" s="5"/>
      <c r="S1623" s="11"/>
    </row>
    <row r="1624">
      <c r="O1624" s="5"/>
      <c r="P1624" s="5"/>
      <c r="Q1624" s="5"/>
      <c r="R1624" s="5"/>
      <c r="S1624" s="11"/>
    </row>
    <row r="1625">
      <c r="O1625" s="5"/>
      <c r="P1625" s="5"/>
      <c r="Q1625" s="5"/>
      <c r="R1625" s="5"/>
      <c r="S1625" s="11"/>
    </row>
    <row r="1626">
      <c r="O1626" s="5"/>
      <c r="P1626" s="5"/>
      <c r="Q1626" s="5"/>
      <c r="R1626" s="5"/>
      <c r="S1626" s="11"/>
    </row>
    <row r="1627">
      <c r="O1627" s="5"/>
      <c r="P1627" s="5"/>
      <c r="Q1627" s="5"/>
      <c r="R1627" s="5"/>
      <c r="S1627" s="11"/>
    </row>
    <row r="1628">
      <c r="O1628" s="5"/>
      <c r="P1628" s="5"/>
      <c r="Q1628" s="5"/>
      <c r="R1628" s="5"/>
      <c r="S1628" s="11"/>
    </row>
    <row r="1629">
      <c r="O1629" s="5"/>
      <c r="P1629" s="5"/>
      <c r="Q1629" s="5"/>
      <c r="R1629" s="5"/>
      <c r="S1629" s="11"/>
    </row>
    <row r="1630">
      <c r="O1630" s="5"/>
      <c r="P1630" s="5"/>
      <c r="Q1630" s="5"/>
      <c r="R1630" s="5"/>
      <c r="S1630" s="11"/>
    </row>
    <row r="1631">
      <c r="O1631" s="5"/>
      <c r="P1631" s="5"/>
      <c r="Q1631" s="5"/>
      <c r="R1631" s="5"/>
      <c r="S1631" s="11"/>
    </row>
    <row r="1632">
      <c r="O1632" s="5"/>
      <c r="P1632" s="5"/>
      <c r="Q1632" s="5"/>
      <c r="R1632" s="5"/>
      <c r="S1632" s="11"/>
    </row>
    <row r="1633">
      <c r="O1633" s="5"/>
      <c r="P1633" s="5"/>
      <c r="Q1633" s="5"/>
      <c r="R1633" s="5"/>
      <c r="S1633" s="11"/>
    </row>
    <row r="1634">
      <c r="O1634" s="5"/>
      <c r="P1634" s="5"/>
      <c r="Q1634" s="5"/>
      <c r="R1634" s="5"/>
      <c r="S1634" s="11"/>
    </row>
    <row r="1635">
      <c r="O1635" s="5"/>
      <c r="P1635" s="5"/>
      <c r="Q1635" s="5"/>
      <c r="R1635" s="5"/>
      <c r="S1635" s="11"/>
    </row>
    <row r="1636">
      <c r="O1636" s="5"/>
      <c r="P1636" s="5"/>
      <c r="Q1636" s="5"/>
      <c r="R1636" s="5"/>
      <c r="S1636" s="11"/>
    </row>
    <row r="1637">
      <c r="O1637" s="5"/>
      <c r="P1637" s="5"/>
      <c r="Q1637" s="5"/>
      <c r="R1637" s="5"/>
      <c r="S1637" s="11"/>
    </row>
    <row r="1638">
      <c r="O1638" s="5"/>
      <c r="P1638" s="5"/>
      <c r="Q1638" s="5"/>
      <c r="R1638" s="5"/>
      <c r="S1638" s="11"/>
    </row>
    <row r="1639">
      <c r="O1639" s="5"/>
      <c r="P1639" s="5"/>
      <c r="Q1639" s="5"/>
      <c r="R1639" s="5"/>
      <c r="S1639" s="11"/>
    </row>
    <row r="1640">
      <c r="O1640" s="5"/>
      <c r="P1640" s="5"/>
      <c r="Q1640" s="5"/>
      <c r="R1640" s="5"/>
      <c r="S1640" s="11"/>
    </row>
    <row r="1641">
      <c r="O1641" s="5"/>
      <c r="P1641" s="5"/>
      <c r="Q1641" s="5"/>
      <c r="R1641" s="5"/>
      <c r="S1641" s="11"/>
    </row>
    <row r="1642">
      <c r="O1642" s="5"/>
      <c r="P1642" s="5"/>
      <c r="Q1642" s="5"/>
      <c r="R1642" s="5"/>
      <c r="S1642" s="11"/>
    </row>
    <row r="1643">
      <c r="O1643" s="5"/>
      <c r="P1643" s="5"/>
      <c r="Q1643" s="5"/>
      <c r="R1643" s="5"/>
      <c r="S1643" s="11"/>
    </row>
    <row r="1644">
      <c r="O1644" s="5"/>
      <c r="P1644" s="5"/>
      <c r="Q1644" s="5"/>
      <c r="R1644" s="5"/>
      <c r="S1644" s="11"/>
    </row>
    <row r="1645">
      <c r="O1645" s="5"/>
      <c r="P1645" s="5"/>
      <c r="Q1645" s="5"/>
      <c r="R1645" s="5"/>
      <c r="S1645" s="11"/>
    </row>
    <row r="1646">
      <c r="O1646" s="5"/>
      <c r="P1646" s="5"/>
      <c r="Q1646" s="5"/>
      <c r="R1646" s="5"/>
      <c r="S1646" s="11"/>
    </row>
    <row r="1647">
      <c r="O1647" s="5"/>
      <c r="P1647" s="5"/>
      <c r="Q1647" s="5"/>
      <c r="R1647" s="5"/>
      <c r="S1647" s="11"/>
    </row>
    <row r="1648">
      <c r="O1648" s="5"/>
      <c r="P1648" s="5"/>
      <c r="Q1648" s="5"/>
      <c r="R1648" s="5"/>
      <c r="S1648" s="11"/>
    </row>
    <row r="1649">
      <c r="O1649" s="5"/>
      <c r="P1649" s="5"/>
      <c r="Q1649" s="5"/>
      <c r="R1649" s="5"/>
      <c r="S1649" s="11"/>
    </row>
    <row r="1650">
      <c r="O1650" s="5"/>
      <c r="P1650" s="5"/>
      <c r="Q1650" s="5"/>
      <c r="R1650" s="5"/>
      <c r="S1650" s="11"/>
    </row>
    <row r="1651">
      <c r="O1651" s="5"/>
      <c r="P1651" s="5"/>
      <c r="Q1651" s="5"/>
      <c r="R1651" s="5"/>
      <c r="S1651" s="11"/>
    </row>
    <row r="1652">
      <c r="O1652" s="5"/>
      <c r="P1652" s="5"/>
      <c r="Q1652" s="5"/>
      <c r="R1652" s="5"/>
      <c r="S1652" s="11"/>
    </row>
    <row r="1653">
      <c r="O1653" s="5"/>
      <c r="P1653" s="5"/>
      <c r="Q1653" s="5"/>
      <c r="R1653" s="5"/>
      <c r="S1653" s="11"/>
    </row>
    <row r="1654">
      <c r="O1654" s="5"/>
      <c r="P1654" s="5"/>
      <c r="Q1654" s="5"/>
      <c r="R1654" s="5"/>
      <c r="S1654" s="11"/>
    </row>
    <row r="1655">
      <c r="O1655" s="5"/>
      <c r="P1655" s="5"/>
      <c r="Q1655" s="5"/>
      <c r="R1655" s="5"/>
      <c r="S1655" s="11"/>
    </row>
    <row r="1656">
      <c r="O1656" s="5"/>
      <c r="P1656" s="5"/>
      <c r="Q1656" s="5"/>
      <c r="R1656" s="5"/>
      <c r="S1656" s="11"/>
    </row>
    <row r="1657">
      <c r="O1657" s="5"/>
      <c r="P1657" s="5"/>
      <c r="Q1657" s="5"/>
      <c r="R1657" s="5"/>
      <c r="S1657" s="11"/>
    </row>
    <row r="1658">
      <c r="O1658" s="5"/>
      <c r="P1658" s="5"/>
      <c r="Q1658" s="5"/>
      <c r="R1658" s="5"/>
      <c r="S1658" s="11"/>
    </row>
    <row r="1659">
      <c r="O1659" s="5"/>
      <c r="P1659" s="5"/>
      <c r="Q1659" s="5"/>
      <c r="R1659" s="5"/>
      <c r="S1659" s="11"/>
    </row>
    <row r="1660">
      <c r="O1660" s="5"/>
      <c r="P1660" s="5"/>
      <c r="Q1660" s="5"/>
      <c r="R1660" s="5"/>
      <c r="S1660" s="11"/>
    </row>
    <row r="1661">
      <c r="O1661" s="5"/>
      <c r="P1661" s="5"/>
      <c r="Q1661" s="5"/>
      <c r="R1661" s="5"/>
      <c r="S1661" s="11"/>
    </row>
    <row r="1662">
      <c r="O1662" s="5"/>
      <c r="P1662" s="5"/>
      <c r="Q1662" s="5"/>
      <c r="R1662" s="5"/>
      <c r="S1662" s="11"/>
    </row>
    <row r="1663">
      <c r="O1663" s="5"/>
      <c r="P1663" s="5"/>
      <c r="Q1663" s="5"/>
      <c r="R1663" s="5"/>
      <c r="S1663" s="11"/>
    </row>
    <row r="1664">
      <c r="O1664" s="5"/>
      <c r="P1664" s="5"/>
      <c r="Q1664" s="5"/>
      <c r="R1664" s="5"/>
      <c r="S1664" s="11"/>
    </row>
    <row r="1665">
      <c r="O1665" s="5"/>
      <c r="P1665" s="5"/>
      <c r="Q1665" s="5"/>
      <c r="R1665" s="5"/>
      <c r="S1665" s="11"/>
    </row>
    <row r="1666">
      <c r="O1666" s="5"/>
      <c r="P1666" s="5"/>
      <c r="Q1666" s="5"/>
      <c r="R1666" s="5"/>
      <c r="S1666" s="11"/>
    </row>
    <row r="1667">
      <c r="O1667" s="5"/>
      <c r="P1667" s="5"/>
      <c r="Q1667" s="5"/>
      <c r="R1667" s="5"/>
      <c r="S1667" s="11"/>
    </row>
    <row r="1668">
      <c r="O1668" s="5"/>
      <c r="P1668" s="5"/>
      <c r="Q1668" s="5"/>
      <c r="R1668" s="5"/>
      <c r="S1668" s="11"/>
    </row>
    <row r="1669">
      <c r="O1669" s="5"/>
      <c r="P1669" s="5"/>
      <c r="Q1669" s="5"/>
      <c r="R1669" s="5"/>
      <c r="S1669" s="11"/>
    </row>
    <row r="1670">
      <c r="O1670" s="5"/>
      <c r="P1670" s="5"/>
      <c r="Q1670" s="5"/>
      <c r="R1670" s="5"/>
      <c r="S1670" s="11"/>
    </row>
    <row r="1671">
      <c r="O1671" s="5"/>
      <c r="P1671" s="5"/>
      <c r="Q1671" s="5"/>
      <c r="R1671" s="5"/>
      <c r="S1671" s="11"/>
    </row>
    <row r="1672">
      <c r="O1672" s="5"/>
      <c r="P1672" s="5"/>
      <c r="Q1672" s="5"/>
      <c r="R1672" s="5"/>
      <c r="S1672" s="11"/>
    </row>
    <row r="1673">
      <c r="O1673" s="5"/>
      <c r="P1673" s="5"/>
      <c r="Q1673" s="5"/>
      <c r="R1673" s="5"/>
      <c r="S1673" s="11"/>
    </row>
    <row r="1674">
      <c r="O1674" s="5"/>
      <c r="P1674" s="5"/>
      <c r="Q1674" s="5"/>
      <c r="R1674" s="5"/>
      <c r="S1674" s="11"/>
    </row>
    <row r="1675">
      <c r="O1675" s="5"/>
      <c r="P1675" s="5"/>
      <c r="Q1675" s="5"/>
      <c r="R1675" s="5"/>
      <c r="S1675" s="11"/>
    </row>
    <row r="1676">
      <c r="O1676" s="5"/>
      <c r="P1676" s="5"/>
      <c r="Q1676" s="5"/>
      <c r="R1676" s="5"/>
      <c r="S1676" s="11"/>
    </row>
    <row r="1677">
      <c r="O1677" s="5"/>
      <c r="P1677" s="5"/>
      <c r="Q1677" s="5"/>
      <c r="R1677" s="5"/>
      <c r="S1677" s="11"/>
    </row>
    <row r="1678">
      <c r="O1678" s="5"/>
      <c r="P1678" s="5"/>
      <c r="Q1678" s="5"/>
      <c r="R1678" s="5"/>
      <c r="S1678" s="11"/>
    </row>
    <row r="1679">
      <c r="O1679" s="5"/>
      <c r="P1679" s="5"/>
      <c r="Q1679" s="5"/>
      <c r="R1679" s="5"/>
      <c r="S1679" s="11"/>
    </row>
    <row r="1680">
      <c r="O1680" s="5"/>
      <c r="P1680" s="5"/>
      <c r="Q1680" s="5"/>
      <c r="R1680" s="5"/>
      <c r="S1680" s="11"/>
    </row>
    <row r="1681">
      <c r="O1681" s="5"/>
      <c r="P1681" s="5"/>
      <c r="Q1681" s="5"/>
      <c r="R1681" s="5"/>
      <c r="S1681" s="11"/>
    </row>
    <row r="1682">
      <c r="O1682" s="5"/>
      <c r="P1682" s="5"/>
      <c r="Q1682" s="5"/>
      <c r="R1682" s="5"/>
      <c r="S1682" s="11"/>
    </row>
    <row r="1683">
      <c r="O1683" s="5"/>
      <c r="P1683" s="5"/>
      <c r="Q1683" s="5"/>
      <c r="R1683" s="5"/>
      <c r="S1683" s="11"/>
    </row>
    <row r="1684">
      <c r="O1684" s="5"/>
      <c r="P1684" s="5"/>
      <c r="Q1684" s="5"/>
      <c r="R1684" s="5"/>
      <c r="S1684" s="11"/>
    </row>
    <row r="1685">
      <c r="O1685" s="5"/>
      <c r="P1685" s="5"/>
      <c r="Q1685" s="5"/>
      <c r="R1685" s="5"/>
      <c r="S1685" s="11"/>
    </row>
    <row r="1686">
      <c r="O1686" s="5"/>
      <c r="P1686" s="5"/>
      <c r="Q1686" s="5"/>
      <c r="R1686" s="5"/>
      <c r="S1686" s="11"/>
    </row>
    <row r="1687">
      <c r="O1687" s="5"/>
      <c r="P1687" s="5"/>
      <c r="Q1687" s="5"/>
      <c r="R1687" s="5"/>
      <c r="S1687" s="11"/>
    </row>
    <row r="1688">
      <c r="O1688" s="5"/>
      <c r="P1688" s="5"/>
      <c r="Q1688" s="5"/>
      <c r="R1688" s="5"/>
      <c r="S1688" s="11"/>
    </row>
    <row r="1689">
      <c r="O1689" s="5"/>
      <c r="P1689" s="5"/>
      <c r="Q1689" s="5"/>
      <c r="R1689" s="5"/>
      <c r="S1689" s="11"/>
    </row>
    <row r="1690">
      <c r="O1690" s="5"/>
      <c r="P1690" s="5"/>
      <c r="Q1690" s="5"/>
      <c r="R1690" s="5"/>
      <c r="S1690" s="11"/>
    </row>
    <row r="1691">
      <c r="O1691" s="5"/>
      <c r="P1691" s="5"/>
      <c r="Q1691" s="5"/>
      <c r="R1691" s="5"/>
      <c r="S1691" s="11"/>
    </row>
    <row r="1692">
      <c r="O1692" s="5"/>
      <c r="P1692" s="5"/>
      <c r="Q1692" s="5"/>
      <c r="R1692" s="5"/>
      <c r="S1692" s="11"/>
    </row>
    <row r="1693">
      <c r="O1693" s="5"/>
      <c r="P1693" s="5"/>
      <c r="Q1693" s="5"/>
      <c r="R1693" s="5"/>
      <c r="S1693" s="11"/>
    </row>
    <row r="1694">
      <c r="O1694" s="5"/>
      <c r="P1694" s="5"/>
      <c r="Q1694" s="5"/>
      <c r="R1694" s="5"/>
      <c r="S1694" s="11"/>
    </row>
    <row r="1695">
      <c r="O1695" s="5"/>
      <c r="P1695" s="5"/>
      <c r="Q1695" s="5"/>
      <c r="R1695" s="5"/>
      <c r="S1695" s="11"/>
    </row>
    <row r="1696">
      <c r="O1696" s="5"/>
      <c r="P1696" s="5"/>
      <c r="Q1696" s="5"/>
      <c r="R1696" s="5"/>
      <c r="S1696" s="11"/>
    </row>
    <row r="1697">
      <c r="O1697" s="5"/>
      <c r="P1697" s="5"/>
      <c r="Q1697" s="5"/>
      <c r="R1697" s="5"/>
      <c r="S1697" s="11"/>
    </row>
    <row r="1698">
      <c r="O1698" s="5"/>
      <c r="P1698" s="5"/>
      <c r="Q1698" s="5"/>
      <c r="R1698" s="5"/>
      <c r="S1698" s="11"/>
    </row>
    <row r="1699">
      <c r="O1699" s="5"/>
      <c r="P1699" s="5"/>
      <c r="Q1699" s="5"/>
      <c r="R1699" s="5"/>
      <c r="S1699" s="11"/>
    </row>
    <row r="1700">
      <c r="O1700" s="5"/>
      <c r="P1700" s="5"/>
      <c r="Q1700" s="5"/>
      <c r="R1700" s="5"/>
      <c r="S1700" s="11"/>
    </row>
    <row r="1701">
      <c r="O1701" s="5"/>
      <c r="P1701" s="5"/>
      <c r="Q1701" s="5"/>
      <c r="R1701" s="5"/>
      <c r="S1701" s="11"/>
    </row>
    <row r="1702">
      <c r="O1702" s="5"/>
      <c r="P1702" s="5"/>
      <c r="Q1702" s="5"/>
      <c r="R1702" s="5"/>
      <c r="S1702" s="11"/>
    </row>
    <row r="1703">
      <c r="O1703" s="5"/>
      <c r="P1703" s="5"/>
      <c r="Q1703" s="5"/>
      <c r="R1703" s="5"/>
      <c r="S1703" s="11"/>
    </row>
    <row r="1704">
      <c r="O1704" s="5"/>
      <c r="P1704" s="5"/>
      <c r="Q1704" s="5"/>
      <c r="R1704" s="5"/>
      <c r="S1704" s="11"/>
    </row>
    <row r="1705">
      <c r="O1705" s="5"/>
      <c r="P1705" s="5"/>
      <c r="Q1705" s="5"/>
      <c r="R1705" s="5"/>
      <c r="S1705" s="11"/>
    </row>
    <row r="1706">
      <c r="O1706" s="5"/>
      <c r="P1706" s="5"/>
      <c r="Q1706" s="5"/>
      <c r="R1706" s="5"/>
      <c r="S1706" s="11"/>
    </row>
    <row r="1707">
      <c r="O1707" s="5"/>
      <c r="P1707" s="5"/>
      <c r="Q1707" s="5"/>
      <c r="R1707" s="5"/>
      <c r="S1707" s="11"/>
    </row>
    <row r="1708">
      <c r="O1708" s="5"/>
      <c r="P1708" s="5"/>
      <c r="Q1708" s="5"/>
      <c r="R1708" s="5"/>
      <c r="S1708" s="11"/>
    </row>
    <row r="1709">
      <c r="O1709" s="5"/>
      <c r="P1709" s="5"/>
      <c r="Q1709" s="5"/>
      <c r="R1709" s="5"/>
      <c r="S1709" s="11"/>
    </row>
    <row r="1710">
      <c r="O1710" s="5"/>
      <c r="P1710" s="5"/>
      <c r="Q1710" s="5"/>
      <c r="R1710" s="5"/>
      <c r="S1710" s="11"/>
    </row>
    <row r="1711">
      <c r="O1711" s="5"/>
      <c r="P1711" s="5"/>
      <c r="Q1711" s="5"/>
      <c r="R1711" s="5"/>
      <c r="S1711" s="11"/>
    </row>
    <row r="1712">
      <c r="O1712" s="5"/>
      <c r="P1712" s="5"/>
      <c r="Q1712" s="5"/>
      <c r="R1712" s="5"/>
      <c r="S1712" s="11"/>
    </row>
    <row r="1713">
      <c r="O1713" s="5"/>
      <c r="P1713" s="5"/>
      <c r="Q1713" s="5"/>
      <c r="R1713" s="5"/>
      <c r="S1713" s="11"/>
    </row>
    <row r="1714">
      <c r="O1714" s="5"/>
      <c r="P1714" s="5"/>
      <c r="Q1714" s="5"/>
      <c r="R1714" s="5"/>
      <c r="S1714" s="11"/>
    </row>
    <row r="1715">
      <c r="O1715" s="5"/>
      <c r="P1715" s="5"/>
      <c r="Q1715" s="5"/>
      <c r="R1715" s="5"/>
      <c r="S1715" s="11"/>
    </row>
    <row r="1716">
      <c r="O1716" s="5"/>
      <c r="P1716" s="5"/>
      <c r="Q1716" s="5"/>
      <c r="R1716" s="5"/>
      <c r="S1716" s="11"/>
    </row>
    <row r="1717">
      <c r="O1717" s="5"/>
      <c r="P1717" s="5"/>
      <c r="Q1717" s="5"/>
      <c r="R1717" s="5"/>
      <c r="S1717" s="11"/>
    </row>
    <row r="1718">
      <c r="O1718" s="5"/>
      <c r="P1718" s="5"/>
      <c r="Q1718" s="5"/>
      <c r="R1718" s="5"/>
      <c r="S1718" s="11"/>
    </row>
    <row r="1719">
      <c r="O1719" s="5"/>
      <c r="P1719" s="5"/>
      <c r="Q1719" s="5"/>
      <c r="R1719" s="5"/>
      <c r="S1719" s="11"/>
    </row>
    <row r="1720">
      <c r="O1720" s="5"/>
      <c r="P1720" s="5"/>
      <c r="Q1720" s="5"/>
      <c r="R1720" s="5"/>
      <c r="S1720" s="11"/>
    </row>
    <row r="1721">
      <c r="O1721" s="5"/>
      <c r="P1721" s="5"/>
      <c r="Q1721" s="5"/>
      <c r="R1721" s="5"/>
      <c r="S1721" s="11"/>
    </row>
    <row r="1722">
      <c r="O1722" s="5"/>
      <c r="P1722" s="5"/>
      <c r="Q1722" s="5"/>
      <c r="R1722" s="5"/>
      <c r="S1722" s="11"/>
    </row>
    <row r="1723">
      <c r="O1723" s="5"/>
      <c r="P1723" s="5"/>
      <c r="Q1723" s="5"/>
      <c r="R1723" s="5"/>
      <c r="S1723" s="11"/>
    </row>
    <row r="1724">
      <c r="O1724" s="5"/>
      <c r="P1724" s="5"/>
      <c r="Q1724" s="5"/>
      <c r="R1724" s="5"/>
      <c r="S1724" s="11"/>
    </row>
    <row r="1725">
      <c r="O1725" s="5"/>
      <c r="P1725" s="5"/>
      <c r="Q1725" s="5"/>
      <c r="R1725" s="5"/>
      <c r="S1725" s="11"/>
    </row>
    <row r="1726">
      <c r="O1726" s="5"/>
      <c r="P1726" s="5"/>
      <c r="Q1726" s="5"/>
      <c r="R1726" s="5"/>
      <c r="S1726" s="11"/>
    </row>
    <row r="1727">
      <c r="O1727" s="5"/>
      <c r="P1727" s="5"/>
      <c r="Q1727" s="5"/>
      <c r="R1727" s="5"/>
      <c r="S1727" s="11"/>
    </row>
    <row r="1728">
      <c r="O1728" s="5"/>
      <c r="P1728" s="5"/>
      <c r="Q1728" s="5"/>
      <c r="R1728" s="5"/>
      <c r="S1728" s="11"/>
    </row>
    <row r="1729">
      <c r="O1729" s="5"/>
      <c r="P1729" s="5"/>
      <c r="Q1729" s="5"/>
      <c r="R1729" s="5"/>
      <c r="S1729" s="11"/>
    </row>
    <row r="1730">
      <c r="O1730" s="5"/>
      <c r="P1730" s="5"/>
      <c r="Q1730" s="5"/>
      <c r="R1730" s="5"/>
      <c r="S1730" s="11"/>
    </row>
    <row r="1731">
      <c r="O1731" s="5"/>
      <c r="P1731" s="5"/>
      <c r="Q1731" s="5"/>
      <c r="R1731" s="5"/>
      <c r="S1731" s="11"/>
    </row>
    <row r="1732">
      <c r="O1732" s="5"/>
      <c r="P1732" s="5"/>
      <c r="Q1732" s="5"/>
      <c r="R1732" s="5"/>
      <c r="S1732" s="11"/>
    </row>
    <row r="1733">
      <c r="O1733" s="5"/>
      <c r="P1733" s="5"/>
      <c r="Q1733" s="5"/>
      <c r="R1733" s="5"/>
      <c r="S1733" s="11"/>
    </row>
    <row r="1734">
      <c r="O1734" s="5"/>
      <c r="P1734" s="5"/>
      <c r="Q1734" s="5"/>
      <c r="R1734" s="5"/>
      <c r="S1734" s="11"/>
    </row>
    <row r="1735">
      <c r="O1735" s="5"/>
      <c r="P1735" s="5"/>
      <c r="Q1735" s="5"/>
      <c r="R1735" s="5"/>
      <c r="S1735" s="11"/>
    </row>
    <row r="1736">
      <c r="O1736" s="5"/>
      <c r="P1736" s="5"/>
      <c r="Q1736" s="5"/>
      <c r="R1736" s="5"/>
      <c r="S1736" s="11"/>
    </row>
    <row r="1737">
      <c r="O1737" s="5"/>
      <c r="P1737" s="5"/>
      <c r="Q1737" s="5"/>
      <c r="R1737" s="5"/>
      <c r="S1737" s="11"/>
    </row>
    <row r="1738">
      <c r="O1738" s="5"/>
      <c r="P1738" s="5"/>
      <c r="Q1738" s="5"/>
      <c r="R1738" s="5"/>
      <c r="S1738" s="11"/>
    </row>
    <row r="1739">
      <c r="O1739" s="5"/>
      <c r="P1739" s="5"/>
      <c r="Q1739" s="5"/>
      <c r="R1739" s="5"/>
      <c r="S1739" s="11"/>
    </row>
    <row r="1740">
      <c r="O1740" s="5"/>
      <c r="P1740" s="5"/>
      <c r="Q1740" s="5"/>
      <c r="R1740" s="5"/>
      <c r="S1740" s="11"/>
    </row>
    <row r="1741">
      <c r="O1741" s="5"/>
      <c r="P1741" s="5"/>
      <c r="Q1741" s="5"/>
      <c r="R1741" s="5"/>
      <c r="S1741" s="11"/>
    </row>
    <row r="1742">
      <c r="O1742" s="5"/>
      <c r="P1742" s="5"/>
      <c r="Q1742" s="5"/>
      <c r="R1742" s="5"/>
      <c r="S1742" s="11"/>
    </row>
    <row r="1743">
      <c r="O1743" s="5"/>
      <c r="P1743" s="5"/>
      <c r="Q1743" s="5"/>
      <c r="R1743" s="5"/>
      <c r="S1743" s="11"/>
    </row>
    <row r="1744">
      <c r="O1744" s="5"/>
      <c r="P1744" s="5"/>
      <c r="Q1744" s="5"/>
      <c r="R1744" s="5"/>
      <c r="S1744" s="11"/>
    </row>
    <row r="1745">
      <c r="O1745" s="5"/>
      <c r="P1745" s="5"/>
      <c r="Q1745" s="5"/>
      <c r="R1745" s="5"/>
      <c r="S1745" s="11"/>
    </row>
    <row r="1746">
      <c r="O1746" s="5"/>
      <c r="P1746" s="5"/>
      <c r="Q1746" s="5"/>
      <c r="R1746" s="5"/>
      <c r="S1746" s="11"/>
    </row>
    <row r="1747">
      <c r="O1747" s="5"/>
      <c r="P1747" s="5"/>
      <c r="Q1747" s="5"/>
      <c r="R1747" s="5"/>
      <c r="S1747" s="11"/>
    </row>
    <row r="1748">
      <c r="O1748" s="5"/>
      <c r="P1748" s="5"/>
      <c r="Q1748" s="5"/>
      <c r="R1748" s="5"/>
      <c r="S1748" s="11"/>
    </row>
    <row r="1749">
      <c r="O1749" s="5"/>
      <c r="P1749" s="5"/>
      <c r="Q1749" s="5"/>
      <c r="R1749" s="5"/>
      <c r="S1749" s="11"/>
    </row>
    <row r="1750">
      <c r="O1750" s="5"/>
      <c r="P1750" s="5"/>
      <c r="Q1750" s="5"/>
      <c r="R1750" s="5"/>
      <c r="S1750" s="11"/>
    </row>
    <row r="1751">
      <c r="O1751" s="5"/>
      <c r="P1751" s="5"/>
      <c r="Q1751" s="5"/>
      <c r="R1751" s="5"/>
      <c r="S1751" s="11"/>
    </row>
    <row r="1752">
      <c r="O1752" s="5"/>
      <c r="P1752" s="5"/>
      <c r="Q1752" s="5"/>
      <c r="R1752" s="5"/>
      <c r="S1752" s="11"/>
    </row>
    <row r="1753">
      <c r="O1753" s="5"/>
      <c r="P1753" s="5"/>
      <c r="Q1753" s="5"/>
      <c r="R1753" s="5"/>
      <c r="S1753" s="11"/>
    </row>
    <row r="1754">
      <c r="O1754" s="5"/>
      <c r="P1754" s="5"/>
      <c r="Q1754" s="5"/>
      <c r="R1754" s="5"/>
      <c r="S1754" s="11"/>
    </row>
    <row r="1755">
      <c r="O1755" s="5"/>
      <c r="P1755" s="5"/>
      <c r="Q1755" s="5"/>
      <c r="R1755" s="5"/>
      <c r="S1755" s="11"/>
    </row>
    <row r="1756">
      <c r="O1756" s="5"/>
      <c r="P1756" s="5"/>
      <c r="Q1756" s="5"/>
      <c r="R1756" s="5"/>
      <c r="S1756" s="11"/>
    </row>
    <row r="1757">
      <c r="O1757" s="5"/>
      <c r="P1757" s="5"/>
      <c r="Q1757" s="5"/>
      <c r="R1757" s="5"/>
      <c r="S1757" s="11"/>
    </row>
    <row r="1758">
      <c r="O1758" s="5"/>
      <c r="P1758" s="5"/>
      <c r="Q1758" s="5"/>
      <c r="R1758" s="5"/>
      <c r="S1758" s="11"/>
    </row>
    <row r="1759">
      <c r="O1759" s="5"/>
      <c r="P1759" s="5"/>
      <c r="Q1759" s="5"/>
      <c r="R1759" s="5"/>
      <c r="S1759" s="11"/>
    </row>
    <row r="1760">
      <c r="O1760" s="5"/>
      <c r="P1760" s="5"/>
      <c r="Q1760" s="5"/>
      <c r="R1760" s="5"/>
      <c r="S1760" s="11"/>
    </row>
    <row r="1761">
      <c r="O1761" s="5"/>
      <c r="P1761" s="5"/>
      <c r="Q1761" s="5"/>
      <c r="R1761" s="5"/>
      <c r="S1761" s="11"/>
    </row>
    <row r="1762">
      <c r="O1762" s="5"/>
      <c r="P1762" s="5"/>
      <c r="Q1762" s="5"/>
      <c r="R1762" s="5"/>
      <c r="S1762" s="11"/>
    </row>
    <row r="1763">
      <c r="O1763" s="5"/>
      <c r="P1763" s="5"/>
      <c r="Q1763" s="5"/>
      <c r="R1763" s="5"/>
      <c r="S1763" s="11"/>
    </row>
    <row r="1764">
      <c r="O1764" s="5"/>
      <c r="P1764" s="5"/>
      <c r="Q1764" s="5"/>
      <c r="R1764" s="5"/>
      <c r="S1764" s="11"/>
    </row>
    <row r="1765">
      <c r="O1765" s="5"/>
      <c r="P1765" s="5"/>
      <c r="Q1765" s="5"/>
      <c r="R1765" s="5"/>
      <c r="S1765" s="11"/>
    </row>
    <row r="1766">
      <c r="O1766" s="5"/>
      <c r="P1766" s="5"/>
      <c r="Q1766" s="5"/>
      <c r="R1766" s="5"/>
      <c r="S1766" s="11"/>
    </row>
    <row r="1767">
      <c r="O1767" s="5"/>
      <c r="P1767" s="5"/>
      <c r="Q1767" s="5"/>
      <c r="R1767" s="5"/>
      <c r="S1767" s="11"/>
    </row>
    <row r="1768">
      <c r="O1768" s="5"/>
      <c r="P1768" s="5"/>
      <c r="Q1768" s="5"/>
      <c r="R1768" s="5"/>
      <c r="S1768" s="11"/>
    </row>
    <row r="1769">
      <c r="O1769" s="5"/>
      <c r="P1769" s="5"/>
      <c r="Q1769" s="5"/>
      <c r="R1769" s="5"/>
      <c r="S1769" s="11"/>
    </row>
    <row r="1770">
      <c r="O1770" s="5"/>
      <c r="P1770" s="5"/>
      <c r="Q1770" s="5"/>
      <c r="R1770" s="5"/>
      <c r="S1770" s="11"/>
    </row>
    <row r="1771">
      <c r="O1771" s="5"/>
      <c r="P1771" s="5"/>
      <c r="Q1771" s="5"/>
      <c r="R1771" s="5"/>
      <c r="S1771" s="11"/>
    </row>
    <row r="1772">
      <c r="O1772" s="5"/>
      <c r="P1772" s="5"/>
      <c r="Q1772" s="5"/>
      <c r="R1772" s="5"/>
      <c r="S1772" s="11"/>
    </row>
    <row r="1773">
      <c r="O1773" s="5"/>
      <c r="P1773" s="5"/>
      <c r="Q1773" s="5"/>
      <c r="R1773" s="5"/>
      <c r="S1773" s="11"/>
    </row>
    <row r="1774">
      <c r="O1774" s="5"/>
      <c r="P1774" s="5"/>
      <c r="Q1774" s="5"/>
      <c r="R1774" s="5"/>
      <c r="S1774" s="11"/>
    </row>
    <row r="1775">
      <c r="O1775" s="5"/>
      <c r="P1775" s="5"/>
      <c r="Q1775" s="5"/>
      <c r="R1775" s="5"/>
      <c r="S1775" s="11"/>
    </row>
    <row r="1776">
      <c r="O1776" s="5"/>
      <c r="P1776" s="5"/>
      <c r="Q1776" s="5"/>
      <c r="R1776" s="5"/>
      <c r="S1776" s="11"/>
    </row>
    <row r="1777">
      <c r="O1777" s="5"/>
      <c r="P1777" s="5"/>
      <c r="Q1777" s="5"/>
      <c r="R1777" s="5"/>
      <c r="S1777" s="11"/>
    </row>
    <row r="1778">
      <c r="O1778" s="5"/>
      <c r="P1778" s="5"/>
      <c r="Q1778" s="5"/>
      <c r="R1778" s="5"/>
      <c r="S1778" s="11"/>
    </row>
    <row r="1779">
      <c r="O1779" s="5"/>
      <c r="P1779" s="5"/>
      <c r="Q1779" s="5"/>
      <c r="R1779" s="5"/>
      <c r="S1779" s="11"/>
    </row>
    <row r="1780">
      <c r="O1780" s="5"/>
      <c r="P1780" s="5"/>
      <c r="Q1780" s="5"/>
      <c r="R1780" s="5"/>
      <c r="S1780" s="11"/>
    </row>
    <row r="1781">
      <c r="O1781" s="5"/>
      <c r="P1781" s="5"/>
      <c r="Q1781" s="5"/>
      <c r="R1781" s="5"/>
      <c r="S1781" s="11"/>
    </row>
    <row r="1782">
      <c r="O1782" s="5"/>
      <c r="P1782" s="5"/>
      <c r="Q1782" s="5"/>
      <c r="R1782" s="5"/>
      <c r="S1782" s="11"/>
    </row>
    <row r="1783">
      <c r="O1783" s="5"/>
      <c r="P1783" s="5"/>
      <c r="Q1783" s="5"/>
      <c r="R1783" s="5"/>
      <c r="S1783" s="11"/>
    </row>
    <row r="1784">
      <c r="O1784" s="5"/>
      <c r="P1784" s="5"/>
      <c r="Q1784" s="5"/>
      <c r="R1784" s="5"/>
      <c r="S1784" s="11"/>
    </row>
    <row r="1785">
      <c r="O1785" s="5"/>
      <c r="P1785" s="5"/>
      <c r="Q1785" s="5"/>
      <c r="R1785" s="5"/>
      <c r="S1785" s="11"/>
    </row>
    <row r="1786">
      <c r="O1786" s="5"/>
      <c r="P1786" s="5"/>
      <c r="Q1786" s="5"/>
      <c r="R1786" s="5"/>
      <c r="S1786" s="11"/>
    </row>
    <row r="1787">
      <c r="O1787" s="5"/>
      <c r="P1787" s="5"/>
      <c r="Q1787" s="5"/>
      <c r="R1787" s="5"/>
      <c r="S1787" s="11"/>
    </row>
    <row r="1788">
      <c r="O1788" s="5"/>
      <c r="P1788" s="5"/>
      <c r="Q1788" s="5"/>
      <c r="R1788" s="5"/>
      <c r="S1788" s="11"/>
    </row>
    <row r="1789">
      <c r="O1789" s="5"/>
      <c r="P1789" s="5"/>
      <c r="Q1789" s="5"/>
      <c r="R1789" s="5"/>
      <c r="S1789" s="11"/>
    </row>
    <row r="1790">
      <c r="O1790" s="5"/>
      <c r="P1790" s="5"/>
      <c r="Q1790" s="5"/>
      <c r="R1790" s="5"/>
      <c r="S1790" s="11"/>
    </row>
    <row r="1791">
      <c r="O1791" s="5"/>
      <c r="P1791" s="5"/>
      <c r="Q1791" s="5"/>
      <c r="R1791" s="5"/>
      <c r="S1791" s="11"/>
    </row>
    <row r="1792">
      <c r="O1792" s="5"/>
      <c r="P1792" s="5"/>
      <c r="Q1792" s="5"/>
      <c r="R1792" s="5"/>
      <c r="S1792" s="11"/>
    </row>
    <row r="1793">
      <c r="O1793" s="5"/>
      <c r="P1793" s="5"/>
      <c r="Q1793" s="5"/>
      <c r="R1793" s="5"/>
      <c r="S1793" s="11"/>
    </row>
    <row r="1794">
      <c r="O1794" s="5"/>
      <c r="P1794" s="5"/>
      <c r="Q1794" s="5"/>
      <c r="R1794" s="5"/>
      <c r="S1794" s="11"/>
    </row>
    <row r="1795">
      <c r="O1795" s="5"/>
      <c r="P1795" s="5"/>
      <c r="Q1795" s="5"/>
      <c r="R1795" s="5"/>
      <c r="S1795" s="11"/>
    </row>
    <row r="1796">
      <c r="O1796" s="5"/>
      <c r="P1796" s="5"/>
      <c r="Q1796" s="5"/>
      <c r="R1796" s="5"/>
      <c r="S1796" s="11"/>
    </row>
    <row r="1797">
      <c r="O1797" s="5"/>
      <c r="P1797" s="5"/>
      <c r="Q1797" s="5"/>
      <c r="R1797" s="5"/>
      <c r="S1797" s="11"/>
    </row>
    <row r="1798">
      <c r="O1798" s="5"/>
      <c r="P1798" s="5"/>
      <c r="Q1798" s="5"/>
      <c r="R1798" s="5"/>
      <c r="S1798" s="11"/>
    </row>
    <row r="1799">
      <c r="O1799" s="5"/>
      <c r="P1799" s="5"/>
      <c r="Q1799" s="5"/>
      <c r="R1799" s="5"/>
      <c r="S1799" s="11"/>
    </row>
    <row r="1800">
      <c r="O1800" s="5"/>
      <c r="P1800" s="5"/>
      <c r="Q1800" s="5"/>
      <c r="R1800" s="5"/>
      <c r="S1800" s="11"/>
    </row>
    <row r="1801">
      <c r="O1801" s="5"/>
      <c r="P1801" s="5"/>
      <c r="Q1801" s="5"/>
      <c r="R1801" s="5"/>
      <c r="S1801" s="11"/>
    </row>
    <row r="1802">
      <c r="O1802" s="5"/>
      <c r="P1802" s="5"/>
      <c r="Q1802" s="5"/>
      <c r="R1802" s="5"/>
      <c r="S1802" s="11"/>
    </row>
    <row r="1803">
      <c r="O1803" s="5"/>
      <c r="P1803" s="5"/>
      <c r="Q1803" s="5"/>
      <c r="R1803" s="5"/>
      <c r="S1803" s="11"/>
    </row>
    <row r="1804">
      <c r="O1804" s="5"/>
      <c r="P1804" s="5"/>
      <c r="Q1804" s="5"/>
      <c r="R1804" s="5"/>
      <c r="S1804" s="11"/>
    </row>
    <row r="1805">
      <c r="O1805" s="5"/>
      <c r="P1805" s="5"/>
      <c r="Q1805" s="5"/>
      <c r="R1805" s="5"/>
      <c r="S1805" s="11"/>
    </row>
    <row r="1806">
      <c r="O1806" s="5"/>
      <c r="P1806" s="5"/>
      <c r="Q1806" s="5"/>
      <c r="R1806" s="5"/>
      <c r="S1806" s="11"/>
    </row>
    <row r="1807">
      <c r="O1807" s="5"/>
      <c r="P1807" s="5"/>
      <c r="Q1807" s="5"/>
      <c r="R1807" s="5"/>
      <c r="S1807" s="11"/>
    </row>
    <row r="1808">
      <c r="O1808" s="5"/>
      <c r="P1808" s="5"/>
      <c r="Q1808" s="5"/>
      <c r="R1808" s="5"/>
      <c r="S1808" s="11"/>
    </row>
    <row r="1809">
      <c r="O1809" s="5"/>
      <c r="P1809" s="5"/>
      <c r="Q1809" s="5"/>
      <c r="R1809" s="5"/>
      <c r="S1809" s="11"/>
    </row>
    <row r="1810">
      <c r="O1810" s="5"/>
      <c r="P1810" s="5"/>
      <c r="Q1810" s="5"/>
      <c r="R1810" s="5"/>
      <c r="S1810" s="11"/>
    </row>
    <row r="1811">
      <c r="O1811" s="5"/>
      <c r="P1811" s="5"/>
      <c r="Q1811" s="5"/>
      <c r="R1811" s="5"/>
      <c r="S1811" s="11"/>
    </row>
    <row r="1812">
      <c r="O1812" s="5"/>
      <c r="P1812" s="5"/>
      <c r="Q1812" s="5"/>
      <c r="R1812" s="5"/>
      <c r="S1812" s="11"/>
    </row>
    <row r="1813">
      <c r="O1813" s="5"/>
      <c r="P1813" s="5"/>
      <c r="Q1813" s="5"/>
      <c r="R1813" s="5"/>
      <c r="S1813" s="11"/>
    </row>
    <row r="1814">
      <c r="O1814" s="5"/>
      <c r="P1814" s="5"/>
      <c r="Q1814" s="5"/>
      <c r="R1814" s="5"/>
      <c r="S1814" s="11"/>
    </row>
    <row r="1815">
      <c r="O1815" s="5"/>
      <c r="P1815" s="5"/>
      <c r="Q1815" s="5"/>
      <c r="R1815" s="5"/>
      <c r="S1815" s="11"/>
    </row>
    <row r="1816">
      <c r="O1816" s="5"/>
      <c r="P1816" s="5"/>
      <c r="Q1816" s="5"/>
      <c r="R1816" s="5"/>
      <c r="S1816" s="11"/>
    </row>
    <row r="1817">
      <c r="O1817" s="5"/>
      <c r="P1817" s="5"/>
      <c r="Q1817" s="5"/>
      <c r="R1817" s="5"/>
      <c r="S1817" s="11"/>
    </row>
    <row r="1818">
      <c r="O1818" s="5"/>
      <c r="P1818" s="5"/>
      <c r="Q1818" s="5"/>
      <c r="R1818" s="5"/>
      <c r="S1818" s="11"/>
    </row>
    <row r="1819">
      <c r="O1819" s="5"/>
      <c r="P1819" s="5"/>
      <c r="Q1819" s="5"/>
      <c r="R1819" s="5"/>
      <c r="S1819" s="11"/>
    </row>
    <row r="1820">
      <c r="O1820" s="5"/>
      <c r="P1820" s="5"/>
      <c r="Q1820" s="5"/>
      <c r="R1820" s="5"/>
      <c r="S1820" s="11"/>
    </row>
    <row r="1821">
      <c r="O1821" s="5"/>
      <c r="P1821" s="5"/>
      <c r="Q1821" s="5"/>
      <c r="R1821" s="5"/>
      <c r="S1821" s="11"/>
    </row>
    <row r="1822">
      <c r="O1822" s="5"/>
      <c r="P1822" s="5"/>
      <c r="Q1822" s="5"/>
      <c r="R1822" s="5"/>
      <c r="S1822" s="11"/>
    </row>
    <row r="1823">
      <c r="O1823" s="5"/>
      <c r="P1823" s="5"/>
      <c r="Q1823" s="5"/>
      <c r="R1823" s="5"/>
      <c r="S1823" s="11"/>
    </row>
    <row r="1824">
      <c r="O1824" s="5"/>
      <c r="P1824" s="5"/>
      <c r="Q1824" s="5"/>
      <c r="R1824" s="5"/>
      <c r="S1824" s="11"/>
    </row>
    <row r="1825">
      <c r="O1825" s="5"/>
      <c r="P1825" s="5"/>
      <c r="Q1825" s="5"/>
      <c r="R1825" s="5"/>
      <c r="S1825" s="11"/>
    </row>
    <row r="1826">
      <c r="O1826" s="5"/>
      <c r="P1826" s="5"/>
      <c r="Q1826" s="5"/>
      <c r="R1826" s="5"/>
      <c r="S1826" s="11"/>
    </row>
    <row r="1827">
      <c r="O1827" s="5"/>
      <c r="P1827" s="5"/>
      <c r="Q1827" s="5"/>
      <c r="R1827" s="5"/>
      <c r="S1827" s="11"/>
    </row>
    <row r="1828">
      <c r="O1828" s="5"/>
      <c r="P1828" s="5"/>
      <c r="Q1828" s="5"/>
      <c r="R1828" s="5"/>
      <c r="S1828" s="11"/>
    </row>
    <row r="1829">
      <c r="O1829" s="5"/>
      <c r="P1829" s="5"/>
      <c r="Q1829" s="5"/>
      <c r="R1829" s="5"/>
      <c r="S1829" s="11"/>
    </row>
    <row r="1830">
      <c r="O1830" s="5"/>
      <c r="P1830" s="5"/>
      <c r="Q1830" s="5"/>
      <c r="R1830" s="5"/>
      <c r="S1830" s="11"/>
    </row>
    <row r="1831">
      <c r="O1831" s="5"/>
      <c r="P1831" s="5"/>
      <c r="Q1831" s="5"/>
      <c r="R1831" s="5"/>
      <c r="S1831" s="11"/>
    </row>
    <row r="1832">
      <c r="O1832" s="5"/>
      <c r="P1832" s="5"/>
      <c r="Q1832" s="5"/>
      <c r="R1832" s="5"/>
      <c r="S1832" s="11"/>
    </row>
    <row r="1833">
      <c r="O1833" s="5"/>
      <c r="P1833" s="5"/>
      <c r="Q1833" s="5"/>
      <c r="R1833" s="5"/>
      <c r="S1833" s="11"/>
    </row>
    <row r="1834">
      <c r="O1834" s="5"/>
      <c r="P1834" s="5"/>
      <c r="Q1834" s="5"/>
      <c r="R1834" s="5"/>
      <c r="S1834" s="11"/>
    </row>
    <row r="1835">
      <c r="O1835" s="5"/>
      <c r="P1835" s="5"/>
      <c r="Q1835" s="5"/>
      <c r="R1835" s="5"/>
      <c r="S1835" s="11"/>
    </row>
    <row r="1836">
      <c r="O1836" s="5"/>
      <c r="P1836" s="5"/>
      <c r="Q1836" s="5"/>
      <c r="R1836" s="5"/>
      <c r="S1836" s="11"/>
    </row>
    <row r="1837">
      <c r="O1837" s="5"/>
      <c r="P1837" s="5"/>
      <c r="Q1837" s="5"/>
      <c r="R1837" s="5"/>
      <c r="S1837" s="11"/>
    </row>
    <row r="1838">
      <c r="O1838" s="5"/>
      <c r="P1838" s="5"/>
      <c r="Q1838" s="5"/>
      <c r="R1838" s="5"/>
      <c r="S1838" s="11"/>
    </row>
    <row r="1839">
      <c r="O1839" s="5"/>
      <c r="P1839" s="5"/>
      <c r="Q1839" s="5"/>
      <c r="R1839" s="5"/>
      <c r="S1839" s="11"/>
    </row>
    <row r="1840">
      <c r="O1840" s="5"/>
      <c r="P1840" s="5"/>
      <c r="Q1840" s="5"/>
      <c r="R1840" s="5"/>
      <c r="S1840" s="11"/>
    </row>
    <row r="1841">
      <c r="O1841" s="5"/>
      <c r="P1841" s="5"/>
      <c r="Q1841" s="5"/>
      <c r="R1841" s="5"/>
      <c r="S1841" s="11"/>
    </row>
    <row r="1842">
      <c r="O1842" s="5"/>
      <c r="P1842" s="5"/>
      <c r="Q1842" s="5"/>
      <c r="R1842" s="5"/>
      <c r="S1842" s="11"/>
    </row>
    <row r="1843">
      <c r="O1843" s="5"/>
      <c r="P1843" s="5"/>
      <c r="Q1843" s="5"/>
      <c r="R1843" s="5"/>
      <c r="S1843" s="11"/>
    </row>
    <row r="1844">
      <c r="O1844" s="5"/>
      <c r="P1844" s="5"/>
      <c r="Q1844" s="5"/>
      <c r="R1844" s="5"/>
      <c r="S1844" s="11"/>
    </row>
    <row r="1845">
      <c r="O1845" s="5"/>
      <c r="P1845" s="5"/>
      <c r="Q1845" s="5"/>
      <c r="R1845" s="5"/>
      <c r="S1845" s="11"/>
    </row>
    <row r="1846">
      <c r="O1846" s="5"/>
      <c r="P1846" s="5"/>
      <c r="Q1846" s="5"/>
      <c r="R1846" s="5"/>
      <c r="S1846" s="11"/>
    </row>
    <row r="1847">
      <c r="O1847" s="5"/>
      <c r="P1847" s="5"/>
      <c r="Q1847" s="5"/>
      <c r="R1847" s="5"/>
      <c r="S1847" s="11"/>
    </row>
    <row r="1848">
      <c r="O1848" s="5"/>
      <c r="P1848" s="5"/>
      <c r="Q1848" s="5"/>
      <c r="R1848" s="5"/>
      <c r="S1848" s="11"/>
    </row>
    <row r="1849">
      <c r="O1849" s="5"/>
      <c r="P1849" s="5"/>
      <c r="Q1849" s="5"/>
      <c r="R1849" s="5"/>
      <c r="S1849" s="11"/>
    </row>
    <row r="1850">
      <c r="O1850" s="5"/>
      <c r="P1850" s="5"/>
      <c r="Q1850" s="5"/>
      <c r="R1850" s="5"/>
      <c r="S1850" s="11"/>
    </row>
    <row r="1851">
      <c r="O1851" s="5"/>
      <c r="P1851" s="5"/>
      <c r="Q1851" s="5"/>
      <c r="R1851" s="5"/>
      <c r="S1851" s="11"/>
    </row>
    <row r="1852">
      <c r="O1852" s="5"/>
      <c r="P1852" s="5"/>
      <c r="Q1852" s="5"/>
      <c r="R1852" s="5"/>
      <c r="S1852" s="11"/>
    </row>
    <row r="1853">
      <c r="O1853" s="5"/>
      <c r="P1853" s="5"/>
      <c r="Q1853" s="5"/>
      <c r="R1853" s="5"/>
      <c r="S1853" s="11"/>
    </row>
    <row r="1854">
      <c r="O1854" s="5"/>
      <c r="P1854" s="5"/>
      <c r="Q1854" s="5"/>
      <c r="R1854" s="5"/>
      <c r="S1854" s="11"/>
    </row>
    <row r="1855">
      <c r="O1855" s="5"/>
      <c r="P1855" s="5"/>
      <c r="Q1855" s="5"/>
      <c r="R1855" s="5"/>
      <c r="S1855" s="11"/>
    </row>
    <row r="1856">
      <c r="O1856" s="5"/>
      <c r="P1856" s="5"/>
      <c r="Q1856" s="5"/>
      <c r="R1856" s="5"/>
      <c r="S1856" s="11"/>
    </row>
    <row r="1857">
      <c r="O1857" s="5"/>
      <c r="P1857" s="5"/>
      <c r="Q1857" s="5"/>
      <c r="R1857" s="5"/>
      <c r="S1857" s="11"/>
    </row>
    <row r="1858">
      <c r="O1858" s="5"/>
      <c r="P1858" s="5"/>
      <c r="Q1858" s="5"/>
      <c r="R1858" s="5"/>
      <c r="S1858" s="11"/>
    </row>
    <row r="1859">
      <c r="O1859" s="5"/>
      <c r="P1859" s="5"/>
      <c r="Q1859" s="5"/>
      <c r="R1859" s="5"/>
      <c r="S1859" s="11"/>
    </row>
    <row r="1860">
      <c r="O1860" s="5"/>
      <c r="P1860" s="5"/>
      <c r="Q1860" s="5"/>
      <c r="R1860" s="5"/>
      <c r="S1860" s="11"/>
    </row>
    <row r="1861">
      <c r="O1861" s="5"/>
      <c r="P1861" s="5"/>
      <c r="Q1861" s="5"/>
      <c r="R1861" s="5"/>
      <c r="S1861" s="11"/>
    </row>
    <row r="1862">
      <c r="O1862" s="5"/>
      <c r="P1862" s="5"/>
      <c r="Q1862" s="5"/>
      <c r="R1862" s="5"/>
      <c r="S1862" s="11"/>
    </row>
    <row r="1863">
      <c r="O1863" s="5"/>
      <c r="P1863" s="5"/>
      <c r="Q1863" s="5"/>
      <c r="R1863" s="5"/>
      <c r="S1863" s="11"/>
    </row>
    <row r="1864">
      <c r="O1864" s="5"/>
      <c r="P1864" s="5"/>
      <c r="Q1864" s="5"/>
      <c r="R1864" s="5"/>
      <c r="S1864" s="11"/>
    </row>
    <row r="1865">
      <c r="O1865" s="5"/>
      <c r="P1865" s="5"/>
      <c r="Q1865" s="5"/>
      <c r="R1865" s="5"/>
      <c r="S1865" s="11"/>
    </row>
    <row r="1866">
      <c r="O1866" s="5"/>
      <c r="P1866" s="5"/>
      <c r="Q1866" s="5"/>
      <c r="R1866" s="5"/>
      <c r="S1866" s="11"/>
    </row>
    <row r="1867">
      <c r="O1867" s="5"/>
      <c r="P1867" s="5"/>
      <c r="Q1867" s="5"/>
      <c r="R1867" s="5"/>
      <c r="S1867" s="11"/>
    </row>
    <row r="1868">
      <c r="O1868" s="5"/>
      <c r="P1868" s="5"/>
      <c r="Q1868" s="5"/>
      <c r="R1868" s="5"/>
      <c r="S1868" s="11"/>
    </row>
    <row r="1869">
      <c r="O1869" s="5"/>
      <c r="P1869" s="5"/>
      <c r="Q1869" s="5"/>
      <c r="R1869" s="5"/>
      <c r="S1869" s="11"/>
    </row>
    <row r="1870">
      <c r="O1870" s="5"/>
      <c r="P1870" s="5"/>
      <c r="Q1870" s="5"/>
      <c r="R1870" s="5"/>
      <c r="S1870" s="11"/>
    </row>
    <row r="1871">
      <c r="O1871" s="5"/>
      <c r="P1871" s="5"/>
      <c r="Q1871" s="5"/>
      <c r="R1871" s="5"/>
      <c r="S1871" s="11"/>
    </row>
    <row r="1872">
      <c r="O1872" s="5"/>
      <c r="P1872" s="5"/>
      <c r="Q1872" s="5"/>
      <c r="R1872" s="5"/>
      <c r="S1872" s="11"/>
    </row>
    <row r="1873">
      <c r="O1873" s="5"/>
      <c r="P1873" s="5"/>
      <c r="Q1873" s="5"/>
      <c r="R1873" s="5"/>
      <c r="S1873" s="11"/>
    </row>
    <row r="1874">
      <c r="O1874" s="5"/>
      <c r="P1874" s="5"/>
      <c r="Q1874" s="5"/>
      <c r="R1874" s="5"/>
      <c r="S1874" s="11"/>
    </row>
    <row r="1875">
      <c r="O1875" s="5"/>
      <c r="P1875" s="5"/>
      <c r="Q1875" s="5"/>
      <c r="R1875" s="5"/>
      <c r="S1875" s="11"/>
    </row>
    <row r="1876">
      <c r="O1876" s="5"/>
      <c r="P1876" s="5"/>
      <c r="Q1876" s="5"/>
      <c r="R1876" s="5"/>
      <c r="S1876" s="11"/>
    </row>
    <row r="1877">
      <c r="O1877" s="5"/>
      <c r="P1877" s="5"/>
      <c r="Q1877" s="5"/>
      <c r="R1877" s="5"/>
      <c r="S1877" s="11"/>
    </row>
    <row r="1878">
      <c r="O1878" s="5"/>
      <c r="P1878" s="5"/>
      <c r="Q1878" s="5"/>
      <c r="R1878" s="5"/>
      <c r="S1878" s="11"/>
    </row>
    <row r="1879">
      <c r="O1879" s="5"/>
      <c r="P1879" s="5"/>
      <c r="Q1879" s="5"/>
      <c r="R1879" s="5"/>
      <c r="S1879" s="11"/>
    </row>
    <row r="1880">
      <c r="O1880" s="5"/>
      <c r="P1880" s="5"/>
      <c r="Q1880" s="5"/>
      <c r="R1880" s="5"/>
      <c r="S1880" s="11"/>
    </row>
    <row r="1881">
      <c r="O1881" s="5"/>
      <c r="P1881" s="5"/>
      <c r="Q1881" s="5"/>
      <c r="R1881" s="5"/>
      <c r="S1881" s="11"/>
    </row>
    <row r="1882">
      <c r="O1882" s="5"/>
      <c r="P1882" s="5"/>
      <c r="Q1882" s="5"/>
      <c r="R1882" s="5"/>
      <c r="S1882" s="11"/>
    </row>
    <row r="1883">
      <c r="O1883" s="5"/>
      <c r="P1883" s="5"/>
      <c r="Q1883" s="5"/>
      <c r="R1883" s="5"/>
      <c r="S1883" s="11"/>
    </row>
    <row r="1884">
      <c r="O1884" s="5"/>
      <c r="P1884" s="5"/>
      <c r="Q1884" s="5"/>
      <c r="R1884" s="5"/>
      <c r="S1884" s="11"/>
    </row>
    <row r="1885">
      <c r="O1885" s="5"/>
      <c r="P1885" s="5"/>
      <c r="Q1885" s="5"/>
      <c r="R1885" s="5"/>
      <c r="S1885" s="11"/>
    </row>
    <row r="1886">
      <c r="O1886" s="5"/>
      <c r="P1886" s="5"/>
      <c r="Q1886" s="5"/>
      <c r="R1886" s="5"/>
      <c r="S1886" s="11"/>
    </row>
    <row r="1887">
      <c r="O1887" s="5"/>
      <c r="P1887" s="5"/>
      <c r="Q1887" s="5"/>
      <c r="R1887" s="5"/>
      <c r="S1887" s="11"/>
    </row>
    <row r="1888">
      <c r="O1888" s="5"/>
      <c r="P1888" s="5"/>
      <c r="Q1888" s="5"/>
      <c r="R1888" s="5"/>
      <c r="S1888" s="11"/>
    </row>
    <row r="1889">
      <c r="O1889" s="5"/>
      <c r="P1889" s="5"/>
      <c r="Q1889" s="5"/>
      <c r="R1889" s="5"/>
      <c r="S1889" s="11"/>
    </row>
    <row r="1890">
      <c r="O1890" s="5"/>
      <c r="P1890" s="5"/>
      <c r="Q1890" s="5"/>
      <c r="R1890" s="5"/>
      <c r="S1890" s="11"/>
    </row>
    <row r="1891">
      <c r="O1891" s="5"/>
      <c r="P1891" s="5"/>
      <c r="Q1891" s="5"/>
      <c r="R1891" s="5"/>
      <c r="S1891" s="11"/>
    </row>
    <row r="1892">
      <c r="O1892" s="5"/>
      <c r="P1892" s="5"/>
      <c r="Q1892" s="5"/>
      <c r="R1892" s="5"/>
      <c r="S1892" s="11"/>
    </row>
    <row r="1893">
      <c r="O1893" s="5"/>
      <c r="P1893" s="5"/>
      <c r="Q1893" s="5"/>
      <c r="R1893" s="5"/>
      <c r="S1893" s="11"/>
    </row>
    <row r="1894">
      <c r="O1894" s="5"/>
      <c r="P1894" s="5"/>
      <c r="Q1894" s="5"/>
      <c r="R1894" s="5"/>
      <c r="S1894" s="11"/>
    </row>
    <row r="1895">
      <c r="O1895" s="5"/>
      <c r="P1895" s="5"/>
      <c r="Q1895" s="5"/>
      <c r="R1895" s="5"/>
      <c r="S1895" s="11"/>
    </row>
    <row r="1896">
      <c r="O1896" s="5"/>
      <c r="P1896" s="5"/>
      <c r="Q1896" s="5"/>
      <c r="R1896" s="5"/>
      <c r="S1896" s="11"/>
    </row>
    <row r="1897">
      <c r="O1897" s="5"/>
      <c r="P1897" s="5"/>
      <c r="Q1897" s="5"/>
      <c r="R1897" s="5"/>
      <c r="S1897" s="11"/>
    </row>
    <row r="1898">
      <c r="O1898" s="5"/>
      <c r="P1898" s="5"/>
      <c r="Q1898" s="5"/>
      <c r="R1898" s="5"/>
      <c r="S1898" s="11"/>
    </row>
    <row r="1899">
      <c r="O1899" s="5"/>
      <c r="P1899" s="5"/>
      <c r="Q1899" s="5"/>
      <c r="R1899" s="5"/>
      <c r="S1899" s="11"/>
    </row>
    <row r="1900">
      <c r="O1900" s="5"/>
      <c r="P1900" s="5"/>
      <c r="Q1900" s="5"/>
      <c r="R1900" s="5"/>
      <c r="S1900" s="11"/>
    </row>
    <row r="1901">
      <c r="O1901" s="5"/>
      <c r="P1901" s="5"/>
      <c r="Q1901" s="5"/>
      <c r="R1901" s="5"/>
      <c r="S1901" s="11"/>
    </row>
    <row r="1902">
      <c r="O1902" s="5"/>
      <c r="P1902" s="5"/>
      <c r="Q1902" s="5"/>
      <c r="R1902" s="5"/>
      <c r="S1902" s="11"/>
    </row>
    <row r="1903">
      <c r="O1903" s="5"/>
      <c r="P1903" s="5"/>
      <c r="Q1903" s="5"/>
      <c r="R1903" s="5"/>
      <c r="S1903" s="11"/>
    </row>
    <row r="1904">
      <c r="O1904" s="5"/>
      <c r="P1904" s="5"/>
      <c r="Q1904" s="5"/>
      <c r="R1904" s="5"/>
      <c r="S1904" s="11"/>
    </row>
    <row r="1905">
      <c r="O1905" s="5"/>
      <c r="P1905" s="5"/>
      <c r="Q1905" s="5"/>
      <c r="R1905" s="5"/>
      <c r="S1905" s="11"/>
    </row>
    <row r="1906">
      <c r="O1906" s="5"/>
      <c r="P1906" s="5"/>
      <c r="Q1906" s="5"/>
      <c r="R1906" s="5"/>
      <c r="S1906" s="11"/>
    </row>
    <row r="1907">
      <c r="O1907" s="5"/>
      <c r="P1907" s="5"/>
      <c r="Q1907" s="5"/>
      <c r="R1907" s="5"/>
      <c r="S1907" s="11"/>
    </row>
    <row r="1908">
      <c r="O1908" s="5"/>
      <c r="P1908" s="5"/>
      <c r="Q1908" s="5"/>
      <c r="R1908" s="5"/>
      <c r="S1908" s="11"/>
    </row>
    <row r="1909">
      <c r="O1909" s="5"/>
      <c r="P1909" s="5"/>
      <c r="Q1909" s="5"/>
      <c r="R1909" s="5"/>
      <c r="S1909" s="11"/>
    </row>
    <row r="1910">
      <c r="O1910" s="5"/>
      <c r="P1910" s="5"/>
      <c r="Q1910" s="5"/>
      <c r="R1910" s="5"/>
      <c r="S1910" s="11"/>
    </row>
    <row r="1911">
      <c r="O1911" s="5"/>
      <c r="P1911" s="5"/>
      <c r="Q1911" s="5"/>
      <c r="R1911" s="5"/>
      <c r="S1911" s="11"/>
    </row>
    <row r="1912">
      <c r="O1912" s="5"/>
      <c r="P1912" s="5"/>
      <c r="Q1912" s="5"/>
      <c r="R1912" s="5"/>
      <c r="S1912" s="11"/>
    </row>
    <row r="1913">
      <c r="O1913" s="5"/>
      <c r="P1913" s="5"/>
      <c r="Q1913" s="5"/>
      <c r="R1913" s="5"/>
      <c r="S1913" s="11"/>
    </row>
    <row r="1914">
      <c r="O1914" s="5"/>
      <c r="P1914" s="5"/>
      <c r="Q1914" s="5"/>
      <c r="R1914" s="5"/>
      <c r="S1914" s="11"/>
    </row>
    <row r="1915">
      <c r="O1915" s="5"/>
      <c r="P1915" s="5"/>
      <c r="Q1915" s="5"/>
      <c r="R1915" s="5"/>
      <c r="S1915" s="11"/>
    </row>
    <row r="1916">
      <c r="O1916" s="5"/>
      <c r="P1916" s="5"/>
      <c r="Q1916" s="5"/>
      <c r="R1916" s="5"/>
      <c r="S1916" s="11"/>
    </row>
    <row r="1917">
      <c r="O1917" s="5"/>
      <c r="P1917" s="5"/>
      <c r="Q1917" s="5"/>
      <c r="R1917" s="5"/>
      <c r="S1917" s="11"/>
    </row>
    <row r="1918">
      <c r="O1918" s="5"/>
      <c r="P1918" s="5"/>
      <c r="Q1918" s="5"/>
      <c r="R1918" s="5"/>
      <c r="S1918" s="11"/>
    </row>
    <row r="1919">
      <c r="O1919" s="5"/>
      <c r="P1919" s="5"/>
      <c r="Q1919" s="5"/>
      <c r="R1919" s="5"/>
      <c r="S1919" s="11"/>
    </row>
    <row r="1920">
      <c r="O1920" s="5"/>
      <c r="P1920" s="5"/>
      <c r="Q1920" s="5"/>
      <c r="R1920" s="5"/>
      <c r="S1920" s="11"/>
    </row>
    <row r="1921">
      <c r="O1921" s="5"/>
      <c r="P1921" s="5"/>
      <c r="Q1921" s="5"/>
      <c r="R1921" s="5"/>
      <c r="S1921" s="11"/>
    </row>
    <row r="1922">
      <c r="O1922" s="5"/>
      <c r="P1922" s="5"/>
      <c r="Q1922" s="5"/>
      <c r="R1922" s="5"/>
      <c r="S1922" s="11"/>
    </row>
    <row r="1923">
      <c r="O1923" s="5"/>
      <c r="P1923" s="5"/>
      <c r="Q1923" s="5"/>
      <c r="R1923" s="5"/>
      <c r="S1923" s="11"/>
    </row>
    <row r="1924">
      <c r="O1924" s="5"/>
      <c r="P1924" s="5"/>
      <c r="Q1924" s="5"/>
      <c r="R1924" s="5"/>
      <c r="S1924" s="11"/>
    </row>
    <row r="1925">
      <c r="O1925" s="5"/>
      <c r="P1925" s="5"/>
      <c r="Q1925" s="5"/>
      <c r="R1925" s="5"/>
      <c r="S1925" s="11"/>
    </row>
    <row r="1926">
      <c r="O1926" s="5"/>
      <c r="P1926" s="5"/>
      <c r="Q1926" s="5"/>
      <c r="R1926" s="5"/>
      <c r="S1926" s="11"/>
    </row>
    <row r="1927">
      <c r="O1927" s="5"/>
      <c r="P1927" s="5"/>
      <c r="Q1927" s="5"/>
      <c r="R1927" s="5"/>
      <c r="S1927" s="11"/>
    </row>
    <row r="1928">
      <c r="O1928" s="5"/>
      <c r="P1928" s="5"/>
      <c r="Q1928" s="5"/>
      <c r="R1928" s="5"/>
      <c r="S1928" s="11"/>
    </row>
    <row r="1929">
      <c r="O1929" s="5"/>
      <c r="P1929" s="5"/>
      <c r="Q1929" s="5"/>
      <c r="R1929" s="5"/>
      <c r="S1929" s="11"/>
    </row>
    <row r="1930">
      <c r="O1930" s="5"/>
      <c r="P1930" s="5"/>
      <c r="Q1930" s="5"/>
      <c r="R1930" s="5"/>
      <c r="S1930" s="11"/>
    </row>
    <row r="1931">
      <c r="O1931" s="5"/>
      <c r="P1931" s="5"/>
      <c r="Q1931" s="5"/>
      <c r="R1931" s="5"/>
      <c r="S1931" s="11"/>
    </row>
    <row r="1932">
      <c r="O1932" s="5"/>
      <c r="P1932" s="5"/>
      <c r="Q1932" s="5"/>
      <c r="R1932" s="5"/>
      <c r="S1932" s="11"/>
    </row>
    <row r="1933">
      <c r="O1933" s="5"/>
      <c r="P1933" s="5"/>
      <c r="Q1933" s="5"/>
      <c r="R1933" s="5"/>
      <c r="S1933" s="11"/>
    </row>
    <row r="1934">
      <c r="O1934" s="5"/>
      <c r="P1934" s="5"/>
      <c r="Q1934" s="5"/>
      <c r="R1934" s="5"/>
      <c r="S1934" s="11"/>
    </row>
    <row r="1935">
      <c r="O1935" s="5"/>
      <c r="P1935" s="5"/>
      <c r="Q1935" s="5"/>
      <c r="R1935" s="5"/>
      <c r="S1935" s="11"/>
    </row>
    <row r="1936">
      <c r="O1936" s="5"/>
      <c r="P1936" s="5"/>
      <c r="Q1936" s="5"/>
      <c r="R1936" s="5"/>
      <c r="S1936" s="11"/>
    </row>
    <row r="1937">
      <c r="O1937" s="5"/>
      <c r="P1937" s="5"/>
      <c r="Q1937" s="5"/>
      <c r="R1937" s="5"/>
      <c r="S1937" s="11"/>
    </row>
    <row r="1938">
      <c r="O1938" s="5"/>
      <c r="P1938" s="5"/>
      <c r="Q1938" s="5"/>
      <c r="R1938" s="5"/>
      <c r="S1938" s="11"/>
    </row>
    <row r="1939">
      <c r="O1939" s="5"/>
      <c r="P1939" s="5"/>
      <c r="Q1939" s="5"/>
      <c r="R1939" s="5"/>
      <c r="S1939" s="11"/>
    </row>
    <row r="1940">
      <c r="O1940" s="5"/>
      <c r="P1940" s="5"/>
      <c r="Q1940" s="5"/>
      <c r="R1940" s="5"/>
      <c r="S1940" s="11"/>
    </row>
    <row r="1941">
      <c r="O1941" s="5"/>
      <c r="P1941" s="5"/>
      <c r="Q1941" s="5"/>
      <c r="R1941" s="5"/>
      <c r="S1941" s="11"/>
    </row>
    <row r="1942">
      <c r="O1942" s="5"/>
      <c r="P1942" s="5"/>
      <c r="Q1942" s="5"/>
      <c r="R1942" s="5"/>
      <c r="S1942" s="11"/>
    </row>
    <row r="1943">
      <c r="O1943" s="5"/>
      <c r="P1943" s="5"/>
      <c r="Q1943" s="5"/>
      <c r="R1943" s="5"/>
      <c r="S1943" s="11"/>
    </row>
    <row r="1944">
      <c r="O1944" s="5"/>
      <c r="P1944" s="5"/>
      <c r="Q1944" s="5"/>
      <c r="R1944" s="5"/>
      <c r="S1944" s="11"/>
    </row>
    <row r="1945">
      <c r="O1945" s="5"/>
      <c r="P1945" s="5"/>
      <c r="Q1945" s="5"/>
      <c r="R1945" s="5"/>
      <c r="S1945" s="11"/>
    </row>
    <row r="1946">
      <c r="O1946" s="5"/>
      <c r="P1946" s="5"/>
      <c r="Q1946" s="5"/>
      <c r="R1946" s="5"/>
      <c r="S1946" s="11"/>
    </row>
    <row r="1947">
      <c r="O1947" s="5"/>
      <c r="P1947" s="5"/>
      <c r="Q1947" s="5"/>
      <c r="R1947" s="5"/>
      <c r="S1947" s="11"/>
    </row>
    <row r="1948">
      <c r="O1948" s="5"/>
      <c r="P1948" s="5"/>
      <c r="Q1948" s="5"/>
      <c r="R1948" s="5"/>
      <c r="S1948" s="11"/>
    </row>
    <row r="1949">
      <c r="O1949" s="5"/>
      <c r="P1949" s="5"/>
      <c r="Q1949" s="5"/>
      <c r="R1949" s="5"/>
      <c r="S1949" s="11"/>
    </row>
    <row r="1950">
      <c r="O1950" s="5"/>
      <c r="P1950" s="5"/>
      <c r="Q1950" s="5"/>
      <c r="R1950" s="5"/>
      <c r="S1950" s="11"/>
    </row>
    <row r="1951">
      <c r="O1951" s="5"/>
      <c r="P1951" s="5"/>
      <c r="Q1951" s="5"/>
      <c r="R1951" s="5"/>
      <c r="S1951" s="11"/>
    </row>
    <row r="1952">
      <c r="O1952" s="5"/>
      <c r="P1952" s="5"/>
      <c r="Q1952" s="5"/>
      <c r="R1952" s="5"/>
      <c r="S1952" s="11"/>
    </row>
    <row r="1953">
      <c r="O1953" s="5"/>
      <c r="P1953" s="5"/>
      <c r="Q1953" s="5"/>
      <c r="R1953" s="5"/>
      <c r="S1953" s="11"/>
    </row>
    <row r="1954">
      <c r="O1954" s="5"/>
      <c r="P1954" s="5"/>
      <c r="Q1954" s="5"/>
      <c r="R1954" s="5"/>
      <c r="S1954" s="11"/>
    </row>
    <row r="1955">
      <c r="O1955" s="5"/>
      <c r="P1955" s="5"/>
      <c r="Q1955" s="5"/>
      <c r="R1955" s="5"/>
      <c r="S1955" s="11"/>
    </row>
    <row r="1956">
      <c r="O1956" s="5"/>
      <c r="P1956" s="5"/>
      <c r="Q1956" s="5"/>
      <c r="R1956" s="5"/>
      <c r="S1956" s="11"/>
    </row>
    <row r="1957">
      <c r="O1957" s="5"/>
      <c r="P1957" s="5"/>
      <c r="Q1957" s="5"/>
      <c r="R1957" s="5"/>
      <c r="S1957" s="11"/>
    </row>
    <row r="1958">
      <c r="O1958" s="5"/>
      <c r="P1958" s="5"/>
      <c r="Q1958" s="5"/>
      <c r="R1958" s="5"/>
      <c r="S1958" s="11"/>
    </row>
    <row r="1959">
      <c r="O1959" s="5"/>
      <c r="P1959" s="5"/>
      <c r="Q1959" s="5"/>
      <c r="R1959" s="5"/>
      <c r="S1959" s="11"/>
    </row>
    <row r="1960">
      <c r="O1960" s="5"/>
      <c r="P1960" s="5"/>
      <c r="Q1960" s="5"/>
      <c r="R1960" s="5"/>
      <c r="S1960" s="11"/>
    </row>
    <row r="1961">
      <c r="O1961" s="5"/>
      <c r="P1961" s="5"/>
      <c r="Q1961" s="5"/>
      <c r="R1961" s="5"/>
      <c r="S1961" s="11"/>
    </row>
    <row r="1962">
      <c r="O1962" s="5"/>
      <c r="P1962" s="5"/>
      <c r="Q1962" s="5"/>
      <c r="R1962" s="5"/>
      <c r="S1962" s="11"/>
    </row>
    <row r="1963">
      <c r="O1963" s="5"/>
      <c r="P1963" s="5"/>
      <c r="Q1963" s="5"/>
      <c r="R1963" s="5"/>
      <c r="S1963" s="11"/>
    </row>
    <row r="1964">
      <c r="O1964" s="5"/>
      <c r="P1964" s="5"/>
      <c r="Q1964" s="5"/>
      <c r="R1964" s="5"/>
      <c r="S1964" s="11"/>
    </row>
    <row r="1965">
      <c r="O1965" s="5"/>
      <c r="P1965" s="5"/>
      <c r="Q1965" s="5"/>
      <c r="R1965" s="5"/>
      <c r="S1965" s="11"/>
    </row>
    <row r="1966">
      <c r="O1966" s="5"/>
      <c r="P1966" s="5"/>
      <c r="Q1966" s="5"/>
      <c r="R1966" s="5"/>
      <c r="S1966" s="11"/>
    </row>
    <row r="1967">
      <c r="O1967" s="5"/>
      <c r="P1967" s="5"/>
      <c r="Q1967" s="5"/>
      <c r="R1967" s="5"/>
      <c r="S1967" s="11"/>
    </row>
    <row r="1968">
      <c r="O1968" s="5"/>
      <c r="P1968" s="5"/>
      <c r="Q1968" s="5"/>
      <c r="R1968" s="5"/>
      <c r="S1968" s="11"/>
    </row>
    <row r="1969">
      <c r="O1969" s="5"/>
      <c r="P1969" s="5"/>
      <c r="Q1969" s="5"/>
      <c r="R1969" s="5"/>
      <c r="S1969" s="11"/>
    </row>
    <row r="1970">
      <c r="O1970" s="5"/>
      <c r="P1970" s="5"/>
      <c r="Q1970" s="5"/>
      <c r="R1970" s="5"/>
      <c r="S1970" s="11"/>
    </row>
    <row r="1971">
      <c r="O1971" s="5"/>
      <c r="P1971" s="5"/>
      <c r="Q1971" s="5"/>
      <c r="R1971" s="5"/>
      <c r="S1971" s="11"/>
    </row>
    <row r="1972">
      <c r="O1972" s="5"/>
      <c r="P1972" s="5"/>
      <c r="Q1972" s="5"/>
      <c r="R1972" s="5"/>
      <c r="S1972" s="11"/>
    </row>
    <row r="1973">
      <c r="O1973" s="5"/>
      <c r="P1973" s="5"/>
      <c r="Q1973" s="5"/>
      <c r="R1973" s="5"/>
      <c r="S1973" s="11"/>
    </row>
    <row r="1974">
      <c r="O1974" s="5"/>
      <c r="P1974" s="5"/>
      <c r="Q1974" s="5"/>
      <c r="R1974" s="5"/>
      <c r="S1974" s="11"/>
    </row>
    <row r="1975">
      <c r="O1975" s="5"/>
      <c r="P1975" s="5"/>
      <c r="Q1975" s="5"/>
      <c r="R1975" s="5"/>
      <c r="S1975" s="11"/>
    </row>
    <row r="1976">
      <c r="O1976" s="5"/>
      <c r="P1976" s="5"/>
      <c r="Q1976" s="5"/>
      <c r="R1976" s="5"/>
      <c r="S1976" s="11"/>
    </row>
    <row r="1977">
      <c r="O1977" s="5"/>
      <c r="P1977" s="5"/>
      <c r="Q1977" s="5"/>
      <c r="R1977" s="5"/>
      <c r="S1977" s="11"/>
    </row>
    <row r="1978">
      <c r="O1978" s="5"/>
      <c r="P1978" s="5"/>
      <c r="Q1978" s="5"/>
      <c r="R1978" s="5"/>
      <c r="S1978" s="11"/>
    </row>
    <row r="1979">
      <c r="O1979" s="5"/>
      <c r="P1979" s="5"/>
      <c r="Q1979" s="5"/>
      <c r="R1979" s="5"/>
      <c r="S1979" s="11"/>
    </row>
    <row r="1980">
      <c r="O1980" s="5"/>
      <c r="P1980" s="5"/>
      <c r="Q1980" s="5"/>
      <c r="R1980" s="5"/>
      <c r="S1980" s="11"/>
    </row>
    <row r="1981">
      <c r="O1981" s="5"/>
      <c r="P1981" s="5"/>
      <c r="Q1981" s="5"/>
      <c r="R1981" s="5"/>
      <c r="S1981" s="11"/>
    </row>
    <row r="1982">
      <c r="O1982" s="5"/>
      <c r="P1982" s="5"/>
      <c r="Q1982" s="5"/>
      <c r="R1982" s="5"/>
      <c r="S1982" s="11"/>
    </row>
    <row r="1983">
      <c r="O1983" s="5"/>
      <c r="P1983" s="5"/>
      <c r="Q1983" s="5"/>
      <c r="R1983" s="5"/>
      <c r="S1983" s="11"/>
    </row>
    <row r="1984">
      <c r="O1984" s="5"/>
      <c r="P1984" s="5"/>
      <c r="Q1984" s="5"/>
      <c r="R1984" s="5"/>
      <c r="S1984" s="11"/>
    </row>
    <row r="1985">
      <c r="O1985" s="5"/>
      <c r="P1985" s="5"/>
      <c r="Q1985" s="5"/>
      <c r="R1985" s="5"/>
      <c r="S1985" s="11"/>
    </row>
    <row r="1986">
      <c r="O1986" s="5"/>
      <c r="P1986" s="5"/>
      <c r="Q1986" s="5"/>
      <c r="R1986" s="5"/>
      <c r="S1986" s="11"/>
    </row>
    <row r="1987">
      <c r="O1987" s="5"/>
      <c r="P1987" s="5"/>
      <c r="Q1987" s="5"/>
      <c r="R1987" s="5"/>
      <c r="S1987" s="11"/>
    </row>
    <row r="1988">
      <c r="O1988" s="5"/>
      <c r="P1988" s="5"/>
      <c r="Q1988" s="5"/>
      <c r="R1988" s="5"/>
      <c r="S1988" s="11"/>
    </row>
    <row r="1989">
      <c r="O1989" s="5"/>
      <c r="P1989" s="5"/>
      <c r="Q1989" s="5"/>
      <c r="R1989" s="5"/>
      <c r="S1989" s="11"/>
    </row>
    <row r="1990">
      <c r="O1990" s="5"/>
      <c r="P1990" s="5"/>
      <c r="Q1990" s="5"/>
      <c r="R1990" s="5"/>
      <c r="S1990" s="11"/>
    </row>
    <row r="1991">
      <c r="O1991" s="5"/>
      <c r="P1991" s="5"/>
      <c r="Q1991" s="5"/>
      <c r="R1991" s="5"/>
      <c r="S1991" s="11"/>
    </row>
    <row r="1992">
      <c r="O1992" s="5"/>
      <c r="P1992" s="5"/>
      <c r="Q1992" s="5"/>
      <c r="R1992" s="5"/>
      <c r="S1992" s="11"/>
    </row>
    <row r="1993">
      <c r="O1993" s="5"/>
      <c r="P1993" s="5"/>
      <c r="Q1993" s="5"/>
      <c r="R1993" s="5"/>
      <c r="S1993" s="11"/>
    </row>
    <row r="1994">
      <c r="O1994" s="5"/>
      <c r="P1994" s="5"/>
      <c r="Q1994" s="5"/>
      <c r="R1994" s="5"/>
      <c r="S1994" s="11"/>
    </row>
    <row r="1995">
      <c r="O1995" s="5"/>
      <c r="P1995" s="5"/>
      <c r="Q1995" s="5"/>
      <c r="R1995" s="5"/>
      <c r="S1995" s="11"/>
    </row>
    <row r="1996">
      <c r="O1996" s="5"/>
      <c r="P1996" s="5"/>
      <c r="Q1996" s="5"/>
      <c r="R1996" s="5"/>
      <c r="S1996" s="11"/>
    </row>
    <row r="1997">
      <c r="O1997" s="5"/>
      <c r="P1997" s="5"/>
      <c r="Q1997" s="5"/>
      <c r="R1997" s="5"/>
      <c r="S1997" s="11"/>
    </row>
    <row r="1998">
      <c r="O1998" s="5"/>
      <c r="P1998" s="5"/>
      <c r="Q1998" s="5"/>
      <c r="R1998" s="5"/>
      <c r="S1998" s="11"/>
    </row>
    <row r="1999">
      <c r="O1999" s="5"/>
      <c r="P1999" s="5"/>
      <c r="Q1999" s="5"/>
      <c r="R1999" s="5"/>
      <c r="S1999" s="11"/>
    </row>
    <row r="2000">
      <c r="O2000" s="5"/>
      <c r="P2000" s="5"/>
      <c r="Q2000" s="5"/>
      <c r="R2000" s="5"/>
      <c r="S2000" s="11"/>
    </row>
    <row r="2001">
      <c r="O2001" s="5"/>
      <c r="P2001" s="5"/>
      <c r="Q2001" s="5"/>
      <c r="R2001" s="5"/>
      <c r="S2001" s="11"/>
    </row>
    <row r="2002">
      <c r="O2002" s="5"/>
      <c r="P2002" s="5"/>
      <c r="Q2002" s="5"/>
      <c r="R2002" s="5"/>
      <c r="S2002" s="11"/>
    </row>
    <row r="2003">
      <c r="O2003" s="5"/>
      <c r="P2003" s="5"/>
      <c r="Q2003" s="5"/>
      <c r="R2003" s="5"/>
      <c r="S2003" s="11"/>
    </row>
    <row r="2004">
      <c r="O2004" s="5"/>
      <c r="P2004" s="5"/>
      <c r="Q2004" s="5"/>
      <c r="R2004" s="5"/>
      <c r="S2004" s="11"/>
    </row>
    <row r="2005">
      <c r="O2005" s="5"/>
      <c r="P2005" s="5"/>
      <c r="Q2005" s="5"/>
      <c r="R2005" s="5"/>
      <c r="S2005" s="11"/>
    </row>
    <row r="2006">
      <c r="O2006" s="5"/>
      <c r="P2006" s="5"/>
      <c r="Q2006" s="5"/>
      <c r="R2006" s="5"/>
      <c r="S2006" s="11"/>
    </row>
    <row r="2007">
      <c r="O2007" s="5"/>
      <c r="P2007" s="5"/>
      <c r="Q2007" s="5"/>
      <c r="R2007" s="5"/>
      <c r="S2007" s="11"/>
    </row>
    <row r="2008">
      <c r="O2008" s="5"/>
      <c r="P2008" s="5"/>
      <c r="Q2008" s="5"/>
      <c r="R2008" s="5"/>
      <c r="S2008" s="11"/>
    </row>
    <row r="2009">
      <c r="O2009" s="5"/>
      <c r="P2009" s="5"/>
      <c r="Q2009" s="5"/>
      <c r="R2009" s="5"/>
      <c r="S2009" s="11"/>
    </row>
    <row r="2010">
      <c r="O2010" s="5"/>
      <c r="P2010" s="5"/>
      <c r="Q2010" s="5"/>
      <c r="R2010" s="5"/>
      <c r="S2010" s="11"/>
    </row>
    <row r="2011">
      <c r="O2011" s="5"/>
      <c r="P2011" s="5"/>
      <c r="Q2011" s="5"/>
      <c r="R2011" s="5"/>
      <c r="S2011" s="11"/>
    </row>
    <row r="2012">
      <c r="O2012" s="5"/>
      <c r="P2012" s="5"/>
      <c r="Q2012" s="5"/>
      <c r="R2012" s="5"/>
      <c r="S2012" s="11"/>
    </row>
    <row r="2013">
      <c r="O2013" s="5"/>
      <c r="P2013" s="5"/>
      <c r="Q2013" s="5"/>
      <c r="R2013" s="5"/>
      <c r="S2013" s="11"/>
    </row>
    <row r="2014">
      <c r="O2014" s="5"/>
      <c r="P2014" s="5"/>
      <c r="Q2014" s="5"/>
      <c r="R2014" s="5"/>
      <c r="S2014" s="11"/>
    </row>
    <row r="2015">
      <c r="O2015" s="5"/>
      <c r="P2015" s="5"/>
      <c r="Q2015" s="5"/>
      <c r="R2015" s="5"/>
      <c r="S2015" s="11"/>
    </row>
    <row r="2016">
      <c r="O2016" s="5"/>
      <c r="P2016" s="5"/>
      <c r="Q2016" s="5"/>
      <c r="R2016" s="5"/>
      <c r="S2016" s="11"/>
    </row>
    <row r="2017">
      <c r="O2017" s="5"/>
      <c r="P2017" s="5"/>
      <c r="Q2017" s="5"/>
      <c r="R2017" s="5"/>
      <c r="S2017" s="11"/>
    </row>
    <row r="2018">
      <c r="O2018" s="5"/>
      <c r="P2018" s="5"/>
      <c r="Q2018" s="5"/>
      <c r="R2018" s="5"/>
      <c r="S2018" s="11"/>
    </row>
    <row r="2019">
      <c r="O2019" s="5"/>
      <c r="P2019" s="5"/>
      <c r="Q2019" s="5"/>
      <c r="R2019" s="5"/>
      <c r="S2019" s="11"/>
    </row>
    <row r="2020">
      <c r="O2020" s="5"/>
      <c r="P2020" s="5"/>
      <c r="Q2020" s="5"/>
      <c r="R2020" s="5"/>
      <c r="S2020" s="11"/>
    </row>
    <row r="2021">
      <c r="O2021" s="5"/>
      <c r="P2021" s="5"/>
      <c r="Q2021" s="5"/>
      <c r="R2021" s="5"/>
      <c r="S2021" s="11"/>
    </row>
    <row r="2022">
      <c r="O2022" s="5"/>
      <c r="P2022" s="5"/>
      <c r="Q2022" s="5"/>
      <c r="R2022" s="5"/>
      <c r="S2022" s="11"/>
    </row>
    <row r="2023">
      <c r="O2023" s="5"/>
      <c r="P2023" s="5"/>
      <c r="Q2023" s="5"/>
      <c r="R2023" s="5"/>
      <c r="S2023" s="11"/>
    </row>
    <row r="2024">
      <c r="O2024" s="5"/>
      <c r="P2024" s="5"/>
      <c r="Q2024" s="5"/>
      <c r="R2024" s="5"/>
      <c r="S2024" s="11"/>
    </row>
    <row r="2025">
      <c r="O2025" s="5"/>
      <c r="P2025" s="5"/>
      <c r="Q2025" s="5"/>
      <c r="R2025" s="5"/>
      <c r="S2025" s="11"/>
    </row>
    <row r="2026">
      <c r="O2026" s="5"/>
      <c r="P2026" s="5"/>
      <c r="Q2026" s="5"/>
      <c r="R2026" s="5"/>
      <c r="S2026" s="11"/>
    </row>
    <row r="2027">
      <c r="O2027" s="5"/>
      <c r="P2027" s="5"/>
      <c r="Q2027" s="5"/>
      <c r="R2027" s="5"/>
      <c r="S2027" s="11"/>
    </row>
    <row r="2028">
      <c r="O2028" s="5"/>
      <c r="P2028" s="5"/>
      <c r="Q2028" s="5"/>
      <c r="R2028" s="5"/>
      <c r="S2028" s="11"/>
    </row>
    <row r="2029">
      <c r="O2029" s="5"/>
      <c r="P2029" s="5"/>
      <c r="Q2029" s="5"/>
      <c r="R2029" s="5"/>
      <c r="S2029" s="11"/>
    </row>
    <row r="2030">
      <c r="O2030" s="5"/>
      <c r="P2030" s="5"/>
      <c r="Q2030" s="5"/>
      <c r="R2030" s="5"/>
      <c r="S2030" s="11"/>
    </row>
    <row r="2031">
      <c r="O2031" s="5"/>
      <c r="P2031" s="5"/>
      <c r="Q2031" s="5"/>
      <c r="R2031" s="5"/>
      <c r="S2031" s="11"/>
    </row>
    <row r="2032">
      <c r="O2032" s="5"/>
      <c r="P2032" s="5"/>
      <c r="Q2032" s="5"/>
      <c r="R2032" s="5"/>
      <c r="S2032" s="11"/>
    </row>
    <row r="2033">
      <c r="O2033" s="5"/>
      <c r="P2033" s="5"/>
      <c r="Q2033" s="5"/>
      <c r="R2033" s="5"/>
      <c r="S2033" s="11"/>
    </row>
    <row r="2034">
      <c r="O2034" s="5"/>
      <c r="P2034" s="5"/>
      <c r="Q2034" s="5"/>
      <c r="R2034" s="5"/>
      <c r="S2034" s="11"/>
    </row>
    <row r="2035">
      <c r="O2035" s="5"/>
      <c r="P2035" s="5"/>
      <c r="Q2035" s="5"/>
      <c r="R2035" s="5"/>
      <c r="S2035" s="11"/>
    </row>
    <row r="2036">
      <c r="O2036" s="5"/>
      <c r="P2036" s="5"/>
      <c r="Q2036" s="5"/>
      <c r="R2036" s="5"/>
      <c r="S2036" s="11"/>
    </row>
    <row r="2037">
      <c r="O2037" s="5"/>
      <c r="P2037" s="5"/>
      <c r="Q2037" s="5"/>
      <c r="R2037" s="5"/>
      <c r="S2037" s="11"/>
    </row>
    <row r="2038">
      <c r="O2038" s="5"/>
      <c r="P2038" s="5"/>
      <c r="Q2038" s="5"/>
      <c r="R2038" s="5"/>
      <c r="S2038" s="11"/>
    </row>
    <row r="2039">
      <c r="O2039" s="5"/>
      <c r="P2039" s="5"/>
      <c r="Q2039" s="5"/>
      <c r="R2039" s="5"/>
      <c r="S2039" s="11"/>
    </row>
    <row r="2040">
      <c r="O2040" s="5"/>
      <c r="P2040" s="5"/>
      <c r="Q2040" s="5"/>
      <c r="R2040" s="5"/>
      <c r="S2040" s="11"/>
    </row>
    <row r="2041">
      <c r="O2041" s="5"/>
      <c r="P2041" s="5"/>
      <c r="Q2041" s="5"/>
      <c r="R2041" s="5"/>
      <c r="S2041" s="11"/>
    </row>
    <row r="2042">
      <c r="O2042" s="5"/>
      <c r="P2042" s="5"/>
      <c r="Q2042" s="5"/>
      <c r="R2042" s="5"/>
      <c r="S2042" s="11"/>
    </row>
    <row r="2043">
      <c r="O2043" s="5"/>
      <c r="P2043" s="5"/>
      <c r="Q2043" s="5"/>
      <c r="R2043" s="5"/>
      <c r="S2043" s="11"/>
    </row>
    <row r="2044">
      <c r="O2044" s="5"/>
      <c r="P2044" s="5"/>
      <c r="Q2044" s="5"/>
      <c r="R2044" s="5"/>
      <c r="S2044" s="11"/>
    </row>
    <row r="2045">
      <c r="O2045" s="5"/>
      <c r="P2045" s="5"/>
      <c r="Q2045" s="5"/>
      <c r="R2045" s="5"/>
      <c r="S2045" s="11"/>
    </row>
    <row r="2046">
      <c r="O2046" s="5"/>
      <c r="P2046" s="5"/>
      <c r="Q2046" s="5"/>
      <c r="R2046" s="5"/>
      <c r="S2046" s="11"/>
    </row>
    <row r="2047">
      <c r="O2047" s="5"/>
      <c r="P2047" s="5"/>
      <c r="Q2047" s="5"/>
      <c r="R2047" s="5"/>
      <c r="S2047" s="11"/>
    </row>
    <row r="2048">
      <c r="O2048" s="5"/>
      <c r="P2048" s="5"/>
      <c r="Q2048" s="5"/>
      <c r="R2048" s="5"/>
      <c r="S2048" s="11"/>
    </row>
    <row r="2049">
      <c r="O2049" s="5"/>
      <c r="P2049" s="5"/>
      <c r="Q2049" s="5"/>
      <c r="R2049" s="5"/>
      <c r="S2049" s="11"/>
    </row>
    <row r="2050">
      <c r="O2050" s="5"/>
      <c r="P2050" s="5"/>
      <c r="Q2050" s="5"/>
      <c r="R2050" s="5"/>
      <c r="S2050" s="11"/>
    </row>
    <row r="2051">
      <c r="O2051" s="5"/>
      <c r="P2051" s="5"/>
      <c r="Q2051" s="5"/>
      <c r="R2051" s="5"/>
      <c r="S2051" s="11"/>
    </row>
    <row r="2052">
      <c r="O2052" s="5"/>
      <c r="P2052" s="5"/>
      <c r="Q2052" s="5"/>
      <c r="R2052" s="5"/>
      <c r="S2052" s="11"/>
    </row>
    <row r="2053">
      <c r="O2053" s="5"/>
      <c r="P2053" s="5"/>
      <c r="Q2053" s="5"/>
      <c r="R2053" s="5"/>
      <c r="S2053" s="11"/>
    </row>
    <row r="2054">
      <c r="O2054" s="5"/>
      <c r="P2054" s="5"/>
      <c r="Q2054" s="5"/>
      <c r="R2054" s="5"/>
      <c r="S2054" s="11"/>
    </row>
    <row r="2055">
      <c r="O2055" s="5"/>
      <c r="P2055" s="5"/>
      <c r="Q2055" s="5"/>
      <c r="R2055" s="5"/>
      <c r="S2055" s="11"/>
    </row>
    <row r="2056">
      <c r="O2056" s="5"/>
      <c r="P2056" s="5"/>
      <c r="Q2056" s="5"/>
      <c r="R2056" s="5"/>
      <c r="S2056" s="11"/>
    </row>
    <row r="2057">
      <c r="O2057" s="5"/>
      <c r="P2057" s="5"/>
      <c r="Q2057" s="5"/>
      <c r="R2057" s="5"/>
      <c r="S2057" s="11"/>
    </row>
    <row r="2058">
      <c r="O2058" s="5"/>
      <c r="P2058" s="5"/>
      <c r="Q2058" s="5"/>
      <c r="R2058" s="5"/>
      <c r="S2058" s="11"/>
    </row>
    <row r="2059">
      <c r="O2059" s="5"/>
      <c r="P2059" s="5"/>
      <c r="Q2059" s="5"/>
      <c r="R2059" s="5"/>
      <c r="S2059" s="11"/>
    </row>
    <row r="2060">
      <c r="O2060" s="5"/>
      <c r="P2060" s="5"/>
      <c r="Q2060" s="5"/>
      <c r="R2060" s="5"/>
      <c r="S2060" s="11"/>
    </row>
    <row r="2061">
      <c r="O2061" s="5"/>
      <c r="P2061" s="5"/>
      <c r="Q2061" s="5"/>
      <c r="R2061" s="5"/>
      <c r="S2061" s="11"/>
    </row>
    <row r="2062">
      <c r="O2062" s="5"/>
      <c r="P2062" s="5"/>
      <c r="Q2062" s="5"/>
      <c r="R2062" s="5"/>
      <c r="S2062" s="11"/>
    </row>
    <row r="2063">
      <c r="O2063" s="5"/>
      <c r="P2063" s="5"/>
      <c r="Q2063" s="5"/>
      <c r="R2063" s="5"/>
      <c r="S2063" s="11"/>
    </row>
    <row r="2064">
      <c r="O2064" s="5"/>
      <c r="P2064" s="5"/>
      <c r="Q2064" s="5"/>
      <c r="R2064" s="5"/>
      <c r="S2064" s="11"/>
    </row>
    <row r="2065">
      <c r="O2065" s="5"/>
      <c r="P2065" s="5"/>
      <c r="Q2065" s="5"/>
      <c r="R2065" s="5"/>
      <c r="S2065" s="11"/>
    </row>
    <row r="2066">
      <c r="O2066" s="5"/>
      <c r="P2066" s="5"/>
      <c r="Q2066" s="5"/>
      <c r="R2066" s="5"/>
      <c r="S2066" s="11"/>
    </row>
    <row r="2067">
      <c r="O2067" s="5"/>
      <c r="P2067" s="5"/>
      <c r="Q2067" s="5"/>
      <c r="R2067" s="5"/>
      <c r="S2067" s="11"/>
    </row>
    <row r="2068">
      <c r="O2068" s="5"/>
      <c r="P2068" s="5"/>
      <c r="Q2068" s="5"/>
      <c r="R2068" s="5"/>
      <c r="S2068" s="11"/>
    </row>
    <row r="2069">
      <c r="O2069" s="5"/>
      <c r="P2069" s="5"/>
      <c r="Q2069" s="5"/>
      <c r="R2069" s="5"/>
      <c r="S2069" s="11"/>
    </row>
    <row r="2070">
      <c r="O2070" s="5"/>
      <c r="P2070" s="5"/>
      <c r="Q2070" s="5"/>
      <c r="R2070" s="5"/>
      <c r="S2070" s="11"/>
    </row>
    <row r="2071">
      <c r="O2071" s="5"/>
      <c r="P2071" s="5"/>
      <c r="Q2071" s="5"/>
      <c r="R2071" s="5"/>
      <c r="S2071" s="11"/>
    </row>
    <row r="2072">
      <c r="O2072" s="5"/>
      <c r="P2072" s="5"/>
      <c r="Q2072" s="5"/>
      <c r="R2072" s="5"/>
      <c r="S2072" s="11"/>
    </row>
    <row r="2073">
      <c r="O2073" s="5"/>
      <c r="P2073" s="5"/>
      <c r="Q2073" s="5"/>
      <c r="R2073" s="5"/>
      <c r="S2073" s="11"/>
    </row>
    <row r="2074">
      <c r="O2074" s="5"/>
      <c r="P2074" s="5"/>
      <c r="Q2074" s="5"/>
      <c r="R2074" s="5"/>
      <c r="S2074" s="11"/>
    </row>
    <row r="2075">
      <c r="O2075" s="5"/>
      <c r="P2075" s="5"/>
      <c r="Q2075" s="5"/>
      <c r="R2075" s="5"/>
      <c r="S2075" s="11"/>
    </row>
    <row r="2076">
      <c r="O2076" s="5"/>
      <c r="P2076" s="5"/>
      <c r="Q2076" s="5"/>
      <c r="R2076" s="5"/>
      <c r="S2076" s="11"/>
    </row>
    <row r="2077">
      <c r="O2077" s="5"/>
      <c r="P2077" s="5"/>
      <c r="Q2077" s="5"/>
      <c r="R2077" s="5"/>
      <c r="S2077" s="11"/>
    </row>
    <row r="2078">
      <c r="O2078" s="5"/>
      <c r="P2078" s="5"/>
      <c r="Q2078" s="5"/>
      <c r="R2078" s="5"/>
      <c r="S2078" s="11"/>
    </row>
    <row r="2079">
      <c r="O2079" s="5"/>
      <c r="P2079" s="5"/>
      <c r="Q2079" s="5"/>
      <c r="R2079" s="5"/>
      <c r="S2079" s="11"/>
    </row>
    <row r="2080">
      <c r="O2080" s="5"/>
      <c r="P2080" s="5"/>
      <c r="Q2080" s="5"/>
      <c r="R2080" s="5"/>
      <c r="S2080" s="11"/>
    </row>
    <row r="2081">
      <c r="O2081" s="5"/>
      <c r="P2081" s="5"/>
      <c r="Q2081" s="5"/>
      <c r="R2081" s="5"/>
      <c r="S2081" s="11"/>
    </row>
    <row r="2082">
      <c r="O2082" s="5"/>
      <c r="P2082" s="5"/>
      <c r="Q2082" s="5"/>
      <c r="R2082" s="5"/>
      <c r="S2082" s="11"/>
    </row>
    <row r="2083">
      <c r="O2083" s="5"/>
      <c r="P2083" s="5"/>
      <c r="Q2083" s="5"/>
      <c r="R2083" s="5"/>
      <c r="S2083" s="11"/>
    </row>
    <row r="2084">
      <c r="O2084" s="5"/>
      <c r="P2084" s="5"/>
      <c r="Q2084" s="5"/>
      <c r="R2084" s="5"/>
      <c r="S2084" s="11"/>
    </row>
    <row r="2085">
      <c r="O2085" s="5"/>
      <c r="P2085" s="5"/>
      <c r="Q2085" s="5"/>
      <c r="R2085" s="5"/>
      <c r="S2085" s="11"/>
    </row>
    <row r="2086">
      <c r="O2086" s="5"/>
      <c r="P2086" s="5"/>
      <c r="Q2086" s="5"/>
      <c r="R2086" s="5"/>
      <c r="S2086" s="11"/>
    </row>
    <row r="2087">
      <c r="O2087" s="5"/>
      <c r="P2087" s="5"/>
      <c r="Q2087" s="5"/>
      <c r="R2087" s="5"/>
      <c r="S2087" s="11"/>
    </row>
    <row r="2088">
      <c r="O2088" s="5"/>
      <c r="P2088" s="5"/>
      <c r="Q2088" s="5"/>
      <c r="R2088" s="5"/>
      <c r="S2088" s="11"/>
    </row>
    <row r="2089">
      <c r="O2089" s="5"/>
      <c r="P2089" s="5"/>
      <c r="Q2089" s="5"/>
      <c r="R2089" s="5"/>
      <c r="S2089" s="11"/>
    </row>
    <row r="2090">
      <c r="O2090" s="5"/>
      <c r="P2090" s="5"/>
      <c r="Q2090" s="5"/>
      <c r="R2090" s="5"/>
      <c r="S2090" s="11"/>
    </row>
    <row r="2091">
      <c r="O2091" s="5"/>
      <c r="P2091" s="5"/>
      <c r="Q2091" s="5"/>
      <c r="R2091" s="5"/>
      <c r="S2091" s="11"/>
    </row>
    <row r="2092">
      <c r="O2092" s="5"/>
      <c r="P2092" s="5"/>
      <c r="Q2092" s="5"/>
      <c r="R2092" s="5"/>
      <c r="S2092" s="11"/>
    </row>
    <row r="2093">
      <c r="O2093" s="5"/>
      <c r="P2093" s="5"/>
      <c r="Q2093" s="5"/>
      <c r="R2093" s="5"/>
      <c r="S2093" s="11"/>
    </row>
    <row r="2094">
      <c r="O2094" s="5"/>
      <c r="P2094" s="5"/>
      <c r="Q2094" s="5"/>
      <c r="R2094" s="5"/>
      <c r="S2094" s="11"/>
    </row>
    <row r="2095">
      <c r="O2095" s="5"/>
      <c r="P2095" s="5"/>
      <c r="Q2095" s="5"/>
      <c r="R2095" s="5"/>
      <c r="S2095" s="11"/>
    </row>
    <row r="2096">
      <c r="O2096" s="5"/>
      <c r="P2096" s="5"/>
      <c r="Q2096" s="5"/>
      <c r="R2096" s="5"/>
      <c r="S2096" s="11"/>
    </row>
    <row r="2097">
      <c r="O2097" s="5"/>
      <c r="P2097" s="5"/>
      <c r="Q2097" s="5"/>
      <c r="R2097" s="5"/>
      <c r="S2097" s="11"/>
    </row>
    <row r="2098">
      <c r="O2098" s="5"/>
      <c r="P2098" s="5"/>
      <c r="Q2098" s="5"/>
      <c r="R2098" s="5"/>
      <c r="S2098" s="11"/>
    </row>
    <row r="2099">
      <c r="O2099" s="5"/>
      <c r="P2099" s="5"/>
      <c r="Q2099" s="5"/>
      <c r="R2099" s="5"/>
      <c r="S2099" s="11"/>
    </row>
    <row r="2100">
      <c r="O2100" s="5"/>
      <c r="P2100" s="5"/>
      <c r="Q2100" s="5"/>
      <c r="R2100" s="5"/>
      <c r="S2100" s="11"/>
    </row>
    <row r="2101">
      <c r="O2101" s="5"/>
      <c r="P2101" s="5"/>
      <c r="Q2101" s="5"/>
      <c r="R2101" s="5"/>
      <c r="S2101" s="11"/>
    </row>
    <row r="2102">
      <c r="O2102" s="5"/>
      <c r="P2102" s="5"/>
      <c r="Q2102" s="5"/>
      <c r="R2102" s="5"/>
      <c r="S2102" s="11"/>
    </row>
    <row r="2103">
      <c r="O2103" s="5"/>
      <c r="P2103" s="5"/>
      <c r="Q2103" s="5"/>
      <c r="R2103" s="5"/>
      <c r="S2103" s="11"/>
    </row>
    <row r="2104">
      <c r="O2104" s="5"/>
      <c r="P2104" s="5"/>
      <c r="Q2104" s="5"/>
      <c r="R2104" s="5"/>
      <c r="S2104" s="11"/>
    </row>
    <row r="2105">
      <c r="O2105" s="5"/>
      <c r="P2105" s="5"/>
      <c r="Q2105" s="5"/>
      <c r="R2105" s="5"/>
      <c r="S2105" s="11"/>
    </row>
    <row r="2106">
      <c r="O2106" s="5"/>
      <c r="P2106" s="5"/>
      <c r="Q2106" s="5"/>
      <c r="R2106" s="5"/>
      <c r="S2106"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0.13"/>
    <col customWidth="1" min="3" max="3" width="4.5"/>
    <col customWidth="1" min="4" max="4" width="52.75"/>
    <col customWidth="1" min="5" max="5" width="10.13"/>
    <col customWidth="1" min="6" max="6" width="18.0"/>
    <col customWidth="1" min="7" max="7" width="5.25"/>
    <col customWidth="1" min="8" max="8" width="34.0"/>
    <col customWidth="1" min="9" max="9" width="13.5"/>
    <col customWidth="1" min="10" max="10" width="11.5"/>
    <col customWidth="1" min="12" max="12" width="28.13"/>
    <col customWidth="1" min="13" max="13" width="13.38"/>
    <col customWidth="1" min="15" max="15" width="3.88"/>
    <col customWidth="1" min="16" max="16" width="29.5"/>
    <col customWidth="1" min="17" max="18" width="14.63"/>
    <col customWidth="1" min="19" max="19" width="8.88"/>
    <col customWidth="1" min="20" max="20" width="9.63"/>
    <col customWidth="1" min="21" max="21" width="10.13"/>
    <col customWidth="1" min="23" max="23" width="34.5"/>
  </cols>
  <sheetData>
    <row r="1">
      <c r="A1" s="2" t="s">
        <v>0</v>
      </c>
      <c r="D1" s="2" t="s">
        <v>3</v>
      </c>
      <c r="H1" s="2" t="s">
        <v>6</v>
      </c>
      <c r="J1" s="2"/>
      <c r="L1" s="2" t="s">
        <v>10</v>
      </c>
      <c r="P1" s="2" t="s">
        <v>12</v>
      </c>
      <c r="W1" s="2" t="s">
        <v>16</v>
      </c>
    </row>
    <row r="2">
      <c r="A2" s="5" t="str">
        <f>IFERROR(__xludf.DUMMYFUNCTION("QUERY(clean!A1:S1000, ""select K, count(A) where A is not null group by K order by count(A) desc label count(A) 'Records'"", 1)"),"Status")</f>
        <v>Status</v>
      </c>
      <c r="B2" s="6" t="str">
        <f>IFERROR(__xludf.DUMMYFUNCTION("""COMPUTED_VALUE"""),"Records")</f>
        <v>Records</v>
      </c>
      <c r="D2" s="5" t="str">
        <f>IFERROR(__xludf.DUMMYFUNCTION("QUERY(clean!A1:S1000, ""select Q, count(A) where A is not null and Q &lt;&gt; 'Not reported' group by Q order by count(A) desc label count(A) 'Records'"", 1)"),"Reason (clean)")</f>
        <v>Reason (clean)</v>
      </c>
      <c r="E2" s="6" t="str">
        <f>IFERROR(__xludf.DUMMYFUNCTION("""COMPUTED_VALUE"""),"Records")</f>
        <v>Records</v>
      </c>
      <c r="F2" s="7" t="s">
        <v>39</v>
      </c>
      <c r="H2" s="5" t="str">
        <f>IFERROR(__xludf.DUMMYFUNCTION("QUERY(FLATTEN(ARRAYFORMULA(IF(clean!K2:K1000&lt;&gt;""Current"",, TRIM(SPLIT(clean!J2:J1000,"";""))))), ""select Col1, count(Col1) where Col1 is not null group by Col1 order by count(Col1) desc label Col1 'Therapeutic area', count(Col1) 'Product records'"", 0)"),"Therapeutic area")</f>
        <v>Therapeutic area</v>
      </c>
      <c r="I2" s="6" t="str">
        <f>IFERROR(__xludf.DUMMYFUNCTION("""COMPUTED_VALUE"""),"Product records")</f>
        <v>Product records</v>
      </c>
      <c r="J2" s="7" t="s">
        <v>45</v>
      </c>
      <c r="L2" s="6" t="str">
        <f>IFERROR(__xludf.DUMMYFUNCTION("QUERY(clean!A1:S1000, ""select O, count(A) where K = 'Current' group by O order by O label O 'Start year', count(A) 'Product records'"", 1)"),"Start year")</f>
        <v>Start year</v>
      </c>
      <c r="M2" s="6" t="str">
        <f>IFERROR(__xludf.DUMMYFUNCTION("""COMPUTED_VALUE"""),"Product records")</f>
        <v>Product records</v>
      </c>
      <c r="N2" s="7" t="s">
        <v>45</v>
      </c>
      <c r="W2" s="5" t="str">
        <f>IFERROR(__xludf.DUMMYFUNCTION("QUERY(clean!A1:S1000, ""select B, count(A) where K = 'Current' group by B order by count(A) desc limit 10 label B 'Company', count(A) 'Product records'"", 1)"),"Company")</f>
        <v>Company</v>
      </c>
      <c r="X2" s="5" t="str">
        <f>IFERROR(__xludf.DUMMYFUNCTION("""COMPUTED_VALUE"""),"Product records")</f>
        <v>Product records</v>
      </c>
      <c r="Y2" s="7" t="s">
        <v>45</v>
      </c>
    </row>
    <row r="3">
      <c r="A3" s="5" t="str">
        <f>IFERROR(__xludf.DUMMYFUNCTION("""COMPUTED_VALUE"""),"Current")</f>
        <v>Current</v>
      </c>
      <c r="B3" s="5">
        <f>IFERROR(__xludf.DUMMYFUNCTION("""COMPUTED_VALUE"""),1141.0)</f>
        <v>1141</v>
      </c>
      <c r="D3" s="5" t="str">
        <f>IFERROR(__xludf.DUMMYFUNCTION("""COMPUTED_VALUE"""),"Other")</f>
        <v>Other</v>
      </c>
      <c r="E3" s="5">
        <f>IFERROR(__xludf.DUMMYFUNCTION("""COMPUTED_VALUE"""),152.0)</f>
        <v>152</v>
      </c>
      <c r="F3" s="12">
        <f t="array" ref="F3:F12">IF(E3:E12="",, E3:E12/SUM(E3:E12))</f>
        <v>0.3743842365</v>
      </c>
      <c r="H3" s="5" t="str">
        <f>IFERROR(__xludf.DUMMYFUNCTION("""COMPUTED_VALUE"""),"Anesthesia")</f>
        <v>Anesthesia</v>
      </c>
      <c r="I3" s="5">
        <f>IFERROR(__xludf.DUMMYFUNCTION("""COMPUTED_VALUE"""),351.0)</f>
        <v>351</v>
      </c>
      <c r="J3" s="5">
        <f>IFERROR(__xludf.DUMMYFUNCTION("IF(H3="""",, COUNTUNIQUEIFS(clean!$A$2:$A1000, clean!$K$2:$K1000, ""Current"", clean!$J$2:$J1000, ""*""&amp;H3&amp;""*""))"),10.0)</f>
        <v>10</v>
      </c>
      <c r="L3" s="5">
        <f>IFERROR(__xludf.DUMMYFUNCTION("""COMPUTED_VALUE"""),2012.0)</f>
        <v>2012</v>
      </c>
      <c r="M3" s="5">
        <f>IFERROR(__xludf.DUMMYFUNCTION("""COMPUTED_VALUE"""),77.0)</f>
        <v>77</v>
      </c>
      <c r="N3" s="5">
        <f>IFERROR(__xludf.DUMMYFUNCTION("IF(L3="""",, COUNTUNIQUEIFS(clean!$A$2:$A1000, clean!$K$2:$K1000, ""Current"", clean!$O$2:$O1000, L3))"),4.0)</f>
        <v>4</v>
      </c>
      <c r="W3" s="5" t="str">
        <f>IFERROR(__xludf.DUMMYFUNCTION("""COMPUTED_VALUE"""),"Fresenius Kabi USA, LLC")</f>
        <v>Fresenius Kabi USA, LLC</v>
      </c>
      <c r="X3" s="5">
        <f>IFERROR(__xludf.DUMMYFUNCTION("""COMPUTED_VALUE"""),158.0)</f>
        <v>158</v>
      </c>
      <c r="Y3" s="5">
        <f>IFERROR(__xludf.DUMMYFUNCTION("IF(W3="""",, COUNTUNIQUEIFS(clean!$A$2:$A1000, clean!$K$2:$K1000, ""Current"", clean!$B$2:$B1000, W3))"),30.0)</f>
        <v>30</v>
      </c>
    </row>
    <row r="4">
      <c r="A4" s="5" t="str">
        <f>IFERROR(__xludf.DUMMYFUNCTION("""COMPUTED_VALUE"""),"To Be Discontinued")</f>
        <v>To Be Discontinued</v>
      </c>
      <c r="B4" s="5">
        <f>IFERROR(__xludf.DUMMYFUNCTION("""COMPUTED_VALUE"""),445.0)</f>
        <v>445</v>
      </c>
      <c r="D4" s="5" t="str">
        <f>IFERROR(__xludf.DUMMYFUNCTION("""COMPUTED_VALUE"""),"Demand increase for the drug")</f>
        <v>Demand increase for the drug</v>
      </c>
      <c r="E4" s="5">
        <f>IFERROR(__xludf.DUMMYFUNCTION("""COMPUTED_VALUE"""),109.0)</f>
        <v>109</v>
      </c>
      <c r="F4" s="12">
        <v>0.2684729064039409</v>
      </c>
      <c r="H4" s="5" t="str">
        <f>IFERROR(__xludf.DUMMYFUNCTION("""COMPUTED_VALUE"""),"Pediatric")</f>
        <v>Pediatric</v>
      </c>
      <c r="I4" s="5">
        <f>IFERROR(__xludf.DUMMYFUNCTION("""COMPUTED_VALUE"""),267.0)</f>
        <v>267</v>
      </c>
      <c r="J4" s="5">
        <f>IFERROR(__xludf.DUMMYFUNCTION("IF(H4="""",, COUNTUNIQUEIFS(clean!$A$2:$A1000, clean!$K$2:$K1000, ""Current"", clean!$J$2:$J1000, ""*""&amp;H4&amp;""*""))"),17.0)</f>
        <v>17</v>
      </c>
      <c r="L4" s="5">
        <f>IFERROR(__xludf.DUMMYFUNCTION("""COMPUTED_VALUE"""),2015.0)</f>
        <v>2015</v>
      </c>
      <c r="M4" s="5">
        <f>IFERROR(__xludf.DUMMYFUNCTION("""COMPUTED_VALUE"""),6.0)</f>
        <v>6</v>
      </c>
      <c r="N4" s="5">
        <f>IFERROR(__xludf.DUMMYFUNCTION("IF(L4="""",, COUNTUNIQUEIFS(clean!$A$2:$A1000, clean!$K$2:$K1000, ""Current"", clean!$O$2:$O1000, L4))"),1.0)</f>
        <v>1</v>
      </c>
      <c r="W4" s="5" t="str">
        <f>IFERROR(__xludf.DUMMYFUNCTION("""COMPUTED_VALUE"""),"Hospira, Inc., a Pfizer Company")</f>
        <v>Hospira, Inc., a Pfizer Company</v>
      </c>
      <c r="X4" s="5">
        <f>IFERROR(__xludf.DUMMYFUNCTION("""COMPUTED_VALUE"""),157.0)</f>
        <v>157</v>
      </c>
      <c r="Y4" s="5">
        <f>IFERROR(__xludf.DUMMYFUNCTION("IF(W4="""",, COUNTUNIQUEIFS(clean!$A$2:$A1000, clean!$K$2:$K1000, ""Current"", clean!$B$2:$B1000, W4))"),26.0)</f>
        <v>26</v>
      </c>
    </row>
    <row r="5">
      <c r="A5" s="5" t="str">
        <f>IFERROR(__xludf.DUMMYFUNCTION("""COMPUTED_VALUE"""),"Resolved")</f>
        <v>Resolved</v>
      </c>
      <c r="B5" s="5">
        <f>IFERROR(__xludf.DUMMYFUNCTION("""COMPUTED_VALUE"""),19.0)</f>
        <v>19</v>
      </c>
      <c r="D5" s="5" t="str">
        <f>IFERROR(__xludf.DUMMYFUNCTION("""COMPUTED_VALUE"""),"Shortage of an active ingredient")</f>
        <v>Shortage of an active ingredient</v>
      </c>
      <c r="E5" s="5">
        <f>IFERROR(__xludf.DUMMYFUNCTION("""COMPUTED_VALUE"""),60.0)</f>
        <v>60</v>
      </c>
      <c r="F5" s="12">
        <v>0.1477832512315271</v>
      </c>
      <c r="H5" s="5" t="str">
        <f>IFERROR(__xludf.DUMMYFUNCTION("""COMPUTED_VALUE"""),"Psychiatry")</f>
        <v>Psychiatry</v>
      </c>
      <c r="I5" s="5">
        <f>IFERROR(__xludf.DUMMYFUNCTION("""COMPUTED_VALUE"""),260.0)</f>
        <v>260</v>
      </c>
      <c r="J5" s="5">
        <f>IFERROR(__xludf.DUMMYFUNCTION("IF(H5="""",, COUNTUNIQUEIFS(clean!$A$2:$A1000, clean!$K$2:$K1000, ""Current"", clean!$J$2:$J1000, ""*""&amp;H5&amp;""*""))"),7.0)</f>
        <v>7</v>
      </c>
      <c r="L5" s="5">
        <f>IFERROR(__xludf.DUMMYFUNCTION("""COMPUTED_VALUE"""),2016.0)</f>
        <v>2016</v>
      </c>
      <c r="M5" s="5">
        <f>IFERROR(__xludf.DUMMYFUNCTION("""COMPUTED_VALUE"""),27.0)</f>
        <v>27</v>
      </c>
      <c r="N5" s="5">
        <f>IFERROR(__xludf.DUMMYFUNCTION("IF(L5="""",, COUNTUNIQUEIFS(clean!$A$2:$A1000, clean!$K$2:$K1000, ""Current"", clean!$O$2:$O1000, L5))"),2.0)</f>
        <v>2</v>
      </c>
      <c r="W5" s="5" t="str">
        <f>IFERROR(__xludf.DUMMYFUNCTION("""COMPUTED_VALUE"""),"Hikma Pharmaceuticals USA, Inc.")</f>
        <v>Hikma Pharmaceuticals USA, Inc.</v>
      </c>
      <c r="X5" s="5">
        <f>IFERROR(__xludf.DUMMYFUNCTION("""COMPUTED_VALUE"""),95.0)</f>
        <v>95</v>
      </c>
      <c r="Y5" s="5">
        <f>IFERROR(__xludf.DUMMYFUNCTION("IF(W5="""",, COUNTUNIQUEIFS(clean!$A$2:$A1000, clean!$K$2:$K1000, ""Current"", clean!$B$2:$B1000, W5))"),28.0)</f>
        <v>28</v>
      </c>
    </row>
    <row r="6">
      <c r="D6" s="5" t="str">
        <f>IFERROR(__xludf.DUMMYFUNCTION("""COMPUTED_VALUE"""),"Discontinuation of the manufacture of the drug")</f>
        <v>Discontinuation of the manufacture of the drug</v>
      </c>
      <c r="E6" s="5">
        <f>IFERROR(__xludf.DUMMYFUNCTION("""COMPUTED_VALUE"""),42.0)</f>
        <v>42</v>
      </c>
      <c r="F6" s="12">
        <v>0.10344827586206896</v>
      </c>
      <c r="H6" s="5" t="str">
        <f>IFERROR(__xludf.DUMMYFUNCTION("""COMPUTED_VALUE"""),"Gastroenterology")</f>
        <v>Gastroenterology</v>
      </c>
      <c r="I6" s="5">
        <f>IFERROR(__xludf.DUMMYFUNCTION("""COMPUTED_VALUE"""),134.0)</f>
        <v>134</v>
      </c>
      <c r="J6" s="5">
        <f>IFERROR(__xludf.DUMMYFUNCTION("IF(H6="""",, COUNTUNIQUEIFS(clean!$A$2:$A1000, clean!$K$2:$K1000, ""Current"", clean!$J$2:$J1000, ""*""&amp;H6&amp;""*""))"),10.0)</f>
        <v>10</v>
      </c>
      <c r="L6" s="5">
        <f>IFERROR(__xludf.DUMMYFUNCTION("""COMPUTED_VALUE"""),2017.0)</f>
        <v>2017</v>
      </c>
      <c r="M6" s="5">
        <f>IFERROR(__xludf.DUMMYFUNCTION("""COMPUTED_VALUE"""),94.0)</f>
        <v>94</v>
      </c>
      <c r="N6" s="5">
        <f>IFERROR(__xludf.DUMMYFUNCTION("IF(L6="""",, COUNTUNIQUEIFS(clean!$A$2:$A1000, clean!$K$2:$K1000, ""Current"", clean!$O$2:$O1000, L6))"),7.0)</f>
        <v>7</v>
      </c>
      <c r="W6" s="5" t="str">
        <f>IFERROR(__xludf.DUMMYFUNCTION("""COMPUTED_VALUE"""),"Baxter Healthcare")</f>
        <v>Baxter Healthcare</v>
      </c>
      <c r="X6" s="5">
        <f>IFERROR(__xludf.DUMMYFUNCTION("""COMPUTED_VALUE"""),65.0)</f>
        <v>65</v>
      </c>
      <c r="Y6" s="5">
        <f>IFERROR(__xludf.DUMMYFUNCTION("IF(W6="""",, COUNTUNIQUEIFS(clean!$A$2:$A1000, clean!$K$2:$K1000, ""Current"", clean!$B$2:$B1000, W6))"),16.0)</f>
        <v>16</v>
      </c>
    </row>
    <row r="7">
      <c r="D7" s="5" t="str">
        <f>IFERROR(__xludf.DUMMYFUNCTION("""COMPUTED_VALUE"""),"Delay in shipping of the drug")</f>
        <v>Delay in shipping of the drug</v>
      </c>
      <c r="E7" s="5">
        <f>IFERROR(__xludf.DUMMYFUNCTION("""COMPUTED_VALUE"""),23.0)</f>
        <v>23</v>
      </c>
      <c r="F7" s="12">
        <v>0.05665024630541872</v>
      </c>
      <c r="H7" s="5" t="str">
        <f>IFERROR(__xludf.DUMMYFUNCTION("""COMPUTED_VALUE"""),"Analgesia/Addiction")</f>
        <v>Analgesia/Addiction</v>
      </c>
      <c r="I7" s="5">
        <f>IFERROR(__xludf.DUMMYFUNCTION("""COMPUTED_VALUE"""),125.0)</f>
        <v>125</v>
      </c>
      <c r="J7" s="5">
        <f>IFERROR(__xludf.DUMMYFUNCTION("IF(H7="""",, COUNTUNIQUEIFS(clean!$A$2:$A1000, clean!$K$2:$K1000, ""Current"", clean!$J$2:$J1000, ""*""&amp;H7&amp;""*""))"),9.0)</f>
        <v>9</v>
      </c>
      <c r="L7" s="5">
        <f>IFERROR(__xludf.DUMMYFUNCTION("""COMPUTED_VALUE"""),2018.0)</f>
        <v>2018</v>
      </c>
      <c r="M7" s="5">
        <f>IFERROR(__xludf.DUMMYFUNCTION("""COMPUTED_VALUE"""),176.0)</f>
        <v>176</v>
      </c>
      <c r="N7" s="5">
        <f>IFERROR(__xludf.DUMMYFUNCTION("IF(L7="""",, COUNTUNIQUEIFS(clean!$A$2:$A1000, clean!$K$2:$K1000, ""Current"", clean!$O$2:$O1000, L7))"),7.0)</f>
        <v>7</v>
      </c>
      <c r="W7" s="5" t="str">
        <f>IFERROR(__xludf.DUMMYFUNCTION("""COMPUTED_VALUE"""),"Teva Pharmaceuticals USA, Inc.")</f>
        <v>Teva Pharmaceuticals USA, Inc.</v>
      </c>
      <c r="X7" s="5">
        <f>IFERROR(__xludf.DUMMYFUNCTION("""COMPUTED_VALUE"""),44.0)</f>
        <v>44</v>
      </c>
      <c r="Y7" s="5">
        <f>IFERROR(__xludf.DUMMYFUNCTION("IF(W7="""",, COUNTUNIQUEIFS(clean!$A$2:$A1000, clean!$K$2:$K1000, ""Current"", clean!$B$2:$B1000, W7))"),10.0)</f>
        <v>10</v>
      </c>
    </row>
    <row r="8">
      <c r="D8" s="5" t="str">
        <f>IFERROR(__xludf.DUMMYFUNCTION("""COMPUTED_VALUE"""),"Requirements related to complying with good manufacturing practices")</f>
        <v>Requirements related to complying with good manufacturing practices</v>
      </c>
      <c r="E8" s="5">
        <f>IFERROR(__xludf.DUMMYFUNCTION("""COMPUTED_VALUE"""),15.0)</f>
        <v>15</v>
      </c>
      <c r="F8" s="12">
        <v>0.03694581280788178</v>
      </c>
      <c r="H8" s="5" t="str">
        <f>IFERROR(__xludf.DUMMYFUNCTION("""COMPUTED_VALUE"""),"Neurology")</f>
        <v>Neurology</v>
      </c>
      <c r="I8" s="5">
        <f>IFERROR(__xludf.DUMMYFUNCTION("""COMPUTED_VALUE"""),125.0)</f>
        <v>125</v>
      </c>
      <c r="J8" s="5">
        <f>IFERROR(__xludf.DUMMYFUNCTION("IF(H8="""",, COUNTUNIQUEIFS(clean!$A$2:$A1000, clean!$K$2:$K1000, ""Current"", clean!$J$2:$J1000, ""*""&amp;H8&amp;""*""))"),8.0)</f>
        <v>8</v>
      </c>
      <c r="L8" s="5">
        <f>IFERROR(__xludf.DUMMYFUNCTION("""COMPUTED_VALUE"""),2019.0)</f>
        <v>2019</v>
      </c>
      <c r="M8" s="5">
        <f>IFERROR(__xludf.DUMMYFUNCTION("""COMPUTED_VALUE"""),20.0)</f>
        <v>20</v>
      </c>
      <c r="N8" s="5">
        <f>IFERROR(__xludf.DUMMYFUNCTION("IF(L8="""",, COUNTUNIQUEIFS(clean!$A$2:$A1000, clean!$K$2:$K1000, ""Current"", clean!$O$2:$O1000, L8))"),2.0)</f>
        <v>2</v>
      </c>
      <c r="W8" s="5" t="str">
        <f>IFERROR(__xludf.DUMMYFUNCTION("""COMPUTED_VALUE"""),"Eugia US LLC")</f>
        <v>Eugia US LLC</v>
      </c>
      <c r="X8" s="5">
        <f>IFERROR(__xludf.DUMMYFUNCTION("""COMPUTED_VALUE"""),42.0)</f>
        <v>42</v>
      </c>
      <c r="Y8" s="5">
        <f>IFERROR(__xludf.DUMMYFUNCTION("IF(W8="""",, COUNTUNIQUEIFS(clean!$A$2:$A1000, clean!$K$2:$K1000, ""Current"", clean!$B$2:$B1000, W8))"),11.0)</f>
        <v>11</v>
      </c>
    </row>
    <row r="9">
      <c r="D9" s="5" t="str">
        <f>IFERROR(__xludf.DUMMYFUNCTION("""COMPUTED_VALUE"""),"Shortage of an inactive ingredient component")</f>
        <v>Shortage of an inactive ingredient component</v>
      </c>
      <c r="E9" s="5">
        <f>IFERROR(__xludf.DUMMYFUNCTION("""COMPUTED_VALUE"""),3.0)</f>
        <v>3</v>
      </c>
      <c r="F9" s="12">
        <v>0.007389162561576354</v>
      </c>
      <c r="H9" s="5" t="str">
        <f>IFERROR(__xludf.DUMMYFUNCTION("""COMPUTED_VALUE"""),"Endocrinology/Metabolism")</f>
        <v>Endocrinology/Metabolism</v>
      </c>
      <c r="I9" s="5">
        <f>IFERROR(__xludf.DUMMYFUNCTION("""COMPUTED_VALUE"""),108.0)</f>
        <v>108</v>
      </c>
      <c r="J9" s="5">
        <f>IFERROR(__xludf.DUMMYFUNCTION("IF(H9="""",, COUNTUNIQUEIFS(clean!$A$2:$A1000, clean!$K$2:$K1000, ""Current"", clean!$J$2:$J1000, ""*""&amp;H9&amp;""*""))"),8.0)</f>
        <v>8</v>
      </c>
      <c r="L9" s="5">
        <f>IFERROR(__xludf.DUMMYFUNCTION("""COMPUTED_VALUE"""),2020.0)</f>
        <v>2020</v>
      </c>
      <c r="M9" s="5">
        <f>IFERROR(__xludf.DUMMYFUNCTION("""COMPUTED_VALUE"""),144.0)</f>
        <v>144</v>
      </c>
      <c r="N9" s="5">
        <f>IFERROR(__xludf.DUMMYFUNCTION("IF(L9="""",, COUNTUNIQUEIFS(clean!$A$2:$A1000, clean!$K$2:$K1000, ""Current"", clean!$O$2:$O1000, L9))"),8.0)</f>
        <v>8</v>
      </c>
      <c r="W9" s="5" t="str">
        <f>IFERROR(__xludf.DUMMYFUNCTION("""COMPUTED_VALUE"""),"Pfizer Inc.")</f>
        <v>Pfizer Inc.</v>
      </c>
      <c r="X9" s="5">
        <f>IFERROR(__xludf.DUMMYFUNCTION("""COMPUTED_VALUE"""),33.0)</f>
        <v>33</v>
      </c>
      <c r="Y9" s="5">
        <f>IFERROR(__xludf.DUMMYFUNCTION("IF(W9="""",, COUNTUNIQUEIFS(clean!$A$2:$A1000, clean!$K$2:$K1000, ""Current"", clean!$B$2:$B1000, W9))"),4.0)</f>
        <v>4</v>
      </c>
    </row>
    <row r="10">
      <c r="D10" s="5" t="str">
        <f>IFERROR(__xludf.DUMMYFUNCTION("""COMPUTED_VALUE"""),"Regulatory delay")</f>
        <v>Regulatory delay</v>
      </c>
      <c r="E10" s="5">
        <f>IFERROR(__xludf.DUMMYFUNCTION("""COMPUTED_VALUE"""),2.0)</f>
        <v>2</v>
      </c>
      <c r="F10" s="12">
        <v>0.0049261083743842365</v>
      </c>
      <c r="H10" s="5" t="str">
        <f>IFERROR(__xludf.DUMMYFUNCTION("""COMPUTED_VALUE"""),"Other")</f>
        <v>Other</v>
      </c>
      <c r="I10" s="5">
        <f>IFERROR(__xludf.DUMMYFUNCTION("""COMPUTED_VALUE"""),103.0)</f>
        <v>103</v>
      </c>
      <c r="J10" s="5">
        <f>IFERROR(__xludf.DUMMYFUNCTION("IF(H10="""",, COUNTUNIQUEIFS(clean!$A$2:$A1000, clean!$K$2:$K1000, ""Current"", clean!$J$2:$J1000, ""*""&amp;H10&amp;""*""))"),9.0)</f>
        <v>9</v>
      </c>
      <c r="L10" s="5">
        <f>IFERROR(__xludf.DUMMYFUNCTION("""COMPUTED_VALUE"""),2021.0)</f>
        <v>2021</v>
      </c>
      <c r="M10" s="5">
        <f>IFERROR(__xludf.DUMMYFUNCTION("""COMPUTED_VALUE"""),52.0)</f>
        <v>52</v>
      </c>
      <c r="N10" s="5">
        <f>IFERROR(__xludf.DUMMYFUNCTION("IF(L10="""",, COUNTUNIQUEIFS(clean!$A$2:$A1000, clean!$K$2:$K1000, ""Current"", clean!$O$2:$O1000, L10))"),7.0)</f>
        <v>7</v>
      </c>
      <c r="W10" s="5" t="str">
        <f>IFERROR(__xludf.DUMMYFUNCTION("""COMPUTED_VALUE"""),"Somerset Therapeutics, LLC")</f>
        <v>Somerset Therapeutics, LLC</v>
      </c>
      <c r="X10" s="5">
        <f>IFERROR(__xludf.DUMMYFUNCTION("""COMPUTED_VALUE"""),25.0)</f>
        <v>25</v>
      </c>
      <c r="Y10" s="5">
        <f>IFERROR(__xludf.DUMMYFUNCTION("IF(W10="""",, COUNTUNIQUEIFS(clean!$A$2:$A1000, clean!$K$2:$K1000, ""Current"", clean!$B$2:$B1000, W10))"),6.0)</f>
        <v>6</v>
      </c>
    </row>
    <row r="11">
      <c r="F11" s="12"/>
      <c r="H11" s="5" t="str">
        <f>IFERROR(__xludf.DUMMYFUNCTION("""COMPUTED_VALUE"""),"Oncology")</f>
        <v>Oncology</v>
      </c>
      <c r="I11" s="5">
        <f>IFERROR(__xludf.DUMMYFUNCTION("""COMPUTED_VALUE"""),83.0)</f>
        <v>83</v>
      </c>
      <c r="J11" s="5">
        <f>IFERROR(__xludf.DUMMYFUNCTION("IF(H11="""",, COUNTUNIQUEIFS(clean!$A$2:$A1000, clean!$K$2:$K1000, ""Current"", clean!$J$2:$J1000, ""*""&amp;H11&amp;""*""))"),8.0)</f>
        <v>8</v>
      </c>
      <c r="L11" s="5">
        <f>IFERROR(__xludf.DUMMYFUNCTION("""COMPUTED_VALUE"""),2022.0)</f>
        <v>2022</v>
      </c>
      <c r="M11" s="5">
        <f>IFERROR(__xludf.DUMMYFUNCTION("""COMPUTED_VALUE"""),168.0)</f>
        <v>168</v>
      </c>
      <c r="N11" s="5">
        <f>IFERROR(__xludf.DUMMYFUNCTION("IF(L11="""",, COUNTUNIQUEIFS(clean!$A$2:$A1000, clean!$K$2:$K1000, ""Current"", clean!$O$2:$O1000, L11))"),12.0)</f>
        <v>12</v>
      </c>
      <c r="W11" s="5" t="str">
        <f>IFERROR(__xludf.DUMMYFUNCTION("""COMPUTED_VALUE"""),"Accord Healthcare Inc.")</f>
        <v>Accord Healthcare Inc.</v>
      </c>
      <c r="X11" s="5">
        <f>IFERROR(__xludf.DUMMYFUNCTION("""COMPUTED_VALUE"""),24.0)</f>
        <v>24</v>
      </c>
      <c r="Y11" s="5">
        <f>IFERROR(__xludf.DUMMYFUNCTION("IF(W11="""",, COUNTUNIQUEIFS(clean!$A$2:$A1000, clean!$K$2:$K1000, ""Current"", clean!$B$2:$B1000, W11))"),7.0)</f>
        <v>7</v>
      </c>
    </row>
    <row r="12">
      <c r="F12" s="12"/>
      <c r="H12" s="5" t="str">
        <f>IFERROR(__xludf.DUMMYFUNCTION("""COMPUTED_VALUE"""),"Cardiovascular")</f>
        <v>Cardiovascular</v>
      </c>
      <c r="I12" s="5">
        <f>IFERROR(__xludf.DUMMYFUNCTION("""COMPUTED_VALUE"""),80.0)</f>
        <v>80</v>
      </c>
      <c r="J12" s="5">
        <f>IFERROR(__xludf.DUMMYFUNCTION("IF(H12="""",, COUNTUNIQUEIFS(clean!$A$2:$A1000, clean!$K$2:$K1000, ""Current"", clean!$J$2:$J1000, ""*""&amp;H12&amp;""*""))"),9.0)</f>
        <v>9</v>
      </c>
      <c r="L12" s="5">
        <f>IFERROR(__xludf.DUMMYFUNCTION("""COMPUTED_VALUE"""),2023.0)</f>
        <v>2023</v>
      </c>
      <c r="M12" s="5">
        <f>IFERROR(__xludf.DUMMYFUNCTION("""COMPUTED_VALUE"""),341.0)</f>
        <v>341</v>
      </c>
      <c r="N12" s="5">
        <f>IFERROR(__xludf.DUMMYFUNCTION("IF(L12="""",, COUNTUNIQUEIFS(clean!$A$2:$A1000, clean!$K$2:$K1000, ""Current"", clean!$O$2:$O1000, L12))"),20.0)</f>
        <v>20</v>
      </c>
      <c r="W12" s="5" t="str">
        <f>IFERROR(__xludf.DUMMYFUNCTION("""COMPUTED_VALUE"""),"Otsuka ICU Medical LLC")</f>
        <v>Otsuka ICU Medical LLC</v>
      </c>
      <c r="X12" s="5">
        <f>IFERROR(__xludf.DUMMYFUNCTION("""COMPUTED_VALUE"""),24.0)</f>
        <v>24</v>
      </c>
      <c r="Y12" s="5">
        <f>IFERROR(__xludf.DUMMYFUNCTION("IF(W12="""",, COUNTUNIQUEIFS(clean!$A$2:$A1000, clean!$K$2:$K1000, ""Current"", clean!$B$2:$B1000, W12))"),5.0)</f>
        <v>5</v>
      </c>
    </row>
    <row r="13">
      <c r="H13" s="5" t="str">
        <f>IFERROR(__xludf.DUMMYFUNCTION("""COMPUTED_VALUE"""),"Rheumatology")</f>
        <v>Rheumatology</v>
      </c>
      <c r="I13" s="5">
        <f>IFERROR(__xludf.DUMMYFUNCTION("""COMPUTED_VALUE"""),57.0)</f>
        <v>57</v>
      </c>
      <c r="J13" s="5">
        <f>IFERROR(__xludf.DUMMYFUNCTION("IF(H13="""",, COUNTUNIQUEIFS(clean!$A$2:$A1000, clean!$K$2:$K1000, ""Current"", clean!$J$2:$J1000, ""*""&amp;H13&amp;""*""))"),4.0)</f>
        <v>4</v>
      </c>
      <c r="L13" s="5">
        <f>IFERROR(__xludf.DUMMYFUNCTION("""COMPUTED_VALUE"""),2024.0)</f>
        <v>2024</v>
      </c>
      <c r="M13" s="5">
        <f>IFERROR(__xludf.DUMMYFUNCTION("""COMPUTED_VALUE"""),11.0)</f>
        <v>11</v>
      </c>
      <c r="N13" s="5">
        <f>IFERROR(__xludf.DUMMYFUNCTION("IF(L13="""",, COUNTUNIQUEIFS(clean!$A$2:$A1000, clean!$K$2:$K1000, ""Current"", clean!$O$2:$O1000, L13))"),4.0)</f>
        <v>4</v>
      </c>
    </row>
    <row r="14">
      <c r="H14" s="5" t="str">
        <f>IFERROR(__xludf.DUMMYFUNCTION("""COMPUTED_VALUE"""),"Anti-Infective")</f>
        <v>Anti-Infective</v>
      </c>
      <c r="I14" s="5">
        <f>IFERROR(__xludf.DUMMYFUNCTION("""COMPUTED_VALUE"""),44.0)</f>
        <v>44</v>
      </c>
      <c r="J14" s="5">
        <f>IFERROR(__xludf.DUMMYFUNCTION("IF(H14="""",, COUNTUNIQUEIFS(clean!$A$2:$A1000, clean!$K$2:$K1000, ""Current"", clean!$J$2:$J1000, ""*""&amp;H14&amp;""*""))"),7.0)</f>
        <v>7</v>
      </c>
      <c r="L14" s="5">
        <f>IFERROR(__xludf.DUMMYFUNCTION("""COMPUTED_VALUE"""),2025.0)</f>
        <v>2025</v>
      </c>
      <c r="M14" s="5">
        <f>IFERROR(__xludf.DUMMYFUNCTION("""COMPUTED_VALUE"""),11.0)</f>
        <v>11</v>
      </c>
      <c r="N14" s="5">
        <f>IFERROR(__xludf.DUMMYFUNCTION("IF(L14="""",, COUNTUNIQUEIFS(clean!$A$2:$A1000, clean!$K$2:$K1000, ""Current"", clean!$O$2:$O1000, L14))"),3.0)</f>
        <v>3</v>
      </c>
    </row>
    <row r="15">
      <c r="H15" s="5" t="str">
        <f>IFERROR(__xludf.DUMMYFUNCTION("""COMPUTED_VALUE"""),"Pulmonary/Allergy")</f>
        <v>Pulmonary/Allergy</v>
      </c>
      <c r="I15" s="5">
        <f>IFERROR(__xludf.DUMMYFUNCTION("""COMPUTED_VALUE"""),35.0)</f>
        <v>35</v>
      </c>
      <c r="J15" s="5">
        <f>IFERROR(__xludf.DUMMYFUNCTION("IF(H15="""",, COUNTUNIQUEIFS(clean!$A$2:$A1000, clean!$K$2:$K1000, ""Current"", clean!$J$2:$J1000, ""*""&amp;H15&amp;""*""))"),3.0)</f>
        <v>3</v>
      </c>
      <c r="L15" s="5">
        <f>IFERROR(__xludf.DUMMYFUNCTION("""COMPUTED_VALUE"""),2026.0)</f>
        <v>2026</v>
      </c>
      <c r="M15" s="5">
        <f>IFERROR(__xludf.DUMMYFUNCTION("""COMPUTED_VALUE"""),14.0)</f>
        <v>14</v>
      </c>
      <c r="N15" s="5">
        <f>IFERROR(__xludf.DUMMYFUNCTION("IF(L15="""",, COUNTUNIQUEIFS(clean!$A$2:$A1000, clean!$K$2:$K1000, ""Current"", clean!$O$2:$O1000, L15))"),5.0)</f>
        <v>5</v>
      </c>
    </row>
    <row r="16">
      <c r="H16" s="5" t="str">
        <f>IFERROR(__xludf.DUMMYFUNCTION("""COMPUTED_VALUE"""),"Hematology")</f>
        <v>Hematology</v>
      </c>
      <c r="I16" s="5">
        <f>IFERROR(__xludf.DUMMYFUNCTION("""COMPUTED_VALUE"""),31.0)</f>
        <v>31</v>
      </c>
      <c r="J16" s="5">
        <f>IFERROR(__xludf.DUMMYFUNCTION("IF(H16="""",, COUNTUNIQUEIFS(clean!$A$2:$A1000, clean!$K$2:$K1000, ""Current"", clean!$J$2:$J1000, ""*""&amp;H16&amp;""*""))"),3.0)</f>
        <v>3</v>
      </c>
    </row>
    <row r="17">
      <c r="H17" s="5" t="str">
        <f>IFERROR(__xludf.DUMMYFUNCTION("""COMPUTED_VALUE"""),"Ophthalmology")</f>
        <v>Ophthalmology</v>
      </c>
      <c r="I17" s="5">
        <f>IFERROR(__xludf.DUMMYFUNCTION("""COMPUTED_VALUE"""),21.0)</f>
        <v>21</v>
      </c>
      <c r="J17" s="5">
        <f>IFERROR(__xludf.DUMMYFUNCTION("IF(H17="""",, COUNTUNIQUEIFS(clean!$A$2:$A1000, clean!$K$2:$K1000, ""Current"", clean!$J$2:$J1000, ""*""&amp;H17&amp;""*""))"),3.0)</f>
        <v>3</v>
      </c>
    </row>
    <row r="18">
      <c r="H18" s="5" t="str">
        <f>IFERROR(__xludf.DUMMYFUNCTION("""COMPUTED_VALUE"""),"Dermatology")</f>
        <v>Dermatology</v>
      </c>
      <c r="I18" s="5">
        <f>IFERROR(__xludf.DUMMYFUNCTION("""COMPUTED_VALUE"""),19.0)</f>
        <v>19</v>
      </c>
      <c r="J18" s="5">
        <f>IFERROR(__xludf.DUMMYFUNCTION("IF(H18="""",, COUNTUNIQUEIFS(clean!$A$2:$A1000, clean!$K$2:$K1000, ""Current"", clean!$J$2:$J1000, ""*""&amp;H18&amp;""*""))"),1.0)</f>
        <v>1</v>
      </c>
    </row>
    <row r="19">
      <c r="H19" s="5" t="str">
        <f>IFERROR(__xludf.DUMMYFUNCTION("""COMPUTED_VALUE"""),"Total Parenteral Nutrition")</f>
        <v>Total Parenteral Nutrition</v>
      </c>
      <c r="I19" s="5">
        <f>IFERROR(__xludf.DUMMYFUNCTION("""COMPUTED_VALUE"""),15.0)</f>
        <v>15</v>
      </c>
      <c r="J19" s="5">
        <f>IFERROR(__xludf.DUMMYFUNCTION("IF(H19="""",, COUNTUNIQUEIFS(clean!$A$2:$A1000, clean!$K$2:$K1000, ""Current"", clean!$J$2:$J1000, ""*""&amp;H19&amp;""*""))"),1.0)</f>
        <v>1</v>
      </c>
    </row>
    <row r="20">
      <c r="H20" s="5" t="str">
        <f>IFERROR(__xludf.DUMMYFUNCTION("""COMPUTED_VALUE"""),"Renal")</f>
        <v>Renal</v>
      </c>
      <c r="I20" s="5">
        <f>IFERROR(__xludf.DUMMYFUNCTION("""COMPUTED_VALUE"""),10.0)</f>
        <v>10</v>
      </c>
      <c r="J20" s="5">
        <f>IFERROR(__xludf.DUMMYFUNCTION("IF(H20="""",, COUNTUNIQUEIFS(clean!$A$2:$A1000, clean!$K$2:$K1000, ""Current"", clean!$J$2:$J1000, ""*""&amp;H20&amp;""*""))"),1.0)</f>
        <v>1</v>
      </c>
    </row>
    <row r="21">
      <c r="H21" s="5" t="str">
        <f>IFERROR(__xludf.DUMMYFUNCTION("""COMPUTED_VALUE"""),"Medical Imaging")</f>
        <v>Medical Imaging</v>
      </c>
      <c r="I21" s="5">
        <f>IFERROR(__xludf.DUMMYFUNCTION("""COMPUTED_VALUE"""),3.0)</f>
        <v>3</v>
      </c>
      <c r="J21" s="5">
        <f>IFERROR(__xludf.DUMMYFUNCTION("IF(H21="""",, COUNTUNIQUEIFS(clean!$A$2:$A1000, clean!$K$2:$K1000, ""Current"", clean!$J$2:$J1000, ""*""&amp;H21&amp;""*""))"),1.0)</f>
        <v>1</v>
      </c>
    </row>
    <row r="24">
      <c r="H24" s="1" t="s">
        <v>326</v>
      </c>
    </row>
    <row r="25">
      <c r="H25" s="1" t="s">
        <v>333</v>
      </c>
      <c r="I25" s="1" t="s">
        <v>45</v>
      </c>
    </row>
    <row r="26">
      <c r="H26" s="5" t="str">
        <f t="array" ref="H26:I44">SORT({H3:H21, J3:J21}, 2, FALSE)</f>
        <v>Pediatric</v>
      </c>
      <c r="I26" s="5">
        <v>17.0</v>
      </c>
    </row>
    <row r="27">
      <c r="H27" s="5" t="s">
        <v>358</v>
      </c>
      <c r="I27" s="5">
        <v>10.0</v>
      </c>
    </row>
    <row r="28">
      <c r="H28" s="5" t="s">
        <v>98</v>
      </c>
      <c r="I28" s="5">
        <v>10.0</v>
      </c>
    </row>
    <row r="29">
      <c r="H29" s="5" t="s">
        <v>34</v>
      </c>
      <c r="I29" s="5">
        <v>9.0</v>
      </c>
    </row>
    <row r="30">
      <c r="H30" s="5" t="s">
        <v>47</v>
      </c>
      <c r="I30" s="5">
        <v>9.0</v>
      </c>
    </row>
    <row r="31">
      <c r="H31" s="5" t="s">
        <v>366</v>
      </c>
      <c r="I31" s="5">
        <v>9.0</v>
      </c>
    </row>
    <row r="32">
      <c r="H32" s="5" t="s">
        <v>367</v>
      </c>
      <c r="I32" s="5">
        <v>8.0</v>
      </c>
    </row>
    <row r="33">
      <c r="H33" s="5" t="s">
        <v>372</v>
      </c>
      <c r="I33" s="5">
        <v>8.0</v>
      </c>
    </row>
    <row r="34">
      <c r="H34" s="5" t="s">
        <v>254</v>
      </c>
      <c r="I34" s="5">
        <v>8.0</v>
      </c>
    </row>
    <row r="35">
      <c r="H35" s="5" t="s">
        <v>129</v>
      </c>
      <c r="I35" s="5">
        <v>7.0</v>
      </c>
    </row>
    <row r="36">
      <c r="H36" s="5" t="s">
        <v>235</v>
      </c>
      <c r="I36" s="5">
        <v>7.0</v>
      </c>
    </row>
    <row r="37">
      <c r="H37" s="5" t="s">
        <v>57</v>
      </c>
      <c r="I37" s="5">
        <v>4.0</v>
      </c>
    </row>
    <row r="38">
      <c r="H38" s="5" t="s">
        <v>377</v>
      </c>
      <c r="I38" s="5">
        <v>3.0</v>
      </c>
    </row>
    <row r="39">
      <c r="H39" s="5" t="s">
        <v>243</v>
      </c>
      <c r="I39" s="5">
        <v>3.0</v>
      </c>
    </row>
    <row r="40">
      <c r="H40" s="5" t="s">
        <v>378</v>
      </c>
      <c r="I40" s="5">
        <v>3.0</v>
      </c>
    </row>
    <row r="41">
      <c r="H41" s="5" t="s">
        <v>380</v>
      </c>
      <c r="I41" s="5">
        <v>1.0</v>
      </c>
    </row>
    <row r="42">
      <c r="H42" s="5" t="s">
        <v>381</v>
      </c>
      <c r="I42" s="5">
        <v>1.0</v>
      </c>
    </row>
    <row r="43">
      <c r="H43" s="5" t="s">
        <v>383</v>
      </c>
      <c r="I43" s="5">
        <v>1.0</v>
      </c>
    </row>
    <row r="44">
      <c r="H44" s="5" t="s">
        <v>384</v>
      </c>
      <c r="I44" s="5">
        <v>1.0</v>
      </c>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9.5"/>
    <col customWidth="1" min="3" max="3" width="19.75"/>
    <col customWidth="1" min="4" max="4" width="21.0"/>
    <col customWidth="1" min="5" max="5" width="24.25"/>
    <col customWidth="1" min="6" max="6" width="23.13"/>
  </cols>
  <sheetData>
    <row r="1">
      <c r="A1" s="14" t="s">
        <v>324</v>
      </c>
    </row>
    <row r="3">
      <c r="A3" s="7" t="s">
        <v>327</v>
      </c>
      <c r="B3" s="7" t="s">
        <v>331</v>
      </c>
      <c r="C3" s="7" t="s">
        <v>332</v>
      </c>
      <c r="D3" s="7" t="s">
        <v>334</v>
      </c>
      <c r="E3" s="7" t="s">
        <v>335</v>
      </c>
      <c r="F3" s="7" t="s">
        <v>337</v>
      </c>
    </row>
    <row r="4">
      <c r="A4" s="15">
        <f>IFERROR(__xludf.DUMMYFUNCTION("COUNTUNIQUEIFS(clean!A2:A1000, clean!K2:K1000, ""Current"")"),69.0)</f>
        <v>69</v>
      </c>
      <c r="B4" s="15">
        <f>COUNTIF(clean!K2:K1000, "Current")</f>
        <v>1141</v>
      </c>
      <c r="C4" s="15">
        <f>IFERROR(__xludf.DUMMYFUNCTION("ROUND(MEDIAN(FILTER(clean!S2:S1000, clean!K2:K1000=""Current""))/365.25, 1)"),4.9)</f>
        <v>4.9</v>
      </c>
      <c r="D4" s="16">
        <f>COUNTIFS(clean!K2:K1000, "Current", clean!P2:P1000, "Unavailable")/B4</f>
        <v>0.2304995618</v>
      </c>
      <c r="E4" s="16">
        <f>COUNTIF(clean!Q2:Q1000, "Not reported")/COUNTA(clean!A2:A1000)</f>
        <v>0.7470404984</v>
      </c>
      <c r="F4" s="16">
        <f>SUM(analysis!X3:X5)/B4</f>
        <v>0.3593339176</v>
      </c>
      <c r="G4" s="15"/>
      <c r="H4" s="15"/>
      <c r="I4" s="15"/>
      <c r="J4" s="15"/>
      <c r="K4" s="15"/>
      <c r="L4" s="15"/>
      <c r="M4" s="15"/>
      <c r="N4" s="15"/>
      <c r="O4" s="15"/>
      <c r="P4" s="15"/>
      <c r="Q4" s="15"/>
      <c r="R4" s="15"/>
      <c r="S4" s="15"/>
      <c r="T4" s="15"/>
      <c r="U4" s="15"/>
      <c r="V4" s="15"/>
      <c r="W4" s="15"/>
      <c r="X4" s="15"/>
      <c r="Y4" s="15"/>
      <c r="Z4" s="1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63"/>
    <col customWidth="1" min="2" max="2" width="17.25"/>
  </cols>
  <sheetData>
    <row r="1">
      <c r="A1" s="1" t="s">
        <v>399</v>
      </c>
      <c r="B1" s="17" t="s">
        <v>400</v>
      </c>
    </row>
    <row r="2">
      <c r="A2" s="5" t="str">
        <f>IFERROR(__xludf.DUMMYFUNCTION("SORT(UNIQUE(FILTER(clean!G2:G1000, clean!K2:K1000=""Current"", clean!G2:G1000&lt;&gt;"""")))"),"Additional lots are scheduled for manufacturing to meet demand.  Product will be made available as it is released.")</f>
        <v>Additional lots are scheduled for manufacturing to meet demand.  Product will be made available as it is released.</v>
      </c>
      <c r="B2" s="5">
        <f t="array" ref="B2:B155">RANDARRAY(COUNTA(A2:A1000), 1)</f>
        <v>0.3781019515</v>
      </c>
    </row>
    <row r="3">
      <c r="A3" s="5" t="str">
        <f>IFERROR(__xludf.DUMMYFUNCTION("""COMPUTED_VALUE"""),"Additional lots are scheduled to be manufactured.  Product will be made available as it is released.")</f>
        <v>Additional lots are scheduled to be manufactured.  Product will be made available as it is released.</v>
      </c>
      <c r="B3" s="5">
        <v>0.9683370689397396</v>
      </c>
    </row>
    <row r="4">
      <c r="A4" s="5" t="str">
        <f>IFERROR(__xludf.DUMMYFUNCTION("""COMPUTED_VALUE"""),"Additional lots are scheduled to be manufactured. Product will be made available as it is released.")</f>
        <v>Additional lots are scheduled to be manufactured. Product will be made available as it is released.</v>
      </c>
      <c r="B4" s="5">
        <v>0.1135996499682228</v>
      </c>
    </row>
    <row r="5">
      <c r="A5" s="5" t="str">
        <f>IFERROR(__xludf.DUMMYFUNCTION("""COMPUTED_VALUE"""),"Additional lots will be available in the November 2026 timeframe.  Product will be made available as it is released.")</f>
        <v>Additional lots will be available in the November 2026 timeframe.  Product will be made available as it is released.</v>
      </c>
      <c r="B5" s="5">
        <v>0.755762439583089</v>
      </c>
    </row>
    <row r="6">
      <c r="A6" s="5" t="str">
        <f>IFERROR(__xludf.DUMMYFUNCTION("""COMPUTED_VALUE"""),"Additional lots will be available in the November 2026 timeframe.  Short Dated Prodcut Available.")</f>
        <v>Additional lots will be available in the November 2026 timeframe.  Short Dated Prodcut Available.</v>
      </c>
      <c r="B6" s="5">
        <v>0.21164112848203198</v>
      </c>
    </row>
    <row r="7">
      <c r="A7" s="5" t="str">
        <f>IFERROR(__xludf.DUMMYFUNCTION("""COMPUTED_VALUE"""),"Additional lots will be available in the October 2026 timeframe.  Product will be made available as it is released.")</f>
        <v>Additional lots will be available in the October 2026 timeframe.  Product will be made available as it is released.</v>
      </c>
      <c r="B7" s="5">
        <v>0.04658204093532403</v>
      </c>
    </row>
    <row r="8">
      <c r="A8" s="5" t="str">
        <f>IFERROR(__xludf.DUMMYFUNCTION("""COMPUTED_VALUE"""),"Additional lots will be available.  Product will be made available as it is released.")</f>
        <v>Additional lots will be available.  Product will be made available as it is released.</v>
      </c>
      <c r="B8" s="5">
        <v>0.9682003300698319</v>
      </c>
    </row>
    <row r="9">
      <c r="A9" s="5" t="str">
        <f>IFERROR(__xludf.DUMMYFUNCTION("""COMPUTED_VALUE"""),"Additional lots will be available. Product will be made available as it is released.")</f>
        <v>Additional lots will be available. Product will be made available as it is released.</v>
      </c>
      <c r="B9" s="5">
        <v>0.062138468957183224</v>
      </c>
    </row>
    <row r="10">
      <c r="A10" s="5" t="str">
        <f>IFERROR(__xludf.DUMMYFUNCTION("""COMPUTED_VALUE"""),"Additional lots will be scheduled for manufacturing to meet demand.  Product will be made available as it is released.")</f>
        <v>Additional lots will be scheduled for manufacturing to meet demand.  Product will be made available as it is released.</v>
      </c>
      <c r="B10" s="5">
        <v>0.4753920476428177</v>
      </c>
    </row>
    <row r="11">
      <c r="A11" s="5" t="str">
        <f>IFERROR(__xludf.DUMMYFUNCTION("""COMPUTED_VALUE"""),"Additional product will be made available as it is released.")</f>
        <v>Additional product will be made available as it is released.</v>
      </c>
      <c r="B11" s="5">
        <v>0.874668804158497</v>
      </c>
    </row>
    <row r="12">
      <c r="A12" s="5" t="str">
        <f>IFERROR(__xludf.DUMMYFUNCTION("""COMPUTED_VALUE"""),"Allocation to current contracted customers")</f>
        <v>Allocation to current contracted customers</v>
      </c>
      <c r="B12" s="5">
        <v>0.8866762673893512</v>
      </c>
    </row>
    <row r="13">
      <c r="A13" s="5" t="str">
        <f>IFERROR(__xludf.DUMMYFUNCTION("""COMPUTED_VALUE"""),"Anticipated availability: Q4 2026; Delay is due to manufacturing delays at the contract manufacturing facility.")</f>
        <v>Anticipated availability: Q4 2026; Delay is due to manufacturing delays at the contract manufacturing facility.</v>
      </c>
      <c r="B13" s="5">
        <v>0.6282342067199287</v>
      </c>
    </row>
    <row r="14">
      <c r="A14" s="5" t="str">
        <f>IFERROR(__xludf.DUMMYFUNCTION("""COMPUTED_VALUE"""),"Available on allocation")</f>
        <v>Available on allocation</v>
      </c>
      <c r="B14" s="5">
        <v>0.5674810334529719</v>
      </c>
    </row>
    <row r="15">
      <c r="A15" s="5" t="str">
        <f>IFERROR(__xludf.DUMMYFUNCTION("""COMPUTED_VALUE"""),"Available through limited distribution by Walgreens Specialty Pharmacy.")</f>
        <v>Available through limited distribution by Walgreens Specialty Pharmacy.</v>
      </c>
      <c r="B15" s="5">
        <v>0.1183566869601308</v>
      </c>
    </row>
    <row r="16">
      <c r="A16" s="5" t="str">
        <f>IFERROR(__xludf.DUMMYFUNCTION("""COMPUTED_VALUE"""),"Available to existing customers")</f>
        <v>Available to existing customers</v>
      </c>
      <c r="B16" s="5">
        <v>0.6687984819374675</v>
      </c>
    </row>
    <row r="17">
      <c r="A17" s="5" t="str">
        <f>IFERROR(__xludf.DUMMYFUNCTION("""COMPUTED_VALUE"""),"Check wholealers for inventory")</f>
        <v>Check wholealers for inventory</v>
      </c>
      <c r="B17" s="5">
        <v>0.8143827074390835</v>
      </c>
    </row>
    <row r="18">
      <c r="A18" s="5" t="str">
        <f>IFERROR(__xludf.DUMMYFUNCTION("""COMPUTED_VALUE"""),"Check wholesaler for inventory")</f>
        <v>Check wholesaler for inventory</v>
      </c>
      <c r="B18" s="5">
        <v>0.5367862074912777</v>
      </c>
    </row>
    <row r="19">
      <c r="A19" s="5" t="str">
        <f>IFERROR(__xludf.DUMMYFUNCTION("""COMPUTED_VALUE"""),"Check wholesalers for inventory")</f>
        <v>Check wholesalers for inventory</v>
      </c>
      <c r="B19" s="5">
        <v>0.5543646555450722</v>
      </c>
    </row>
    <row r="20">
      <c r="A20" s="5" t="str">
        <f>IFERROR(__xludf.DUMMYFUNCTION("""COMPUTED_VALUE"""),"Check wholesalers for inventory; Marketed by Armas Pharmaceuticals, Inc. 908-803-2586")</f>
        <v>Check wholesalers for inventory; Marketed by Armas Pharmaceuticals, Inc. 908-803-2586</v>
      </c>
      <c r="B20" s="5">
        <v>0.8511914353300966</v>
      </c>
    </row>
    <row r="21">
      <c r="A21" s="5" t="str">
        <f>IFERROR(__xludf.DUMMYFUNCTION("""COMPUTED_VALUE"""),"Check wholesalers for inventory; Marketed by Baxter")</f>
        <v>Check wholesalers for inventory; Marketed by Baxter</v>
      </c>
      <c r="B21" s="5">
        <v>0.7717257621823367</v>
      </c>
    </row>
    <row r="22">
      <c r="A22" s="5" t="str">
        <f>IFERROR(__xludf.DUMMYFUNCTION("""COMPUTED_VALUE"""),"Check wholesalers for inventory; Marketed by Fresenius Kabi")</f>
        <v>Check wholesalers for inventory; Marketed by Fresenius Kabi</v>
      </c>
      <c r="B22" s="5">
        <v>0.9353312316332051</v>
      </c>
    </row>
    <row r="23">
      <c r="A23" s="5" t="str">
        <f>IFERROR(__xludf.DUMMYFUNCTION("""COMPUTED_VALUE"""),"Check wholesalers for inventory.")</f>
        <v>Check wholesalers for inventory.</v>
      </c>
      <c r="B23" s="5">
        <v>0.637284952661411</v>
      </c>
    </row>
    <row r="24">
      <c r="A24" s="5" t="str">
        <f>IFERROR(__xludf.DUMMYFUNCTION("""COMPUTED_VALUE"""),"Checkwholesalers for inventory")</f>
        <v>Checkwholesalers for inventory</v>
      </c>
      <c r="B24" s="5">
        <v>0.9693515624282235</v>
      </c>
    </row>
    <row r="25">
      <c r="A25" s="5" t="str">
        <f>IFERROR(__xludf.DUMMYFUNCTION("""COMPUTED_VALUE"""),"Civica Label")</f>
        <v>Civica Label</v>
      </c>
      <c r="B25" s="5">
        <v>0.6586238694243632</v>
      </c>
    </row>
    <row r="26">
      <c r="A26" s="5" t="str">
        <f>IFERROR(__xludf.DUMMYFUNCTION("""COMPUTED_VALUE"""),"Currently not marketed")</f>
        <v>Currently not marketed</v>
      </c>
      <c r="B26" s="5">
        <v>0.9886236819180994</v>
      </c>
    </row>
    <row r="27">
      <c r="A27" s="5" t="str">
        <f>IFERROR(__xludf.DUMMYFUNCTION("""COMPUTED_VALUE"""),"Cyanokit is available to order. To address the drug shortage, BTG International Inc (a SERB Pharmaceuticals company) coordinated with the U.S. Food and Drug Administration (FDA) to make the following impacted batches available to U.S. patients during this"&amp;" period of shortage.")</f>
        <v>Cyanokit is available to order. To address the drug shortage, BTG International Inc (a SERB Pharmaceuticals company) coordinated with the U.S. Food and Drug Administration (FDA) to make the following impacted batches available to U.S. patients during this period of shortage.</v>
      </c>
      <c r="B27" s="5">
        <v>0.38866001799169525</v>
      </c>
    </row>
    <row r="28">
      <c r="A28" s="5" t="str">
        <f>IFERROR(__xludf.DUMMYFUNCTION("""COMPUTED_VALUE"""),"Discontinuation of the manufacture of the drug")</f>
        <v>Discontinuation of the manufacture of the drug</v>
      </c>
      <c r="B28" s="5">
        <v>0.3856110753711339</v>
      </c>
    </row>
    <row r="29">
      <c r="A29" s="5" t="str">
        <f>IFERROR(__xludf.DUMMYFUNCTION("""COMPUTED_VALUE"""),"Discontinuation of the manufacture of the drug; Distributed by Avenacy; Contact information: 877-283-6229")</f>
        <v>Discontinuation of the manufacture of the drug; Distributed by Avenacy; Contact information: 877-283-6229</v>
      </c>
      <c r="B29" s="5">
        <v>0.10215778504622575</v>
      </c>
    </row>
    <row r="30">
      <c r="A30" s="5" t="str">
        <f>IFERROR(__xludf.DUMMYFUNCTION("""COMPUTED_VALUE"""),"Discontinued; Distributed by BPI Labs, LLC")</f>
        <v>Discontinued; Distributed by BPI Labs, LLC</v>
      </c>
      <c r="B30" s="5">
        <v>0.9346763730703731</v>
      </c>
    </row>
    <row r="31">
      <c r="A31" s="5" t="str">
        <f>IFERROR(__xludf.DUMMYFUNCTION("""COMPUTED_VALUE"""),"Distributed by Avenacy, LLC")</f>
        <v>Distributed by Avenacy, LLC</v>
      </c>
      <c r="B31" s="5">
        <v>0.8263935214484085</v>
      </c>
    </row>
    <row r="32">
      <c r="A32" s="5" t="str">
        <f>IFERROR(__xludf.DUMMYFUNCTION("""COMPUTED_VALUE"""),"Distributed by BPI Labs, LLC")</f>
        <v>Distributed by BPI Labs, LLC</v>
      </c>
      <c r="B32" s="5">
        <v>0.10654010337913888</v>
      </c>
    </row>
    <row r="33">
      <c r="A33" s="5" t="str">
        <f>IFERROR(__xludf.DUMMYFUNCTION("""COMPUTED_VALUE"""),"Distributed by Civica")</f>
        <v>Distributed by Civica</v>
      </c>
      <c r="B33" s="5">
        <v>0.5120517622211308</v>
      </c>
    </row>
    <row r="34">
      <c r="A34" s="5" t="str">
        <f>IFERROR(__xludf.DUMMYFUNCTION("""COMPUTED_VALUE"""),"Distributed by DRL")</f>
        <v>Distributed by DRL</v>
      </c>
      <c r="B34" s="5">
        <v>0.06702055103378857</v>
      </c>
    </row>
    <row r="35">
      <c r="A35" s="5" t="str">
        <f>IFERROR(__xludf.DUMMYFUNCTION("""COMPUTED_VALUE"""),"Distributed by Fosun Pharma USA Inc.")</f>
        <v>Distributed by Fosun Pharma USA Inc.</v>
      </c>
      <c r="B35" s="5">
        <v>0.5325477807867611</v>
      </c>
    </row>
    <row r="36">
      <c r="A36" s="5" t="str">
        <f>IFERROR(__xludf.DUMMYFUNCTION("""COMPUTED_VALUE"""),"Distributed by Fosun Pharma USA, Inc.. To order, contact: 833-291-9645.")</f>
        <v>Distributed by Fosun Pharma USA, Inc.. To order, contact: 833-291-9645.</v>
      </c>
      <c r="B36" s="5">
        <v>0.4009745124274443</v>
      </c>
    </row>
    <row r="37">
      <c r="A37" s="5" t="str">
        <f>IFERROR(__xludf.DUMMYFUNCTION("""COMPUTED_VALUE"""),"Distributed by Omnivium Pharmaceuticals LLC (888) 807-9195")</f>
        <v>Distributed by Omnivium Pharmaceuticals LLC (888) 807-9195</v>
      </c>
      <c r="B37" s="5">
        <v>0.06235677958527097</v>
      </c>
    </row>
    <row r="38">
      <c r="A38" s="5" t="str">
        <f>IFERROR(__xludf.DUMMYFUNCTION("""COMPUTED_VALUE"""),"Distributed by Padagis US LLC")</f>
        <v>Distributed by Padagis US LLC</v>
      </c>
      <c r="B38" s="5">
        <v>0.3578402675607494</v>
      </c>
    </row>
    <row r="39">
      <c r="A39" s="5" t="str">
        <f>IFERROR(__xludf.DUMMYFUNCTION("""COMPUTED_VALUE"""),"Distributed by Sagent Pharmaceuticals: 1-866-625-1618, Discontinued product")</f>
        <v>Distributed by Sagent Pharmaceuticals: 1-866-625-1618, Discontinued product</v>
      </c>
      <c r="B39" s="5">
        <v>0.2437139392068125</v>
      </c>
    </row>
    <row r="40">
      <c r="A40" s="5" t="str">
        <f>IFERROR(__xludf.DUMMYFUNCTION("""COMPUTED_VALUE"""),"Distributed by Slate Run Pharmaceuticals, LLC, 1-844-529-8988")</f>
        <v>Distributed by Slate Run Pharmaceuticals, LLC, 1-844-529-8988</v>
      </c>
      <c r="B40" s="5">
        <v>0.573802579804802</v>
      </c>
    </row>
    <row r="41">
      <c r="A41" s="5" t="str">
        <f>IFERROR(__xludf.DUMMYFUNCTION("""COMPUTED_VALUE"""),"Distributed by Teva")</f>
        <v>Distributed by Teva</v>
      </c>
      <c r="B41" s="5">
        <v>0.7704894432254437</v>
      </c>
    </row>
    <row r="42">
      <c r="A42" s="5" t="str">
        <f>IFERROR(__xludf.DUMMYFUNCTION("""COMPUTED_VALUE"""),"Distributed by Wilshire Pharmaceuticals, Inc.")</f>
        <v>Distributed by Wilshire Pharmaceuticals, Inc.</v>
      </c>
      <c r="B42" s="5">
        <v>0.5344270743523055</v>
      </c>
    </row>
    <row r="43">
      <c r="A43" s="5" t="str">
        <f>IFERROR(__xludf.DUMMYFUNCTION("""COMPUTED_VALUE"""),"Estimated availability: April 2027")</f>
        <v>Estimated availability: April 2027</v>
      </c>
      <c r="B43" s="5">
        <v>0.5405231593432553</v>
      </c>
    </row>
    <row r="44">
      <c r="A44" s="5" t="str">
        <f>IFERROR(__xludf.DUMMYFUNCTION("""COMPUTED_VALUE"""),"Estimated availability: November/December 2026")</f>
        <v>Estimated availability: November/December 2026</v>
      </c>
      <c r="B44" s="5">
        <v>0.9508389190006068</v>
      </c>
    </row>
    <row r="45">
      <c r="A45" s="5" t="str">
        <f>IFERROR(__xludf.DUMMYFUNCTION("""COMPUTED_VALUE"""),"Estimated duration February 2027. Manufacturing delays. Marketed by H2-Pharma.")</f>
        <v>Estimated duration February 2027. Manufacturing delays. Marketed by H2-Pharma.</v>
      </c>
      <c r="B45" s="5">
        <v>0.12373071222266874</v>
      </c>
    </row>
    <row r="46">
      <c r="A46" s="5" t="str">
        <f>IFERROR(__xludf.DUMMYFUNCTION("""COMPUTED_VALUE"""),"Estimated recovery: April 2027")</f>
        <v>Estimated recovery: April 2027</v>
      </c>
      <c r="B46" s="5">
        <v>0.13547516790517344</v>
      </c>
    </row>
    <row r="47">
      <c r="A47" s="5" t="str">
        <f>IFERROR(__xludf.DUMMYFUNCTION("""COMPUTED_VALUE"""),"Estimated recovery: December 2026")</f>
        <v>Estimated recovery: December 2026</v>
      </c>
      <c r="B47" s="5">
        <v>0.8115003533158714</v>
      </c>
    </row>
    <row r="48">
      <c r="A48" s="5" t="str">
        <f>IFERROR(__xludf.DUMMYFUNCTION("""COMPUTED_VALUE"""),"Estimated recovery: December 2028")</f>
        <v>Estimated recovery: December 2028</v>
      </c>
      <c r="B48" s="5">
        <v>0.9865592712598017</v>
      </c>
    </row>
    <row r="49">
      <c r="A49" s="5" t="str">
        <f>IFERROR(__xludf.DUMMYFUNCTION("""COMPUTED_VALUE"""),"Estimated recovery: end October 2026")</f>
        <v>Estimated recovery: end October 2026</v>
      </c>
      <c r="B49" s="5">
        <v>0.1300455906745358</v>
      </c>
    </row>
    <row r="50">
      <c r="A50" s="5" t="str">
        <f>IFERROR(__xludf.DUMMYFUNCTION("""COMPUTED_VALUE"""),"Estimated recovery: end-October to mid-November 2026")</f>
        <v>Estimated recovery: end-October to mid-November 2026</v>
      </c>
      <c r="B50" s="5">
        <v>0.3833068213978944</v>
      </c>
    </row>
    <row r="51">
      <c r="A51" s="5" t="str">
        <f>IFERROR(__xludf.DUMMYFUNCTION("""COMPUTED_VALUE"""),"Estimated recovery: January 2027")</f>
        <v>Estimated recovery: January 2027</v>
      </c>
      <c r="B51" s="5">
        <v>0.6713447069880784</v>
      </c>
    </row>
    <row r="52">
      <c r="A52" s="5" t="str">
        <f>IFERROR(__xludf.DUMMYFUNCTION("""COMPUTED_VALUE"""),"Estimated Recovery: January 2027")</f>
        <v>Estimated Recovery: January 2027</v>
      </c>
      <c r="B52" s="5">
        <v>0.4191653442330112</v>
      </c>
    </row>
    <row r="53">
      <c r="A53" s="5" t="str">
        <f>IFERROR(__xludf.DUMMYFUNCTION("""COMPUTED_VALUE"""),"Estimated recovery: late October 2026/November 2026")</f>
        <v>Estimated recovery: late October 2026/November 2026</v>
      </c>
      <c r="B53" s="5">
        <v>0.5030935358188962</v>
      </c>
    </row>
    <row r="54">
      <c r="A54" s="5" t="str">
        <f>IFERROR(__xludf.DUMMYFUNCTION("""COMPUTED_VALUE"""),"Estimated recovery: late Q4 2026; Manufacturing delays")</f>
        <v>Estimated recovery: late Q4 2026; Manufacturing delays</v>
      </c>
      <c r="B54" s="5">
        <v>0.673938517307659</v>
      </c>
    </row>
    <row r="55">
      <c r="A55" s="5" t="str">
        <f>IFERROR(__xludf.DUMMYFUNCTION("""COMPUTED_VALUE"""),"Estimated recovery: March 2027")</f>
        <v>Estimated recovery: March 2027</v>
      </c>
      <c r="B55" s="5">
        <v>0.9248539917957588</v>
      </c>
    </row>
    <row r="56">
      <c r="A56" s="5" t="str">
        <f>IFERROR(__xludf.DUMMYFUNCTION("""COMPUTED_VALUE"""),"Estimated recovery: mid-November 2026")</f>
        <v>Estimated recovery: mid-November 2026</v>
      </c>
      <c r="B56" s="5">
        <v>0.5663936529415082</v>
      </c>
    </row>
    <row r="57">
      <c r="A57" s="5" t="str">
        <f>IFERROR(__xludf.DUMMYFUNCTION("""COMPUTED_VALUE"""),"Estimated recovery: mid-September 2026")</f>
        <v>Estimated recovery: mid-September 2026</v>
      </c>
      <c r="B57" s="5">
        <v>0.9305565122608656</v>
      </c>
    </row>
    <row r="58">
      <c r="A58" s="5" t="str">
        <f>IFERROR(__xludf.DUMMYFUNCTION("""COMPUTED_VALUE"""),"Estimated recovery: November 2026")</f>
        <v>Estimated recovery: November 2026</v>
      </c>
      <c r="B58" s="5">
        <v>0.10896867541685296</v>
      </c>
    </row>
    <row r="59">
      <c r="A59" s="5" t="str">
        <f>IFERROR(__xludf.DUMMYFUNCTION("""COMPUTED_VALUE"""),"Estimated recovery: November 2026, Product on hand is 8-12 months of dating prior to expiry")</f>
        <v>Estimated recovery: November 2026, Product on hand is 8-12 months of dating prior to expiry</v>
      </c>
      <c r="B59" s="5">
        <v>0.9850925235741713</v>
      </c>
    </row>
    <row r="60">
      <c r="A60" s="5" t="str">
        <f>IFERROR(__xludf.DUMMYFUNCTION("""COMPUTED_VALUE"""),"Estimated recovery: November 2026; Marketed by Sagent Pharmaceuticals")</f>
        <v>Estimated recovery: November 2026; Marketed by Sagent Pharmaceuticals</v>
      </c>
      <c r="B60" s="5">
        <v>0.18067831542967605</v>
      </c>
    </row>
    <row r="61">
      <c r="A61" s="5" t="str">
        <f>IFERROR(__xludf.DUMMYFUNCTION("""COMPUTED_VALUE"""),"Estimated Recovery: Novemeber 2026")</f>
        <v>Estimated Recovery: Novemeber 2026</v>
      </c>
      <c r="B61" s="5">
        <v>0.020419909561337435</v>
      </c>
    </row>
    <row r="62">
      <c r="A62" s="5" t="str">
        <f>IFERROR(__xludf.DUMMYFUNCTION("""COMPUTED_VALUE"""),"Estimated recovery: October 2026")</f>
        <v>Estimated recovery: October 2026</v>
      </c>
      <c r="B62" s="5">
        <v>0.7715878531126601</v>
      </c>
    </row>
    <row r="63">
      <c r="A63" s="5" t="str">
        <f>IFERROR(__xludf.DUMMYFUNCTION("""COMPUTED_VALUE"""),"Estimated recovery: Q4 2026")</f>
        <v>Estimated recovery: Q4 2026</v>
      </c>
      <c r="B63" s="5">
        <v>0.3780355353201904</v>
      </c>
    </row>
    <row r="64">
      <c r="A64" s="5" t="str">
        <f>IFERROR(__xludf.DUMMYFUNCTION("""COMPUTED_VALUE"""),"Estimated recovery: TBD")</f>
        <v>Estimated recovery: TBD</v>
      </c>
      <c r="B64" s="5">
        <v>0.7637226206080971</v>
      </c>
    </row>
    <row r="65">
      <c r="A65" s="5" t="str">
        <f>IFERROR(__xludf.DUMMYFUNCTION("""COMPUTED_VALUE"""),"Estimated Recovery: TBD")</f>
        <v>Estimated Recovery: TBD</v>
      </c>
      <c r="B65" s="5">
        <v>0.5715989080204017</v>
      </c>
    </row>
    <row r="66">
      <c r="A66" s="5" t="str">
        <f>IFERROR(__xludf.DUMMYFUNCTION("""COMPUTED_VALUE"""),"Estimated recovery: TBD; Distributed by Sagent Pharmaceuticals")</f>
        <v>Estimated recovery: TBD; Distributed by Sagent Pharmaceuticals</v>
      </c>
      <c r="B66" s="5">
        <v>0.38358271717725834</v>
      </c>
    </row>
    <row r="67">
      <c r="A67" s="5" t="str">
        <f>IFERROR(__xludf.DUMMYFUNCTION("""COMPUTED_VALUE"""),"Estimated recovery: TBD; Marketed by Sagent Pharmaceuticals")</f>
        <v>Estimated recovery: TBD; Marketed by Sagent Pharmaceuticals</v>
      </c>
      <c r="B67" s="5">
        <v>0.595805217844438</v>
      </c>
    </row>
    <row r="68">
      <c r="A68" s="5" t="str">
        <f>IFERROR(__xludf.DUMMYFUNCTION("""COMPUTED_VALUE"""),"Estimated recovery: TBD; Please check wholesalers for inventory")</f>
        <v>Estimated recovery: TBD; Please check wholesalers for inventory</v>
      </c>
      <c r="B68" s="5">
        <v>0.8782294984213709</v>
      </c>
    </row>
    <row r="69">
      <c r="A69" s="5" t="str">
        <f>IFERROR(__xludf.DUMMYFUNCTION("""COMPUTED_VALUE"""),"Estimated recovery: TBD. This product is distributed by ICU Medical. For questions regarding this product, please contact ICU Medical.")</f>
        <v>Estimated recovery: TBD. This product is distributed by ICU Medical. For questions regarding this product, please contact ICU Medical.</v>
      </c>
      <c r="B69" s="5">
        <v>0.2733112923364872</v>
      </c>
    </row>
    <row r="70">
      <c r="A70" s="5" t="str">
        <f>IFERROR(__xludf.DUMMYFUNCTION("""COMPUTED_VALUE"""),"Estimated recovery: TBD/ NDC non-Exempt")</f>
        <v>Estimated recovery: TBD/ NDC non-Exempt</v>
      </c>
      <c r="B70" s="5">
        <v>0.5710256356858803</v>
      </c>
    </row>
    <row r="71">
      <c r="A71" s="5" t="str">
        <f>IFERROR(__xludf.DUMMYFUNCTION("""COMPUTED_VALUE"""),"Estimated shortage duration: TBD")</f>
        <v>Estimated shortage duration: TBD</v>
      </c>
      <c r="B71" s="5">
        <v>0.09674692598477319</v>
      </c>
    </row>
    <row r="72">
      <c r="A72" s="5" t="str">
        <f>IFERROR(__xludf.DUMMYFUNCTION("""COMPUTED_VALUE"""),"Expected recovery: TBD")</f>
        <v>Expected recovery: TBD</v>
      </c>
      <c r="B72" s="5">
        <v>0.7884866484957708</v>
      </c>
    </row>
    <row r="73">
      <c r="A73" s="5" t="str">
        <f>IFERROR(__xludf.DUMMYFUNCTION("""COMPUTED_VALUE"""),"Historical NDC: 0409-1582-29")</f>
        <v>Historical NDC: 0409-1582-29</v>
      </c>
      <c r="B73" s="5">
        <v>0.8018546566454687</v>
      </c>
    </row>
    <row r="74">
      <c r="A74" s="5" t="str">
        <f>IFERROR(__xludf.DUMMYFUNCTION("""COMPUTED_VALUE"""),"Historical NDC: 0409-1610-50")</f>
        <v>Historical NDC: 0409-1610-50</v>
      </c>
      <c r="B74" s="5">
        <v>0.21341158071024113</v>
      </c>
    </row>
    <row r="75">
      <c r="A75" s="5" t="str">
        <f>IFERROR(__xludf.DUMMYFUNCTION("""COMPUTED_VALUE"""),"Inventory available in vial presentations.")</f>
        <v>Inventory available in vial presentations.</v>
      </c>
      <c r="B75" s="5">
        <v>0.6929766477599485</v>
      </c>
    </row>
    <row r="76">
      <c r="A76" s="5" t="str">
        <f>IFERROR(__xludf.DUMMYFUNCTION("""COMPUTED_VALUE"""),"Labeler: Hospira Inc.")</f>
        <v>Labeler: Hospira Inc.</v>
      </c>
      <c r="B76" s="5">
        <v>0.7116970989609235</v>
      </c>
    </row>
    <row r="77">
      <c r="A77" s="5" t="str">
        <f>IFERROR(__xludf.DUMMYFUNCTION("""COMPUTED_VALUE"""),"Limited product available. Estimated recovery: October 2026")</f>
        <v>Limited product available. Estimated recovery: October 2026</v>
      </c>
      <c r="B77" s="5">
        <v>0.553954814708146</v>
      </c>
    </row>
    <row r="78">
      <c r="A78" s="5" t="str">
        <f>IFERROR(__xludf.DUMMYFUNCTION("""COMPUTED_VALUE"""),"Limited Supply Available. Next Delivery and Estimated Recovery: December 2026")</f>
        <v>Limited Supply Available. Next Delivery and Estimated Recovery: December 2026</v>
      </c>
      <c r="B78" s="5">
        <v>0.2543249405037651</v>
      </c>
    </row>
    <row r="79">
      <c r="A79" s="5" t="str">
        <f>IFERROR(__xludf.DUMMYFUNCTION("""COMPUTED_VALUE"""),"Limited Supply Available. Next Delivery and Estimated Recovery: December 2026; Shortage per Manufacturer: Manufacturing Delay")</f>
        <v>Limited Supply Available. Next Delivery and Estimated Recovery: December 2026; Shortage per Manufacturer: Manufacturing Delay</v>
      </c>
      <c r="B79" s="5">
        <v>0.9146634302899573</v>
      </c>
    </row>
    <row r="80">
      <c r="A80" s="5" t="str">
        <f>IFERROR(__xludf.DUMMYFUNCTION("""COMPUTED_VALUE"""),"Limited Supply Available. Next Delivery and Estimated Recovery: June 2027")</f>
        <v>Limited Supply Available. Next Delivery and Estimated Recovery: June 2027</v>
      </c>
      <c r="B80" s="5">
        <v>0.06839125136531587</v>
      </c>
    </row>
    <row r="81">
      <c r="A81" s="5" t="str">
        <f>IFERROR(__xludf.DUMMYFUNCTION("""COMPUTED_VALUE"""),"Limited Supply Available. Next Delivery and Estimated Recovery: June 2027; Shortage per Manufacturer: Manufacturing Delay")</f>
        <v>Limited Supply Available. Next Delivery and Estimated Recovery: June 2027; Shortage per Manufacturer: Manufacturing Delay</v>
      </c>
      <c r="B81" s="5">
        <v>0.9326089577024056</v>
      </c>
    </row>
    <row r="82">
      <c r="A82" s="5" t="str">
        <f>IFERROR(__xludf.DUMMYFUNCTION("""COMPUTED_VALUE"""),"Limited Supply Available. Next Delivery: April 2027; Estimated Recovery: June 2027; Shortage per Manufacturer: Manufacturing Delay")</f>
        <v>Limited Supply Available. Next Delivery: April 2027; Estimated Recovery: June 2027; Shortage per Manufacturer: Manufacturing Delay</v>
      </c>
      <c r="B82" s="5">
        <v>0.9112884295368547</v>
      </c>
    </row>
    <row r="83">
      <c r="A83" s="5" t="str">
        <f>IFERROR(__xludf.DUMMYFUNCTION("""COMPUTED_VALUE"""),"Limited Supply Available. Next Delivery: December 2026; Estimated Recovery: March 2027")</f>
        <v>Limited Supply Available. Next Delivery: December 2026; Estimated Recovery: March 2027</v>
      </c>
      <c r="B83" s="5">
        <v>0.19519382435806498</v>
      </c>
    </row>
    <row r="84">
      <c r="A84" s="5" t="str">
        <f>IFERROR(__xludf.DUMMYFUNCTION("""COMPUTED_VALUE"""),"Limited Supply Available. Next Delivery: February 2027; Estimated Recovery: March 2027")</f>
        <v>Limited Supply Available. Next Delivery: February 2027; Estimated Recovery: March 2027</v>
      </c>
      <c r="B84" s="5">
        <v>0.38295222913388727</v>
      </c>
    </row>
    <row r="85">
      <c r="A85" s="5" t="str">
        <f>IFERROR(__xludf.DUMMYFUNCTION("""COMPUTED_VALUE"""),"Limited Supply Available. Next Delivery: January 2027; Estimated Recovery: March 2027")</f>
        <v>Limited Supply Available. Next Delivery: January 2027; Estimated Recovery: March 2027</v>
      </c>
      <c r="B85" s="5">
        <v>0.18435595092012436</v>
      </c>
    </row>
    <row r="86">
      <c r="A86" s="5" t="str">
        <f>IFERROR(__xludf.DUMMYFUNCTION("""COMPUTED_VALUE"""),"Limited Supply Available. Next Delivery: January 2027; Estimated Recovery: March 2027; Shortage per Manufacturer: Manufacturing Delay")</f>
        <v>Limited Supply Available. Next Delivery: January 2027; Estimated Recovery: March 2027; Shortage per Manufacturer: Manufacturing Delay</v>
      </c>
      <c r="B86" s="5">
        <v>0.438267432079277</v>
      </c>
    </row>
    <row r="87">
      <c r="A87" s="5" t="str">
        <f>IFERROR(__xludf.DUMMYFUNCTION("""COMPUTED_VALUE"""),"Limited Supply Available. Next Delivery: November 2026; Estimated Recovery: December 2026")</f>
        <v>Limited Supply Available. Next Delivery: November 2026; Estimated Recovery: December 2026</v>
      </c>
      <c r="B87" s="5">
        <v>0.8824975821854568</v>
      </c>
    </row>
    <row r="88">
      <c r="A88" s="5" t="str">
        <f>IFERROR(__xludf.DUMMYFUNCTION("""COMPUTED_VALUE"""),"Limited Supply Available. Next Delivery: November 2026; Estimated Recovery: December 2026; Shortage per Manufacturer: Manufacturing Delay")</f>
        <v>Limited Supply Available. Next Delivery: November 2026; Estimated Recovery: December 2026; Shortage per Manufacturer: Manufacturing Delay</v>
      </c>
      <c r="B88" s="5">
        <v>0.9042309914229825</v>
      </c>
    </row>
    <row r="89">
      <c r="A89" s="5" t="str">
        <f>IFERROR(__xludf.DUMMYFUNCTION("""COMPUTED_VALUE"""),"Limited Supply Available. Next Delivery: November 2026; Estimated Recovery: September 2027; Shortage per Manufacturer: Manufacturing Delay")</f>
        <v>Limited Supply Available. Next Delivery: November 2026; Estimated Recovery: September 2027; Shortage per Manufacturer: Manufacturing Delay</v>
      </c>
      <c r="B89" s="5">
        <v>0.2761629722444905</v>
      </c>
    </row>
    <row r="90">
      <c r="A90" s="5" t="str">
        <f>IFERROR(__xludf.DUMMYFUNCTION("""COMPUTED_VALUE"""),"Limited Supply Available. Next Delivery: October 2026; Estimated Recovery: December 2026")</f>
        <v>Limited Supply Available. Next Delivery: October 2026; Estimated Recovery: December 2026</v>
      </c>
      <c r="B90" s="5">
        <v>0.46637263114407246</v>
      </c>
    </row>
    <row r="91">
      <c r="A91" s="5" t="str">
        <f>IFERROR(__xludf.DUMMYFUNCTION("""COMPUTED_VALUE"""),"Limited Supply Available. Next Delivery: October 2026; Estimated Recovery: December 2026; Shortage per Manufacturer: Manufacturing Delay")</f>
        <v>Limited Supply Available. Next Delivery: October 2026; Estimated Recovery: December 2026; Shortage per Manufacturer: Manufacturing Delay</v>
      </c>
      <c r="B91" s="5">
        <v>0.14919717471632732</v>
      </c>
    </row>
    <row r="92">
      <c r="A92" s="5" t="str">
        <f>IFERROR(__xludf.DUMMYFUNCTION("""COMPUTED_VALUE"""),"Limited Supply Available. Next Delivery: October 2026; Estimated Recovery: March 2027")</f>
        <v>Limited Supply Available. Next Delivery: October 2026; Estimated Recovery: March 2027</v>
      </c>
      <c r="B92" s="5">
        <v>0.591423436687714</v>
      </c>
    </row>
    <row r="93">
      <c r="A93" s="5" t="str">
        <f>IFERROR(__xludf.DUMMYFUNCTION("""COMPUTED_VALUE"""),"Limited supply; Check wholesalers for inventory; Marketed by Baxter")</f>
        <v>Limited supply; Check wholesalers for inventory; Marketed by Baxter</v>
      </c>
      <c r="B93" s="5">
        <v>0.19562646310209575</v>
      </c>
    </row>
    <row r="94">
      <c r="A94" s="5" t="str">
        <f>IFERROR(__xludf.DUMMYFUNCTION("""COMPUTED_VALUE"""),"Marketed by Advagen Pharma Ltd.")</f>
        <v>Marketed by Advagen Pharma Ltd.</v>
      </c>
      <c r="B94" s="5">
        <v>0.4766246695478019</v>
      </c>
    </row>
    <row r="95">
      <c r="A95" s="5" t="str">
        <f>IFERROR(__xludf.DUMMYFUNCTION("""COMPUTED_VALUE"""),"Marketed by H2-Pharma")</f>
        <v>Marketed by H2-Pharma</v>
      </c>
      <c r="B95" s="5">
        <v>0.8478761291088173</v>
      </c>
    </row>
    <row r="96">
      <c r="A96" s="5" t="str">
        <f>IFERROR(__xludf.DUMMYFUNCTION("""COMPUTED_VALUE"""),"Marketed by Piramal Critical Care Inc.: 800-414-1901")</f>
        <v>Marketed by Piramal Critical Care Inc.: 800-414-1901</v>
      </c>
      <c r="B96" s="5">
        <v>0.8418271702778257</v>
      </c>
    </row>
    <row r="97">
      <c r="A97" s="5" t="str">
        <f>IFERROR(__xludf.DUMMYFUNCTION("""COMPUTED_VALUE"""),"Marketed by Sagent Pharmaceuticals")</f>
        <v>Marketed by Sagent Pharmaceuticals</v>
      </c>
      <c r="B97" s="5">
        <v>0.3599423166521266</v>
      </c>
    </row>
    <row r="98">
      <c r="A98" s="5" t="str">
        <f>IFERROR(__xludf.DUMMYFUNCTION("""COMPUTED_VALUE"""),"Marketed by Sandoz Inc.; Customer service: 800-525-8747")</f>
        <v>Marketed by Sandoz Inc.; Customer service: 800-525-8747</v>
      </c>
      <c r="B98" s="5">
        <v>0.1432145986289225</v>
      </c>
    </row>
    <row r="99">
      <c r="A99" s="5" t="str">
        <f>IFERROR(__xludf.DUMMYFUNCTION("""COMPUTED_VALUE"""),"Marketed by Solco Healthcare")</f>
        <v>Marketed by Solco Healthcare</v>
      </c>
      <c r="B99" s="5">
        <v>0.23764434842206528</v>
      </c>
    </row>
    <row r="100">
      <c r="A100" s="5" t="str">
        <f>IFERROR(__xludf.DUMMYFUNCTION("""COMPUTED_VALUE"""),"Marketed by WG Critical Care")</f>
        <v>Marketed by WG Critical Care</v>
      </c>
      <c r="B100" s="5">
        <v>0.22479036049028556</v>
      </c>
    </row>
    <row r="101">
      <c r="A101" s="5" t="str">
        <f>IFERROR(__xludf.DUMMYFUNCTION("""COMPUTED_VALUE"""),"Meitheal Pharmaceuticals is distributor/labeler")</f>
        <v>Meitheal Pharmaceuticals is distributor/labeler</v>
      </c>
      <c r="B101" s="5">
        <v>0.5271087359546635</v>
      </c>
    </row>
    <row r="102">
      <c r="A102" s="5" t="str">
        <f>IFERROR(__xludf.DUMMYFUNCTION("""COMPUTED_VALUE"""),"Next Delivery and Estimated Recovery: December 2026; Shortage per Manufacturer: Manufacturing Delay")</f>
        <v>Next Delivery and Estimated Recovery: December 2026; Shortage per Manufacturer: Manufacturing Delay</v>
      </c>
      <c r="B102" s="5">
        <v>0.12651425939833227</v>
      </c>
    </row>
    <row r="103">
      <c r="A103" s="5" t="str">
        <f>IFERROR(__xludf.DUMMYFUNCTION("""COMPUTED_VALUE"""),"Next Delivery and Estimated Recovery: December 2027")</f>
        <v>Next Delivery and Estimated Recovery: December 2027</v>
      </c>
      <c r="B103" s="5">
        <v>0.2943110629726112</v>
      </c>
    </row>
    <row r="104">
      <c r="A104" s="5" t="str">
        <f>IFERROR(__xludf.DUMMYFUNCTION("""COMPUTED_VALUE"""),"Next Delivery and Estimated Recovery: December 2027; Shortage per Manufacturer: Manufacturing Delay")</f>
        <v>Next Delivery and Estimated Recovery: December 2027; Shortage per Manufacturer: Manufacturing Delay</v>
      </c>
      <c r="B104" s="5">
        <v>0.5301107074508147</v>
      </c>
    </row>
    <row r="105">
      <c r="A105" s="5" t="str">
        <f>IFERROR(__xludf.DUMMYFUNCTION("""COMPUTED_VALUE"""),"Next Delivery and Estimated Recovery: December 2028; Shortage per Manufacturer: Manufacturing Delay")</f>
        <v>Next Delivery and Estimated Recovery: December 2028; Shortage per Manufacturer: Manufacturing Delay</v>
      </c>
      <c r="B105" s="5">
        <v>0.717082559641321</v>
      </c>
    </row>
    <row r="106">
      <c r="A106" s="5" t="str">
        <f>IFERROR(__xludf.DUMMYFUNCTION("""COMPUTED_VALUE"""),"Next Delivery and Estimated Recovery: June 2027; Shortage per Manufacturer: Manufacturing Delay")</f>
        <v>Next Delivery and Estimated Recovery: June 2027; Shortage per Manufacturer: Manufacturing Delay</v>
      </c>
      <c r="B106" s="5">
        <v>0.39216101883532706</v>
      </c>
    </row>
    <row r="107">
      <c r="A107" s="5" t="str">
        <f>IFERROR(__xludf.DUMMYFUNCTION("""COMPUTED_VALUE"""),"Next Delivery and Estimated Recovery: March 2027; Shortage per Manufacturer: Manufacturing Delay")</f>
        <v>Next Delivery and Estimated Recovery: March 2027; Shortage per Manufacturer: Manufacturing Delay</v>
      </c>
      <c r="B107" s="5">
        <v>0.008859008992732065</v>
      </c>
    </row>
    <row r="108">
      <c r="A108" s="5" t="str">
        <f>IFERROR(__xludf.DUMMYFUNCTION("""COMPUTED_VALUE"""),"Next Delivery: February 2027; Estimated Recovery: June 2027; Shortage per Manufacturer: Manufacturing Delay")</f>
        <v>Next Delivery: February 2027; Estimated Recovery: June 2027; Shortage per Manufacturer: Manufacturing Delay</v>
      </c>
      <c r="B108" s="5">
        <v>0.6393384327282654</v>
      </c>
    </row>
    <row r="109">
      <c r="A109" s="5" t="str">
        <f>IFERROR(__xludf.DUMMYFUNCTION("""COMPUTED_VALUE"""),"Next Delivery: February 2027; Estimated Recovery: March 2027; Shortage per Manufacturer: Manufacturing Delay")</f>
        <v>Next Delivery: February 2027; Estimated Recovery: March 2027; Shortage per Manufacturer: Manufacturing Delay</v>
      </c>
      <c r="B109" s="5">
        <v>0.1711177878277671</v>
      </c>
    </row>
    <row r="110">
      <c r="A110" s="5" t="str">
        <f>IFERROR(__xludf.DUMMYFUNCTION("""COMPUTED_VALUE"""),"Next Delivery: January 2027; Estimated Recovery: June 2027; Shortage per Manufacturer: Manufacturing Delay")</f>
        <v>Next Delivery: January 2027; Estimated Recovery: June 2027; Shortage per Manufacturer: Manufacturing Delay</v>
      </c>
      <c r="B110" s="5">
        <v>0.28586183811855415</v>
      </c>
    </row>
    <row r="111">
      <c r="A111" s="5" t="str">
        <f>IFERROR(__xludf.DUMMYFUNCTION("""COMPUTED_VALUE"""),"Next Delivery: January 2027; Estimated Recovery: March 2027")</f>
        <v>Next Delivery: January 2027; Estimated Recovery: March 2027</v>
      </c>
      <c r="B111" s="5">
        <v>0.677546402925323</v>
      </c>
    </row>
    <row r="112">
      <c r="A112" s="5" t="str">
        <f>IFERROR(__xludf.DUMMYFUNCTION("""COMPUTED_VALUE"""),"Next Delivery: January 2027; Estimated Recovery: March 2027; Shortage per Manufacturer: Manufacturing Delay")</f>
        <v>Next Delivery: January 2027; Estimated Recovery: March 2027; Shortage per Manufacturer: Manufacturing Delay</v>
      </c>
      <c r="B112" s="5">
        <v>0.08488106992636868</v>
      </c>
    </row>
    <row r="113">
      <c r="A113" s="5" t="str">
        <f>IFERROR(__xludf.DUMMYFUNCTION("""COMPUTED_VALUE"""),"Next Delivery: November 2026; Estimated Recovery: December 2026")</f>
        <v>Next Delivery: November 2026; Estimated Recovery: December 2026</v>
      </c>
      <c r="B113" s="5">
        <v>0.30427304001955047</v>
      </c>
    </row>
    <row r="114">
      <c r="A114" s="5" t="str">
        <f>IFERROR(__xludf.DUMMYFUNCTION("""COMPUTED_VALUE"""),"Next Delivery: November 2026; Estimated Recovery: December 2026; Shortage per Manufacturer: Manufacturing Delay")</f>
        <v>Next Delivery: November 2026; Estimated Recovery: December 2026; Shortage per Manufacturer: Manufacturing Delay</v>
      </c>
      <c r="B114" s="5">
        <v>0.4031314665160777</v>
      </c>
    </row>
    <row r="115">
      <c r="A115" s="5" t="str">
        <f>IFERROR(__xludf.DUMMYFUNCTION("""COMPUTED_VALUE"""),"Next Delivery: November 2026; Estimated Recovery: December 2026. Shortage per Manufacturer: Manufacturing Delay")</f>
        <v>Next Delivery: November 2026; Estimated Recovery: December 2026. Shortage per Manufacturer: Manufacturing Delay</v>
      </c>
      <c r="B115" s="5">
        <v>0.6918456828882199</v>
      </c>
    </row>
    <row r="116">
      <c r="A116" s="5" t="str">
        <f>IFERROR(__xludf.DUMMYFUNCTION("""COMPUTED_VALUE"""),"Next Delivery: October 2026; Estimated Recovery: December 2026; Shortage per Manufacturer: Manufacturing Delay")</f>
        <v>Next Delivery: October 2026; Estimated Recovery: December 2026; Shortage per Manufacturer: Manufacturing Delay</v>
      </c>
      <c r="B116" s="5">
        <v>0.6745051514718703</v>
      </c>
    </row>
    <row r="117">
      <c r="A117" s="5" t="str">
        <f>IFERROR(__xludf.DUMMYFUNCTION("""COMPUTED_VALUE"""),"Next Delivery: October 2026; Estimated Recovery: March 2027; Shortage per Manufacturer: Manufacturing Delay")</f>
        <v>Next Delivery: October 2026; Estimated Recovery: March 2027; Shortage per Manufacturer: Manufacturing Delay</v>
      </c>
      <c r="B117" s="5">
        <v>0.9390822031283627</v>
      </c>
    </row>
    <row r="118">
      <c r="A118" s="5" t="str">
        <f>IFERROR(__xludf.DUMMYFUNCTION("""COMPUTED_VALUE"""),"Next Delivery: October 2027; Estimated Recovery: December 2027; Shortage per Manufacturer: Manufacturing Delay")</f>
        <v>Next Delivery: October 2027; Estimated Recovery: December 2027; Shortage per Manufacturer: Manufacturing Delay</v>
      </c>
      <c r="B118" s="5">
        <v>0.759000362986076</v>
      </c>
    </row>
    <row r="119">
      <c r="A119" s="5" t="str">
        <f>IFERROR(__xludf.DUMMYFUNCTION("""COMPUTED_VALUE"""),"Next Estimated Delivery and Estimated Recovery: December 2026")</f>
        <v>Next Estimated Delivery and Estimated Recovery: December 2026</v>
      </c>
      <c r="B119" s="5">
        <v>0.747561402058471</v>
      </c>
    </row>
    <row r="120">
      <c r="A120" s="5" t="str">
        <f>IFERROR(__xludf.DUMMYFUNCTION("""COMPUTED_VALUE"""),"Next release December 2026. Check wholesalers for inventory.")</f>
        <v>Next release December 2026. Check wholesalers for inventory.</v>
      </c>
      <c r="B120" s="5">
        <v>0.22777291072381867</v>
      </c>
    </row>
    <row r="121">
      <c r="A121" s="5" t="str">
        <f>IFERROR(__xludf.DUMMYFUNCTION("""COMPUTED_VALUE"""),"Next release January 2027. Check wholesalers for inventory.")</f>
        <v>Next release January 2027. Check wholesalers for inventory.</v>
      </c>
      <c r="B121" s="5">
        <v>0.847640311592239</v>
      </c>
    </row>
    <row r="122">
      <c r="A122" s="5" t="str">
        <f>IFERROR(__xludf.DUMMYFUNCTION("""COMPUTED_VALUE"""),"Next release not available at this time.  Check wholesalers for inventory.")</f>
        <v>Next release not available at this time.  Check wholesalers for inventory.</v>
      </c>
      <c r="B122" s="5">
        <v>0.8847980634287655</v>
      </c>
    </row>
    <row r="123">
      <c r="A123" s="5" t="str">
        <f>IFERROR(__xludf.DUMMYFUNCTION("""COMPUTED_VALUE"""),"Next release November 2026. Check wholesalers for inventory.")</f>
        <v>Next release November 2026. Check wholesalers for inventory.</v>
      </c>
      <c r="B123" s="5">
        <v>0.7098518318886676</v>
      </c>
    </row>
    <row r="124">
      <c r="A124" s="5" t="str">
        <f>IFERROR(__xludf.DUMMYFUNCTION("""COMPUTED_VALUE"""),"Next release October 2026. Check wholesalers for inventory.")</f>
        <v>Next release October 2026. Check wholesalers for inventory.</v>
      </c>
      <c r="B124" s="5">
        <v>0.2961496877543315</v>
      </c>
    </row>
    <row r="125">
      <c r="A125" s="5" t="str">
        <f>IFERROR(__xludf.DUMMYFUNCTION("""COMPUTED_VALUE"""),"Next release: November 2026. Check wholesalers for inventory.")</f>
        <v>Next release: November 2026. Check wholesalers for inventory.</v>
      </c>
      <c r="B125" s="5">
        <v>0.7748652198174386</v>
      </c>
    </row>
    <row r="126">
      <c r="A126" s="5" t="str">
        <f>IFERROR(__xludf.DUMMYFUNCTION("""COMPUTED_VALUE"""),"No longer manufactured, some supplies still available in supply chain. Distributed by Ritedose Pharmaceuticals, LLC (855) 806 3300")</f>
        <v>No longer manufactured, some supplies still available in supply chain. Distributed by Ritedose Pharmaceuticals, LLC (855) 806 3300</v>
      </c>
      <c r="B126" s="5">
        <v>0.2574378353354606</v>
      </c>
    </row>
    <row r="127">
      <c r="A127" s="5" t="str">
        <f>IFERROR(__xludf.DUMMYFUNCTION("""COMPUTED_VALUE"""),"No longer manufactured, some supplies still available in supply chain. Distributed by Woodward Pharma Services LLC (248) 308-1120 Ext 2")</f>
        <v>No longer manufactured, some supplies still available in supply chain. Distributed by Woodward Pharma Services LLC (248) 308-1120 Ext 2</v>
      </c>
      <c r="B127" s="5">
        <v>0.5945120162483838</v>
      </c>
    </row>
    <row r="128">
      <c r="A128" s="5" t="str">
        <f>IFERROR(__xludf.DUMMYFUNCTION("""COMPUTED_VALUE"""),"Not available. Long-term backorder for all NDCs. No estimated release date at this time.")</f>
        <v>Not available. Long-term backorder for all NDCs. No estimated release date at this time.</v>
      </c>
      <c r="B128" s="5">
        <v>0.7199613182323553</v>
      </c>
    </row>
    <row r="129">
      <c r="A129" s="5" t="str">
        <f>IFERROR(__xludf.DUMMYFUNCTION("""COMPUTED_VALUE"""),"Not currently manufactured")</f>
        <v>Not currently manufactured</v>
      </c>
      <c r="B129" s="5">
        <v>0.6674521528193279</v>
      </c>
    </row>
    <row r="130">
      <c r="A130" s="5" t="str">
        <f>IFERROR(__xludf.DUMMYFUNCTION("""COMPUTED_VALUE"""),"Novaplus label")</f>
        <v>Novaplus label</v>
      </c>
      <c r="B130" s="5">
        <v>0.9011991595463614</v>
      </c>
    </row>
    <row r="131">
      <c r="A131" s="5" t="str">
        <f>IFERROR(__xludf.DUMMYFUNCTION("""COMPUTED_VALUE"""),"On allocation")</f>
        <v>On allocation</v>
      </c>
      <c r="B131" s="5">
        <v>0.25575883987721204</v>
      </c>
    </row>
    <row r="132">
      <c r="A132" s="5" t="str">
        <f>IFERROR(__xludf.DUMMYFUNCTION("""COMPUTED_VALUE"""),"On backorder. Recovery: late October 2026; Check wholesalers for inventory")</f>
        <v>On backorder. Recovery: late October 2026; Check wholesalers for inventory</v>
      </c>
      <c r="B132" s="5">
        <v>0.013076820179220294</v>
      </c>
    </row>
    <row r="133">
      <c r="A133" s="5" t="str">
        <f>IFERROR(__xludf.DUMMYFUNCTION("""COMPUTED_VALUE"""),"On backorder. Recovery: late-November 2026; Check wholesalers for inventory")</f>
        <v>On backorder. Recovery: late-November 2026; Check wholesalers for inventory</v>
      </c>
      <c r="B133" s="5">
        <v>0.7910473435921715</v>
      </c>
    </row>
    <row r="134">
      <c r="A134" s="5" t="str">
        <f>IFERROR(__xludf.DUMMYFUNCTION("""COMPUTED_VALUE"""),"On backorder. Recovery: late-October 2026. Check wholesalers for inventory")</f>
        <v>On backorder. Recovery: late-October 2026. Check wholesalers for inventory</v>
      </c>
      <c r="B134" s="5">
        <v>0.09282464396065493</v>
      </c>
    </row>
    <row r="135">
      <c r="A135" s="5" t="str">
        <f>IFERROR(__xludf.DUMMYFUNCTION("""COMPUTED_VALUE"""),"On backorder. Recovery: mid-November 2026; Check wholesalers for inventory")</f>
        <v>On backorder. Recovery: mid-November 2026; Check wholesalers for inventory</v>
      </c>
      <c r="B135" s="5">
        <v>0.4068914190638858</v>
      </c>
    </row>
    <row r="136">
      <c r="A136" s="5" t="str">
        <f>IFERROR(__xludf.DUMMYFUNCTION("""COMPUTED_VALUE"""),"On backorder. Recovery: TBD. Check wholesalers for inventory")</f>
        <v>On backorder. Recovery: TBD. Check wholesalers for inventory</v>
      </c>
      <c r="B136" s="5">
        <v>0.8601372672317369</v>
      </c>
    </row>
    <row r="137">
      <c r="A137" s="5" t="str">
        <f>IFERROR(__xludf.DUMMYFUNCTION("""COMPUTED_VALUE"""),"Please check wholesalers and distributors for inventory.")</f>
        <v>Please check wholesalers and distributors for inventory.</v>
      </c>
      <c r="B137" s="5">
        <v>0.7824239170117436</v>
      </c>
    </row>
    <row r="138">
      <c r="A138" s="5" t="str">
        <f>IFERROR(__xludf.DUMMYFUNCTION("""COMPUTED_VALUE"""),"Please check wholesalers for inventory")</f>
        <v>Please check wholesalers for inventory</v>
      </c>
      <c r="B138" s="5">
        <v>0.8478182110035224</v>
      </c>
    </row>
    <row r="139">
      <c r="A139" s="5" t="str">
        <f>IFERROR(__xludf.DUMMYFUNCTION("""COMPUTED_VALUE"""),"Product discontinued. This product is distributed by ICU Medical. For questions regarding this product, please contact ICU Medical.")</f>
        <v>Product discontinued. This product is distributed by ICU Medical. For questions regarding this product, please contact ICU Medical.</v>
      </c>
      <c r="B139" s="5">
        <v>0.5425826104146159</v>
      </c>
    </row>
    <row r="140">
      <c r="A140" s="5" t="str">
        <f>IFERROR(__xludf.DUMMYFUNCTION("""COMPUTED_VALUE"""),"Product temporarily on backorder.  Additional lots will be available in the November 2026 timeframe.")</f>
        <v>Product temporarily on backorder.  Additional lots will be available in the November 2026 timeframe.</v>
      </c>
      <c r="B140" s="5">
        <v>0.4613463875092041</v>
      </c>
    </row>
    <row r="141">
      <c r="A141" s="5" t="str">
        <f>IFERROR(__xludf.DUMMYFUNCTION("""COMPUTED_VALUE"""),"Product temporarily on backorder.  Additional lots will be available the end of October 2026.")</f>
        <v>Product temporarily on backorder.  Additional lots will be available the end of October 2026.</v>
      </c>
      <c r="B141" s="5">
        <v>0.45395147664412416</v>
      </c>
    </row>
    <row r="142">
      <c r="A142" s="5" t="str">
        <f>IFERROR(__xludf.DUMMYFUNCTION("""COMPUTED_VALUE"""),"Product temporarily on backorder. Additional lots will be available in the February 2027 timeframe.")</f>
        <v>Product temporarily on backorder. Additional lots will be available in the February 2027 timeframe.</v>
      </c>
      <c r="B142" s="5">
        <v>0.26915201806092603</v>
      </c>
    </row>
    <row r="143">
      <c r="A143" s="5" t="str">
        <f>IFERROR(__xludf.DUMMYFUNCTION("""COMPUTED_VALUE"""),"Product temporarily unavailable. Estimated recovery: TBD. This product is distributed by ICU Medical. For questions regarding this product, please contact ICU Medical.")</f>
        <v>Product temporarily unavailable. Estimated recovery: TBD. This product is distributed by ICU Medical. For questions regarding this product, please contact ICU Medical.</v>
      </c>
      <c r="B143" s="5">
        <v>0.18019111035566582</v>
      </c>
    </row>
    <row r="144">
      <c r="A144" s="5" t="str">
        <f>IFERROR(__xludf.DUMMYFUNCTION("""COMPUTED_VALUE"""),"Product will be available until discontinuation in January 2027")</f>
        <v>Product will be available until discontinuation in January 2027</v>
      </c>
      <c r="B144" s="5">
        <v>0.06628415099057738</v>
      </c>
    </row>
    <row r="145">
      <c r="A145" s="5" t="str">
        <f>IFERROR(__xludf.DUMMYFUNCTION("""COMPUTED_VALUE"""),"Product will be made available as it is released.")</f>
        <v>Product will be made available as it is released.</v>
      </c>
      <c r="B145" s="5">
        <v>0.34440807871085655</v>
      </c>
    </row>
    <row r="146">
      <c r="A146" s="5" t="str">
        <f>IFERROR(__xludf.DUMMYFUNCTION("""COMPUTED_VALUE"""),"Recovery estimated in late Q4 2026; Distributed by BPI Labs, LLC")</f>
        <v>Recovery estimated in late Q4 2026; Distributed by BPI Labs, LLC</v>
      </c>
      <c r="B146" s="5">
        <v>0.8991594801598316</v>
      </c>
    </row>
    <row r="147">
      <c r="A147" s="5" t="str">
        <f>IFERROR(__xludf.DUMMYFUNCTION("""COMPUTED_VALUE"""),"Replenishment expected mid to late November 2026")</f>
        <v>Replenishment expected mid to late November 2026</v>
      </c>
      <c r="B147" s="5">
        <v>0.5923652947818682</v>
      </c>
    </row>
    <row r="148">
      <c r="A148" s="5" t="str">
        <f>IFERROR(__xludf.DUMMYFUNCTION("""COMPUTED_VALUE"""),"Selling through remaining short-dated inventory (Dec 2026).")</f>
        <v>Selling through remaining short-dated inventory (Dec 2026).</v>
      </c>
      <c r="B148" s="5">
        <v>0.8008999451534018</v>
      </c>
    </row>
    <row r="149">
      <c r="A149" s="5" t="str">
        <f>IFERROR(__xludf.DUMMYFUNCTION("""COMPUTED_VALUE"""),"Short dated inventory with expiry of 8/31/2027 available; Estimated recovery: Jan 2027")</f>
        <v>Short dated inventory with expiry of 8/31/2027 available; Estimated recovery: Jan 2027</v>
      </c>
      <c r="B149" s="5">
        <v>0.5931921039526444</v>
      </c>
    </row>
    <row r="150">
      <c r="A150" s="5" t="str">
        <f>IFERROR(__xludf.DUMMYFUNCTION("""COMPUTED_VALUE"""),"Shortage is estimated for 24 months")</f>
        <v>Shortage is estimated for 24 months</v>
      </c>
      <c r="B150" s="5">
        <v>0.9312125762242239</v>
      </c>
    </row>
    <row r="151">
      <c r="A151" s="5" t="str">
        <f>IFERROR(__xludf.DUMMYFUNCTION("""COMPUTED_VALUE"""),"Small amount of inventory available with 12/31/2026 dating")</f>
        <v>Small amount of inventory available with 12/31/2026 dating</v>
      </c>
      <c r="B151" s="5">
        <v>0.8643437675370341</v>
      </c>
    </row>
    <row r="152">
      <c r="A152" s="5" t="str">
        <f>IFERROR(__xludf.DUMMYFUNCTION("""COMPUTED_VALUE"""),"Tamarang is the application holder and X-Gen is the distributor/labeler")</f>
        <v>Tamarang is the application holder and X-Gen is the distributor/labeler</v>
      </c>
      <c r="B152" s="5">
        <v>0.8107869779139062</v>
      </c>
    </row>
    <row r="153">
      <c r="A153" s="5" t="str">
        <f>IFERROR(__xludf.DUMMYFUNCTION("""COMPUTED_VALUE"""),"This product is distributed by ICU Medical. For questions regarding this product, please contact ICU Medical.")</f>
        <v>This product is distributed by ICU Medical. For questions regarding this product, please contact ICU Medical.</v>
      </c>
      <c r="B153" s="5">
        <v>0.7042481336425452</v>
      </c>
    </row>
    <row r="154">
      <c r="A154" s="5" t="str">
        <f>IFERROR(__xludf.DUMMYFUNCTION("""COMPUTED_VALUE"""),"To place an order, please contact GlobalRX at info@globalrx.com or (919) 245-8418")</f>
        <v>To place an order, please contact GlobalRX at info@globalrx.com or (919) 245-8418</v>
      </c>
      <c r="B154" s="5">
        <v>0.5098513375202788</v>
      </c>
    </row>
    <row r="155">
      <c r="A155" s="5" t="str">
        <f>IFERROR(__xludf.DUMMYFUNCTION("""COMPUTED_VALUE"""),"Wholesaler &amp; Distributor through Marketing partner (Natco Pharma USA LLC)")</f>
        <v>Wholesaler &amp; Distributor through Marketing partner (Natco Pharma USA LLC)</v>
      </c>
      <c r="B155" s="5">
        <v>0.6767396291886552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3" max="3" width="14.0"/>
    <col customWidth="1" min="4" max="4" width="23.38"/>
    <col customWidth="1" min="5" max="5" width="20.88"/>
    <col customWidth="1" min="6" max="6" width="15.0"/>
    <col customWidth="1" min="7" max="7" width="18.38"/>
    <col customWidth="1" min="9" max="9" width="16.5"/>
    <col customWidth="1" min="10" max="10" width="14.88"/>
  </cols>
  <sheetData>
    <row r="1">
      <c r="A1" s="7" t="s">
        <v>401</v>
      </c>
      <c r="B1" s="6" t="s">
        <v>399</v>
      </c>
      <c r="C1" s="6" t="s">
        <v>400</v>
      </c>
      <c r="D1" s="7" t="s">
        <v>402</v>
      </c>
      <c r="E1" s="7" t="s">
        <v>403</v>
      </c>
      <c r="F1" s="7" t="s">
        <v>404</v>
      </c>
      <c r="G1" s="1" t="s">
        <v>405</v>
      </c>
      <c r="H1" s="1" t="s">
        <v>406</v>
      </c>
      <c r="I1" s="1" t="s">
        <v>407</v>
      </c>
      <c r="J1" s="1" t="s">
        <v>408</v>
      </c>
    </row>
    <row r="2">
      <c r="A2" s="5">
        <v>1.0</v>
      </c>
      <c r="B2" s="5" t="s">
        <v>409</v>
      </c>
      <c r="C2" s="5">
        <v>0.005721443152882144</v>
      </c>
      <c r="D2" s="5" t="str">
        <f>IFERROR(__xludf.DUMMYFUNCTION("IF(REGEXMATCH(B2,""(?:January|February|March|April|May|June|July|August|September|October|November|December) \d{4}""), REGEXEXTRACT(B2,""(?s).*((?:January|February|March|April|May|June|July|August|September|October|November|December) \d{4})""), IF(REGEXMA"&amp;"TCH(B2,""Q[1-4] \d{4}""), CHOOSE(VALUE(REGEXEXTRACT(B2,""Q([1-4]) \d{4}"")),""March"",""June"",""September"",""December"")&amp;"" ""&amp;REGEXEXTRACT(B2,""Q[1-4] (\d{4})""), IF(REGEXMATCH(B2,""(?i)TBD|not available at this time""),""TBD"",""Not stated"")))"),"TBD")</f>
        <v>TBD</v>
      </c>
      <c r="E2" s="5" t="str">
        <f>IFERROR(__xludf.DUMMYFUNCTION("IF(REGEXMATCH(B2,""(?i)manufacturing delay""),""Manufacturing delay"", IF(REGEXMATCH(B2,""(?i)no longer manufactured|not currently manufactured|discontinu""),""Discontinuation"", IF(REGEXMATCH(B2,""(?i)increased demand|demand increase|due to demand""),""D"&amp;"emand increase"", IF(REGEXMATCH(B2,""(?i)raw material|ingredient|shipping delay|regulatory""),""Other"",""Not stated""))))"),"Not stated")</f>
        <v>Not stated</v>
      </c>
      <c r="G2" s="5" t="str">
        <f>IFERROR(__xludf.DUMMYFUNCTION("XLOOKUP(TO_TEXT(A2), ai_results!A:A, ai_results!C:C)"),"TBD")</f>
        <v>TBD</v>
      </c>
      <c r="H2" s="5" t="str">
        <f>IFERROR(__xludf.DUMMYFUNCTION("XLOOKUP(TO_TEXT(A2), ai_results!A:A, ai_results!D:D)"),"Not stated")</f>
        <v>Not stated</v>
      </c>
      <c r="I2" s="5" t="str">
        <f t="shared" ref="I2:J2" si="1">IF(D2=G2,"Yes","No")</f>
        <v>Yes</v>
      </c>
      <c r="J2" s="1" t="str">
        <f t="shared" si="1"/>
        <v>Yes</v>
      </c>
    </row>
    <row r="3">
      <c r="A3" s="5">
        <v>2.0</v>
      </c>
      <c r="B3" s="5" t="s">
        <v>410</v>
      </c>
      <c r="C3" s="5">
        <v>0.018632625636469946</v>
      </c>
      <c r="D3" s="5" t="str">
        <f>IFERROR(__xludf.DUMMYFUNCTION("IF(REGEXMATCH(B3,""(?:January|February|March|April|May|June|July|August|September|October|November|December) \d{4}""), REGEXEXTRACT(B3,""(?s).*((?:January|February|March|April|May|June|July|August|September|October|November|December) \d{4})""), IF(REGEXMA"&amp;"TCH(B3,""Q[1-4] \d{4}""), CHOOSE(VALUE(REGEXEXTRACT(B3,""Q([1-4]) \d{4}"")),""March"",""June"",""September"",""December"")&amp;"" ""&amp;REGEXEXTRACT(B3,""Q[1-4] (\d{4})""), IF(REGEXMATCH(B3,""(?i)TBD|not available at this time""),""TBD"",""Not stated"")))"),"Not stated")</f>
        <v>Not stated</v>
      </c>
      <c r="E3" s="5" t="str">
        <f>IFERROR(__xludf.DUMMYFUNCTION("IF(REGEXMATCH(B3,""(?i)manufacturing delay""),""Manufacturing delay"", IF(REGEXMATCH(B3,""(?i)no longer manufactured|not currently manufactured|discontinu""),""Discontinuation"", IF(REGEXMATCH(B3,""(?i)increased demand|demand increase|due to demand""),""D"&amp;"emand increase"", IF(REGEXMATCH(B3,""(?i)raw material|ingredient|shipping delay|regulatory""),""Other"",""Not stated""))))"),"Not stated")</f>
        <v>Not stated</v>
      </c>
      <c r="G3" s="5" t="str">
        <f>IFERROR(__xludf.DUMMYFUNCTION("XLOOKUP(TO_TEXT(A3), ai_results!A:A, ai_results!C:C)"),"Not stated")</f>
        <v>Not stated</v>
      </c>
      <c r="H3" s="5" t="str">
        <f>IFERROR(__xludf.DUMMYFUNCTION("XLOOKUP(TO_TEXT(A3), ai_results!A:A, ai_results!D:D)"),"Not stated")</f>
        <v>Not stated</v>
      </c>
      <c r="I3" s="5" t="str">
        <f t="shared" ref="I3:J3" si="2">IF(D3=G3,"Yes","No")</f>
        <v>Yes</v>
      </c>
      <c r="J3" s="1" t="str">
        <f t="shared" si="2"/>
        <v>Yes</v>
      </c>
    </row>
    <row r="4">
      <c r="A4" s="5">
        <v>3.0</v>
      </c>
      <c r="B4" s="5" t="s">
        <v>411</v>
      </c>
      <c r="C4" s="5">
        <v>0.02962464935564546</v>
      </c>
      <c r="D4" s="5" t="str">
        <f>IFERROR(__xludf.DUMMYFUNCTION("IF(REGEXMATCH(B4,""(?:January|February|March|April|May|June|July|August|September|October|November|December) \d{4}""), REGEXEXTRACT(B4,""(?s).*((?:January|February|March|April|May|June|July|August|September|October|November|December) \d{4})""), IF(REGEXMA"&amp;"TCH(B4,""Q[1-4] \d{4}""), CHOOSE(VALUE(REGEXEXTRACT(B4,""Q([1-4]) \d{4}"")),""March"",""June"",""September"",""December"")&amp;"" ""&amp;REGEXEXTRACT(B4,""Q[1-4] (\d{4})""), IF(REGEXMATCH(B4,""(?i)TBD|not available at this time""),""TBD"",""Not stated"")))"),"Not stated")</f>
        <v>Not stated</v>
      </c>
      <c r="E4" s="5" t="str">
        <f>IFERROR(__xludf.DUMMYFUNCTION("IF(REGEXMATCH(B4,""(?i)manufacturing delay""),""Manufacturing delay"", IF(REGEXMATCH(B4,""(?i)no longer manufactured|not currently manufactured|discontinu""),""Discontinuation"", IF(REGEXMATCH(B4,""(?i)increased demand|demand increase|due to demand""),""D"&amp;"emand increase"", IF(REGEXMATCH(B4,""(?i)raw material|ingredient|shipping delay|regulatory""),""Other"",""Not stated""))))"),"Not stated")</f>
        <v>Not stated</v>
      </c>
      <c r="G4" s="5" t="str">
        <f>IFERROR(__xludf.DUMMYFUNCTION("XLOOKUP(TO_TEXT(A4), ai_results!A:A, ai_results!C:C)"),"Not stated")</f>
        <v>Not stated</v>
      </c>
      <c r="H4" s="5" t="str">
        <f>IFERROR(__xludf.DUMMYFUNCTION("XLOOKUP(TO_TEXT(A4), ai_results!A:A, ai_results!D:D)"),"Not stated")</f>
        <v>Not stated</v>
      </c>
      <c r="I4" s="5" t="str">
        <f t="shared" ref="I4:J4" si="3">IF(D4=G4,"Yes","No")</f>
        <v>Yes</v>
      </c>
      <c r="J4" s="1" t="str">
        <f t="shared" si="3"/>
        <v>Yes</v>
      </c>
    </row>
    <row r="5">
      <c r="A5" s="5">
        <v>4.0</v>
      </c>
      <c r="B5" s="5" t="s">
        <v>412</v>
      </c>
      <c r="C5" s="5">
        <v>0.030918403557467222</v>
      </c>
      <c r="D5" s="5" t="str">
        <f>IFERROR(__xludf.DUMMYFUNCTION("IF(REGEXMATCH(B5,""(?:January|February|March|April|May|June|July|August|September|October|November|December) \d{4}""), REGEXEXTRACT(B5,""(?s).*((?:January|February|March|April|May|June|July|August|September|October|November|December) \d{4})""), IF(REGEXMA"&amp;"TCH(B5,""Q[1-4] \d{4}""), CHOOSE(VALUE(REGEXEXTRACT(B5,""Q([1-4]) \d{4}"")),""March"",""June"",""September"",""December"")&amp;"" ""&amp;REGEXEXTRACT(B5,""Q[1-4] (\d{4})""), IF(REGEXMATCH(B5,""(?i)TBD|not available at this time""),""TBD"",""Not stated"")))"),"March 2027")</f>
        <v>March 2027</v>
      </c>
      <c r="E5" s="5" t="str">
        <f>IFERROR(__xludf.DUMMYFUNCTION("IF(REGEXMATCH(B5,""(?i)manufacturing delay""),""Manufacturing delay"", IF(REGEXMATCH(B5,""(?i)no longer manufactured|not currently manufactured|discontinu""),""Discontinuation"", IF(REGEXMATCH(B5,""(?i)increased demand|demand increase|due to demand""),""D"&amp;"emand increase"", IF(REGEXMATCH(B5,""(?i)raw material|ingredient|shipping delay|regulatory""),""Other"",""Not stated""))))"),"Manufacturing delay")</f>
        <v>Manufacturing delay</v>
      </c>
      <c r="F5" s="1" t="s">
        <v>413</v>
      </c>
      <c r="G5" s="5" t="str">
        <f>IFERROR(__xludf.DUMMYFUNCTION("XLOOKUP(TO_TEXT(A5), ai_results!A:A, ai_results!C:C)"),"March 2:2027")</f>
        <v>March 2:2027</v>
      </c>
      <c r="H5" s="5" t="str">
        <f>IFERROR(__xludf.DUMMYFUNCTION("XLOOKUP(TO_TEXT(A5), ai_results!A:A, ai_results!D:D)"),"Manufacturing delay")</f>
        <v>Manufacturing delay</v>
      </c>
      <c r="I5" s="5" t="str">
        <f t="shared" ref="I5:J5" si="4">IF(D5=G5,"Yes","No")</f>
        <v>No</v>
      </c>
      <c r="J5" s="1" t="str">
        <f t="shared" si="4"/>
        <v>Yes</v>
      </c>
    </row>
    <row r="6">
      <c r="A6" s="5">
        <v>5.0</v>
      </c>
      <c r="B6" s="5" t="s">
        <v>414</v>
      </c>
      <c r="C6" s="5">
        <v>0.03477189961946092</v>
      </c>
      <c r="D6" s="5" t="str">
        <f>IFERROR(__xludf.DUMMYFUNCTION("IF(REGEXMATCH(B6,""(?:January|February|March|April|May|June|July|August|September|October|November|December) \d{4}""), REGEXEXTRACT(B6,""(?s).*((?:January|February|March|April|May|June|July|August|September|October|November|December) \d{4})""), IF(REGEXMA"&amp;"TCH(B6,""Q[1-4] \d{4}""), CHOOSE(VALUE(REGEXEXTRACT(B6,""Q([1-4]) \d{4}"")),""March"",""June"",""September"",""December"")&amp;"" ""&amp;REGEXEXTRACT(B6,""Q[1-4] (\d{4})""), IF(REGEXMATCH(B6,""(?i)TBD|not available at this time""),""TBD"",""Not stated"")))"),"Not stated")</f>
        <v>Not stated</v>
      </c>
      <c r="E6" s="5" t="str">
        <f>IFERROR(__xludf.DUMMYFUNCTION("IF(REGEXMATCH(B6,""(?i)manufacturing delay""),""Manufacturing delay"", IF(REGEXMATCH(B6,""(?i)no longer manufactured|not currently manufactured|discontinu""),""Discontinuation"", IF(REGEXMATCH(B6,""(?i)increased demand|demand increase|due to demand""),""D"&amp;"emand increase"", IF(REGEXMATCH(B6,""(?i)raw material|ingredient|shipping delay|regulatory""),""Other"",""Not stated""))))"),"Not stated")</f>
        <v>Not stated</v>
      </c>
      <c r="G6" s="5" t="str">
        <f>IFERROR(__xludf.DUMMYFUNCTION("XLOOKUP(TO_TEXT(A6), ai_results!A:A, ai_results!C:C)"),"Not stated")</f>
        <v>Not stated</v>
      </c>
      <c r="H6" s="5" t="str">
        <f>IFERROR(__xludf.DUMMYFUNCTION("XLOOKUP(TO_TEXT(A6), ai_results!A:A, ai_results!D:D)"),"Not stated")</f>
        <v>Not stated</v>
      </c>
      <c r="I6" s="5" t="str">
        <f t="shared" ref="I6:J6" si="5">IF(D6=G6,"Yes","No")</f>
        <v>Yes</v>
      </c>
      <c r="J6" s="1" t="str">
        <f t="shared" si="5"/>
        <v>Yes</v>
      </c>
    </row>
    <row r="7">
      <c r="A7" s="5">
        <v>6.0</v>
      </c>
      <c r="B7" s="5" t="s">
        <v>415</v>
      </c>
      <c r="C7" s="5">
        <v>0.035445621375410075</v>
      </c>
      <c r="D7" s="5" t="str">
        <f>IFERROR(__xludf.DUMMYFUNCTION("IF(REGEXMATCH(B7,""(?:January|February|March|April|May|June|July|August|September|October|November|December) \d{4}""), REGEXEXTRACT(B7,""(?s).*((?:January|February|March|April|May|June|July|August|September|October|November|December) \d{4})""), IF(REGEXMA"&amp;"TCH(B7,""Q[1-4] \d{4}""), CHOOSE(VALUE(REGEXEXTRACT(B7,""Q([1-4]) \d{4}"")),""March"",""June"",""September"",""December"")&amp;"" ""&amp;REGEXEXTRACT(B7,""Q[1-4] (\d{4})""), IF(REGEXMATCH(B7,""(?i)TBD|not available at this time""),""TBD"",""Not stated"")))"),"November 2026")</f>
        <v>November 2026</v>
      </c>
      <c r="E7" s="5" t="str">
        <f>IFERROR(__xludf.DUMMYFUNCTION("IF(REGEXMATCH(B7,""(?i)manufacturing delay""),""Manufacturing delay"", IF(REGEXMATCH(B7,""(?i)no longer manufactured|not currently manufactured|discontinu""),""Discontinuation"", IF(REGEXMATCH(B7,""(?i)increased demand|demand increase|due to demand""),""D"&amp;"emand increase"", IF(REGEXMATCH(B7,""(?i)raw material|ingredient|shipping delay|regulatory""),""Other"",""Not stated""))))"),"Not stated")</f>
        <v>Not stated</v>
      </c>
      <c r="F7" s="1" t="s">
        <v>416</v>
      </c>
      <c r="G7" s="5" t="str">
        <f>IFERROR(__xludf.DUMMYFUNCTION("XLOOKUP(TO_TEXT(A7), ai_results!A:A, ai_results!C:C)"),"Not stated")</f>
        <v>Not stated</v>
      </c>
      <c r="H7" s="5" t="str">
        <f>IFERROR(__xludf.DUMMYFUNCTION("XLOOKUP(TO_TEXT(A7), ai_results!A:A, ai_results!D:D)"),"Not stated")</f>
        <v>Not stated</v>
      </c>
      <c r="I7" s="5" t="str">
        <f t="shared" ref="I7:J7" si="6">IF(D7=G7,"Yes","No")</f>
        <v>No</v>
      </c>
      <c r="J7" s="1" t="str">
        <f t="shared" si="6"/>
        <v>Yes</v>
      </c>
    </row>
    <row r="8">
      <c r="A8" s="5">
        <v>7.0</v>
      </c>
      <c r="B8" s="5" t="s">
        <v>417</v>
      </c>
      <c r="C8" s="5">
        <v>0.05144298091992916</v>
      </c>
      <c r="D8" s="5" t="str">
        <f>IFERROR(__xludf.DUMMYFUNCTION("IF(REGEXMATCH(B8,""(?:January|February|March|April|May|June|July|August|September|October|November|December) \d{4}""), REGEXEXTRACT(B8,""(?s).*((?:January|February|March|April|May|June|July|August|September|October|November|December) \d{4})""), IF(REGEXMA"&amp;"TCH(B8,""Q[1-4] \d{4}""), CHOOSE(VALUE(REGEXEXTRACT(B8,""Q([1-4]) \d{4}"")),""March"",""June"",""September"",""December"")&amp;"" ""&amp;REGEXEXTRACT(B8,""Q[1-4] (\d{4})""), IF(REGEXMATCH(B8,""(?i)TBD|not available at this time""),""TBD"",""Not stated"")))"),"Not stated")</f>
        <v>Not stated</v>
      </c>
      <c r="E8" s="5" t="str">
        <f>IFERROR(__xludf.DUMMYFUNCTION("IF(REGEXMATCH(B8,""(?i)manufacturing delay""),""Manufacturing delay"", IF(REGEXMATCH(B8,""(?i)no longer manufactured|not currently manufactured|discontinu""),""Discontinuation"", IF(REGEXMATCH(B8,""(?i)increased demand|demand increase|due to demand""),""D"&amp;"emand increase"", IF(REGEXMATCH(B8,""(?i)raw material|ingredient|shipping delay|regulatory""),""Other"",""Not stated""))))"),"Not stated")</f>
        <v>Not stated</v>
      </c>
      <c r="G8" s="5" t="str">
        <f>IFERROR(__xludf.DUMMYFUNCTION("XLOOKUP(TO_TEXT(A8), ai_results!A:A, ai_results!C:C)"),"Not stated")</f>
        <v>Not stated</v>
      </c>
      <c r="H8" s="5" t="str">
        <f>IFERROR(__xludf.DUMMYFUNCTION("XLOOKUP(TO_TEXT(A8), ai_results!A:A, ai_results!D:D)"),"Not stated")</f>
        <v>Not stated</v>
      </c>
      <c r="I8" s="5" t="str">
        <f t="shared" ref="I8:J8" si="7">IF(D8=G8,"Yes","No")</f>
        <v>Yes</v>
      </c>
      <c r="J8" s="1" t="str">
        <f t="shared" si="7"/>
        <v>Yes</v>
      </c>
    </row>
    <row r="9">
      <c r="A9" s="5">
        <v>8.0</v>
      </c>
      <c r="B9" s="5" t="s">
        <v>418</v>
      </c>
      <c r="C9" s="5">
        <v>0.058130129939552355</v>
      </c>
      <c r="D9" s="5" t="str">
        <f>IFERROR(__xludf.DUMMYFUNCTION("IF(REGEXMATCH(B9,""(?:January|February|March|April|May|June|July|August|September|October|November|December) \d{4}""), REGEXEXTRACT(B9,""(?s).*((?:January|February|March|April|May|June|July|August|September|October|November|December) \d{4})""), IF(REGEXMA"&amp;"TCH(B9,""Q[1-4] \d{4}""), CHOOSE(VALUE(REGEXEXTRACT(B9,""Q([1-4]) \d{4}"")),""March"",""June"",""September"",""December"")&amp;"" ""&amp;REGEXEXTRACT(B9,""Q[1-4] (\d{4})""), IF(REGEXMATCH(B9,""(?i)TBD|not available at this time""),""TBD"",""Not stated"")))"),"Not stated")</f>
        <v>Not stated</v>
      </c>
      <c r="E9" s="5" t="str">
        <f>IFERROR(__xludf.DUMMYFUNCTION("IF(REGEXMATCH(B9,""(?i)manufacturing delay""),""Manufacturing delay"", IF(REGEXMATCH(B9,""(?i)no longer manufactured|not currently manufactured|discontinu""),""Discontinuation"", IF(REGEXMATCH(B9,""(?i)increased demand|demand increase|due to demand""),""D"&amp;"emand increase"", IF(REGEXMATCH(B9,""(?i)raw material|ingredient|shipping delay|regulatory""),""Other"",""Not stated""))))"),"Not stated")</f>
        <v>Not stated</v>
      </c>
      <c r="G9" s="5" t="str">
        <f>IFERROR(__xludf.DUMMYFUNCTION("XLOOKUP(TO_TEXT(A9), ai_results!A:A, ai_results!C:C)"),"Not stated")</f>
        <v>Not stated</v>
      </c>
      <c r="H9" s="5" t="str">
        <f>IFERROR(__xludf.DUMMYFUNCTION("XLOOKUP(TO_TEXT(A9), ai_results!A:A, ai_results!D:D)"),"Not stated")</f>
        <v>Not stated</v>
      </c>
      <c r="I9" s="5" t="str">
        <f t="shared" ref="I9:J9" si="8">IF(D9=G9,"Yes","No")</f>
        <v>Yes</v>
      </c>
      <c r="J9" s="1" t="str">
        <f t="shared" si="8"/>
        <v>Yes</v>
      </c>
    </row>
    <row r="10">
      <c r="A10" s="5">
        <v>9.0</v>
      </c>
      <c r="B10" s="5" t="s">
        <v>133</v>
      </c>
      <c r="C10" s="5">
        <v>0.06377189162135533</v>
      </c>
      <c r="D10" s="5" t="str">
        <f>IFERROR(__xludf.DUMMYFUNCTION("IF(REGEXMATCH(B10,""(?:January|February|March|April|May|June|July|August|September|October|November|December) \d{4}""), REGEXEXTRACT(B10,""(?s).*((?:January|February|March|April|May|June|July|August|September|October|November|December) \d{4})""), IF(REGEX"&amp;"MATCH(B10,""Q[1-4] \d{4}""), CHOOSE(VALUE(REGEXEXTRACT(B10,""Q([1-4]) \d{4}"")),""March"",""June"",""September"",""December"")&amp;"" ""&amp;REGEXEXTRACT(B10,""Q[1-4] (\d{4})""), IF(REGEXMATCH(B10,""(?i)TBD|not available at this time""),""TBD"",""Not stated"")))"),"TBD")</f>
        <v>TBD</v>
      </c>
      <c r="E10" s="5" t="str">
        <f>IFERROR(__xludf.DUMMYFUNCTION("IF(REGEXMATCH(B10,""(?i)manufacturing delay""),""Manufacturing delay"", IF(REGEXMATCH(B10,""(?i)no longer manufactured|not currently manufactured|discontinu""),""Discontinuation"", IF(REGEXMATCH(B10,""(?i)increased demand|demand increase|due to demand""),"&amp;"""Demand increase"", IF(REGEXMATCH(B10,""(?i)raw material|ingredient|shipping delay|regulatory""),""Other"",""Not stated""))))"),"Not stated")</f>
        <v>Not stated</v>
      </c>
      <c r="G10" s="5" t="str">
        <f>IFERROR(__xludf.DUMMYFUNCTION("XLOOKUP(TO_TEXT(A10), ai_results!A:A, ai_results!C:C)"),"TBD")</f>
        <v>TBD</v>
      </c>
      <c r="H10" s="5" t="str">
        <f>IFERROR(__xludf.DUMMYFUNCTION("XLOOKUP(TO_TEXT(A10), ai_results!A:A, ai_results!D:D)"),"Not stated")</f>
        <v>Not stated</v>
      </c>
      <c r="I10" s="5" t="str">
        <f t="shared" ref="I10:J10" si="9">IF(D10=G10,"Yes","No")</f>
        <v>Yes</v>
      </c>
      <c r="J10" s="1" t="str">
        <f t="shared" si="9"/>
        <v>Yes</v>
      </c>
    </row>
    <row r="11">
      <c r="A11" s="5">
        <v>10.0</v>
      </c>
      <c r="B11" s="5" t="s">
        <v>419</v>
      </c>
      <c r="C11" s="5">
        <v>0.06456658386716851</v>
      </c>
      <c r="D11" s="5" t="str">
        <f>IFERROR(__xludf.DUMMYFUNCTION("IF(REGEXMATCH(B11,""(?:January|February|March|April|May|June|July|August|September|October|November|December) \d{4}""), REGEXEXTRACT(B11,""(?s).*((?:January|February|March|April|May|June|July|August|September|October|November|December) \d{4})""), IF(REGEX"&amp;"MATCH(B11,""Q[1-4] \d{4}""), CHOOSE(VALUE(REGEXEXTRACT(B11,""Q([1-4]) \d{4}"")),""March"",""June"",""September"",""December"")&amp;"" ""&amp;REGEXEXTRACT(B11,""Q[1-4] (\d{4})""), IF(REGEXMATCH(B11,""(?i)TBD|not available at this time""),""TBD"",""Not stated"")))"),"October 2026")</f>
        <v>October 2026</v>
      </c>
      <c r="E11" s="5" t="str">
        <f>IFERROR(__xludf.DUMMYFUNCTION("IF(REGEXMATCH(B11,""(?i)manufacturing delay""),""Manufacturing delay"", IF(REGEXMATCH(B11,""(?i)no longer manufactured|not currently manufactured|discontinu""),""Discontinuation"", IF(REGEXMATCH(B11,""(?i)increased demand|demand increase|due to demand""),"&amp;"""Demand increase"", IF(REGEXMATCH(B11,""(?i)raw material|ingredient|shipping delay|regulatory""),""Other"",""Not stated""))))"),"Not stated")</f>
        <v>Not stated</v>
      </c>
      <c r="G11" s="5" t="str">
        <f>IFERROR(__xludf.DUMMYFUNCTION("XLOOKUP(TO_TEXT(A11), ai_results!A:A, ai_results!C:C)"),"October 2026")</f>
        <v>October 2026</v>
      </c>
      <c r="H11" s="5" t="str">
        <f>IFERROR(__xludf.DUMMYFUNCTION("XLOOKUP(TO_TEXT(A11), ai_results!A:A, ai_results!D:D)"),"Not stated")</f>
        <v>Not stated</v>
      </c>
      <c r="I11" s="5" t="str">
        <f t="shared" ref="I11:J11" si="10">IF(D11=G11,"Yes","No")</f>
        <v>Yes</v>
      </c>
      <c r="J11" s="1" t="str">
        <f t="shared" si="10"/>
        <v>Yes</v>
      </c>
    </row>
    <row r="12">
      <c r="A12" s="5">
        <v>11.0</v>
      </c>
      <c r="B12" s="5" t="s">
        <v>420</v>
      </c>
      <c r="C12" s="5">
        <v>0.06643436750837262</v>
      </c>
      <c r="D12" s="5" t="str">
        <f>IFERROR(__xludf.DUMMYFUNCTION("IF(REGEXMATCH(B12,""(?:January|February|March|April|May|June|July|August|September|October|November|December) \d{4}""), REGEXEXTRACT(B12,""(?s).*((?:January|February|March|April|May|June|July|August|September|October|November|December) \d{4})""), IF(REGEX"&amp;"MATCH(B12,""Q[1-4] \d{4}""), CHOOSE(VALUE(REGEXEXTRACT(B12,""Q([1-4]) \d{4}"")),""March"",""June"",""September"",""December"")&amp;"" ""&amp;REGEXEXTRACT(B12,""Q[1-4] (\d{4})""), IF(REGEXMATCH(B12,""(?i)TBD|not available at this time""),""TBD"",""Not stated"")))"),"Not stated")</f>
        <v>Not stated</v>
      </c>
      <c r="E12" s="5" t="str">
        <f>IFERROR(__xludf.DUMMYFUNCTION("IF(REGEXMATCH(B12,""(?i)manufacturing delay""),""Manufacturing delay"", IF(REGEXMATCH(B12,""(?i)no longer manufactured|not currently manufactured|discontinu""),""Discontinuation"", IF(REGEXMATCH(B12,""(?i)increased demand|demand increase|due to demand""),"&amp;"""Demand increase"", IF(REGEXMATCH(B12,""(?i)raw material|ingredient|shipping delay|regulatory""),""Other"",""Not stated""))))"),"Not stated")</f>
        <v>Not stated</v>
      </c>
      <c r="G12" s="5" t="str">
        <f>IFERROR(__xludf.DUMMYFUNCTION("XLOOKUP(TO_TEXT(A12), ai_results!A:A, ai_results!C:C)"),"Not stated")</f>
        <v>Not stated</v>
      </c>
      <c r="H12" s="5" t="str">
        <f>IFERROR(__xludf.DUMMYFUNCTION("XLOOKUP(TO_TEXT(A12), ai_results!A:A, ai_results!D:D)"),"Not stated")</f>
        <v>Not stated</v>
      </c>
      <c r="I12" s="5" t="str">
        <f t="shared" ref="I12:J12" si="11">IF(D12=G12,"Yes","No")</f>
        <v>Yes</v>
      </c>
      <c r="J12" s="1" t="str">
        <f t="shared" si="11"/>
        <v>Yes</v>
      </c>
    </row>
    <row r="13">
      <c r="A13" s="5">
        <v>12.0</v>
      </c>
      <c r="B13" s="5" t="s">
        <v>421</v>
      </c>
      <c r="C13" s="5">
        <v>0.07378971723391758</v>
      </c>
      <c r="D13" s="5" t="str">
        <f>IFERROR(__xludf.DUMMYFUNCTION("IF(REGEXMATCH(B13,""(?:January|February|March|April|May|June|July|August|September|October|November|December) \d{4}""), REGEXEXTRACT(B13,""(?s).*((?:January|February|March|April|May|June|July|August|September|October|November|December) \d{4})""), IF(REGEX"&amp;"MATCH(B13,""Q[1-4] \d{4}""), CHOOSE(VALUE(REGEXEXTRACT(B13,""Q([1-4]) \d{4}"")),""March"",""June"",""September"",""December"")&amp;"" ""&amp;REGEXEXTRACT(B13,""Q[1-4] (\d{4})""), IF(REGEXMATCH(B13,""(?i)TBD|not available at this time""),""TBD"",""Not stated"")))"),"October 2026")</f>
        <v>October 2026</v>
      </c>
      <c r="E13" s="5" t="str">
        <f>IFERROR(__xludf.DUMMYFUNCTION("IF(REGEXMATCH(B13,""(?i)manufacturing delay""),""Manufacturing delay"", IF(REGEXMATCH(B13,""(?i)no longer manufactured|not currently manufactured|discontinu""),""Discontinuation"", IF(REGEXMATCH(B13,""(?i)increased demand|demand increase|due to demand""),"&amp;"""Demand increase"", IF(REGEXMATCH(B13,""(?i)raw material|ingredient|shipping delay|regulatory""),""Other"",""Not stated""))))"),"Not stated")</f>
        <v>Not stated</v>
      </c>
      <c r="G13" s="5" t="str">
        <f>IFERROR(__xludf.DUMMYFUNCTION("XLOOKUP(TO_TEXT(A13), ai_results!A:A, ai_results!C:C)"),"October 2026")</f>
        <v>October 2026</v>
      </c>
      <c r="H13" s="5" t="str">
        <f>IFERROR(__xludf.DUMMYFUNCTION("XLOOKUP(TO_TEXT(A13), ai_results!A:A, ai_results!D:D)"),"Not stated")</f>
        <v>Not stated</v>
      </c>
      <c r="I13" s="5" t="str">
        <f t="shared" ref="I13:J13" si="12">IF(D13=G13,"Yes","No")</f>
        <v>Yes</v>
      </c>
      <c r="J13" s="1" t="str">
        <f t="shared" si="12"/>
        <v>Yes</v>
      </c>
    </row>
    <row r="14">
      <c r="A14" s="5">
        <v>13.0</v>
      </c>
      <c r="B14" s="5" t="s">
        <v>189</v>
      </c>
      <c r="C14" s="5">
        <v>0.08097283966566537</v>
      </c>
      <c r="D14" s="5" t="str">
        <f>IFERROR(__xludf.DUMMYFUNCTION("IF(REGEXMATCH(B14,""(?:January|February|March|April|May|June|July|August|September|October|November|December) \d{4}""), REGEXEXTRACT(B14,""(?s).*((?:January|February|March|April|May|June|July|August|September|October|November|December) \d{4})""), IF(REGEX"&amp;"MATCH(B14,""Q[1-4] \d{4}""), CHOOSE(VALUE(REGEXEXTRACT(B14,""Q([1-4]) \d{4}"")),""March"",""June"",""September"",""December"")&amp;"" ""&amp;REGEXEXTRACT(B14,""Q[1-4] (\d{4})""), IF(REGEXMATCH(B14,""(?i)TBD|not available at this time""),""TBD"",""Not stated"")))"),"November 2026")</f>
        <v>November 2026</v>
      </c>
      <c r="E14" s="5" t="str">
        <f>IFERROR(__xludf.DUMMYFUNCTION("IF(REGEXMATCH(B14,""(?i)manufacturing delay""),""Manufacturing delay"", IF(REGEXMATCH(B14,""(?i)no longer manufactured|not currently manufactured|discontinu""),""Discontinuation"", IF(REGEXMATCH(B14,""(?i)increased demand|demand increase|due to demand""),"&amp;"""Demand increase"", IF(REGEXMATCH(B14,""(?i)raw material|ingredient|shipping delay|regulatory""),""Other"",""Not stated""))))"),"Not stated")</f>
        <v>Not stated</v>
      </c>
      <c r="G14" s="5" t="str">
        <f>IFERROR(__xludf.DUMMYFUNCTION("XLOOKUP(TO_TEXT(A14), ai_results!A:A, ai_results!C:C)"),"November 2026")</f>
        <v>November 2026</v>
      </c>
      <c r="H14" s="5" t="str">
        <f>IFERROR(__xludf.DUMMYFUNCTION("XLOOKUP(TO_TEXT(A14), ai_results!A:A, ai_results!D:D)"),"Not stated")</f>
        <v>Not stated</v>
      </c>
      <c r="I14" s="5" t="str">
        <f t="shared" ref="I14:J14" si="13">IF(D14=G14,"Yes","No")</f>
        <v>Yes</v>
      </c>
      <c r="J14" s="1" t="str">
        <f t="shared" si="13"/>
        <v>Yes</v>
      </c>
    </row>
    <row r="15">
      <c r="A15" s="5">
        <v>14.0</v>
      </c>
      <c r="B15" s="5" t="s">
        <v>422</v>
      </c>
      <c r="C15" s="5">
        <v>0.08928897786372747</v>
      </c>
      <c r="D15" s="5" t="str">
        <f>IFERROR(__xludf.DUMMYFUNCTION("IF(REGEXMATCH(B15,""(?:January|February|March|April|May|June|July|August|September|October|November|December) \d{4}""), REGEXEXTRACT(B15,""(?s).*((?:January|February|March|April|May|June|July|August|September|October|November|December) \d{4})""), IF(REGEX"&amp;"MATCH(B15,""Q[1-4] \d{4}""), CHOOSE(VALUE(REGEXEXTRACT(B15,""Q([1-4]) \d{4}"")),""March"",""June"",""September"",""December"")&amp;"" ""&amp;REGEXEXTRACT(B15,""Q[1-4] (\d{4})""), IF(REGEXMATCH(B15,""(?i)TBD|not available at this time""),""TBD"",""Not stated"")))"),"June 2027")</f>
        <v>June 2027</v>
      </c>
      <c r="E15" s="5" t="str">
        <f>IFERROR(__xludf.DUMMYFUNCTION("IF(REGEXMATCH(B15,""(?i)manufacturing delay""),""Manufacturing delay"", IF(REGEXMATCH(B15,""(?i)no longer manufactured|not currently manufactured|discontinu""),""Discontinuation"", IF(REGEXMATCH(B15,""(?i)increased demand|demand increase|due to demand""),"&amp;"""Demand increase"", IF(REGEXMATCH(B15,""(?i)raw material|ingredient|shipping delay|regulatory""),""Other"",""Not stated""))))"),"Not stated")</f>
        <v>Not stated</v>
      </c>
      <c r="G15" s="5" t="str">
        <f>IFERROR(__xludf.DUMMYFUNCTION("XLOOKUP(TO_TEXT(A15), ai_results!A:A, ai_results!C:C)"),"June 2027")</f>
        <v>June 2027</v>
      </c>
      <c r="H15" s="5" t="str">
        <f>IFERROR(__xludf.DUMMYFUNCTION("XLOOKUP(TO_TEXT(A15), ai_results!A:A, ai_results!D:D)"),"Not stated")</f>
        <v>Not stated</v>
      </c>
      <c r="I15" s="5" t="str">
        <f t="shared" ref="I15:J15" si="14">IF(D15=G15,"Yes","No")</f>
        <v>Yes</v>
      </c>
      <c r="J15" s="1" t="str">
        <f t="shared" si="14"/>
        <v>Yes</v>
      </c>
    </row>
    <row r="16">
      <c r="A16" s="5">
        <v>15.0</v>
      </c>
      <c r="B16" s="5" t="s">
        <v>423</v>
      </c>
      <c r="C16" s="5">
        <v>0.09203112179196249</v>
      </c>
      <c r="D16" s="5" t="str">
        <f>IFERROR(__xludf.DUMMYFUNCTION("IF(REGEXMATCH(B16,""(?:January|February|March|April|May|June|July|August|September|October|November|December) \d{4}""), REGEXEXTRACT(B16,""(?s).*((?:January|February|March|April|May|June|July|August|September|October|November|December) \d{4})""), IF(REGEX"&amp;"MATCH(B16,""Q[1-4] \d{4}""), CHOOSE(VALUE(REGEXEXTRACT(B16,""Q([1-4]) \d{4}"")),""March"",""June"",""September"",""December"")&amp;"" ""&amp;REGEXEXTRACT(B16,""Q[1-4] (\d{4})""), IF(REGEXMATCH(B16,""(?i)TBD|not available at this time""),""TBD"",""Not stated"")))"),"November 2026")</f>
        <v>November 2026</v>
      </c>
      <c r="E16" s="5" t="str">
        <f>IFERROR(__xludf.DUMMYFUNCTION("IF(REGEXMATCH(B16,""(?i)manufacturing delay""),""Manufacturing delay"", IF(REGEXMATCH(B16,""(?i)no longer manufactured|not currently manufactured|discontinu""),""Discontinuation"", IF(REGEXMATCH(B16,""(?i)increased demand|demand increase|due to demand""),"&amp;"""Demand increase"", IF(REGEXMATCH(B16,""(?i)raw material|ingredient|shipping delay|regulatory""),""Other"",""Not stated""))))"),"Not stated")</f>
        <v>Not stated</v>
      </c>
      <c r="G16" s="5" t="str">
        <f>IFERROR(__xludf.DUMMYFUNCTION("XLOOKUP(TO_TEXT(A16), ai_results!A:A, ai_results!C:C)"),"November 2026")</f>
        <v>November 2026</v>
      </c>
      <c r="H16" s="5" t="str">
        <f>IFERROR(__xludf.DUMMYFUNCTION("XLOOKUP(TO_TEXT(A16), ai_results!A:A, ai_results!D:D)"),"Not stated")</f>
        <v>Not stated</v>
      </c>
      <c r="I16" s="5" t="str">
        <f t="shared" ref="I16:J16" si="15">IF(D16=G16,"Yes","No")</f>
        <v>Yes</v>
      </c>
      <c r="J16" s="1" t="str">
        <f t="shared" si="15"/>
        <v>Yes</v>
      </c>
    </row>
    <row r="17">
      <c r="A17" s="5">
        <v>16.0</v>
      </c>
      <c r="B17" s="5" t="s">
        <v>294</v>
      </c>
      <c r="C17" s="5">
        <v>0.09879797030512649</v>
      </c>
      <c r="D17" s="5" t="str">
        <f>IFERROR(__xludf.DUMMYFUNCTION("IF(REGEXMATCH(B17,""(?:January|February|March|April|May|June|July|August|September|October|November|December) \d{4}""), REGEXEXTRACT(B17,""(?s).*((?:January|February|March|April|May|June|July|August|September|October|November|December) \d{4})""), IF(REGEX"&amp;"MATCH(B17,""Q[1-4] \d{4}""), CHOOSE(VALUE(REGEXEXTRACT(B17,""Q([1-4]) \d{4}"")),""March"",""June"",""September"",""December"")&amp;"" ""&amp;REGEXEXTRACT(B17,""Q[1-4] (\d{4})""), IF(REGEXMATCH(B17,""(?i)TBD|not available at this time""),""TBD"",""Not stated"")))"),"September 2026")</f>
        <v>September 2026</v>
      </c>
      <c r="E17" s="5" t="str">
        <f>IFERROR(__xludf.DUMMYFUNCTION("IF(REGEXMATCH(B17,""(?i)manufacturing delay""),""Manufacturing delay"", IF(REGEXMATCH(B17,""(?i)no longer manufactured|not currently manufactured|discontinu""),""Discontinuation"", IF(REGEXMATCH(B17,""(?i)increased demand|demand increase|due to demand""),"&amp;"""Demand increase"", IF(REGEXMATCH(B17,""(?i)raw material|ingredient|shipping delay|regulatory""),""Other"",""Not stated""))))"),"Not stated")</f>
        <v>Not stated</v>
      </c>
      <c r="G17" s="5" t="str">
        <f>IFERROR(__xludf.DUMMYFUNCTION("XLOOKUP(TO_TEXT(A17), ai_results!A:A, ai_results!C:C)"),"September 2026")</f>
        <v>September 2026</v>
      </c>
      <c r="H17" s="5" t="str">
        <f>IFERROR(__xludf.DUMMYFUNCTION("XLOOKUP(TO_TEXT(A17), ai_results!A:A, ai_results!D:D)"),"Not stated")</f>
        <v>Not stated</v>
      </c>
      <c r="I17" s="5" t="str">
        <f t="shared" ref="I17:J17" si="16">IF(D17=G17,"Yes","No")</f>
        <v>Yes</v>
      </c>
      <c r="J17" s="1" t="str">
        <f t="shared" si="16"/>
        <v>Yes</v>
      </c>
    </row>
    <row r="18">
      <c r="A18" s="5">
        <v>17.0</v>
      </c>
      <c r="B18" s="5" t="s">
        <v>340</v>
      </c>
      <c r="C18" s="5">
        <v>0.10524853758634645</v>
      </c>
      <c r="D18" s="5" t="str">
        <f>IFERROR(__xludf.DUMMYFUNCTION("IF(REGEXMATCH(B18,""(?:January|February|March|April|May|June|July|August|September|October|November|December) \d{4}""), REGEXEXTRACT(B18,""(?s).*((?:January|February|March|April|May|June|July|August|September|October|November|December) \d{4})""), IF(REGEX"&amp;"MATCH(B18,""Q[1-4] \d{4}""), CHOOSE(VALUE(REGEXEXTRACT(B18,""Q([1-4]) \d{4}"")),""March"",""June"",""September"",""December"")&amp;"" ""&amp;REGEXEXTRACT(B18,""Q[1-4] (\d{4})""), IF(REGEXMATCH(B18,""(?i)TBD|not available at this time""),""TBD"",""Not stated"")))"),"TBD")</f>
        <v>TBD</v>
      </c>
      <c r="E18" s="5" t="str">
        <f>IFERROR(__xludf.DUMMYFUNCTION("IF(REGEXMATCH(B18,""(?i)manufacturing delay""),""Manufacturing delay"", IF(REGEXMATCH(B18,""(?i)no longer manufactured|not currently manufactured|discontinu""),""Discontinuation"", IF(REGEXMATCH(B18,""(?i)increased demand|demand increase|due to demand""),"&amp;"""Demand increase"", IF(REGEXMATCH(B18,""(?i)raw material|ingredient|shipping delay|regulatory""),""Other"",""Not stated""))))"),"Not stated")</f>
        <v>Not stated</v>
      </c>
      <c r="G18" s="5" t="str">
        <f>IFERROR(__xludf.DUMMYFUNCTION("XLOOKUP(TO_TEXT(A18), ai_results!A:A, ai_results!C:C)"),"TBD")</f>
        <v>TBD</v>
      </c>
      <c r="H18" s="5" t="str">
        <f>IFERROR(__xludf.DUMMYFUNCTION("XLOOKUP(TO_TEXT(A18), ai_results!A:A, ai_results!D:D)"),"Not stated")</f>
        <v>Not stated</v>
      </c>
      <c r="I18" s="5" t="str">
        <f t="shared" ref="I18:J18" si="17">IF(D18=G18,"Yes","No")</f>
        <v>Yes</v>
      </c>
      <c r="J18" s="1" t="str">
        <f t="shared" si="17"/>
        <v>Yes</v>
      </c>
    </row>
    <row r="19">
      <c r="A19" s="5">
        <v>18.0</v>
      </c>
      <c r="B19" s="5" t="s">
        <v>424</v>
      </c>
      <c r="C19" s="5">
        <v>0.1214212283851257</v>
      </c>
      <c r="D19" s="5" t="str">
        <f>IFERROR(__xludf.DUMMYFUNCTION("IF(REGEXMATCH(B19,""(?:January|February|March|April|May|June|July|August|September|October|November|December) \d{4}""), REGEXEXTRACT(B19,""(?s).*((?:January|February|March|April|May|June|July|August|September|October|November|December) \d{4})""), IF(REGEX"&amp;"MATCH(B19,""Q[1-4] \d{4}""), CHOOSE(VALUE(REGEXEXTRACT(B19,""Q([1-4]) \d{4}"")),""March"",""June"",""September"",""December"")&amp;"" ""&amp;REGEXEXTRACT(B19,""Q[1-4] (\d{4})""), IF(REGEXMATCH(B19,""(?i)TBD|not available at this time""),""TBD"",""Not stated"")))"),"March 2027")</f>
        <v>March 2027</v>
      </c>
      <c r="E19" s="5" t="str">
        <f>IFERROR(__xludf.DUMMYFUNCTION("IF(REGEXMATCH(B19,""(?i)manufacturing delay""),""Manufacturing delay"", IF(REGEXMATCH(B19,""(?i)no longer manufactured|not currently manufactured|discontinu""),""Discontinuation"", IF(REGEXMATCH(B19,""(?i)increased demand|demand increase|due to demand""),"&amp;"""Demand increase"", IF(REGEXMATCH(B19,""(?i)raw material|ingredient|shipping delay|regulatory""),""Other"",""Not stated""))))"),"Not stated")</f>
        <v>Not stated</v>
      </c>
      <c r="G19" s="5" t="str">
        <f>IFERROR(__xludf.DUMMYFUNCTION("XLOOKUP(TO_TEXT(A19), ai_results!A:A, ai_results!C:C)"),"March 2027")</f>
        <v>March 2027</v>
      </c>
      <c r="H19" s="5" t="str">
        <f>IFERROR(__xludf.DUMMYFUNCTION("XLOOKUP(TO_TEXT(A19), ai_results!A:A, ai_results!D:D)"),"Not stated")</f>
        <v>Not stated</v>
      </c>
      <c r="I19" s="5" t="str">
        <f t="shared" ref="I19:J19" si="18">IF(D19=G19,"Yes","No")</f>
        <v>Yes</v>
      </c>
      <c r="J19" s="1" t="str">
        <f t="shared" si="18"/>
        <v>Yes</v>
      </c>
    </row>
    <row r="20">
      <c r="A20" s="5">
        <v>19.0</v>
      </c>
      <c r="B20" s="5" t="s">
        <v>425</v>
      </c>
      <c r="C20" s="5">
        <v>0.1245039289968497</v>
      </c>
      <c r="D20" s="5" t="str">
        <f>IFERROR(__xludf.DUMMYFUNCTION("IF(REGEXMATCH(B20,""(?:January|February|March|April|May|June|July|August|September|October|November|December) \d{4}""), REGEXEXTRACT(B20,""(?s).*((?:January|February|March|April|May|June|July|August|September|October|November|December) \d{4})""), IF(REGEX"&amp;"MATCH(B20,""Q[1-4] \d{4}""), CHOOSE(VALUE(REGEXEXTRACT(B20,""Q([1-4]) \d{4}"")),""March"",""June"",""September"",""December"")&amp;"" ""&amp;REGEXEXTRACT(B20,""Q[1-4] (\d{4})""), IF(REGEXMATCH(B20,""(?i)TBD|not available at this time""),""TBD"",""Not stated"")))"),"Not stated")</f>
        <v>Not stated</v>
      </c>
      <c r="E20" s="5" t="str">
        <f>IFERROR(__xludf.DUMMYFUNCTION("IF(REGEXMATCH(B20,""(?i)manufacturing delay""),""Manufacturing delay"", IF(REGEXMATCH(B20,""(?i)no longer manufactured|not currently manufactured|discontinu""),""Discontinuation"", IF(REGEXMATCH(B20,""(?i)increased demand|demand increase|due to demand""),"&amp;"""Demand increase"", IF(REGEXMATCH(B20,""(?i)raw material|ingredient|shipping delay|regulatory""),""Other"",""Not stated""))))"),"Not stated")</f>
        <v>Not stated</v>
      </c>
      <c r="G20" s="5" t="str">
        <f>IFERROR(__xludf.DUMMYFUNCTION("XLOOKUP(TO_TEXT(A20), ai_results!A:A, ai_results!C:C)"),"Not stated")</f>
        <v>Not stated</v>
      </c>
      <c r="H20" s="5" t="str">
        <f>IFERROR(__xludf.DUMMYFUNCTION("XLOOKUP(TO_TEXT(A20), ai_results!A:A, ai_results!D:D)"),"Not stated")</f>
        <v>Not stated</v>
      </c>
      <c r="I20" s="5" t="str">
        <f t="shared" ref="I20:J20" si="19">IF(D20=G20,"Yes","No")</f>
        <v>Yes</v>
      </c>
      <c r="J20" s="1" t="str">
        <f t="shared" si="19"/>
        <v>Yes</v>
      </c>
    </row>
    <row r="21">
      <c r="A21" s="5">
        <v>20.0</v>
      </c>
      <c r="B21" s="5" t="s">
        <v>177</v>
      </c>
      <c r="C21" s="5">
        <v>0.12563882496312528</v>
      </c>
      <c r="D21" s="5" t="str">
        <f>IFERROR(__xludf.DUMMYFUNCTION("IF(REGEXMATCH(B21,""(?:January|February|March|April|May|June|July|August|September|October|November|December) \d{4}""), REGEXEXTRACT(B21,""(?s).*((?:January|February|March|April|May|June|July|August|September|October|November|December) \d{4})""), IF(REGEX"&amp;"MATCH(B21,""Q[1-4] \d{4}""), CHOOSE(VALUE(REGEXEXTRACT(B21,""Q([1-4]) \d{4}"")),""March"",""June"",""September"",""December"")&amp;"" ""&amp;REGEXEXTRACT(B21,""Q[1-4] (\d{4})""), IF(REGEXMATCH(B21,""(?i)TBD|not available at this time""),""TBD"",""Not stated"")))"),"April 2027")</f>
        <v>April 2027</v>
      </c>
      <c r="E21" s="5" t="str">
        <f>IFERROR(__xludf.DUMMYFUNCTION("IF(REGEXMATCH(B21,""(?i)manufacturing delay""),""Manufacturing delay"", IF(REGEXMATCH(B21,""(?i)no longer manufactured|not currently manufactured|discontinu""),""Discontinuation"", IF(REGEXMATCH(B21,""(?i)increased demand|demand increase|due to demand""),"&amp;"""Demand increase"", IF(REGEXMATCH(B21,""(?i)raw material|ingredient|shipping delay|regulatory""),""Other"",""Not stated""))))"),"Not stated")</f>
        <v>Not stated</v>
      </c>
      <c r="G21" s="5" t="str">
        <f>IFERROR(__xludf.DUMMYFUNCTION("XLOOKUP(TO_TEXT(A21), ai_results!A:A, ai_results!C:C)"),"April 2027")</f>
        <v>April 2027</v>
      </c>
      <c r="H21" s="5" t="str">
        <f>IFERROR(__xludf.DUMMYFUNCTION("XLOOKUP(TO_TEXT(A21), ai_results!A:A, ai_results!D:D)"),"Not stated")</f>
        <v>Not stated</v>
      </c>
      <c r="I21" s="5" t="str">
        <f t="shared" ref="I21:J21" si="20">IF(D21=G21,"Yes","No")</f>
        <v>Yes</v>
      </c>
      <c r="J21" s="1" t="str">
        <f t="shared" si="20"/>
        <v>Yes</v>
      </c>
    </row>
    <row r="22">
      <c r="A22" s="5">
        <v>21.0</v>
      </c>
      <c r="B22" s="5" t="s">
        <v>426</v>
      </c>
      <c r="C22" s="5">
        <v>0.134828890672961</v>
      </c>
      <c r="D22" s="5" t="str">
        <f>IFERROR(__xludf.DUMMYFUNCTION("IF(REGEXMATCH(B22,""(?:January|February|March|April|May|June|July|August|September|October|November|December) \d{4}""), REGEXEXTRACT(B22,""(?s).*((?:January|February|March|April|May|June|July|August|September|October|November|December) \d{4})""), IF(REGEX"&amp;"MATCH(B22,""Q[1-4] \d{4}""), CHOOSE(VALUE(REGEXEXTRACT(B22,""Q([1-4]) \d{4}"")),""March"",""June"",""September"",""December"")&amp;"" ""&amp;REGEXEXTRACT(B22,""Q[1-4] (\d{4})""), IF(REGEXMATCH(B22,""(?i)TBD|not available at this time""),""TBD"",""Not stated"")))"),"October 2026")</f>
        <v>October 2026</v>
      </c>
      <c r="E22" s="5" t="str">
        <f>IFERROR(__xludf.DUMMYFUNCTION("IF(REGEXMATCH(B22,""(?i)manufacturing delay""),""Manufacturing delay"", IF(REGEXMATCH(B22,""(?i)no longer manufactured|not currently manufactured|discontinu""),""Discontinuation"", IF(REGEXMATCH(B22,""(?i)increased demand|demand increase|due to demand""),"&amp;"""Demand increase"", IF(REGEXMATCH(B22,""(?i)raw material|ingredient|shipping delay|regulatory""),""Other"",""Not stated""))))"),"Not stated")</f>
        <v>Not stated</v>
      </c>
      <c r="G22" s="5" t="str">
        <f>IFERROR(__xludf.DUMMYFUNCTION("XLOOKUP(TO_TEXT(A22), ai_results!A:A, ai_results!C:C)"),"October 2026")</f>
        <v>October 2026</v>
      </c>
      <c r="H22" s="5" t="str">
        <f>IFERROR(__xludf.DUMMYFUNCTION("XLOOKUP(TO_TEXT(A22), ai_results!A:A, ai_results!D:D)"),"Not stated")</f>
        <v>Not stated</v>
      </c>
      <c r="I22" s="5" t="str">
        <f t="shared" ref="I22:J22" si="21">IF(D22=G22,"Yes","No")</f>
        <v>Yes</v>
      </c>
      <c r="J22" s="1" t="str">
        <f t="shared" si="21"/>
        <v>Yes</v>
      </c>
    </row>
    <row r="23">
      <c r="A23" s="5">
        <v>22.0</v>
      </c>
      <c r="B23" s="5" t="s">
        <v>427</v>
      </c>
      <c r="C23" s="5">
        <v>0.13975773125133506</v>
      </c>
      <c r="D23" s="5" t="str">
        <f>IFERROR(__xludf.DUMMYFUNCTION("IF(REGEXMATCH(B23,""(?:January|February|March|April|May|June|July|August|September|October|November|December) \d{4}""), REGEXEXTRACT(B23,""(?s).*((?:January|February|March|April|May|June|July|August|September|October|November|December) \d{4})""), IF(REGEX"&amp;"MATCH(B23,""Q[1-4] \d{4}""), CHOOSE(VALUE(REGEXEXTRACT(B23,""Q([1-4]) \d{4}"")),""March"",""June"",""September"",""December"")&amp;"" ""&amp;REGEXEXTRACT(B23,""Q[1-4] (\d{4})""), IF(REGEXMATCH(B23,""(?i)TBD|not available at this time""),""TBD"",""Not stated"")))"),"Not stated")</f>
        <v>Not stated</v>
      </c>
      <c r="E23" s="5" t="str">
        <f>IFERROR(__xludf.DUMMYFUNCTION("IF(REGEXMATCH(B23,""(?i)manufacturing delay""),""Manufacturing delay"", IF(REGEXMATCH(B23,""(?i)no longer manufactured|not currently manufactured|discontinu""),""Discontinuation"", IF(REGEXMATCH(B23,""(?i)increased demand|demand increase|due to demand""),"&amp;"""Demand increase"", IF(REGEXMATCH(B23,""(?i)raw material|ingredient|shipping delay|regulatory""),""Other"",""Not stated""))))"),"Not stated")</f>
        <v>Not stated</v>
      </c>
      <c r="G23" s="5" t="str">
        <f>IFERROR(__xludf.DUMMYFUNCTION("XLOOKUP(TO_TEXT(A23), ai_results!A:A, ai_results!C:C)"),"Not stated")</f>
        <v>Not stated</v>
      </c>
      <c r="H23" s="5" t="str">
        <f>IFERROR(__xludf.DUMMYFUNCTION("XLOOKUP(TO_TEXT(A23), ai_results!A:A, ai_results!D:D)"),"Not stated")</f>
        <v>Not stated</v>
      </c>
      <c r="I23" s="5" t="str">
        <f t="shared" ref="I23:J23" si="22">IF(D23=G23,"Yes","No")</f>
        <v>Yes</v>
      </c>
      <c r="J23" s="1" t="str">
        <f t="shared" si="22"/>
        <v>Yes</v>
      </c>
    </row>
    <row r="24">
      <c r="A24" s="5">
        <v>23.0</v>
      </c>
      <c r="B24" s="5" t="s">
        <v>428</v>
      </c>
      <c r="C24" s="5">
        <v>0.1449905220510872</v>
      </c>
      <c r="D24" s="5" t="str">
        <f>IFERROR(__xludf.DUMMYFUNCTION("IF(REGEXMATCH(B24,""(?:January|February|March|April|May|June|July|August|September|October|November|December) \d{4}""), REGEXEXTRACT(B24,""(?s).*((?:January|February|March|April|May|June|July|August|September|October|November|December) \d{4})""), IF(REGEX"&amp;"MATCH(B24,""Q[1-4] \d{4}""), CHOOSE(VALUE(REGEXEXTRACT(B24,""Q([1-4]) \d{4}"")),""March"",""June"",""September"",""December"")&amp;"" ""&amp;REGEXEXTRACT(B24,""Q[1-4] (\d{4})""), IF(REGEXMATCH(B24,""(?i)TBD|not available at this time""),""TBD"",""Not stated"")))"),"December 2026")</f>
        <v>December 2026</v>
      </c>
      <c r="E24" s="5" t="str">
        <f>IFERROR(__xludf.DUMMYFUNCTION("IF(REGEXMATCH(B24,""(?i)manufacturing delay""),""Manufacturing delay"", IF(REGEXMATCH(B24,""(?i)no longer manufactured|not currently manufactured|discontinu""),""Discontinuation"", IF(REGEXMATCH(B24,""(?i)increased demand|demand increase|due to demand""),"&amp;"""Demand increase"", IF(REGEXMATCH(B24,""(?i)raw material|ingredient|shipping delay|regulatory""),""Other"",""Not stated""))))"),"Manufacturing delay")</f>
        <v>Manufacturing delay</v>
      </c>
      <c r="G24" s="5" t="str">
        <f>IFERROR(__xludf.DUMMYFUNCTION("XLOOKUP(TO_TEXT(A24), ai_results!A:A, ai_results!C:C)"),"December 2026")</f>
        <v>December 2026</v>
      </c>
      <c r="H24" s="5" t="str">
        <f>IFERROR(__xludf.DUMMYFUNCTION("XLOOKUP(TO_TEXT(A24), ai_results!A:A, ai_results!D:D)"),"Manufacturing delay")</f>
        <v>Manufacturing delay</v>
      </c>
      <c r="I24" s="5" t="str">
        <f t="shared" ref="I24:J24" si="23">IF(D24=G24,"Yes","No")</f>
        <v>Yes</v>
      </c>
      <c r="J24" s="1" t="str">
        <f t="shared" si="23"/>
        <v>Yes</v>
      </c>
    </row>
    <row r="25">
      <c r="A25" s="5">
        <v>24.0</v>
      </c>
      <c r="B25" s="5" t="s">
        <v>429</v>
      </c>
      <c r="C25" s="5">
        <v>0.1494072599874554</v>
      </c>
      <c r="D25" s="5" t="str">
        <f>IFERROR(__xludf.DUMMYFUNCTION("IF(REGEXMATCH(B25,""(?:January|February|March|April|May|June|July|August|September|October|November|December) \d{4}""), REGEXEXTRACT(B25,""(?s).*((?:January|February|March|April|May|June|July|August|September|October|November|December) \d{4})""), IF(REGEX"&amp;"MATCH(B25,""Q[1-4] \d{4}""), CHOOSE(VALUE(REGEXEXTRACT(B25,""Q([1-4]) \d{4}"")),""March"",""June"",""September"",""December"")&amp;"" ""&amp;REGEXEXTRACT(B25,""Q[1-4] (\d{4})""), IF(REGEXMATCH(B25,""(?i)TBD|not available at this time""),""TBD"",""Not stated"")))"),"Not stated")</f>
        <v>Not stated</v>
      </c>
      <c r="E25" s="5" t="str">
        <f>IFERROR(__xludf.DUMMYFUNCTION("IF(REGEXMATCH(B25,""(?i)manufacturing delay""),""Manufacturing delay"", IF(REGEXMATCH(B25,""(?i)no longer manufactured|not currently manufactured|discontinu""),""Discontinuation"", IF(REGEXMATCH(B25,""(?i)increased demand|demand increase|due to demand""),"&amp;"""Demand increase"", IF(REGEXMATCH(B25,""(?i)raw material|ingredient|shipping delay|regulatory""),""Other"",""Not stated""))))"),"Not stated")</f>
        <v>Not stated</v>
      </c>
      <c r="G25" s="5" t="str">
        <f>IFERROR(__xludf.DUMMYFUNCTION("XLOOKUP(TO_TEXT(A25), ai_results!A:A, ai_results!C:C)"),"Not stated")</f>
        <v>Not stated</v>
      </c>
      <c r="H25" s="5" t="str">
        <f>IFERROR(__xludf.DUMMYFUNCTION("XLOOKUP(TO_TEXT(A25), ai_results!A:A, ai_results!D:D)"),"Not stated")</f>
        <v>Not stated</v>
      </c>
      <c r="I25" s="5" t="str">
        <f t="shared" ref="I25:J25" si="24">IF(D25=G25,"Yes","No")</f>
        <v>Yes</v>
      </c>
      <c r="J25" s="1" t="str">
        <f t="shared" si="24"/>
        <v>Yes</v>
      </c>
    </row>
    <row r="26">
      <c r="A26" s="5">
        <v>25.0</v>
      </c>
      <c r="B26" s="5" t="s">
        <v>439</v>
      </c>
      <c r="C26" s="5">
        <v>0.1643866537025903</v>
      </c>
      <c r="D26" s="5" t="str">
        <f>IFERROR(__xludf.DUMMYFUNCTION("IF(REGEXMATCH(B26,""(?:January|February|March|April|May|June|July|August|September|October|November|December) \d{4}""), REGEXEXTRACT(B26,""(?s).*((?:January|February|March|April|May|June|July|August|September|October|November|December) \d{4})""), IF(REGEX"&amp;"MATCH(B26,""Q[1-4] \d{4}""), CHOOSE(VALUE(REGEXEXTRACT(B26,""Q([1-4]) \d{4}"")),""March"",""June"",""September"",""December"")&amp;"" ""&amp;REGEXEXTRACT(B26,""Q[1-4] (\d{4})""), IF(REGEXMATCH(B26,""(?i)TBD|not available at this time""),""TBD"",""Not stated"")))"),"November 2026")</f>
        <v>November 2026</v>
      </c>
      <c r="E26" s="5" t="str">
        <f>IFERROR(__xludf.DUMMYFUNCTION("IF(REGEXMATCH(B26,""(?i)manufacturing delay""),""Manufacturing delay"", IF(REGEXMATCH(B26,""(?i)no longer manufactured|not currently manufactured|discontinu""),""Discontinuation"", IF(REGEXMATCH(B26,""(?i)increased demand|demand increase|due to demand""),"&amp;"""Demand increase"", IF(REGEXMATCH(B26,""(?i)raw material|ingredient|shipping delay|regulatory""),""Other"",""Not stated""))))"),"Not stated")</f>
        <v>Not stated</v>
      </c>
      <c r="G26" s="5" t="str">
        <f>IFERROR(__xludf.DUMMYFUNCTION("XLOOKUP(TO_TEXT(A26), ai_results!A:A, ai_results!C:C)"),"November 2026")</f>
        <v>November 2026</v>
      </c>
      <c r="H26" s="5" t="str">
        <f>IFERROR(__xludf.DUMMYFUNCTION("XLOOKUP(TO_TEXT(A26), ai_results!A:A, ai_results!D:D)"),"Not stated")</f>
        <v>Not stated</v>
      </c>
      <c r="I26" s="5" t="str">
        <f t="shared" ref="I26:J26" si="25">IF(D26=G26,"Yes","No")</f>
        <v>Yes</v>
      </c>
      <c r="J26" s="1" t="str">
        <f t="shared" si="25"/>
        <v>Yes</v>
      </c>
    </row>
    <row r="27">
      <c r="A27" s="5">
        <v>26.0</v>
      </c>
      <c r="B27" s="5" t="s">
        <v>453</v>
      </c>
      <c r="C27" s="5">
        <v>0.17435716368065102</v>
      </c>
      <c r="D27" s="5" t="str">
        <f>IFERROR(__xludf.DUMMYFUNCTION("IF(REGEXMATCH(B27,""(?:January|February|March|April|May|June|July|August|September|October|November|December) \d{4}""), REGEXEXTRACT(B27,""(?s).*((?:January|February|March|April|May|June|July|August|September|October|November|December) \d{4})""), IF(REGEX"&amp;"MATCH(B27,""Q[1-4] \d{4}""), CHOOSE(VALUE(REGEXEXTRACT(B27,""Q([1-4]) \d{4}"")),""March"",""June"",""September"",""December"")&amp;"" ""&amp;REGEXEXTRACT(B27,""Q[1-4] (\d{4})""), IF(REGEXMATCH(B27,""(?i)TBD|not available at this time""),""TBD"",""Not stated"")))"),"January 2027")</f>
        <v>January 2027</v>
      </c>
      <c r="E27" s="5" t="str">
        <f>IFERROR(__xludf.DUMMYFUNCTION("IF(REGEXMATCH(B27,""(?i)manufacturing delay""),""Manufacturing delay"", IF(REGEXMATCH(B27,""(?i)no longer manufactured|not currently manufactured|discontinu""),""Discontinuation"", IF(REGEXMATCH(B27,""(?i)increased demand|demand increase|due to demand""),"&amp;"""Demand increase"", IF(REGEXMATCH(B27,""(?i)raw material|ingredient|shipping delay|regulatory""),""Other"",""Not stated""))))"),"Not stated")</f>
        <v>Not stated</v>
      </c>
      <c r="G27" s="5" t="str">
        <f>IFERROR(__xludf.DUMMYFUNCTION("XLOOKUP(TO_TEXT(A27), ai_results!A:A, ai_results!C:C)"),"January 2027")</f>
        <v>January 2027</v>
      </c>
      <c r="H27" s="5" t="str">
        <f>IFERROR(__xludf.DUMMYFUNCTION("XLOOKUP(TO_TEXT(A27), ai_results!A:A, ai_results!D:D)"),"Not stated")</f>
        <v>Not stated</v>
      </c>
      <c r="I27" s="5" t="str">
        <f t="shared" ref="I27:J27" si="26">IF(D27=G27,"Yes","No")</f>
        <v>Yes</v>
      </c>
      <c r="J27" s="1" t="str">
        <f t="shared" si="26"/>
        <v>Yes</v>
      </c>
    </row>
    <row r="28">
      <c r="A28" s="5">
        <v>27.0</v>
      </c>
      <c r="B28" s="5" t="s">
        <v>469</v>
      </c>
      <c r="C28" s="5">
        <v>0.1747547637884127</v>
      </c>
      <c r="D28" s="5" t="str">
        <f>IFERROR(__xludf.DUMMYFUNCTION("IF(REGEXMATCH(B28,""(?:January|February|March|April|May|June|July|August|September|October|November|December) \d{4}""), REGEXEXTRACT(B28,""(?s).*((?:January|February|March|April|May|June|July|August|September|October|November|December) \d{4})""), IF(REGEX"&amp;"MATCH(B28,""Q[1-4] \d{4}""), CHOOSE(VALUE(REGEXEXTRACT(B28,""Q([1-4]) \d{4}"")),""March"",""June"",""September"",""December"")&amp;"" ""&amp;REGEXEXTRACT(B28,""Q[1-4] (\d{4})""), IF(REGEXMATCH(B28,""(?i)TBD|not available at this time""),""TBD"",""Not stated"")))"),"November 2026")</f>
        <v>November 2026</v>
      </c>
      <c r="E28" s="5" t="str">
        <f>IFERROR(__xludf.DUMMYFUNCTION("IF(REGEXMATCH(B28,""(?i)manufacturing delay""),""Manufacturing delay"", IF(REGEXMATCH(B28,""(?i)no longer manufactured|not currently manufactured|discontinu""),""Discontinuation"", IF(REGEXMATCH(B28,""(?i)increased demand|demand increase|due to demand""),"&amp;"""Demand increase"", IF(REGEXMATCH(B28,""(?i)raw material|ingredient|shipping delay|regulatory""),""Other"",""Not stated""))))"),"Not stated")</f>
        <v>Not stated</v>
      </c>
      <c r="G28" s="5" t="str">
        <f>IFERROR(__xludf.DUMMYFUNCTION("XLOOKUP(TO_TEXT(A28), ai_results!A:A, ai_results!C:C)"),"November 2026")</f>
        <v>November 2026</v>
      </c>
      <c r="H28" s="5" t="str">
        <f>IFERROR(__xludf.DUMMYFUNCTION("XLOOKUP(TO_TEXT(A28), ai_results!A:A, ai_results!D:D)"),"Not stated")</f>
        <v>Not stated</v>
      </c>
      <c r="I28" s="5" t="str">
        <f t="shared" ref="I28:J28" si="27">IF(D28=G28,"Yes","No")</f>
        <v>Yes</v>
      </c>
      <c r="J28" s="1" t="str">
        <f t="shared" si="27"/>
        <v>Yes</v>
      </c>
    </row>
    <row r="29">
      <c r="A29" s="5">
        <v>28.0</v>
      </c>
      <c r="B29" s="5" t="s">
        <v>483</v>
      </c>
      <c r="C29" s="5">
        <v>0.1842018371919082</v>
      </c>
      <c r="D29" s="5" t="str">
        <f>IFERROR(__xludf.DUMMYFUNCTION("IF(REGEXMATCH(B29,""(?:January|February|March|April|May|June|July|August|September|October|November|December) \d{4}""), REGEXEXTRACT(B29,""(?s).*((?:January|February|March|April|May|June|July|August|September|October|November|December) \d{4})""), IF(REGEX"&amp;"MATCH(B29,""Q[1-4] \d{4}""), CHOOSE(VALUE(REGEXEXTRACT(B29,""Q([1-4]) \d{4}"")),""March"",""June"",""September"",""December"")&amp;"" ""&amp;REGEXEXTRACT(B29,""Q[1-4] (\d{4})""), IF(REGEXMATCH(B29,""(?i)TBD|not available at this time""),""TBD"",""Not stated"")))"),"Not stated")</f>
        <v>Not stated</v>
      </c>
      <c r="E29" s="5" t="str">
        <f>IFERROR(__xludf.DUMMYFUNCTION("IF(REGEXMATCH(B29,""(?i)manufacturing delay""),""Manufacturing delay"", IF(REGEXMATCH(B29,""(?i)no longer manufactured|not currently manufactured|discontinu""),""Discontinuation"", IF(REGEXMATCH(B29,""(?i)increased demand|demand increase|due to demand""),"&amp;"""Demand increase"", IF(REGEXMATCH(B29,""(?i)raw material|ingredient|shipping delay|regulatory""),""Other"",""Not stated""))))"),"Not stated")</f>
        <v>Not stated</v>
      </c>
      <c r="G29" s="5" t="str">
        <f>IFERROR(__xludf.DUMMYFUNCTION("XLOOKUP(TO_TEXT(A29), ai_results!A:A, ai_results!C:C)"),"Not stated")</f>
        <v>Not stated</v>
      </c>
      <c r="H29" s="5" t="str">
        <f>IFERROR(__xludf.DUMMYFUNCTION("XLOOKUP(TO_TEXT(A29), ai_results!A:A, ai_results!D:D)"),"Not stated")</f>
        <v>Not stated</v>
      </c>
      <c r="I29" s="5" t="str">
        <f t="shared" ref="I29:J29" si="28">IF(D29=G29,"Yes","No")</f>
        <v>Yes</v>
      </c>
      <c r="J29" s="1" t="str">
        <f t="shared" si="28"/>
        <v>Yes</v>
      </c>
    </row>
    <row r="30">
      <c r="A30" s="5">
        <v>29.0</v>
      </c>
      <c r="B30" s="5" t="s">
        <v>488</v>
      </c>
      <c r="C30" s="5">
        <v>0.20025509766122185</v>
      </c>
      <c r="D30" s="5" t="str">
        <f>IFERROR(__xludf.DUMMYFUNCTION("IF(REGEXMATCH(B30,""(?:January|February|March|April|May|June|July|August|September|October|November|December) \d{4}""), REGEXEXTRACT(B30,""(?s).*((?:January|February|March|April|May|June|July|August|September|October|November|December) \d{4})""), IF(REGEX"&amp;"MATCH(B30,""Q[1-4] \d{4}""), CHOOSE(VALUE(REGEXEXTRACT(B30,""Q([1-4]) \d{4}"")),""March"",""June"",""September"",""December"")&amp;"" ""&amp;REGEXEXTRACT(B30,""Q[1-4] (\d{4})""), IF(REGEXMATCH(B30,""(?i)TBD|not available at this time""),""TBD"",""Not stated"")))"),"December 2026")</f>
        <v>December 2026</v>
      </c>
      <c r="E30" s="5" t="str">
        <f>IFERROR(__xludf.DUMMYFUNCTION("IF(REGEXMATCH(B30,""(?i)manufacturing delay""),""Manufacturing delay"", IF(REGEXMATCH(B30,""(?i)no longer manufactured|not currently manufactured|discontinu""),""Discontinuation"", IF(REGEXMATCH(B30,""(?i)increased demand|demand increase|due to demand""),"&amp;"""Demand increase"", IF(REGEXMATCH(B30,""(?i)raw material|ingredient|shipping delay|regulatory""),""Other"",""Not stated""))))"),"Manufacturing delay")</f>
        <v>Manufacturing delay</v>
      </c>
      <c r="G30" s="5" t="str">
        <f>IFERROR(__xludf.DUMMYFUNCTION("XLOOKUP(TO_TEXT(A30), ai_results!A:A, ai_results!C:C)"),"December 2026")</f>
        <v>December 2026</v>
      </c>
      <c r="H30" s="5" t="str">
        <f>IFERROR(__xludf.DUMMYFUNCTION("XLOOKUP(TO_TEXT(A30), ai_results!A:A, ai_results!D:D)"),"Manufacturing delay")</f>
        <v>Manufacturing delay</v>
      </c>
      <c r="I30" s="5" t="str">
        <f t="shared" ref="I30:J30" si="29">IF(D30=G30,"Yes","No")</f>
        <v>Yes</v>
      </c>
      <c r="J30" s="1" t="str">
        <f t="shared" si="29"/>
        <v>Yes</v>
      </c>
    </row>
    <row r="31">
      <c r="A31" s="5">
        <v>30.0</v>
      </c>
      <c r="B31" s="5" t="s">
        <v>490</v>
      </c>
      <c r="C31" s="5">
        <v>0.21242941041014585</v>
      </c>
      <c r="D31" s="5" t="str">
        <f>IFERROR(__xludf.DUMMYFUNCTION("IF(REGEXMATCH(B31,""(?:January|February|March|April|May|June|July|August|September|October|November|December) \d{4}""), REGEXEXTRACT(B31,""(?s).*((?:January|February|March|April|May|June|July|August|September|October|November|December) \d{4})""), IF(REGEX"&amp;"MATCH(B31,""Q[1-4] \d{4}""), CHOOSE(VALUE(REGEXEXTRACT(B31,""Q([1-4]) \d{4}"")),""March"",""June"",""September"",""December"")&amp;"" ""&amp;REGEXEXTRACT(B31,""Q[1-4] (\d{4})""), IF(REGEXMATCH(B31,""(?i)TBD|not available at this time""),""TBD"",""Not stated"")))"),"December 2026")</f>
        <v>December 2026</v>
      </c>
      <c r="E31" s="5" t="str">
        <f>IFERROR(__xludf.DUMMYFUNCTION("IF(REGEXMATCH(B31,""(?i)manufacturing delay""),""Manufacturing delay"", IF(REGEXMATCH(B31,""(?i)no longer manufactured|not currently manufactured|discontinu""),""Discontinuation"", IF(REGEXMATCH(B31,""(?i)increased demand|demand increase|due to demand""),"&amp;"""Demand increase"", IF(REGEXMATCH(B31,""(?i)raw material|ingredient|shipping delay|regulatory""),""Other"",""Not stated""))))"),"Not stated")</f>
        <v>Not stated</v>
      </c>
      <c r="G31" s="5" t="str">
        <f>IFERROR(__xludf.DUMMYFUNCTION("XLOOKUP(TO_TEXT(A31), ai_results!A:A, ai_results!C:C)"),"December 2026")</f>
        <v>December 2026</v>
      </c>
      <c r="H31" s="5" t="str">
        <f>IFERROR(__xludf.DUMMYFUNCTION("XLOOKUP(TO_TEXT(A31), ai_results!A:A, ai_results!D:D)"),"Not stated")</f>
        <v>Not stated</v>
      </c>
      <c r="I31" s="5" t="str">
        <f t="shared" ref="I31:J31" si="30">IF(D31=G31,"Yes","No")</f>
        <v>Yes</v>
      </c>
      <c r="J31" s="1" t="str">
        <f t="shared" si="30"/>
        <v>Yes</v>
      </c>
    </row>
    <row r="32">
      <c r="A32" s="5">
        <v>31.0</v>
      </c>
      <c r="B32" s="5" t="s">
        <v>493</v>
      </c>
      <c r="C32" s="5">
        <v>0.21547466940279847</v>
      </c>
      <c r="D32" s="5" t="str">
        <f>IFERROR(__xludf.DUMMYFUNCTION("IF(REGEXMATCH(B32,""(?:January|February|March|April|May|June|July|August|September|October|November|December) \d{4}""), REGEXEXTRACT(B32,""(?s).*((?:January|February|March|April|May|June|July|August|September|October|November|December) \d{4})""), IF(REGEX"&amp;"MATCH(B32,""Q[1-4] \d{4}""), CHOOSE(VALUE(REGEXEXTRACT(B32,""Q([1-4]) \d{4}"")),""March"",""June"",""September"",""December"")&amp;"" ""&amp;REGEXEXTRACT(B32,""Q[1-4] (\d{4})""), IF(REGEXMATCH(B32,""(?i)TBD|not available at this time""),""TBD"",""Not stated"")))"),"Not stated")</f>
        <v>Not stated</v>
      </c>
      <c r="E32" s="5" t="str">
        <f>IFERROR(__xludf.DUMMYFUNCTION("IF(REGEXMATCH(B32,""(?i)manufacturing delay""),""Manufacturing delay"", IF(REGEXMATCH(B32,""(?i)no longer manufactured|not currently manufactured|discontinu""),""Discontinuation"", IF(REGEXMATCH(B32,""(?i)increased demand|demand increase|due to demand""),"&amp;"""Demand increase"", IF(REGEXMATCH(B32,""(?i)raw material|ingredient|shipping delay|regulatory""),""Other"",""Not stated""))))"),"Not stated")</f>
        <v>Not stated</v>
      </c>
      <c r="G32" s="5" t="str">
        <f>IFERROR(__xludf.DUMMYFUNCTION("XLOOKUP(TO_TEXT(A32), ai_results!A:A, ai_results!C:C)"),"Not stated")</f>
        <v>Not stated</v>
      </c>
      <c r="H32" s="5" t="str">
        <f>IFERROR(__xludf.DUMMYFUNCTION("XLOOKUP(TO_TEXT(A32), ai_results!A:A, ai_results!D:D)"),"Not stated")</f>
        <v>Not stated</v>
      </c>
      <c r="I32" s="5" t="str">
        <f t="shared" ref="I32:J32" si="31">IF(D32=G32,"Yes","No")</f>
        <v>Yes</v>
      </c>
      <c r="J32" s="1" t="str">
        <f t="shared" si="31"/>
        <v>Yes</v>
      </c>
    </row>
    <row r="33">
      <c r="A33" s="5">
        <v>32.0</v>
      </c>
      <c r="B33" s="5" t="s">
        <v>495</v>
      </c>
      <c r="C33" s="5">
        <v>0.21605684335147335</v>
      </c>
      <c r="D33" s="5" t="str">
        <f>IFERROR(__xludf.DUMMYFUNCTION("IF(REGEXMATCH(B33,""(?:January|February|March|April|May|June|July|August|September|October|November|December) \d{4}""), REGEXEXTRACT(B33,""(?s).*((?:January|February|March|April|May|June|July|August|September|October|November|December) \d{4})""), IF(REGEX"&amp;"MATCH(B33,""Q[1-4] \d{4}""), CHOOSE(VALUE(REGEXEXTRACT(B33,""Q([1-4]) \d{4}"")),""March"",""June"",""September"",""December"")&amp;"" ""&amp;REGEXEXTRACT(B33,""Q[1-4] (\d{4})""), IF(REGEXMATCH(B33,""(?i)TBD|not available at this time""),""TBD"",""Not stated"")))"),"Not stated")</f>
        <v>Not stated</v>
      </c>
      <c r="E33" s="5" t="str">
        <f>IFERROR(__xludf.DUMMYFUNCTION("IF(REGEXMATCH(B33,""(?i)manufacturing delay""),""Manufacturing delay"", IF(REGEXMATCH(B33,""(?i)no longer manufactured|not currently manufactured|discontinu""),""Discontinuation"", IF(REGEXMATCH(B33,""(?i)increased demand|demand increase|due to demand""),"&amp;"""Demand increase"", IF(REGEXMATCH(B33,""(?i)raw material|ingredient|shipping delay|regulatory""),""Other"",""Not stated""))))"),"Not stated")</f>
        <v>Not stated</v>
      </c>
      <c r="G33" s="5" t="str">
        <f>IFERROR(__xludf.DUMMYFUNCTION("XLOOKUP(TO_TEXT(A33), ai_results!A:A, ai_results!C:C)"),"Not stated")</f>
        <v>Not stated</v>
      </c>
      <c r="H33" s="5" t="str">
        <f>IFERROR(__xludf.DUMMYFUNCTION("XLOOKUP(TO_TEXT(A33), ai_results!A:A, ai_results!D:D)"),"Not stated")</f>
        <v>Not stated</v>
      </c>
      <c r="I33" s="5" t="str">
        <f t="shared" ref="I33:J33" si="32">IF(D33=G33,"Yes","No")</f>
        <v>Yes</v>
      </c>
      <c r="J33" s="1" t="str">
        <f t="shared" si="32"/>
        <v>Yes</v>
      </c>
    </row>
    <row r="34">
      <c r="A34" s="5">
        <v>33.0</v>
      </c>
      <c r="B34" s="5" t="s">
        <v>497</v>
      </c>
      <c r="C34" s="5">
        <v>0.21768579503630103</v>
      </c>
      <c r="D34" s="5" t="str">
        <f>IFERROR(__xludf.DUMMYFUNCTION("IF(REGEXMATCH(B34,""(?:January|February|March|April|May|June|July|August|September|October|November|December) \d{4}""), REGEXEXTRACT(B34,""(?s).*((?:January|February|March|April|May|June|July|August|September|October|November|December) \d{4})""), IF(REGEX"&amp;"MATCH(B34,""Q[1-4] \d{4}""), CHOOSE(VALUE(REGEXEXTRACT(B34,""Q([1-4]) \d{4}"")),""March"",""June"",""September"",""December"")&amp;"" ""&amp;REGEXEXTRACT(B34,""Q[1-4] (\d{4})""), IF(REGEXMATCH(B34,""(?i)TBD|not available at this time""),""TBD"",""Not stated"")))"),"December 2026")</f>
        <v>December 2026</v>
      </c>
      <c r="E34" s="5" t="str">
        <f>IFERROR(__xludf.DUMMYFUNCTION("IF(REGEXMATCH(B34,""(?i)manufacturing delay""),""Manufacturing delay"", IF(REGEXMATCH(B34,""(?i)no longer manufactured|not currently manufactured|discontinu""),""Discontinuation"", IF(REGEXMATCH(B34,""(?i)increased demand|demand increase|due to demand""),"&amp;"""Demand increase"", IF(REGEXMATCH(B34,""(?i)raw material|ingredient|shipping delay|regulatory""),""Other"",""Not stated""))))"),"Not stated")</f>
        <v>Not stated</v>
      </c>
      <c r="G34" s="5" t="str">
        <f>IFERROR(__xludf.DUMMYFUNCTION("XLOOKUP(TO_TEXT(A34), ai_results!A:A, ai_results!C:C)"),"December 2026")</f>
        <v>December 2026</v>
      </c>
      <c r="H34" s="5" t="str">
        <f>IFERROR(__xludf.DUMMYFUNCTION("XLOOKUP(TO_TEXT(A34), ai_results!A:A, ai_results!D:D)"),"Not stated")</f>
        <v>Not stated</v>
      </c>
      <c r="I34" s="5" t="str">
        <f t="shared" ref="I34:J34" si="33">IF(D34=G34,"Yes","No")</f>
        <v>Yes</v>
      </c>
      <c r="J34" s="1" t="str">
        <f t="shared" si="33"/>
        <v>Yes</v>
      </c>
    </row>
    <row r="35">
      <c r="A35" s="5">
        <v>34.0</v>
      </c>
      <c r="B35" s="5" t="s">
        <v>499</v>
      </c>
      <c r="C35" s="5">
        <v>0.2203805820046233</v>
      </c>
      <c r="D35" s="5" t="str">
        <f>IFERROR(__xludf.DUMMYFUNCTION("IF(REGEXMATCH(B35,""(?:January|February|March|April|May|June|July|August|September|October|November|December) \d{4}""), REGEXEXTRACT(B35,""(?s).*((?:January|February|March|April|May|June|July|August|September|October|November|December) \d{4})""), IF(REGEX"&amp;"MATCH(B35,""Q[1-4] \d{4}""), CHOOSE(VALUE(REGEXEXTRACT(B35,""Q([1-4]) \d{4}"")),""March"",""June"",""September"",""December"")&amp;"" ""&amp;REGEXEXTRACT(B35,""Q[1-4] (\d{4})""), IF(REGEXMATCH(B35,""(?i)TBD|not available at this time""),""TBD"",""Not stated"")))"),"Not stated")</f>
        <v>Not stated</v>
      </c>
      <c r="E35" s="5" t="str">
        <f>IFERROR(__xludf.DUMMYFUNCTION("IF(REGEXMATCH(B35,""(?i)manufacturing delay""),""Manufacturing delay"", IF(REGEXMATCH(B35,""(?i)no longer manufactured|not currently manufactured|discontinu""),""Discontinuation"", IF(REGEXMATCH(B35,""(?i)increased demand|demand increase|due to demand""),"&amp;"""Demand increase"", IF(REGEXMATCH(B35,""(?i)raw material|ingredient|shipping delay|regulatory""),""Other"",""Not stated""))))"),"Not stated")</f>
        <v>Not stated</v>
      </c>
      <c r="G35" s="5" t="str">
        <f>IFERROR(__xludf.DUMMYFUNCTION("XLOOKUP(TO_TEXT(A35), ai_results!A:A, ai_results!C:C)"),"Not stated")</f>
        <v>Not stated</v>
      </c>
      <c r="H35" s="5" t="str">
        <f>IFERROR(__xludf.DUMMYFUNCTION("XLOOKUP(TO_TEXT(A35), ai_results!A:A, ai_results!D:D)"),"Not stated")</f>
        <v>Not stated</v>
      </c>
      <c r="I35" s="5" t="str">
        <f t="shared" ref="I35:J35" si="34">IF(D35=G35,"Yes","No")</f>
        <v>Yes</v>
      </c>
      <c r="J35" s="1" t="str">
        <f t="shared" si="34"/>
        <v>Yes</v>
      </c>
    </row>
    <row r="36">
      <c r="A36" s="5">
        <v>35.0</v>
      </c>
      <c r="B36" s="5" t="s">
        <v>501</v>
      </c>
      <c r="C36" s="5">
        <v>0.22369199508100446</v>
      </c>
      <c r="D36" s="5" t="str">
        <f>IFERROR(__xludf.DUMMYFUNCTION("IF(REGEXMATCH(B36,""(?:January|February|March|April|May|June|July|August|September|October|November|December) \d{4}""), REGEXEXTRACT(B36,""(?s).*((?:January|February|March|April|May|June|July|August|September|October|November|December) \d{4})""), IF(REGEX"&amp;"MATCH(B36,""Q[1-4] \d{4}""), CHOOSE(VALUE(REGEXEXTRACT(B36,""Q([1-4]) \d{4}"")),""March"",""June"",""September"",""December"")&amp;"" ""&amp;REGEXEXTRACT(B36,""Q[1-4] (\d{4})""), IF(REGEXMATCH(B36,""(?i)TBD|not available at this time""),""TBD"",""Not stated"")))"),"Not stated")</f>
        <v>Not stated</v>
      </c>
      <c r="E36" s="5" t="str">
        <f>IFERROR(__xludf.DUMMYFUNCTION("IF(REGEXMATCH(B36,""(?i)manufacturing delay""),""Manufacturing delay"", IF(REGEXMATCH(B36,""(?i)no longer manufactured|not currently manufactured|discontinu""),""Discontinuation"", IF(REGEXMATCH(B36,""(?i)increased demand|demand increase|due to demand""),"&amp;"""Demand increase"", IF(REGEXMATCH(B36,""(?i)raw material|ingredient|shipping delay|regulatory""),""Other"",""Not stated""))))"),"Not stated")</f>
        <v>Not stated</v>
      </c>
      <c r="G36" s="5" t="str">
        <f>IFERROR(__xludf.DUMMYFUNCTION("XLOOKUP(TO_TEXT(A36), ai_results!A:A, ai_results!C:C)"),"Not stated")</f>
        <v>Not stated</v>
      </c>
      <c r="H36" s="5" t="str">
        <f>IFERROR(__xludf.DUMMYFUNCTION("XLOOKUP(TO_TEXT(A36), ai_results!A:A, ai_results!D:D)"),"Not stated")</f>
        <v>Not stated</v>
      </c>
      <c r="I36" s="5" t="str">
        <f t="shared" ref="I36:J36" si="35">IF(D36=G36,"Yes","No")</f>
        <v>Yes</v>
      </c>
      <c r="J36" s="1" t="str">
        <f t="shared" si="35"/>
        <v>Yes</v>
      </c>
    </row>
    <row r="37">
      <c r="A37" s="5">
        <v>36.0</v>
      </c>
      <c r="B37" s="5" t="s">
        <v>503</v>
      </c>
      <c r="C37" s="5">
        <v>0.22785814490856626</v>
      </c>
      <c r="D37" s="5" t="str">
        <f>IFERROR(__xludf.DUMMYFUNCTION("IF(REGEXMATCH(B37,""(?:January|February|March|April|May|June|July|August|September|October|November|December) \d{4}""), REGEXEXTRACT(B37,""(?s).*((?:January|February|March|April|May|June|July|August|September|October|November|December) \d{4})""), IF(REGEX"&amp;"MATCH(B37,""Q[1-4] \d{4}""), CHOOSE(VALUE(REGEXEXTRACT(B37,""Q([1-4]) \d{4}"")),""March"",""June"",""September"",""December"")&amp;"" ""&amp;REGEXEXTRACT(B37,""Q[1-4] (\d{4})""), IF(REGEXMATCH(B37,""(?i)TBD|not available at this time""),""TBD"",""Not stated"")))"),"Not stated")</f>
        <v>Not stated</v>
      </c>
      <c r="E37" s="5" t="str">
        <f>IFERROR(__xludf.DUMMYFUNCTION("IF(REGEXMATCH(B37,""(?i)manufacturing delay""),""Manufacturing delay"", IF(REGEXMATCH(B37,""(?i)no longer manufactured|not currently manufactured|discontinu""),""Discontinuation"", IF(REGEXMATCH(B37,""(?i)increased demand|demand increase|due to demand""),"&amp;"""Demand increase"", IF(REGEXMATCH(B37,""(?i)raw material|ingredient|shipping delay|regulatory""),""Other"",""Not stated""))))"),"Not stated")</f>
        <v>Not stated</v>
      </c>
      <c r="G37" s="5" t="str">
        <f>IFERROR(__xludf.DUMMYFUNCTION("XLOOKUP(TO_TEXT(A37), ai_results!A:A, ai_results!C:C)"),"Not stated")</f>
        <v>Not stated</v>
      </c>
      <c r="H37" s="5" t="str">
        <f>IFERROR(__xludf.DUMMYFUNCTION("XLOOKUP(TO_TEXT(A37), ai_results!A:A, ai_results!D:D)"),"Not stated")</f>
        <v>Not stated</v>
      </c>
      <c r="I37" s="5" t="str">
        <f t="shared" ref="I37:J37" si="36">IF(D37=G37,"Yes","No")</f>
        <v>Yes</v>
      </c>
      <c r="J37" s="1" t="str">
        <f t="shared" si="36"/>
        <v>Yes</v>
      </c>
    </row>
    <row r="38">
      <c r="A38" s="5">
        <v>37.0</v>
      </c>
      <c r="B38" s="5" t="s">
        <v>505</v>
      </c>
      <c r="C38" s="5">
        <v>0.2303643883435924</v>
      </c>
      <c r="D38" s="5" t="str">
        <f>IFERROR(__xludf.DUMMYFUNCTION("IF(REGEXMATCH(B38,""(?:January|February|March|April|May|June|July|August|September|October|November|December) \d{4}""), REGEXEXTRACT(B38,""(?s).*((?:January|February|March|April|May|June|July|August|September|October|November|December) \d{4})""), IF(REGEX"&amp;"MATCH(B38,""Q[1-4] \d{4}""), CHOOSE(VALUE(REGEXEXTRACT(B38,""Q([1-4]) \d{4}"")),""March"",""June"",""September"",""December"")&amp;"" ""&amp;REGEXEXTRACT(B38,""Q[1-4] (\d{4})""), IF(REGEXMATCH(B38,""(?i)TBD|not available at this time""),""TBD"",""Not stated"")))"),"Not stated")</f>
        <v>Not stated</v>
      </c>
      <c r="E38" s="5" t="str">
        <f>IFERROR(__xludf.DUMMYFUNCTION("IF(REGEXMATCH(B38,""(?i)manufacturing delay""),""Manufacturing delay"", IF(REGEXMATCH(B38,""(?i)no longer manufactured|not currently manufactured|discontinu""),""Discontinuation"", IF(REGEXMATCH(B38,""(?i)increased demand|demand increase|due to demand""),"&amp;"""Demand increase"", IF(REGEXMATCH(B38,""(?i)raw material|ingredient|shipping delay|regulatory""),""Other"",""Not stated""))))"),"Not stated")</f>
        <v>Not stated</v>
      </c>
      <c r="G38" s="5" t="str">
        <f>IFERROR(__xludf.DUMMYFUNCTION("XLOOKUP(TO_TEXT(A38), ai_results!A:A, ai_results!C:C)"),"Not stated")</f>
        <v>Not stated</v>
      </c>
      <c r="H38" s="5" t="str">
        <f>IFERROR(__xludf.DUMMYFUNCTION("XLOOKUP(TO_TEXT(A38), ai_results!A:A, ai_results!D:D)"),"Not stated")</f>
        <v>Not stated</v>
      </c>
      <c r="I38" s="5" t="str">
        <f t="shared" ref="I38:J38" si="37">IF(D38=G38,"Yes","No")</f>
        <v>Yes</v>
      </c>
      <c r="J38" s="1" t="str">
        <f t="shared" si="37"/>
        <v>Yes</v>
      </c>
    </row>
    <row r="39">
      <c r="A39" s="5">
        <v>38.0</v>
      </c>
      <c r="B39" s="5" t="s">
        <v>507</v>
      </c>
      <c r="C39" s="5">
        <v>0.2322998202618506</v>
      </c>
      <c r="D39" s="5" t="str">
        <f>IFERROR(__xludf.DUMMYFUNCTION("IF(REGEXMATCH(B39,""(?:January|February|March|April|May|June|July|August|September|October|November|December) \d{4}""), REGEXEXTRACT(B39,""(?s).*((?:January|February|March|April|May|June|July|August|September|October|November|December) \d{4})""), IF(REGEX"&amp;"MATCH(B39,""Q[1-4] \d{4}""), CHOOSE(VALUE(REGEXEXTRACT(B39,""Q([1-4]) \d{4}"")),""March"",""June"",""September"",""December"")&amp;"" ""&amp;REGEXEXTRACT(B39,""Q[1-4] (\d{4})""), IF(REGEXMATCH(B39,""(?i)TBD|not available at this time""),""TBD"",""Not stated"")))"),"Not stated")</f>
        <v>Not stated</v>
      </c>
      <c r="E39" s="5" t="str">
        <f>IFERROR(__xludf.DUMMYFUNCTION("IF(REGEXMATCH(B39,""(?i)manufacturing delay""),""Manufacturing delay"", IF(REGEXMATCH(B39,""(?i)no longer manufactured|not currently manufactured|discontinu""),""Discontinuation"", IF(REGEXMATCH(B39,""(?i)increased demand|demand increase|due to demand""),"&amp;"""Demand increase"", IF(REGEXMATCH(B39,""(?i)raw material|ingredient|shipping delay|regulatory""),""Other"",""Not stated""))))"),"Not stated")</f>
        <v>Not stated</v>
      </c>
      <c r="G39" s="5" t="str">
        <f>IFERROR(__xludf.DUMMYFUNCTION("XLOOKUP(TO_TEXT(A39), ai_results!A:A, ai_results!C:C)"),"Not stated")</f>
        <v>Not stated</v>
      </c>
      <c r="H39" s="5" t="str">
        <f>IFERROR(__xludf.DUMMYFUNCTION("XLOOKUP(TO_TEXT(A39), ai_results!A:A, ai_results!D:D)"),"Not stated")</f>
        <v>Not stated</v>
      </c>
      <c r="I39" s="5" t="str">
        <f t="shared" ref="I39:J39" si="38">IF(D39=G39,"Yes","No")</f>
        <v>Yes</v>
      </c>
      <c r="J39" s="1" t="str">
        <f t="shared" si="38"/>
        <v>Yes</v>
      </c>
    </row>
    <row r="40">
      <c r="A40" s="5">
        <v>39.0</v>
      </c>
      <c r="B40" s="5" t="s">
        <v>509</v>
      </c>
      <c r="C40" s="5">
        <v>0.25005620246616245</v>
      </c>
      <c r="D40" s="5" t="str">
        <f>IFERROR(__xludf.DUMMYFUNCTION("IF(REGEXMATCH(B40,""(?:January|February|March|April|May|June|July|August|September|October|November|December) \d{4}""), REGEXEXTRACT(B40,""(?s).*((?:January|February|March|April|May|June|July|August|September|October|November|December) \d{4})""), IF(REGEX"&amp;"MATCH(B40,""Q[1-4] \d{4}""), CHOOSE(VALUE(REGEXEXTRACT(B40,""Q([1-4]) \d{4}"")),""March"",""June"",""September"",""December"")&amp;"" ""&amp;REGEXEXTRACT(B40,""Q[1-4] (\d{4})""), IF(REGEXMATCH(B40,""(?i)TBD|not available at this time""),""TBD"",""Not stated"")))"),"December 2028")</f>
        <v>December 2028</v>
      </c>
      <c r="E40" s="5" t="str">
        <f>IFERROR(__xludf.DUMMYFUNCTION("IF(REGEXMATCH(B40,""(?i)manufacturing delay""),""Manufacturing delay"", IF(REGEXMATCH(B40,""(?i)no longer manufactured|not currently manufactured|discontinu""),""Discontinuation"", IF(REGEXMATCH(B40,""(?i)increased demand|demand increase|due to demand""),"&amp;"""Demand increase"", IF(REGEXMATCH(B40,""(?i)raw material|ingredient|shipping delay|regulatory""),""Other"",""Not stated""))))"),"Not stated")</f>
        <v>Not stated</v>
      </c>
      <c r="G40" s="5" t="str">
        <f>IFERROR(__xludf.DUMMYFUNCTION("XLOOKUP(TO_TEXT(A40), ai_results!A:A, ai_results!C:C)"),"December 2028")</f>
        <v>December 2028</v>
      </c>
      <c r="H40" s="5" t="str">
        <f>IFERROR(__xludf.DUMMYFUNCTION("XLOOKUP(TO_TEXT(A40), ai_results!A:A, ai_results!D:D)"),"Not stated")</f>
        <v>Not stated</v>
      </c>
      <c r="I40" s="5" t="str">
        <f t="shared" ref="I40:J40" si="39">IF(D40=G40,"Yes","No")</f>
        <v>Yes</v>
      </c>
      <c r="J40" s="1" t="str">
        <f t="shared" si="39"/>
        <v>Yes</v>
      </c>
    </row>
    <row r="41">
      <c r="A41" s="5">
        <v>40.0</v>
      </c>
      <c r="B41" s="5" t="s">
        <v>513</v>
      </c>
      <c r="C41" s="5">
        <v>0.25394061161244696</v>
      </c>
      <c r="D41" s="5" t="str">
        <f>IFERROR(__xludf.DUMMYFUNCTION("IF(REGEXMATCH(B41,""(?:January|February|March|April|May|June|July|August|September|October|November|December) \d{4}""), REGEXEXTRACT(B41,""(?s).*((?:January|February|March|April|May|June|July|August|September|October|November|December) \d{4})""), IF(REGEX"&amp;"MATCH(B41,""Q[1-4] \d{4}""), CHOOSE(VALUE(REGEXEXTRACT(B41,""Q([1-4]) \d{4}"")),""March"",""June"",""September"",""December"")&amp;"" ""&amp;REGEXEXTRACT(B41,""Q[1-4] (\d{4})""), IF(REGEXMATCH(B41,""(?i)TBD|not available at this time""),""TBD"",""Not stated"")))"),"TBD")</f>
        <v>TBD</v>
      </c>
      <c r="E41" s="5" t="str">
        <f>IFERROR(__xludf.DUMMYFUNCTION("IF(REGEXMATCH(B41,""(?i)manufacturing delay""),""Manufacturing delay"", IF(REGEXMATCH(B41,""(?i)no longer manufactured|not currently manufactured|discontinu""),""Discontinuation"", IF(REGEXMATCH(B41,""(?i)increased demand|demand increase|due to demand""),"&amp;"""Demand increase"", IF(REGEXMATCH(B41,""(?i)raw material|ingredient|shipping delay|regulatory""),""Other"",""Not stated""))))"),"Not stated")</f>
        <v>Not stated</v>
      </c>
      <c r="G41" s="5" t="str">
        <f>IFERROR(__xludf.DUMMYFUNCTION("XLOOKUP(TO_TEXT(A41), ai_results!A:A, ai_results!C:C)"),"TBD")</f>
        <v>TBD</v>
      </c>
      <c r="H41" s="5" t="str">
        <f>IFERROR(__xludf.DUMMYFUNCTION("XLOOKUP(TO_TEXT(A41), ai_results!A:A, ai_results!D:D)"),"Not stated")</f>
        <v>Not stated</v>
      </c>
      <c r="I41" s="5" t="str">
        <f t="shared" ref="I41:J41" si="40">IF(D41=G41,"Yes","No")</f>
        <v>Yes</v>
      </c>
      <c r="J41" s="1" t="str">
        <f t="shared" si="40"/>
        <v>Yes</v>
      </c>
    </row>
    <row r="42">
      <c r="A42" s="5">
        <v>41.0</v>
      </c>
      <c r="B42" s="5" t="s">
        <v>515</v>
      </c>
      <c r="C42" s="5">
        <v>0.25799455342191646</v>
      </c>
      <c r="D42" s="5" t="str">
        <f>IFERROR(__xludf.DUMMYFUNCTION("IF(REGEXMATCH(B42,""(?:January|February|March|April|May|June|July|August|September|October|November|December) \d{4}""), REGEXEXTRACT(B42,""(?s).*((?:January|February|March|April|May|June|July|August|September|October|November|December) \d{4})""), IF(REGEX"&amp;"MATCH(B42,""Q[1-4] \d{4}""), CHOOSE(VALUE(REGEXEXTRACT(B42,""Q([1-4]) \d{4}"")),""March"",""June"",""September"",""December"")&amp;"" ""&amp;REGEXEXTRACT(B42,""Q[1-4] (\d{4})""), IF(REGEXMATCH(B42,""(?i)TBD|not available at this time""),""TBD"",""Not stated"")))"),"November 2026")</f>
        <v>November 2026</v>
      </c>
      <c r="E42" s="5" t="str">
        <f>IFERROR(__xludf.DUMMYFUNCTION("IF(REGEXMATCH(B42,""(?i)manufacturing delay""),""Manufacturing delay"", IF(REGEXMATCH(B42,""(?i)no longer manufactured|not currently manufactured|discontinu""),""Discontinuation"", IF(REGEXMATCH(B42,""(?i)increased demand|demand increase|due to demand""),"&amp;"""Demand increase"", IF(REGEXMATCH(B42,""(?i)raw material|ingredient|shipping delay|regulatory""),""Other"",""Not stated""))))"),"Not stated")</f>
        <v>Not stated</v>
      </c>
      <c r="G42" s="5" t="str">
        <f>IFERROR(__xludf.DUMMYFUNCTION("XLOOKUP(TO_TEXT(A42), ai_results!A:A, ai_results!C:C)"),"November 2026")</f>
        <v>November 2026</v>
      </c>
      <c r="H42" s="5" t="str">
        <f>IFERROR(__xludf.DUMMYFUNCTION("XLOOKUP(TO_TEXT(A42), ai_results!A:A, ai_results!D:D)"),"Not stated")</f>
        <v>Not stated</v>
      </c>
      <c r="I42" s="5" t="str">
        <f t="shared" ref="I42:J42" si="41">IF(D42=G42,"Yes","No")</f>
        <v>Yes</v>
      </c>
      <c r="J42" s="1" t="str">
        <f t="shared" si="41"/>
        <v>Yes</v>
      </c>
    </row>
    <row r="43">
      <c r="A43" s="5">
        <v>42.0</v>
      </c>
      <c r="B43" s="5" t="s">
        <v>517</v>
      </c>
      <c r="C43" s="5">
        <v>0.2682435021245201</v>
      </c>
      <c r="D43" s="5" t="str">
        <f>IFERROR(__xludf.DUMMYFUNCTION("IF(REGEXMATCH(B43,""(?:January|February|March|April|May|June|July|August|September|October|November|December) \d{4}""), REGEXEXTRACT(B43,""(?s).*((?:January|February|March|April|May|June|July|August|September|October|November|December) \d{4})""), IF(REGEX"&amp;"MATCH(B43,""Q[1-4] \d{4}""), CHOOSE(VALUE(REGEXEXTRACT(B43,""Q([1-4]) \d{4}"")),""March"",""June"",""September"",""December"")&amp;"" ""&amp;REGEXEXTRACT(B43,""Q[1-4] (\d{4})""), IF(REGEXMATCH(B43,""(?i)TBD|not available at this time""),""TBD"",""Not stated"")))"),"November 2026")</f>
        <v>November 2026</v>
      </c>
      <c r="E43" s="5" t="str">
        <f>IFERROR(__xludf.DUMMYFUNCTION("IF(REGEXMATCH(B43,""(?i)manufacturing delay""),""Manufacturing delay"", IF(REGEXMATCH(B43,""(?i)no longer manufactured|not currently manufactured|discontinu""),""Discontinuation"", IF(REGEXMATCH(B43,""(?i)increased demand|demand increase|due to demand""),"&amp;"""Demand increase"", IF(REGEXMATCH(B43,""(?i)raw material|ingredient|shipping delay|regulatory""),""Other"",""Not stated""))))"),"Not stated")</f>
        <v>Not stated</v>
      </c>
      <c r="G43" s="5" t="str">
        <f>IFERROR(__xludf.DUMMYFUNCTION("XLOOKUP(TO_TEXT(A43), ai_results!A:A, ai_results!C:C)"),"November 2026")</f>
        <v>November 2026</v>
      </c>
      <c r="H43" s="5" t="str">
        <f>IFERROR(__xludf.DUMMYFUNCTION("XLOOKUP(TO_TEXT(A43), ai_results!A:A, ai_results!D:D)"),"Not stated")</f>
        <v>Not stated</v>
      </c>
      <c r="I43" s="5" t="str">
        <f t="shared" ref="I43:J43" si="42">IF(D43=G43,"Yes","No")</f>
        <v>Yes</v>
      </c>
      <c r="J43" s="1" t="str">
        <f t="shared" si="42"/>
        <v>Yes</v>
      </c>
    </row>
    <row r="44">
      <c r="A44" s="5">
        <v>43.0</v>
      </c>
      <c r="B44" s="5" t="s">
        <v>519</v>
      </c>
      <c r="C44" s="5">
        <v>0.2685645543554366</v>
      </c>
      <c r="D44" s="5" t="str">
        <f>IFERROR(__xludf.DUMMYFUNCTION("IF(REGEXMATCH(B44,""(?:January|February|March|April|May|June|July|August|September|October|November|December) \d{4}""), REGEXEXTRACT(B44,""(?s).*((?:January|February|March|April|May|June|July|August|September|October|November|December) \d{4})""), IF(REGEX"&amp;"MATCH(B44,""Q[1-4] \d{4}""), CHOOSE(VALUE(REGEXEXTRACT(B44,""Q([1-4]) \d{4}"")),""March"",""June"",""September"",""December"")&amp;"" ""&amp;REGEXEXTRACT(B44,""Q[1-4] (\d{4})""), IF(REGEXMATCH(B44,""(?i)TBD|not available at this time""),""TBD"",""Not stated"")))"),"Not stated")</f>
        <v>Not stated</v>
      </c>
      <c r="E44" s="5" t="str">
        <f>IFERROR(__xludf.DUMMYFUNCTION("IF(REGEXMATCH(B44,""(?i)manufacturing delay""),""Manufacturing delay"", IF(REGEXMATCH(B44,""(?i)no longer manufactured|not currently manufactured|discontinu""),""Discontinuation"", IF(REGEXMATCH(B44,""(?i)increased demand|demand increase|due to demand""),"&amp;"""Demand increase"", IF(REGEXMATCH(B44,""(?i)raw material|ingredient|shipping delay|regulatory""),""Other"",""Not stated""))))"),"Not stated")</f>
        <v>Not stated</v>
      </c>
      <c r="G44" s="5" t="str">
        <f>IFERROR(__xludf.DUMMYFUNCTION("XLOOKUP(TO_TEXT(A44), ai_results!A:A, ai_results!C:C)"),"Not stated")</f>
        <v>Not stated</v>
      </c>
      <c r="H44" s="5" t="str">
        <f>IFERROR(__xludf.DUMMYFUNCTION("XLOOKUP(TO_TEXT(A44), ai_results!A:A, ai_results!D:D)"),"Not stated")</f>
        <v>Not stated</v>
      </c>
      <c r="I44" s="5" t="str">
        <f t="shared" ref="I44:J44" si="43">IF(D44=G44,"Yes","No")</f>
        <v>Yes</v>
      </c>
      <c r="J44" s="1" t="str">
        <f t="shared" si="43"/>
        <v>Yes</v>
      </c>
    </row>
    <row r="45">
      <c r="A45" s="5">
        <v>44.0</v>
      </c>
      <c r="B45" s="5" t="s">
        <v>521</v>
      </c>
      <c r="C45" s="5">
        <v>0.27305025997768506</v>
      </c>
      <c r="D45" s="5" t="str">
        <f>IFERROR(__xludf.DUMMYFUNCTION("IF(REGEXMATCH(B45,""(?:January|February|March|April|May|June|July|August|September|October|November|December) \d{4}""), REGEXEXTRACT(B45,""(?s).*((?:January|February|March|April|May|June|July|August|September|October|November|December) \d{4})""), IF(REGEX"&amp;"MATCH(B45,""Q[1-4] \d{4}""), CHOOSE(VALUE(REGEXEXTRACT(B45,""Q([1-4]) \d{4}"")),""March"",""June"",""September"",""December"")&amp;"" ""&amp;REGEXEXTRACT(B45,""Q[1-4] (\d{4})""), IF(REGEXMATCH(B45,""(?i)TBD|not available at this time""),""TBD"",""Not stated"")))"),"November 2026")</f>
        <v>November 2026</v>
      </c>
      <c r="E45" s="5" t="str">
        <f>IFERROR(__xludf.DUMMYFUNCTION("IF(REGEXMATCH(B45,""(?i)manufacturing delay""),""Manufacturing delay"", IF(REGEXMATCH(B45,""(?i)no longer manufactured|not currently manufactured|discontinu""),""Discontinuation"", IF(REGEXMATCH(B45,""(?i)increased demand|demand increase|due to demand""),"&amp;"""Demand increase"", IF(REGEXMATCH(B45,""(?i)raw material|ingredient|shipping delay|regulatory""),""Other"",""Not stated""))))"),"Not stated")</f>
        <v>Not stated</v>
      </c>
      <c r="G45" s="5" t="str">
        <f>IFERROR(__xludf.DUMMYFUNCTION("XLOOKUP(TO_TEXT(A45), ai_results!A:A, ai_results!C:C)"),"November 2026")</f>
        <v>November 2026</v>
      </c>
      <c r="H45" s="5" t="str">
        <f>IFERROR(__xludf.DUMMYFUNCTION("XLOOKUP(TO_TEXT(A45), ai_results!A:A, ai_results!D:D)"),"Not stated")</f>
        <v>Not stated</v>
      </c>
      <c r="I45" s="5" t="str">
        <f t="shared" ref="I45:J45" si="44">IF(D45=G45,"Yes","No")</f>
        <v>Yes</v>
      </c>
      <c r="J45" s="1" t="str">
        <f t="shared" si="44"/>
        <v>Yes</v>
      </c>
    </row>
    <row r="46">
      <c r="A46" s="5">
        <v>45.0</v>
      </c>
      <c r="B46" s="5" t="s">
        <v>523</v>
      </c>
      <c r="C46" s="5">
        <v>0.2845528935823022</v>
      </c>
      <c r="D46" s="5" t="str">
        <f>IFERROR(__xludf.DUMMYFUNCTION("IF(REGEXMATCH(B46,""(?:January|February|March|April|May|June|July|August|September|October|November|December) \d{4}""), REGEXEXTRACT(B46,""(?s).*((?:January|February|March|April|May|June|July|August|September|October|November|December) \d{4})""), IF(REGEX"&amp;"MATCH(B46,""Q[1-4] \d{4}""), CHOOSE(VALUE(REGEXEXTRACT(B46,""Q([1-4]) \d{4}"")),""March"",""June"",""September"",""December"")&amp;"" ""&amp;REGEXEXTRACT(B46,""Q[1-4] (\d{4})""), IF(REGEXMATCH(B46,""(?i)TBD|not available at this time""),""TBD"",""Not stated"")))"),"Not stated")</f>
        <v>Not stated</v>
      </c>
      <c r="E46" s="5" t="str">
        <f>IFERROR(__xludf.DUMMYFUNCTION("IF(REGEXMATCH(B46,""(?i)manufacturing delay""),""Manufacturing delay"", IF(REGEXMATCH(B46,""(?i)no longer manufactured|not currently manufactured|discontinu""),""Discontinuation"", IF(REGEXMATCH(B46,""(?i)increased demand|demand increase|due to demand""),"&amp;"""Demand increase"", IF(REGEXMATCH(B46,""(?i)raw material|ingredient|shipping delay|regulatory""),""Other"",""Not stated""))))"),"Discontinuation")</f>
        <v>Discontinuation</v>
      </c>
      <c r="G46" s="5" t="str">
        <f>IFERROR(__xludf.DUMMYFUNCTION("XLOOKUP(TO_TEXT(A46), ai_results!A:A, ai_results!C:C)"),"Not stated")</f>
        <v>Not stated</v>
      </c>
      <c r="H46" s="5" t="str">
        <f>IFERROR(__xludf.DUMMYFUNCTION("XLOOKUP(TO_TEXT(A46), ai_results!A:A, ai_results!D:D)"),"Discontinuation")</f>
        <v>Discontinuation</v>
      </c>
      <c r="I46" s="5" t="str">
        <f t="shared" ref="I46:J46" si="45">IF(D46=G46,"Yes","No")</f>
        <v>Yes</v>
      </c>
      <c r="J46" s="1" t="str">
        <f t="shared" si="45"/>
        <v>Yes</v>
      </c>
    </row>
    <row r="47">
      <c r="A47" s="5">
        <v>46.0</v>
      </c>
      <c r="B47" s="5" t="s">
        <v>527</v>
      </c>
      <c r="C47" s="5">
        <v>0.3141635589406585</v>
      </c>
      <c r="D47" s="5" t="str">
        <f>IFERROR(__xludf.DUMMYFUNCTION("IF(REGEXMATCH(B47,""(?:January|February|March|April|May|June|July|August|September|October|November|December) \d{4}""), REGEXEXTRACT(B47,""(?s).*((?:January|February|March|April|May|June|July|August|September|October|November|December) \d{4})""), IF(REGEX"&amp;"MATCH(B47,""Q[1-4] \d{4}""), CHOOSE(VALUE(REGEXEXTRACT(B47,""Q([1-4]) \d{4}"")),""March"",""June"",""September"",""December"")&amp;"" ""&amp;REGEXEXTRACT(B47,""Q[1-4] (\d{4})""), IF(REGEXMATCH(B47,""(?i)TBD|not available at this time""),""TBD"",""Not stated"")))"),"December 2026")</f>
        <v>December 2026</v>
      </c>
      <c r="E47" s="5" t="str">
        <f>IFERROR(__xludf.DUMMYFUNCTION("IF(REGEXMATCH(B47,""(?i)manufacturing delay""),""Manufacturing delay"", IF(REGEXMATCH(B47,""(?i)no longer manufactured|not currently manufactured|discontinu""),""Discontinuation"", IF(REGEXMATCH(B47,""(?i)increased demand|demand increase|due to demand""),"&amp;"""Demand increase"", IF(REGEXMATCH(B47,""(?i)raw material|ingredient|shipping delay|regulatory""),""Other"",""Not stated""))))"),"Not stated")</f>
        <v>Not stated</v>
      </c>
      <c r="G47" s="5" t="str">
        <f>IFERROR(__xludf.DUMMYFUNCTION("XLOOKUP(TO_TEXT(A47), ai_results!A:A, ai_results!C:C)"),"December 2026")</f>
        <v>December 2026</v>
      </c>
      <c r="H47" s="5" t="str">
        <f>IFERROR(__xludf.DUMMYFUNCTION("XLOOKUP(TO_TEXT(A47), ai_results!A:A, ai_results!D:D)"),"Not stated")</f>
        <v>Not stated</v>
      </c>
      <c r="I47" s="5" t="str">
        <f t="shared" ref="I47:J47" si="46">IF(D47=G47,"Yes","No")</f>
        <v>Yes</v>
      </c>
      <c r="J47" s="1" t="str">
        <f t="shared" si="46"/>
        <v>Yes</v>
      </c>
    </row>
    <row r="48">
      <c r="A48" s="5">
        <v>47.0</v>
      </c>
      <c r="B48" s="5" t="s">
        <v>529</v>
      </c>
      <c r="C48" s="5">
        <v>0.33459704462199635</v>
      </c>
      <c r="D48" s="5" t="str">
        <f>IFERROR(__xludf.DUMMYFUNCTION("IF(REGEXMATCH(B48,""(?:January|February|March|April|May|June|July|August|September|October|November|December) \d{4}""), REGEXEXTRACT(B48,""(?s).*((?:January|February|March|April|May|June|July|August|September|October|November|December) \d{4})""), IF(REGEX"&amp;"MATCH(B48,""Q[1-4] \d{4}""), CHOOSE(VALUE(REGEXEXTRACT(B48,""Q([1-4]) \d{4}"")),""March"",""June"",""September"",""December"")&amp;"" ""&amp;REGEXEXTRACT(B48,""Q[1-4] (\d{4})""), IF(REGEXMATCH(B48,""(?i)TBD|not available at this time""),""TBD"",""Not stated"")))"),"Not stated")</f>
        <v>Not stated</v>
      </c>
      <c r="E48" s="5" t="str">
        <f>IFERROR(__xludf.DUMMYFUNCTION("IF(REGEXMATCH(B48,""(?i)manufacturing delay""),""Manufacturing delay"", IF(REGEXMATCH(B48,""(?i)no longer manufactured|not currently manufactured|discontinu""),""Discontinuation"", IF(REGEXMATCH(B48,""(?i)increased demand|demand increase|due to demand""),"&amp;"""Demand increase"", IF(REGEXMATCH(B48,""(?i)raw material|ingredient|shipping delay|regulatory""),""Other"",""Not stated""))))"),"Discontinuation")</f>
        <v>Discontinuation</v>
      </c>
      <c r="G48" s="5" t="str">
        <f>IFERROR(__xludf.DUMMYFUNCTION("XLOOKUP(TO_TEXT(A48), ai_results!A:A, ai_results!C:C)"),"Not stated")</f>
        <v>Not stated</v>
      </c>
      <c r="H48" s="5" t="str">
        <f>IFERROR(__xludf.DUMMYFUNCTION("XLOOKUP(TO_TEXT(A48), ai_results!A:A, ai_results!D:D)"),"Discontinuation")</f>
        <v>Discontinuation</v>
      </c>
      <c r="I48" s="5" t="str">
        <f t="shared" ref="I48:J48" si="47">IF(D48=G48,"Yes","No")</f>
        <v>Yes</v>
      </c>
      <c r="J48" s="1" t="str">
        <f t="shared" si="47"/>
        <v>Yes</v>
      </c>
    </row>
    <row r="49">
      <c r="A49" s="5">
        <v>48.0</v>
      </c>
      <c r="B49" s="5" t="s">
        <v>531</v>
      </c>
      <c r="C49" s="5">
        <v>0.3377745714964663</v>
      </c>
      <c r="D49" s="5" t="str">
        <f>IFERROR(__xludf.DUMMYFUNCTION("IF(REGEXMATCH(B49,""(?:January|February|March|April|May|June|July|August|September|October|November|December) \d{4}""), REGEXEXTRACT(B49,""(?s).*((?:January|February|March|April|May|June|July|August|September|October|November|December) \d{4})""), IF(REGEX"&amp;"MATCH(B49,""Q[1-4] \d{4}""), CHOOSE(VALUE(REGEXEXTRACT(B49,""Q([1-4]) \d{4}"")),""March"",""June"",""September"",""December"")&amp;"" ""&amp;REGEXEXTRACT(B49,""Q[1-4] (\d{4})""), IF(REGEXMATCH(B49,""(?i)TBD|not available at this time""),""TBD"",""Not stated"")))"),"March 2027")</f>
        <v>March 2027</v>
      </c>
      <c r="E49" s="5" t="str">
        <f>IFERROR(__xludf.DUMMYFUNCTION("IF(REGEXMATCH(B49,""(?i)manufacturing delay""),""Manufacturing delay"", IF(REGEXMATCH(B49,""(?i)no longer manufactured|not currently manufactured|discontinu""),""Discontinuation"", IF(REGEXMATCH(B49,""(?i)increased demand|demand increase|due to demand""),"&amp;"""Demand increase"", IF(REGEXMATCH(B49,""(?i)raw material|ingredient|shipping delay|regulatory""),""Other"",""Not stated""))))"),"Manufacturing delay")</f>
        <v>Manufacturing delay</v>
      </c>
      <c r="F49" s="1" t="s">
        <v>413</v>
      </c>
      <c r="G49" s="5" t="str">
        <f>IFERROR(__xludf.DUMMYFUNCTION("XLOOKUP(TO_TEXT(A49), ai_results!A:A, ai_results!C:C)"),"March 2:2027")</f>
        <v>March 2:2027</v>
      </c>
      <c r="H49" s="5" t="str">
        <f>IFERROR(__xludf.DUMMYFUNCTION("XLOOKUP(TO_TEXT(A49), ai_results!A:A, ai_results!D:D)"),"Manufacturing delay")</f>
        <v>Manufacturing delay</v>
      </c>
      <c r="I49" s="5" t="str">
        <f t="shared" ref="I49:J49" si="48">IF(D49=G49,"Yes","No")</f>
        <v>No</v>
      </c>
      <c r="J49" s="1" t="str">
        <f t="shared" si="48"/>
        <v>Yes</v>
      </c>
    </row>
    <row r="50">
      <c r="A50" s="5">
        <v>49.0</v>
      </c>
      <c r="B50" s="5" t="s">
        <v>533</v>
      </c>
      <c r="C50" s="5">
        <v>0.3436011713351288</v>
      </c>
      <c r="D50" s="5" t="str">
        <f>IFERROR(__xludf.DUMMYFUNCTION("IF(REGEXMATCH(B50,""(?:January|February|March|April|May|June|July|August|September|October|November|December) \d{4}""), REGEXEXTRACT(B50,""(?s).*((?:January|February|March|April|May|June|July|August|September|October|November|December) \d{4})""), IF(REGEX"&amp;"MATCH(B50,""Q[1-4] \d{4}""), CHOOSE(VALUE(REGEXEXTRACT(B50,""Q([1-4]) \d{4}"")),""March"",""June"",""September"",""December"")&amp;"" ""&amp;REGEXEXTRACT(B50,""Q[1-4] (\d{4})""), IF(REGEXMATCH(B50,""(?i)TBD|not available at this time""),""TBD"",""Not stated"")))"),"December 2026")</f>
        <v>December 2026</v>
      </c>
      <c r="E50" s="5" t="str">
        <f>IFERROR(__xludf.DUMMYFUNCTION("IF(REGEXMATCH(B50,""(?i)manufacturing delay""),""Manufacturing delay"", IF(REGEXMATCH(B50,""(?i)no longer manufactured|not currently manufactured|discontinu""),""Discontinuation"", IF(REGEXMATCH(B50,""(?i)increased demand|demand increase|due to demand""),"&amp;"""Demand increase"", IF(REGEXMATCH(B50,""(?i)raw material|ingredient|shipping delay|regulatory""),""Other"",""Not stated""))))"),"Manufacturing delay")</f>
        <v>Manufacturing delay</v>
      </c>
      <c r="G50" s="5" t="str">
        <f>IFERROR(__xludf.DUMMYFUNCTION("XLOOKUP(TO_TEXT(A50), ai_results!A:A, ai_results!C:C)"),"December 2026")</f>
        <v>December 2026</v>
      </c>
      <c r="H50" s="5" t="str">
        <f>IFERROR(__xludf.DUMMYFUNCTION("XLOOKUP(TO_TEXT(A50), ai_results!A:A, ai_results!D:D)"),"Manufacturing delay")</f>
        <v>Manufacturing delay</v>
      </c>
      <c r="I50" s="5" t="str">
        <f t="shared" ref="I50:J50" si="49">IF(D50=G50,"Yes","No")</f>
        <v>Yes</v>
      </c>
      <c r="J50" s="1" t="str">
        <f t="shared" si="49"/>
        <v>Yes</v>
      </c>
    </row>
    <row r="51">
      <c r="A51" s="5">
        <v>50.0</v>
      </c>
      <c r="B51" s="5" t="s">
        <v>535</v>
      </c>
      <c r="C51" s="5">
        <v>0.35304007739272103</v>
      </c>
      <c r="D51" s="5" t="str">
        <f>IFERROR(__xludf.DUMMYFUNCTION("IF(REGEXMATCH(B51,""(?:January|February|March|April|May|June|July|August|September|October|November|December) \d{4}""), REGEXEXTRACT(B51,""(?s).*((?:January|February|March|April|May|June|July|August|September|October|November|December) \d{4})""), IF(REGEX"&amp;"MATCH(B51,""Q[1-4] \d{4}""), CHOOSE(VALUE(REGEXEXTRACT(B51,""Q([1-4]) \d{4}"")),""March"",""June"",""September"",""December"")&amp;"" ""&amp;REGEXEXTRACT(B51,""Q[1-4] (\d{4})""), IF(REGEXMATCH(B51,""(?i)TBD|not available at this time""),""TBD"",""Not stated"")))"),"November 2026")</f>
        <v>November 2026</v>
      </c>
      <c r="E51" s="5" t="str">
        <f>IFERROR(__xludf.DUMMYFUNCTION("IF(REGEXMATCH(B51,""(?i)manufacturing delay""),""Manufacturing delay"", IF(REGEXMATCH(B51,""(?i)no longer manufactured|not currently manufactured|discontinu""),""Discontinuation"", IF(REGEXMATCH(B51,""(?i)increased demand|demand increase|due to demand""),"&amp;"""Demand increase"", IF(REGEXMATCH(B51,""(?i)raw material|ingredient|shipping delay|regulatory""),""Other"",""Not stated""))))"),"Not stated")</f>
        <v>Not stated</v>
      </c>
      <c r="G51" s="5" t="str">
        <f>IFERROR(__xludf.DUMMYFUNCTION("XLOOKUP(TO_TEXT(A51), ai_results!A:A, ai_results!C:C)"),"November 2026")</f>
        <v>November 2026</v>
      </c>
      <c r="H51" s="5" t="str">
        <f>IFERROR(__xludf.DUMMYFUNCTION("XLOOKUP(TO_TEXT(A51), ai_results!A:A, ai_results!D:D)"),"Not stated")</f>
        <v>Not stated</v>
      </c>
      <c r="I51" s="5" t="str">
        <f t="shared" ref="I51:J51" si="50">IF(D51=G51,"Yes","No")</f>
        <v>Yes</v>
      </c>
      <c r="J51" s="1" t="str">
        <f t="shared" si="50"/>
        <v>Yes</v>
      </c>
    </row>
    <row r="52">
      <c r="A52" s="5">
        <v>51.0</v>
      </c>
      <c r="B52" s="5" t="s">
        <v>537</v>
      </c>
      <c r="C52" s="5">
        <v>0.36006240701089154</v>
      </c>
      <c r="D52" s="5" t="str">
        <f>IFERROR(__xludf.DUMMYFUNCTION("IF(REGEXMATCH(B52,""(?:January|February|March|April|May|June|July|August|September|October|November|December) \d{4}""), REGEXEXTRACT(B52,""(?s).*((?:January|February|March|April|May|June|July|August|September|October|November|December) \d{4})""), IF(REGEX"&amp;"MATCH(B52,""Q[1-4] \d{4}""), CHOOSE(VALUE(REGEXEXTRACT(B52,""Q([1-4]) \d{4}"")),""March"",""June"",""September"",""December"")&amp;"" ""&amp;REGEXEXTRACT(B52,""Q[1-4] (\d{4})""), IF(REGEXMATCH(B52,""(?i)TBD|not available at this time""),""TBD"",""Not stated"")))"),"Not stated")</f>
        <v>Not stated</v>
      </c>
      <c r="E52" s="5" t="str">
        <f>IFERROR(__xludf.DUMMYFUNCTION("IF(REGEXMATCH(B52,""(?i)manufacturing delay""),""Manufacturing delay"", IF(REGEXMATCH(B52,""(?i)no longer manufactured|not currently manufactured|discontinu""),""Discontinuation"", IF(REGEXMATCH(B52,""(?i)increased demand|demand increase|due to demand""),"&amp;"""Demand increase"", IF(REGEXMATCH(B52,""(?i)raw material|ingredient|shipping delay|regulatory""),""Other"",""Not stated""))))"),"Discontinuation")</f>
        <v>Discontinuation</v>
      </c>
      <c r="G52" s="5" t="str">
        <f>IFERROR(__xludf.DUMMYFUNCTION("XLOOKUP(TO_TEXT(A52), ai_results!A:A, ai_results!C:C)"),"Not stated")</f>
        <v>Not stated</v>
      </c>
      <c r="H52" s="5" t="str">
        <f>IFERROR(__xludf.DUMMYFUNCTION("XLOOKUP(TO_TEXT(A52), ai_results!A:A, ai_results!D:D)"),"Discontinuation")</f>
        <v>Discontinuation</v>
      </c>
      <c r="I52" s="5" t="str">
        <f t="shared" ref="I52:J52" si="51">IF(D52=G52,"Yes","No")</f>
        <v>Yes</v>
      </c>
      <c r="J52" s="1" t="str">
        <f t="shared" si="51"/>
        <v>Yes</v>
      </c>
    </row>
    <row r="53">
      <c r="A53" s="5">
        <v>52.0</v>
      </c>
      <c r="B53" s="5" t="s">
        <v>298</v>
      </c>
      <c r="C53" s="5">
        <v>0.362565338247652</v>
      </c>
      <c r="D53" s="5" t="str">
        <f>IFERROR(__xludf.DUMMYFUNCTION("IF(REGEXMATCH(B53,""(?:January|February|March|April|May|June|July|August|September|October|November|December) \d{4}""), REGEXEXTRACT(B53,""(?s).*((?:January|February|March|April|May|June|July|August|September|October|November|December) \d{4})""), IF(REGEX"&amp;"MATCH(B53,""Q[1-4] \d{4}""), CHOOSE(VALUE(REGEXEXTRACT(B53,""Q([1-4]) \d{4}"")),""March"",""June"",""September"",""December"")&amp;"" ""&amp;REGEXEXTRACT(B53,""Q[1-4] (\d{4})""), IF(REGEXMATCH(B53,""(?i)TBD|not available at this time""),""TBD"",""Not stated"")))"),"December 2026")</f>
        <v>December 2026</v>
      </c>
      <c r="E53" s="5" t="str">
        <f>IFERROR(__xludf.DUMMYFUNCTION("IF(REGEXMATCH(B53,""(?i)manufacturing delay""),""Manufacturing delay"", IF(REGEXMATCH(B53,""(?i)no longer manufactured|not currently manufactured|discontinu""),""Discontinuation"", IF(REGEXMATCH(B53,""(?i)increased demand|demand increase|due to demand""),"&amp;"""Demand increase"", IF(REGEXMATCH(B53,""(?i)raw material|ingredient|shipping delay|regulatory""),""Other"",""Not stated""))))"),"Not stated")</f>
        <v>Not stated</v>
      </c>
      <c r="G53" s="5" t="str">
        <f>IFERROR(__xludf.DUMMYFUNCTION("XLOOKUP(TO_TEXT(A53), ai_results!A:A, ai_results!C:C)"),"December 2026")</f>
        <v>December 2026</v>
      </c>
      <c r="H53" s="5" t="str">
        <f>IFERROR(__xludf.DUMMYFUNCTION("XLOOKUP(TO_TEXT(A53), ai_results!A:A, ai_results!D:D)"),"Not stated")</f>
        <v>Not stated</v>
      </c>
      <c r="I53" s="5" t="str">
        <f t="shared" ref="I53:J53" si="52">IF(D53=G53,"Yes","No")</f>
        <v>Yes</v>
      </c>
      <c r="J53" s="1" t="str">
        <f t="shared" si="52"/>
        <v>Yes</v>
      </c>
    </row>
    <row r="54">
      <c r="A54" s="5">
        <v>53.0</v>
      </c>
      <c r="B54" s="5" t="s">
        <v>540</v>
      </c>
      <c r="C54" s="5">
        <v>0.3789546798658643</v>
      </c>
      <c r="D54" s="5" t="str">
        <f>IFERROR(__xludf.DUMMYFUNCTION("IF(REGEXMATCH(B54,""(?:January|February|March|April|May|June|July|August|September|October|November|December) \d{4}""), REGEXEXTRACT(B54,""(?s).*((?:January|February|March|April|May|June|July|August|September|October|November|December) \d{4})""), IF(REGEX"&amp;"MATCH(B54,""Q[1-4] \d{4}""), CHOOSE(VALUE(REGEXEXTRACT(B54,""Q([1-4]) \d{4}"")),""March"",""June"",""September"",""December"")&amp;"" ""&amp;REGEXEXTRACT(B54,""Q[1-4] (\d{4})""), IF(REGEXMATCH(B54,""(?i)TBD|not available at this time""),""TBD"",""Not stated"")))"),"February 2027")</f>
        <v>February 2027</v>
      </c>
      <c r="E54" s="5" t="str">
        <f>IFERROR(__xludf.DUMMYFUNCTION("IF(REGEXMATCH(B54,""(?i)manufacturing delay""),""Manufacturing delay"", IF(REGEXMATCH(B54,""(?i)no longer manufactured|not currently manufactured|discontinu""),""Discontinuation"", IF(REGEXMATCH(B54,""(?i)increased demand|demand increase|due to demand""),"&amp;"""Demand increase"", IF(REGEXMATCH(B54,""(?i)raw material|ingredient|shipping delay|regulatory""),""Other"",""Not stated""))))"),"Not stated")</f>
        <v>Not stated</v>
      </c>
      <c r="G54" s="5" t="str">
        <f>IFERROR(__xludf.DUMMYFUNCTION("XLOOKUP(TO_TEXT(A54), ai_results!A:A, ai_results!C:C)"),"February 2027")</f>
        <v>February 2027</v>
      </c>
      <c r="H54" s="5" t="str">
        <f>IFERROR(__xludf.DUMMYFUNCTION("XLOOKUP(TO_TEXT(A54), ai_results!A:A, ai_results!D:D)"),"Not stated")</f>
        <v>Not stated</v>
      </c>
      <c r="I54" s="5" t="str">
        <f t="shared" ref="I54:J54" si="53">IF(D54=G54,"Yes","No")</f>
        <v>Yes</v>
      </c>
      <c r="J54" s="1" t="str">
        <f t="shared" si="53"/>
        <v>Yes</v>
      </c>
    </row>
    <row r="55">
      <c r="A55" s="5">
        <v>54.0</v>
      </c>
      <c r="B55" s="5" t="s">
        <v>544</v>
      </c>
      <c r="C55" s="5">
        <v>0.38701761652095623</v>
      </c>
      <c r="D55" s="5" t="str">
        <f>IFERROR(__xludf.DUMMYFUNCTION("IF(REGEXMATCH(B55,""(?:January|February|March|April|May|June|July|August|September|October|November|December) \d{4}""), REGEXEXTRACT(B55,""(?s).*((?:January|February|March|April|May|June|July|August|September|October|November|December) \d{4})""), IF(REGEX"&amp;"MATCH(B55,""Q[1-4] \d{4}""), CHOOSE(VALUE(REGEXEXTRACT(B55,""Q([1-4]) \d{4}"")),""March"",""June"",""September"",""December"")&amp;"" ""&amp;REGEXEXTRACT(B55,""Q[1-4] (\d{4})""), IF(REGEXMATCH(B55,""(?i)TBD|not available at this time""),""TBD"",""Not stated"")))"),"October 2026")</f>
        <v>October 2026</v>
      </c>
      <c r="E55" s="5" t="str">
        <f>IFERROR(__xludf.DUMMYFUNCTION("IF(REGEXMATCH(B55,""(?i)manufacturing delay""),""Manufacturing delay"", IF(REGEXMATCH(B55,""(?i)no longer manufactured|not currently manufactured|discontinu""),""Discontinuation"", IF(REGEXMATCH(B55,""(?i)increased demand|demand increase|due to demand""),"&amp;"""Demand increase"", IF(REGEXMATCH(B55,""(?i)raw material|ingredient|shipping delay|regulatory""),""Other"",""Not stated""))))"),"Not stated")</f>
        <v>Not stated</v>
      </c>
      <c r="G55" s="5" t="str">
        <f>IFERROR(__xludf.DUMMYFUNCTION("XLOOKUP(TO_TEXT(A55), ai_results!A:A, ai_results!C:C)"),"October 2026")</f>
        <v>October 2026</v>
      </c>
      <c r="H55" s="5" t="str">
        <f>IFERROR(__xludf.DUMMYFUNCTION("XLOOKUP(TO_TEXT(A55), ai_results!A:A, ai_results!D:D)"),"Not stated")</f>
        <v>Not stated</v>
      </c>
      <c r="I55" s="5" t="str">
        <f t="shared" ref="I55:J55" si="54">IF(D55=G55,"Yes","No")</f>
        <v>Yes</v>
      </c>
      <c r="J55" s="1" t="str">
        <f t="shared" si="54"/>
        <v>Yes</v>
      </c>
    </row>
    <row r="56">
      <c r="A56" s="5">
        <v>55.0</v>
      </c>
      <c r="B56" s="5" t="s">
        <v>546</v>
      </c>
      <c r="C56" s="5">
        <v>0.397663599363256</v>
      </c>
      <c r="D56" s="5" t="str">
        <f>IFERROR(__xludf.DUMMYFUNCTION("IF(REGEXMATCH(B56,""(?:January|February|March|April|May|June|July|August|September|October|November|December) \d{4}""), REGEXEXTRACT(B56,""(?s).*((?:January|February|March|April|May|June|July|August|September|October|November|December) \d{4})""), IF(REGEX"&amp;"MATCH(B56,""Q[1-4] \d{4}""), CHOOSE(VALUE(REGEXEXTRACT(B56,""Q([1-4]) \d{4}"")),""March"",""June"",""September"",""December"")&amp;"" ""&amp;REGEXEXTRACT(B56,""Q[1-4] (\d{4})""), IF(REGEXMATCH(B56,""(?i)TBD|not available at this time""),""TBD"",""Not stated"")))"),"October 2026")</f>
        <v>October 2026</v>
      </c>
      <c r="E56" s="5" t="str">
        <f>IFERROR(__xludf.DUMMYFUNCTION("IF(REGEXMATCH(B56,""(?i)manufacturing delay""),""Manufacturing delay"", IF(REGEXMATCH(B56,""(?i)no longer manufactured|not currently manufactured|discontinu""),""Discontinuation"", IF(REGEXMATCH(B56,""(?i)increased demand|demand increase|due to demand""),"&amp;"""Demand increase"", IF(REGEXMATCH(B56,""(?i)raw material|ingredient|shipping delay|regulatory""),""Other"",""Not stated""))))"),"Not stated")</f>
        <v>Not stated</v>
      </c>
      <c r="G56" s="5" t="str">
        <f>IFERROR(__xludf.DUMMYFUNCTION("XLOOKUP(TO_TEXT(A56), ai_results!A:A, ai_results!C:C)"),"October 2026")</f>
        <v>October 2026</v>
      </c>
      <c r="H56" s="5" t="str">
        <f>IFERROR(__xludf.DUMMYFUNCTION("XLOOKUP(TO_TEXT(A56), ai_results!A:A, ai_results!D:D)"),"Not stated")</f>
        <v>Not stated</v>
      </c>
      <c r="I56" s="5" t="str">
        <f t="shared" ref="I56:J56" si="55">IF(D56=G56,"Yes","No")</f>
        <v>Yes</v>
      </c>
      <c r="J56" s="1" t="str">
        <f t="shared" si="55"/>
        <v>Yes</v>
      </c>
    </row>
    <row r="57">
      <c r="A57" s="5">
        <v>56.0</v>
      </c>
      <c r="B57" s="5" t="s">
        <v>548</v>
      </c>
      <c r="C57" s="5">
        <v>0.3989223036425099</v>
      </c>
      <c r="D57" s="5" t="str">
        <f>IFERROR(__xludf.DUMMYFUNCTION("IF(REGEXMATCH(B57,""(?:January|February|March|April|May|June|July|August|September|October|November|December) \d{4}""), REGEXEXTRACT(B57,""(?s).*((?:January|February|March|April|May|June|July|August|September|October|November|December) \d{4})""), IF(REGEX"&amp;"MATCH(B57,""Q[1-4] \d{4}""), CHOOSE(VALUE(REGEXEXTRACT(B57,""Q([1-4]) \d{4}"")),""March"",""June"",""September"",""December"")&amp;"" ""&amp;REGEXEXTRACT(B57,""Q[1-4] (\d{4})""), IF(REGEXMATCH(B57,""(?i)TBD|not available at this time""),""TBD"",""Not stated"")))"),"Not stated")</f>
        <v>Not stated</v>
      </c>
      <c r="E57" s="5" t="str">
        <f>IFERROR(__xludf.DUMMYFUNCTION("IF(REGEXMATCH(B57,""(?i)manufacturing delay""),""Manufacturing delay"", IF(REGEXMATCH(B57,""(?i)no longer manufactured|not currently manufactured|discontinu""),""Discontinuation"", IF(REGEXMATCH(B57,""(?i)increased demand|demand increase|due to demand""),"&amp;"""Demand increase"", IF(REGEXMATCH(B57,""(?i)raw material|ingredient|shipping delay|regulatory""),""Other"",""Not stated""))))"),"Not stated")</f>
        <v>Not stated</v>
      </c>
      <c r="G57" s="5" t="str">
        <f>IFERROR(__xludf.DUMMYFUNCTION("XLOOKUP(TO_TEXT(A57), ai_results!A:A, ai_results!C:C)"),"Not stated")</f>
        <v>Not stated</v>
      </c>
      <c r="H57" s="5" t="str">
        <f>IFERROR(__xludf.DUMMYFUNCTION("XLOOKUP(TO_TEXT(A57), ai_results!A:A, ai_results!D:D)"),"Not stated")</f>
        <v>Not stated</v>
      </c>
      <c r="I57" s="5" t="str">
        <f t="shared" ref="I57:J57" si="56">IF(D57=G57,"Yes","No")</f>
        <v>Yes</v>
      </c>
      <c r="J57" s="1" t="str">
        <f t="shared" si="56"/>
        <v>Yes</v>
      </c>
    </row>
    <row r="58">
      <c r="A58" s="5">
        <v>57.0</v>
      </c>
      <c r="B58" s="5" t="s">
        <v>550</v>
      </c>
      <c r="C58" s="5">
        <v>0.40699726279499926</v>
      </c>
      <c r="D58" s="5" t="str">
        <f>IFERROR(__xludf.DUMMYFUNCTION("IF(REGEXMATCH(B58,""(?:January|February|March|April|May|June|July|August|September|October|November|December) \d{4}""), REGEXEXTRACT(B58,""(?s).*((?:January|February|March|April|May|June|July|August|September|October|November|December) \d{4})""), IF(REGEX"&amp;"MATCH(B58,""Q[1-4] \d{4}""), CHOOSE(VALUE(REGEXEXTRACT(B58,""Q([1-4]) \d{4}"")),""March"",""June"",""September"",""December"")&amp;"" ""&amp;REGEXEXTRACT(B58,""Q[1-4] (\d{4})""), IF(REGEXMATCH(B58,""(?i)TBD|not available at this time""),""TBD"",""Not stated"")))"),"Not stated")</f>
        <v>Not stated</v>
      </c>
      <c r="E58" s="5" t="str">
        <f>IFERROR(__xludf.DUMMYFUNCTION("IF(REGEXMATCH(B58,""(?i)manufacturing delay""),""Manufacturing delay"", IF(REGEXMATCH(B58,""(?i)no longer manufactured|not currently manufactured|discontinu""),""Discontinuation"", IF(REGEXMATCH(B58,""(?i)increased demand|demand increase|due to demand""),"&amp;"""Demand increase"", IF(REGEXMATCH(B58,""(?i)raw material|ingredient|shipping delay|regulatory""),""Other"",""Not stated""))))"),"Not stated")</f>
        <v>Not stated</v>
      </c>
      <c r="G58" s="5" t="str">
        <f>IFERROR(__xludf.DUMMYFUNCTION("XLOOKUP(TO_TEXT(A58), ai_results!A:A, ai_results!C:C)"),"Not stated")</f>
        <v>Not stated</v>
      </c>
      <c r="H58" s="5" t="str">
        <f>IFERROR(__xludf.DUMMYFUNCTION("XLOOKUP(TO_TEXT(A58), ai_results!A:A, ai_results!D:D)"),"Not stated")</f>
        <v>Not stated</v>
      </c>
      <c r="I58" s="5" t="str">
        <f t="shared" ref="I58:J58" si="57">IF(D58=G58,"Yes","No")</f>
        <v>Yes</v>
      </c>
      <c r="J58" s="1" t="str">
        <f t="shared" si="57"/>
        <v>Yes</v>
      </c>
    </row>
    <row r="59">
      <c r="A59" s="5">
        <v>58.0</v>
      </c>
      <c r="B59" s="5" t="s">
        <v>552</v>
      </c>
      <c r="C59" s="5">
        <v>0.4099617772229128</v>
      </c>
      <c r="D59" s="5" t="str">
        <f>IFERROR(__xludf.DUMMYFUNCTION("IF(REGEXMATCH(B59,""(?:January|February|March|April|May|June|July|August|September|October|November|December) \d{4}""), REGEXEXTRACT(B59,""(?s).*((?:January|February|March|April|May|June|July|August|September|October|November|December) \d{4})""), IF(REGEX"&amp;"MATCH(B59,""Q[1-4] \d{4}""), CHOOSE(VALUE(REGEXEXTRACT(B59,""Q([1-4]) \d{4}"")),""March"",""June"",""September"",""December"")&amp;"" ""&amp;REGEXEXTRACT(B59,""Q[1-4] (\d{4})""), IF(REGEXMATCH(B59,""(?i)TBD|not available at this time""),""TBD"",""Not stated"")))"),"TBD")</f>
        <v>TBD</v>
      </c>
      <c r="E59" s="5" t="str">
        <f>IFERROR(__xludf.DUMMYFUNCTION("IF(REGEXMATCH(B59,""(?i)manufacturing delay""),""Manufacturing delay"", IF(REGEXMATCH(B59,""(?i)no longer manufactured|not currently manufactured|discontinu""),""Discontinuation"", IF(REGEXMATCH(B59,""(?i)increased demand|demand increase|due to demand""),"&amp;"""Demand increase"", IF(REGEXMATCH(B59,""(?i)raw material|ingredient|shipping delay|regulatory""),""Other"",""Not stated""))))"),"Not stated")</f>
        <v>Not stated</v>
      </c>
      <c r="G59" s="5" t="str">
        <f>IFERROR(__xludf.DUMMYFUNCTION("XLOOKUP(TO_TEXT(A59), ai_results!A:A, ai_results!C:C)"),"TBD")</f>
        <v>TBD</v>
      </c>
      <c r="H59" s="5" t="str">
        <f>IFERROR(__xludf.DUMMYFUNCTION("XLOOKUP(TO_TEXT(A59), ai_results!A:A, ai_results!D:D)"),"Not stated")</f>
        <v>Not stated</v>
      </c>
      <c r="I59" s="5" t="str">
        <f t="shared" ref="I59:J59" si="58">IF(D59=G59,"Yes","No")</f>
        <v>Yes</v>
      </c>
      <c r="J59" s="1" t="str">
        <f t="shared" si="58"/>
        <v>Yes</v>
      </c>
    </row>
    <row r="60">
      <c r="A60" s="5">
        <v>59.0</v>
      </c>
      <c r="B60" s="5" t="s">
        <v>554</v>
      </c>
      <c r="C60" s="5">
        <v>0.4186611107692809</v>
      </c>
      <c r="D60" s="5" t="str">
        <f>IFERROR(__xludf.DUMMYFUNCTION("IF(REGEXMATCH(B60,""(?:January|February|March|April|May|June|July|August|September|October|November|December) \d{4}""), REGEXEXTRACT(B60,""(?s).*((?:January|February|March|April|May|June|July|August|September|October|November|December) \d{4})""), IF(REGEX"&amp;"MATCH(B60,""Q[1-4] \d{4}""), CHOOSE(VALUE(REGEXEXTRACT(B60,""Q([1-4]) \d{4}"")),""March"",""June"",""September"",""December"")&amp;"" ""&amp;REGEXEXTRACT(B60,""Q[1-4] (\d{4})""), IF(REGEXMATCH(B60,""(?i)TBD|not available at this time""),""TBD"",""Not stated"")))"),"Not stated")</f>
        <v>Not stated</v>
      </c>
      <c r="E60" s="5" t="str">
        <f>IFERROR(__xludf.DUMMYFUNCTION("IF(REGEXMATCH(B60,""(?i)manufacturing delay""),""Manufacturing delay"", IF(REGEXMATCH(B60,""(?i)no longer manufactured|not currently manufactured|discontinu""),""Discontinuation"", IF(REGEXMATCH(B60,""(?i)increased demand|demand increase|due to demand""),"&amp;"""Demand increase"", IF(REGEXMATCH(B60,""(?i)raw material|ingredient|shipping delay|regulatory""),""Other"",""Not stated""))))"),"Not stated")</f>
        <v>Not stated</v>
      </c>
      <c r="G60" s="5" t="str">
        <f>IFERROR(__xludf.DUMMYFUNCTION("XLOOKUP(TO_TEXT(A60), ai_results!A:A, ai_results!C:C)"),"Not stated")</f>
        <v>Not stated</v>
      </c>
      <c r="H60" s="5" t="str">
        <f>IFERROR(__xludf.DUMMYFUNCTION("XLOOKUP(TO_TEXT(A60), ai_results!A:A, ai_results!D:D)"),"Not stated")</f>
        <v>Not stated</v>
      </c>
      <c r="I60" s="5" t="str">
        <f t="shared" ref="I60:J60" si="59">IF(D60=G60,"Yes","No")</f>
        <v>Yes</v>
      </c>
      <c r="J60" s="1" t="str">
        <f t="shared" si="59"/>
        <v>Yes</v>
      </c>
    </row>
    <row r="61">
      <c r="A61" s="5">
        <v>60.0</v>
      </c>
      <c r="B61" s="5" t="s">
        <v>556</v>
      </c>
      <c r="C61" s="5">
        <v>0.4243028060734011</v>
      </c>
      <c r="D61" s="5" t="str">
        <f>IFERROR(__xludf.DUMMYFUNCTION("IF(REGEXMATCH(B61,""(?:January|February|March|April|May|June|July|August|September|October|November|December) \d{4}""), REGEXEXTRACT(B61,""(?s).*((?:January|February|March|April|May|June|July|August|September|October|November|December) \d{4})""), IF(REGEX"&amp;"MATCH(B61,""Q[1-4] \d{4}""), CHOOSE(VALUE(REGEXEXTRACT(B61,""Q([1-4]) \d{4}"")),""March"",""June"",""September"",""December"")&amp;"" ""&amp;REGEXEXTRACT(B61,""Q[1-4] (\d{4})""), IF(REGEXMATCH(B61,""(?i)TBD|not available at this time""),""TBD"",""Not stated"")))"),"Not stated")</f>
        <v>Not stated</v>
      </c>
      <c r="E61" s="5" t="str">
        <f>IFERROR(__xludf.DUMMYFUNCTION("IF(REGEXMATCH(B61,""(?i)manufacturing delay""),""Manufacturing delay"", IF(REGEXMATCH(B61,""(?i)no longer manufactured|not currently manufactured|discontinu""),""Discontinuation"", IF(REGEXMATCH(B61,""(?i)increased demand|demand increase|due to demand""),"&amp;"""Demand increase"", IF(REGEXMATCH(B61,""(?i)raw material|ingredient|shipping delay|regulatory""),""Other"",""Not stated""))))"),"Not stated")</f>
        <v>Not stated</v>
      </c>
      <c r="G61" s="5" t="str">
        <f>IFERROR(__xludf.DUMMYFUNCTION("XLOOKUP(TO_TEXT(A61), ai_results!A:A, ai_results!C:C)"),"Not stated")</f>
        <v>Not stated</v>
      </c>
      <c r="H61" s="5" t="str">
        <f>IFERROR(__xludf.DUMMYFUNCTION("XLOOKUP(TO_TEXT(A61), ai_results!A:A, ai_results!D:D)"),"Not stated")</f>
        <v>Not stated</v>
      </c>
      <c r="I61" s="5" t="str">
        <f t="shared" ref="I61:J61" si="60">IF(D61=G61,"Yes","No")</f>
        <v>Yes</v>
      </c>
      <c r="J61" s="1" t="str">
        <f t="shared" si="60"/>
        <v>Yes</v>
      </c>
    </row>
  </sheetData>
  <dataValidations>
    <dataValidation type="list" allowBlank="1" showErrorMessage="1" sqref="E2:E61">
      <formula1>"Manufacturing delay,Discontinuation,Demand increase,Other,Not stated"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88"/>
    <col customWidth="1" min="3" max="3" width="15.25"/>
    <col customWidth="1" min="4" max="5" width="19.5"/>
    <col customWidth="1" min="6" max="6" width="33.63"/>
    <col customWidth="1" min="7" max="7" width="17.13"/>
    <col customWidth="1" min="9" max="9" width="14.25"/>
  </cols>
  <sheetData>
    <row r="1">
      <c r="A1" s="1" t="s">
        <v>401</v>
      </c>
      <c r="B1" s="1" t="s">
        <v>399</v>
      </c>
      <c r="C1" s="1" t="s">
        <v>405</v>
      </c>
      <c r="D1" s="1" t="s">
        <v>406</v>
      </c>
      <c r="E1" s="1" t="s">
        <v>430</v>
      </c>
      <c r="F1" s="1" t="s">
        <v>431</v>
      </c>
    </row>
    <row r="2">
      <c r="A2" s="18" t="s">
        <v>432</v>
      </c>
      <c r="B2" s="1" t="s">
        <v>409</v>
      </c>
      <c r="C2" s="1" t="s">
        <v>433</v>
      </c>
      <c r="D2" s="1" t="s">
        <v>187</v>
      </c>
      <c r="E2" s="1" t="s">
        <v>434</v>
      </c>
      <c r="F2" s="1" t="s">
        <v>435</v>
      </c>
    </row>
    <row r="3">
      <c r="A3" s="18" t="s">
        <v>436</v>
      </c>
      <c r="B3" s="1" t="s">
        <v>410</v>
      </c>
      <c r="C3" s="1" t="s">
        <v>187</v>
      </c>
      <c r="D3" s="1" t="s">
        <v>187</v>
      </c>
      <c r="E3" s="1" t="s">
        <v>434</v>
      </c>
      <c r="F3" s="1" t="s">
        <v>437</v>
      </c>
    </row>
    <row r="4">
      <c r="A4" s="18" t="s">
        <v>438</v>
      </c>
      <c r="B4" s="1" t="s">
        <v>411</v>
      </c>
      <c r="C4" s="1" t="s">
        <v>187</v>
      </c>
      <c r="D4" s="1" t="s">
        <v>187</v>
      </c>
      <c r="E4" s="1" t="s">
        <v>434</v>
      </c>
      <c r="F4" s="1" t="s">
        <v>437</v>
      </c>
    </row>
    <row r="5">
      <c r="A5" s="18" t="s">
        <v>440</v>
      </c>
      <c r="B5" s="1" t="s">
        <v>412</v>
      </c>
      <c r="C5" s="1" t="s">
        <v>441</v>
      </c>
      <c r="D5" s="1" t="s">
        <v>442</v>
      </c>
      <c r="E5" s="1" t="s">
        <v>136</v>
      </c>
      <c r="F5" s="1" t="s">
        <v>443</v>
      </c>
    </row>
    <row r="6">
      <c r="A6" s="18" t="s">
        <v>444</v>
      </c>
      <c r="B6" s="1" t="s">
        <v>414</v>
      </c>
      <c r="C6" s="1" t="s">
        <v>187</v>
      </c>
      <c r="D6" s="1" t="s">
        <v>187</v>
      </c>
      <c r="E6" s="1" t="s">
        <v>434</v>
      </c>
      <c r="F6" s="1" t="s">
        <v>437</v>
      </c>
    </row>
    <row r="7">
      <c r="A7" s="18" t="s">
        <v>445</v>
      </c>
      <c r="B7" s="1" t="s">
        <v>415</v>
      </c>
      <c r="C7" s="1" t="s">
        <v>187</v>
      </c>
      <c r="D7" s="1" t="s">
        <v>187</v>
      </c>
      <c r="E7" s="1" t="s">
        <v>434</v>
      </c>
      <c r="F7" s="1" t="s">
        <v>437</v>
      </c>
    </row>
    <row r="8">
      <c r="A8" s="18" t="s">
        <v>446</v>
      </c>
      <c r="B8" s="1" t="s">
        <v>417</v>
      </c>
      <c r="C8" s="1" t="s">
        <v>187</v>
      </c>
      <c r="D8" s="1" t="s">
        <v>187</v>
      </c>
      <c r="E8" s="1" t="s">
        <v>434</v>
      </c>
      <c r="F8" s="1" t="s">
        <v>437</v>
      </c>
    </row>
    <row r="9">
      <c r="A9" s="18" t="s">
        <v>447</v>
      </c>
      <c r="B9" s="1" t="s">
        <v>418</v>
      </c>
      <c r="C9" s="1" t="s">
        <v>187</v>
      </c>
      <c r="D9" s="1" t="s">
        <v>187</v>
      </c>
      <c r="E9" s="1" t="s">
        <v>434</v>
      </c>
      <c r="F9" s="1" t="s">
        <v>437</v>
      </c>
    </row>
    <row r="10">
      <c r="A10" s="18" t="s">
        <v>448</v>
      </c>
      <c r="B10" s="1" t="s">
        <v>133</v>
      </c>
      <c r="C10" s="1" t="s">
        <v>433</v>
      </c>
      <c r="D10" s="1" t="s">
        <v>187</v>
      </c>
      <c r="E10" s="1" t="s">
        <v>434</v>
      </c>
      <c r="F10" s="1" t="s">
        <v>435</v>
      </c>
    </row>
    <row r="11">
      <c r="A11" s="18" t="s">
        <v>449</v>
      </c>
      <c r="B11" s="1" t="s">
        <v>419</v>
      </c>
      <c r="C11" s="18" t="s">
        <v>450</v>
      </c>
      <c r="D11" s="1" t="s">
        <v>187</v>
      </c>
      <c r="E11" s="1" t="s">
        <v>434</v>
      </c>
      <c r="F11" s="1" t="s">
        <v>451</v>
      </c>
    </row>
    <row r="12">
      <c r="A12" s="18" t="s">
        <v>452</v>
      </c>
      <c r="B12" s="1" t="s">
        <v>420</v>
      </c>
      <c r="C12" s="1" t="s">
        <v>187</v>
      </c>
      <c r="D12" s="1" t="s">
        <v>187</v>
      </c>
      <c r="E12" s="1" t="s">
        <v>434</v>
      </c>
      <c r="F12" s="1" t="s">
        <v>437</v>
      </c>
    </row>
    <row r="13">
      <c r="A13" s="18" t="s">
        <v>454</v>
      </c>
      <c r="B13" s="1" t="s">
        <v>421</v>
      </c>
      <c r="C13" s="18" t="s">
        <v>450</v>
      </c>
      <c r="D13" s="1" t="s">
        <v>187</v>
      </c>
      <c r="E13" s="1" t="s">
        <v>434</v>
      </c>
      <c r="F13" s="1" t="s">
        <v>451</v>
      </c>
    </row>
    <row r="14">
      <c r="A14" s="18" t="s">
        <v>455</v>
      </c>
      <c r="B14" s="1" t="s">
        <v>189</v>
      </c>
      <c r="C14" s="18" t="s">
        <v>456</v>
      </c>
      <c r="D14" s="1" t="s">
        <v>187</v>
      </c>
      <c r="E14" s="1" t="s">
        <v>434</v>
      </c>
      <c r="F14" s="1" t="s">
        <v>457</v>
      </c>
    </row>
    <row r="15">
      <c r="A15" s="18" t="s">
        <v>458</v>
      </c>
      <c r="B15" s="1" t="s">
        <v>422</v>
      </c>
      <c r="C15" s="18" t="s">
        <v>459</v>
      </c>
      <c r="D15" s="1" t="s">
        <v>187</v>
      </c>
      <c r="E15" s="1" t="s">
        <v>434</v>
      </c>
      <c r="F15" s="1" t="s">
        <v>460</v>
      </c>
    </row>
    <row r="16">
      <c r="A16" s="18" t="s">
        <v>461</v>
      </c>
      <c r="B16" s="1" t="s">
        <v>423</v>
      </c>
      <c r="C16" s="18" t="s">
        <v>456</v>
      </c>
      <c r="D16" s="1" t="s">
        <v>187</v>
      </c>
      <c r="E16" s="1" t="s">
        <v>434</v>
      </c>
      <c r="F16" s="1" t="s">
        <v>457</v>
      </c>
    </row>
    <row r="17">
      <c r="A17" s="18" t="s">
        <v>462</v>
      </c>
      <c r="B17" s="1" t="s">
        <v>294</v>
      </c>
      <c r="C17" s="18" t="s">
        <v>463</v>
      </c>
      <c r="D17" s="1" t="s">
        <v>187</v>
      </c>
      <c r="E17" s="1" t="s">
        <v>434</v>
      </c>
      <c r="F17" s="1" t="s">
        <v>464</v>
      </c>
    </row>
    <row r="18">
      <c r="A18" s="18" t="s">
        <v>465</v>
      </c>
      <c r="B18" s="1" t="s">
        <v>340</v>
      </c>
      <c r="C18" s="1" t="s">
        <v>433</v>
      </c>
      <c r="D18" s="1" t="s">
        <v>187</v>
      </c>
      <c r="E18" s="1" t="s">
        <v>434</v>
      </c>
      <c r="F18" s="1" t="s">
        <v>435</v>
      </c>
    </row>
    <row r="19">
      <c r="A19" s="18" t="s">
        <v>466</v>
      </c>
      <c r="B19" s="1" t="s">
        <v>424</v>
      </c>
      <c r="C19" s="18" t="s">
        <v>467</v>
      </c>
      <c r="D19" s="1" t="s">
        <v>187</v>
      </c>
      <c r="E19" s="1" t="s">
        <v>434</v>
      </c>
      <c r="F19" s="1" t="s">
        <v>468</v>
      </c>
    </row>
    <row r="20">
      <c r="A20" s="18" t="s">
        <v>470</v>
      </c>
      <c r="B20" s="1" t="s">
        <v>425</v>
      </c>
      <c r="C20" s="1" t="s">
        <v>187</v>
      </c>
      <c r="D20" s="1" t="s">
        <v>187</v>
      </c>
      <c r="E20" s="1" t="s">
        <v>434</v>
      </c>
      <c r="F20" s="1" t="s">
        <v>437</v>
      </c>
    </row>
    <row r="21">
      <c r="A21" s="18" t="s">
        <v>471</v>
      </c>
      <c r="B21" s="1" t="s">
        <v>177</v>
      </c>
      <c r="C21" s="18" t="s">
        <v>472</v>
      </c>
      <c r="D21" s="1" t="s">
        <v>187</v>
      </c>
      <c r="E21" s="1" t="s">
        <v>434</v>
      </c>
      <c r="F21" s="1" t="s">
        <v>473</v>
      </c>
    </row>
    <row r="22">
      <c r="A22" s="18" t="s">
        <v>474</v>
      </c>
      <c r="B22" s="1" t="s">
        <v>426</v>
      </c>
      <c r="C22" s="18" t="s">
        <v>450</v>
      </c>
      <c r="D22" s="1" t="s">
        <v>187</v>
      </c>
      <c r="E22" s="1" t="s">
        <v>434</v>
      </c>
      <c r="F22" s="1" t="s">
        <v>451</v>
      </c>
    </row>
    <row r="23">
      <c r="A23" s="18" t="s">
        <v>475</v>
      </c>
      <c r="B23" s="1" t="s">
        <v>427</v>
      </c>
      <c r="C23" s="1" t="s">
        <v>187</v>
      </c>
      <c r="D23" s="1" t="s">
        <v>187</v>
      </c>
      <c r="E23" s="1" t="s">
        <v>434</v>
      </c>
      <c r="F23" s="1" t="s">
        <v>437</v>
      </c>
    </row>
    <row r="24">
      <c r="A24" s="18" t="s">
        <v>476</v>
      </c>
      <c r="B24" s="1" t="s">
        <v>428</v>
      </c>
      <c r="C24" s="18" t="s">
        <v>477</v>
      </c>
      <c r="D24" s="1" t="s">
        <v>442</v>
      </c>
      <c r="E24" s="1" t="s">
        <v>434</v>
      </c>
      <c r="F24" s="1" t="s">
        <v>478</v>
      </c>
    </row>
    <row r="25">
      <c r="A25" s="18" t="s">
        <v>479</v>
      </c>
      <c r="B25" s="1" t="s">
        <v>429</v>
      </c>
      <c r="C25" s="1" t="s">
        <v>187</v>
      </c>
      <c r="D25" s="1" t="s">
        <v>187</v>
      </c>
      <c r="E25" s="1" t="s">
        <v>434</v>
      </c>
      <c r="F25" s="1" t="s">
        <v>437</v>
      </c>
    </row>
    <row r="26">
      <c r="A26" s="18" t="s">
        <v>480</v>
      </c>
      <c r="B26" s="1" t="s">
        <v>439</v>
      </c>
      <c r="C26" s="18" t="s">
        <v>456</v>
      </c>
      <c r="D26" s="1" t="s">
        <v>187</v>
      </c>
      <c r="E26" s="1" t="s">
        <v>434</v>
      </c>
      <c r="F26" s="1" t="s">
        <v>457</v>
      </c>
    </row>
    <row r="27">
      <c r="A27" s="18" t="s">
        <v>481</v>
      </c>
      <c r="B27" s="1" t="s">
        <v>453</v>
      </c>
      <c r="C27" s="18" t="s">
        <v>482</v>
      </c>
      <c r="D27" s="1" t="s">
        <v>187</v>
      </c>
      <c r="E27" s="1" t="s">
        <v>434</v>
      </c>
      <c r="F27" s="1" t="s">
        <v>484</v>
      </c>
    </row>
    <row r="28">
      <c r="A28" s="18" t="s">
        <v>485</v>
      </c>
      <c r="B28" s="1" t="s">
        <v>469</v>
      </c>
      <c r="C28" s="18" t="s">
        <v>456</v>
      </c>
      <c r="D28" s="1" t="s">
        <v>187</v>
      </c>
      <c r="E28" s="1" t="s">
        <v>434</v>
      </c>
      <c r="F28" s="1" t="s">
        <v>457</v>
      </c>
    </row>
    <row r="29">
      <c r="A29" s="18" t="s">
        <v>486</v>
      </c>
      <c r="B29" s="1" t="s">
        <v>483</v>
      </c>
      <c r="C29" s="1" t="s">
        <v>187</v>
      </c>
      <c r="D29" s="1" t="s">
        <v>187</v>
      </c>
      <c r="E29" s="1" t="s">
        <v>434</v>
      </c>
      <c r="F29" s="1" t="s">
        <v>437</v>
      </c>
    </row>
    <row r="30">
      <c r="A30" s="18" t="s">
        <v>487</v>
      </c>
      <c r="B30" s="1" t="s">
        <v>488</v>
      </c>
      <c r="C30" s="18" t="s">
        <v>477</v>
      </c>
      <c r="D30" s="1" t="s">
        <v>442</v>
      </c>
      <c r="E30" s="1" t="s">
        <v>434</v>
      </c>
      <c r="F30" s="1" t="s">
        <v>478</v>
      </c>
    </row>
    <row r="31">
      <c r="A31" s="18" t="s">
        <v>489</v>
      </c>
      <c r="B31" s="1" t="s">
        <v>490</v>
      </c>
      <c r="C31" s="18" t="s">
        <v>477</v>
      </c>
      <c r="D31" s="1" t="s">
        <v>187</v>
      </c>
      <c r="E31" s="1" t="s">
        <v>434</v>
      </c>
      <c r="F31" s="1" t="s">
        <v>491</v>
      </c>
    </row>
    <row r="32">
      <c r="A32" s="18" t="s">
        <v>492</v>
      </c>
      <c r="B32" s="1" t="s">
        <v>493</v>
      </c>
      <c r="C32" s="1" t="s">
        <v>187</v>
      </c>
      <c r="D32" s="1" t="s">
        <v>187</v>
      </c>
      <c r="E32" s="1" t="s">
        <v>434</v>
      </c>
      <c r="F32" s="1" t="s">
        <v>437</v>
      </c>
    </row>
    <row r="33">
      <c r="A33" s="18" t="s">
        <v>494</v>
      </c>
      <c r="B33" s="1" t="s">
        <v>495</v>
      </c>
      <c r="C33" s="1" t="s">
        <v>187</v>
      </c>
      <c r="D33" s="1" t="s">
        <v>187</v>
      </c>
      <c r="E33" s="1" t="s">
        <v>434</v>
      </c>
      <c r="F33" s="1" t="s">
        <v>437</v>
      </c>
    </row>
    <row r="34">
      <c r="A34" s="18" t="s">
        <v>496</v>
      </c>
      <c r="B34" s="1" t="s">
        <v>497</v>
      </c>
      <c r="C34" s="18" t="s">
        <v>477</v>
      </c>
      <c r="D34" s="1" t="s">
        <v>187</v>
      </c>
      <c r="E34" s="1" t="s">
        <v>434</v>
      </c>
      <c r="F34" s="1" t="s">
        <v>491</v>
      </c>
    </row>
    <row r="35">
      <c r="A35" s="18" t="s">
        <v>498</v>
      </c>
      <c r="B35" s="1" t="s">
        <v>499</v>
      </c>
      <c r="C35" s="1" t="s">
        <v>187</v>
      </c>
      <c r="D35" s="1" t="s">
        <v>187</v>
      </c>
      <c r="E35" s="1" t="s">
        <v>434</v>
      </c>
      <c r="F35" s="1" t="s">
        <v>437</v>
      </c>
    </row>
    <row r="36">
      <c r="A36" s="18" t="s">
        <v>500</v>
      </c>
      <c r="B36" s="1" t="s">
        <v>501</v>
      </c>
      <c r="C36" s="1" t="s">
        <v>187</v>
      </c>
      <c r="D36" s="1" t="s">
        <v>187</v>
      </c>
      <c r="E36" s="1" t="s">
        <v>434</v>
      </c>
      <c r="F36" s="1" t="s">
        <v>437</v>
      </c>
    </row>
    <row r="37">
      <c r="A37" s="18" t="s">
        <v>502</v>
      </c>
      <c r="B37" s="1" t="s">
        <v>503</v>
      </c>
      <c r="C37" s="1" t="s">
        <v>187</v>
      </c>
      <c r="D37" s="1" t="s">
        <v>187</v>
      </c>
      <c r="E37" s="1" t="s">
        <v>434</v>
      </c>
      <c r="F37" s="1" t="s">
        <v>437</v>
      </c>
    </row>
    <row r="38">
      <c r="A38" s="18" t="s">
        <v>504</v>
      </c>
      <c r="B38" s="1" t="s">
        <v>505</v>
      </c>
      <c r="C38" s="1" t="s">
        <v>187</v>
      </c>
      <c r="D38" s="1" t="s">
        <v>187</v>
      </c>
      <c r="E38" s="1" t="s">
        <v>434</v>
      </c>
      <c r="F38" s="1" t="s">
        <v>437</v>
      </c>
    </row>
    <row r="39">
      <c r="A39" s="18" t="s">
        <v>506</v>
      </c>
      <c r="B39" s="1" t="s">
        <v>507</v>
      </c>
      <c r="C39" s="1" t="s">
        <v>187</v>
      </c>
      <c r="D39" s="1" t="s">
        <v>187</v>
      </c>
      <c r="E39" s="1" t="s">
        <v>434</v>
      </c>
      <c r="F39" s="1" t="s">
        <v>437</v>
      </c>
    </row>
    <row r="40">
      <c r="A40" s="18" t="s">
        <v>508</v>
      </c>
      <c r="B40" s="1" t="s">
        <v>509</v>
      </c>
      <c r="C40" s="18" t="s">
        <v>510</v>
      </c>
      <c r="D40" s="1" t="s">
        <v>187</v>
      </c>
      <c r="E40" s="1" t="s">
        <v>434</v>
      </c>
      <c r="F40" s="1" t="s">
        <v>511</v>
      </c>
    </row>
    <row r="41">
      <c r="A41" s="18" t="s">
        <v>512</v>
      </c>
      <c r="B41" s="1" t="s">
        <v>513</v>
      </c>
      <c r="C41" s="1" t="s">
        <v>433</v>
      </c>
      <c r="D41" s="1" t="s">
        <v>187</v>
      </c>
      <c r="E41" s="1" t="s">
        <v>434</v>
      </c>
      <c r="F41" s="1" t="s">
        <v>435</v>
      </c>
    </row>
    <row r="42">
      <c r="A42" s="18" t="s">
        <v>514</v>
      </c>
      <c r="B42" s="1" t="s">
        <v>515</v>
      </c>
      <c r="C42" s="18" t="s">
        <v>456</v>
      </c>
      <c r="D42" s="1" t="s">
        <v>187</v>
      </c>
      <c r="E42" s="1" t="s">
        <v>434</v>
      </c>
      <c r="F42" s="1" t="s">
        <v>457</v>
      </c>
    </row>
    <row r="43">
      <c r="A43" s="18" t="s">
        <v>516</v>
      </c>
      <c r="B43" s="1" t="s">
        <v>517</v>
      </c>
      <c r="C43" s="18" t="s">
        <v>456</v>
      </c>
      <c r="D43" s="1" t="s">
        <v>187</v>
      </c>
      <c r="E43" s="1" t="s">
        <v>434</v>
      </c>
      <c r="F43" s="1" t="s">
        <v>457</v>
      </c>
    </row>
    <row r="44">
      <c r="A44" s="18" t="s">
        <v>518</v>
      </c>
      <c r="B44" s="1" t="s">
        <v>519</v>
      </c>
      <c r="C44" s="1" t="s">
        <v>187</v>
      </c>
      <c r="D44" s="1" t="s">
        <v>187</v>
      </c>
      <c r="E44" s="1" t="s">
        <v>434</v>
      </c>
      <c r="F44" s="1" t="s">
        <v>437</v>
      </c>
    </row>
    <row r="45">
      <c r="A45" s="18" t="s">
        <v>520</v>
      </c>
      <c r="B45" s="1" t="s">
        <v>521</v>
      </c>
      <c r="C45" s="18" t="s">
        <v>456</v>
      </c>
      <c r="D45" s="1" t="s">
        <v>187</v>
      </c>
      <c r="E45" s="1" t="s">
        <v>434</v>
      </c>
      <c r="F45" s="1" t="s">
        <v>457</v>
      </c>
    </row>
    <row r="46">
      <c r="A46" s="18" t="s">
        <v>522</v>
      </c>
      <c r="B46" s="1" t="s">
        <v>523</v>
      </c>
      <c r="C46" s="1" t="s">
        <v>187</v>
      </c>
      <c r="D46" s="1" t="s">
        <v>524</v>
      </c>
      <c r="E46" s="1" t="s">
        <v>434</v>
      </c>
      <c r="F46" s="1" t="s">
        <v>525</v>
      </c>
    </row>
    <row r="47">
      <c r="A47" s="18" t="s">
        <v>526</v>
      </c>
      <c r="B47" s="1" t="s">
        <v>527</v>
      </c>
      <c r="C47" s="18" t="s">
        <v>477</v>
      </c>
      <c r="D47" s="1" t="s">
        <v>187</v>
      </c>
      <c r="E47" s="1" t="s">
        <v>434</v>
      </c>
      <c r="F47" s="1" t="s">
        <v>491</v>
      </c>
    </row>
    <row r="48">
      <c r="A48" s="18" t="s">
        <v>528</v>
      </c>
      <c r="B48" s="1" t="s">
        <v>529</v>
      </c>
      <c r="C48" s="1" t="s">
        <v>187</v>
      </c>
      <c r="D48" s="1" t="s">
        <v>524</v>
      </c>
      <c r="E48" s="1" t="s">
        <v>434</v>
      </c>
      <c r="F48" s="1" t="s">
        <v>525</v>
      </c>
    </row>
    <row r="49">
      <c r="A49" s="18" t="s">
        <v>530</v>
      </c>
      <c r="B49" s="1" t="s">
        <v>531</v>
      </c>
      <c r="C49" s="1" t="s">
        <v>441</v>
      </c>
      <c r="D49" s="1" t="s">
        <v>442</v>
      </c>
      <c r="E49" s="1" t="s">
        <v>136</v>
      </c>
      <c r="F49" s="1" t="s">
        <v>443</v>
      </c>
    </row>
    <row r="50">
      <c r="A50" s="18" t="s">
        <v>532</v>
      </c>
      <c r="B50" s="1" t="s">
        <v>533</v>
      </c>
      <c r="C50" s="18" t="s">
        <v>477</v>
      </c>
      <c r="D50" s="1" t="s">
        <v>442</v>
      </c>
      <c r="E50" s="1" t="s">
        <v>434</v>
      </c>
      <c r="F50" s="1" t="s">
        <v>478</v>
      </c>
    </row>
    <row r="51">
      <c r="A51" s="18" t="s">
        <v>534</v>
      </c>
      <c r="B51" s="1" t="s">
        <v>535</v>
      </c>
      <c r="C51" s="18" t="s">
        <v>456</v>
      </c>
      <c r="D51" s="1" t="s">
        <v>187</v>
      </c>
      <c r="E51" s="1" t="s">
        <v>434</v>
      </c>
      <c r="F51" s="1" t="s">
        <v>457</v>
      </c>
    </row>
    <row r="52">
      <c r="A52" s="18" t="s">
        <v>536</v>
      </c>
      <c r="B52" s="1" t="s">
        <v>537</v>
      </c>
      <c r="C52" s="1" t="s">
        <v>187</v>
      </c>
      <c r="D52" s="1" t="s">
        <v>524</v>
      </c>
      <c r="E52" s="1" t="s">
        <v>434</v>
      </c>
      <c r="F52" s="1" t="s">
        <v>525</v>
      </c>
    </row>
    <row r="53">
      <c r="A53" s="18" t="s">
        <v>538</v>
      </c>
      <c r="B53" s="1" t="s">
        <v>298</v>
      </c>
      <c r="C53" s="18" t="s">
        <v>477</v>
      </c>
      <c r="D53" s="1" t="s">
        <v>187</v>
      </c>
      <c r="E53" s="1" t="s">
        <v>434</v>
      </c>
      <c r="F53" s="1" t="s">
        <v>491</v>
      </c>
    </row>
    <row r="54">
      <c r="A54" s="18" t="s">
        <v>539</v>
      </c>
      <c r="B54" s="1" t="s">
        <v>540</v>
      </c>
      <c r="C54" s="18" t="s">
        <v>541</v>
      </c>
      <c r="D54" s="1" t="s">
        <v>187</v>
      </c>
      <c r="E54" s="1" t="s">
        <v>434</v>
      </c>
      <c r="F54" s="1" t="s">
        <v>542</v>
      </c>
    </row>
    <row r="55">
      <c r="A55" s="18" t="s">
        <v>543</v>
      </c>
      <c r="B55" s="1" t="s">
        <v>544</v>
      </c>
      <c r="C55" s="18" t="s">
        <v>450</v>
      </c>
      <c r="D55" s="1" t="s">
        <v>187</v>
      </c>
      <c r="E55" s="1" t="s">
        <v>434</v>
      </c>
      <c r="F55" s="1" t="s">
        <v>451</v>
      </c>
    </row>
    <row r="56">
      <c r="A56" s="18" t="s">
        <v>545</v>
      </c>
      <c r="B56" s="1" t="s">
        <v>546</v>
      </c>
      <c r="C56" s="18" t="s">
        <v>450</v>
      </c>
      <c r="D56" s="1" t="s">
        <v>187</v>
      </c>
      <c r="E56" s="1" t="s">
        <v>434</v>
      </c>
      <c r="F56" s="1" t="s">
        <v>451</v>
      </c>
    </row>
    <row r="57">
      <c r="A57" s="18" t="s">
        <v>547</v>
      </c>
      <c r="B57" s="1" t="s">
        <v>548</v>
      </c>
      <c r="C57" s="1" t="s">
        <v>187</v>
      </c>
      <c r="D57" s="1" t="s">
        <v>187</v>
      </c>
      <c r="E57" s="1" t="s">
        <v>434</v>
      </c>
      <c r="F57" s="1" t="s">
        <v>437</v>
      </c>
    </row>
    <row r="58">
      <c r="A58" s="18" t="s">
        <v>549</v>
      </c>
      <c r="B58" s="1" t="s">
        <v>550</v>
      </c>
      <c r="C58" s="1" t="s">
        <v>187</v>
      </c>
      <c r="D58" s="1" t="s">
        <v>187</v>
      </c>
      <c r="E58" s="1" t="s">
        <v>434</v>
      </c>
      <c r="F58" s="1" t="s">
        <v>437</v>
      </c>
    </row>
    <row r="59">
      <c r="A59" s="18" t="s">
        <v>551</v>
      </c>
      <c r="B59" s="1" t="s">
        <v>552</v>
      </c>
      <c r="C59" s="1" t="s">
        <v>433</v>
      </c>
      <c r="D59" s="1" t="s">
        <v>187</v>
      </c>
      <c r="E59" s="1" t="s">
        <v>434</v>
      </c>
      <c r="F59" s="1" t="s">
        <v>435</v>
      </c>
    </row>
    <row r="60">
      <c r="A60" s="18" t="s">
        <v>553</v>
      </c>
      <c r="B60" s="1" t="s">
        <v>554</v>
      </c>
      <c r="C60" s="1" t="s">
        <v>187</v>
      </c>
      <c r="D60" s="1" t="s">
        <v>187</v>
      </c>
      <c r="E60" s="1" t="s">
        <v>434</v>
      </c>
      <c r="F60" s="1" t="s">
        <v>437</v>
      </c>
    </row>
    <row r="61">
      <c r="A61" s="18" t="s">
        <v>555</v>
      </c>
      <c r="B61" s="1" t="s">
        <v>556</v>
      </c>
      <c r="C61" s="1" t="s">
        <v>187</v>
      </c>
      <c r="D61" s="1" t="s">
        <v>187</v>
      </c>
      <c r="E61" s="1" t="s">
        <v>434</v>
      </c>
      <c r="F61" s="1" t="s">
        <v>437</v>
      </c>
    </row>
  </sheetData>
  <drawing r:id="rId1"/>
</worksheet>
</file>